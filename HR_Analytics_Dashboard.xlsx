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to\Downloads\"/>
    </mc:Choice>
  </mc:AlternateContent>
  <xr:revisionPtr revIDLastSave="0" documentId="11_ED41C3997F74EABD855A0E4DE55DC191A6F9B1D4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_Me" sheetId="1" r:id="rId1"/>
    <sheet name="Dashboard" sheetId="2" r:id="rId2"/>
    <sheet name="Employee_Explorer" sheetId="3" r:id="rId3"/>
    <sheet name="Employee_Master" sheetId="4" r:id="rId4"/>
    <sheet name="Performance" sheetId="5" r:id="rId5"/>
    <sheet name="Compensation" sheetId="6" r:id="rId6"/>
    <sheet name="Attendance_Leave" sheetId="7" r:id="rId7"/>
    <sheet name="Training" sheetId="8" r:id="rId8"/>
    <sheet name="Engagement" sheetId="9" r:id="rId9"/>
    <sheet name="Exits_Attrition" sheetId="10" r:id="rId10"/>
    <sheet name="Recruitment" sheetId="11" r:id="rId11"/>
    <sheet name="Settings" sheetId="12" r:id="rId12"/>
    <sheet name="Calc_Engine" sheetId="13" state="hidden" r:id="rId13"/>
  </sheets>
  <definedNames>
    <definedName name="_xlnm._FilterDatabase" localSheetId="6" hidden="1">Attendance_Leave!$A$1:$O$501</definedName>
    <definedName name="_xlnm._FilterDatabase" localSheetId="5" hidden="1">Compensation!$A$1:$Q$501</definedName>
    <definedName name="_xlnm._FilterDatabase" localSheetId="2" hidden="1">Employee_Explorer!$A$4:$Q$504</definedName>
    <definedName name="_xlnm._FilterDatabase" localSheetId="3" hidden="1">Employee_Master!$A$1:$S$501</definedName>
    <definedName name="_xlnm._FilterDatabase" localSheetId="8" hidden="1">Engagement!$A$1:$S$501</definedName>
    <definedName name="_xlnm._FilterDatabase" localSheetId="9" hidden="1">Exits_Attrition!$A$1:$Q$65</definedName>
    <definedName name="_xlnm._FilterDatabase" localSheetId="4" hidden="1">Performance!$A$1:$T$501</definedName>
    <definedName name="_xlnm._FilterDatabase" localSheetId="10" hidden="1">Recruitment!$A$1:$R$141</definedName>
    <definedName name="_xlnm._FilterDatabase" localSheetId="7" hidden="1">Training!$A$1:$N$501</definedName>
    <definedName name="A_Att">Attendance_Leave!$K$2:$K$501</definedName>
    <definedName name="A_Dept">Attendance_Leave!$C$2:$C$501</definedName>
    <definedName name="A_Flag">Attendance_Leave!$O$2:$O$501</definedName>
    <definedName name="A_OT">Attendance_Leave!$N$2:$N$501</definedName>
    <definedName name="A_Planned">Attendance_Leave!$F$2:$F$501</definedName>
    <definedName name="A_Sick">Attendance_Leave!$G$2:$G$501</definedName>
    <definedName name="A_Status">Attendance_Leave!$D$2:$D$501</definedName>
    <definedName name="A_Unpl">Attendance_Leave!$H$2:$H$501</definedName>
    <definedName name="A_WFH">Attendance_Leave!$L$2:$L$501</definedName>
    <definedName name="AsOf">Settings!$B$4</definedName>
    <definedName name="BandLevels">Settings!$A$14:$A$20</definedName>
    <definedName name="BandMax">Settings!$E$14:$E$20</definedName>
    <definedName name="BandMid">Settings!$D$14:$D$20</definedName>
    <definedName name="BandMin">Settings!$C$14:$C$20</definedName>
    <definedName name="C_Bonus">Compensation!$P$2:$P$501</definedName>
    <definedName name="C_Compa">Compensation!$J$2:$J$501</definedName>
    <definedName name="C_CTC">Compensation!$F$2:$F$501</definedName>
    <definedName name="C_Dept">Compensation!$C$2:$C$501</definedName>
    <definedName name="C_Hike">Compensation!$M$2:$M$501</definedName>
    <definedName name="C_Level">Compensation!$D$2:$D$501</definedName>
    <definedName name="C_Pos">Compensation!$K$2:$K$501</definedName>
    <definedName name="C_Rev">Compensation!$N$2:$N$501</definedName>
    <definedName name="C_Status">Compensation!$E$2:$E$501</definedName>
    <definedName name="CompaThreshold">Settings!$B$9</definedName>
    <definedName name="DeptList">Settings!$A$23:$A$33</definedName>
    <definedName name="E_Cat">Engagement!$O$2:$O$501</definedName>
    <definedName name="E_Dept">Engagement!$C$2:$C$501</definedName>
    <definedName name="E_Dim1">Engagement!$G$2:$G$501</definedName>
    <definedName name="E_Dim2">Engagement!$H$2:$H$501</definedName>
    <definedName name="E_Dim3">Engagement!$I$2:$I$501</definedName>
    <definedName name="E_Dim4">Engagement!$J$2:$J$501</definedName>
    <definedName name="E_Dim5">Engagement!$K$2:$K$501</definedName>
    <definedName name="E_Dim6">Engagement!$L$2:$L$501</definedName>
    <definedName name="E_eNPS">Engagement!$N$2:$N$501</definedName>
    <definedName name="E_Overall">Engagement!$M$2:$M$501</definedName>
    <definedName name="E_Rating">Engagement!$P$2:$P$501</definedName>
    <definedName name="E_Risk">Engagement!$S$2:$S$501</definedName>
    <definedName name="E_Status">Engagement!$E$2:$E$501</definedName>
    <definedName name="E_Survey">Engagement!$F$2:$F$501</definedName>
    <definedName name="EmpList">OFFSET(Calc_Engine!$J$2,0,0,MAX(1,COUNT(Calc_Engine!$H$2:$H$501)),1)</definedName>
    <definedName name="EngThreshold">Settings!$B$8</definedName>
    <definedName name="M_Dept">Employee_Master!$I$2:$I$501</definedName>
    <definedName name="M_DOJ">Employee_Master!$M$2:$M$501</definedName>
    <definedName name="M_Email">Employee_Master!$C$2:$C$501</definedName>
    <definedName name="M_Exit">Employee_Master!$P$2:$P$501</definedName>
    <definedName name="M_Gender">Employee_Master!$J$2:$J$501</definedName>
    <definedName name="M_ID">Employee_Master!$A$2:$A$501</definedName>
    <definedName name="M_Level">Employee_Master!$G$2:$G$501</definedName>
    <definedName name="M_LevelNo">Employee_Master!$H$2:$H$501</definedName>
    <definedName name="M_Loc">Employee_Master!$K$2:$K$501</definedName>
    <definedName name="M_Mgr">Employee_Master!$D$2:$D$501</definedName>
    <definedName name="M_Name">Employee_Master!$B$2:$B$501</definedName>
    <definedName name="M_Reports">Employee_Master!$S$2:$S$501</definedName>
    <definedName name="M_Status">Employee_Master!$O$2:$O$501</definedName>
    <definedName name="M_TBand">Employee_Master!$R$2:$R$501</definedName>
    <definedName name="M_Tenure">Employee_Master!$Q$2:$Q$501</definedName>
    <definedName name="M_Title">Employee_Master!$F$2:$F$501</definedName>
    <definedName name="M_Type">Employee_Master!$L$2:$L$501</definedName>
    <definedName name="MaxLvl">Settings!$B$7</definedName>
    <definedName name="MinRating">Settings!$B$5</definedName>
    <definedName name="MinYrs">Settings!$B$6</definedName>
    <definedName name="NineBox">Settings!$I$23:$K$25</definedName>
    <definedName name="P_9Box">Performance!$O$2:$O$501</definedName>
    <definedName name="P_Band">Performance!$N$2:$N$501</definedName>
    <definedName name="P_Dept">Performance!$D$2:$D$501</definedName>
    <definedName name="P_Elig">Performance!$R$2:$R$501</definedName>
    <definedName name="P_Goals">Performance!$K$2:$K$501</definedName>
    <definedName name="P_Label">Performance!$H$2:$H$501</definedName>
    <definedName name="P_Level">Performance!$E$2:$E$501</definedName>
    <definedName name="P_Pot">Performance!$M$2:$M$501</definedName>
    <definedName name="P_Prev">Performance!$I$2:$I$501</definedName>
    <definedName name="P_Rating">Performance!$G$2:$G$501</definedName>
    <definedName name="P_Reason">Performance!$S$2:$S$501</definedName>
    <definedName name="P_Status">Performance!$F$2:$F$501</definedName>
    <definedName name="P_Trend">Performance!$J$2:$J$501</definedName>
    <definedName name="P_YIL">Performance!$Q$2:$Q$501</definedName>
    <definedName name="PeriodStart">Settings!$B$10</definedName>
    <definedName name="_xlnm.Print_Area" localSheetId="1">Dashboard!$A$1:$W$118</definedName>
    <definedName name="R_Acc">Recruitment!$O$2:$O$141</definedName>
    <definedName name="R_Apps">Recruitment!$K$2:$K$141</definedName>
    <definedName name="R_Cost">Recruitment!$R$2:$R$141</definedName>
    <definedName name="R_Dept">Recruitment!$B$2:$B$141</definedName>
    <definedName name="R_Offers">Recruitment!$N$2:$N$141</definedName>
    <definedName name="R_Prio">Recruitment!$E$2:$E$141</definedName>
    <definedName name="R_Source">Recruitment!$J$2:$J$141</definedName>
    <definedName name="R_Status">Recruitment!$I$2:$I$141</definedName>
    <definedName name="R_TTF">Recruitment!$Q$2:$Q$141</definedName>
    <definedName name="RatingLbl">Settings!$I$14:$I$18</definedName>
    <definedName name="RatingNo">Settings!$H$14:$H$18</definedName>
    <definedName name="SelCrit">Calc_Engine!$B$2</definedName>
    <definedName name="SelDept">Calc_Engine!$B$1</definedName>
    <definedName name="SelEmp">Calc_Engine!$B$4</definedName>
    <definedName name="SelLabel">Calc_Engine!$B$6</definedName>
    <definedName name="SelRow">Calc_Engine!$B$5</definedName>
    <definedName name="T_Comp">Training!$M$2:$M$501</definedName>
    <definedName name="T_Cost">Training!$I$2:$I$501</definedName>
    <definedName name="T_Courses">Training!$G$2:$G$501</definedName>
    <definedName name="T_Dept">Training!$C$2:$C$501</definedName>
    <definedName name="T_Hours">Training!$H$2:$H$501</definedName>
    <definedName name="T_POSH">Training!$K$2:$K$501</definedName>
    <definedName name="T_Score">Training!$J$2:$J$501</definedName>
    <definedName name="T_Status">Training!$E$2:$E$501</definedName>
    <definedName name="X_Date">Exits_Attrition!$H$2:$H$65</definedName>
    <definedName name="X_Dept">Exits_Attrition!$C$2:$C$65</definedName>
    <definedName name="X_Level">Exits_Attrition!$E$2:$E$65</definedName>
    <definedName name="X_Reason">Exits_Attrition!$K$2:$K$65</definedName>
    <definedName name="X_Regret">Exits_Attrition!$L$2:$L$65</definedName>
    <definedName name="X_Tenure">Exits_Attrition!$I$2:$I$65</definedName>
    <definedName name="X_Type">Exits_Attrition!$J$2:$J$65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3" l="1"/>
  <c r="B1" i="13"/>
  <c r="B2" i="13" s="1"/>
  <c r="D20" i="12"/>
  <c r="D19" i="12"/>
  <c r="D18" i="12"/>
  <c r="D17" i="12"/>
  <c r="D16" i="12"/>
  <c r="D15" i="12"/>
  <c r="D14" i="12"/>
  <c r="B10" i="12"/>
  <c r="Q141" i="11"/>
  <c r="P141" i="11"/>
  <c r="Q140" i="11"/>
  <c r="P140" i="11"/>
  <c r="Q139" i="11"/>
  <c r="P139" i="11"/>
  <c r="Q138" i="11"/>
  <c r="P138" i="11"/>
  <c r="Q137" i="11"/>
  <c r="P137" i="11"/>
  <c r="Q136" i="11"/>
  <c r="P136" i="11"/>
  <c r="Q135" i="11"/>
  <c r="P135" i="11"/>
  <c r="Q134" i="11"/>
  <c r="P134" i="11"/>
  <c r="Q133" i="11"/>
  <c r="P133" i="11"/>
  <c r="Q132" i="11"/>
  <c r="P132" i="11"/>
  <c r="Q131" i="11"/>
  <c r="P131" i="11"/>
  <c r="Q130" i="11"/>
  <c r="P130" i="11"/>
  <c r="Q129" i="11"/>
  <c r="P129" i="11"/>
  <c r="Q128" i="11"/>
  <c r="P113" i="2" s="1"/>
  <c r="P128" i="11"/>
  <c r="Q127" i="11"/>
  <c r="P127" i="11"/>
  <c r="Q126" i="11"/>
  <c r="P126" i="11"/>
  <c r="Q125" i="11"/>
  <c r="P125" i="11"/>
  <c r="Q124" i="11"/>
  <c r="P124" i="11"/>
  <c r="Q123" i="11"/>
  <c r="P123" i="11"/>
  <c r="Q122" i="11"/>
  <c r="P122" i="11"/>
  <c r="Q121" i="11"/>
  <c r="P121" i="11"/>
  <c r="Q120" i="11"/>
  <c r="P120" i="11"/>
  <c r="Q119" i="11"/>
  <c r="P109" i="2" s="1"/>
  <c r="P119" i="11"/>
  <c r="Q118" i="11"/>
  <c r="P118" i="11"/>
  <c r="Q117" i="11"/>
  <c r="P117" i="11"/>
  <c r="Q116" i="11"/>
  <c r="P116" i="11"/>
  <c r="Q115" i="11"/>
  <c r="P115" i="11"/>
  <c r="Q114" i="11"/>
  <c r="P114" i="11"/>
  <c r="Q113" i="11"/>
  <c r="P113" i="11"/>
  <c r="Q112" i="11"/>
  <c r="P112" i="11"/>
  <c r="Q111" i="11"/>
  <c r="P111" i="11"/>
  <c r="Q110" i="11"/>
  <c r="P110" i="11"/>
  <c r="Q109" i="11"/>
  <c r="P109" i="11"/>
  <c r="Q108" i="11"/>
  <c r="P108" i="11"/>
  <c r="Q107" i="11"/>
  <c r="P107" i="11"/>
  <c r="Q106" i="11"/>
  <c r="P106" i="11"/>
  <c r="Q105" i="11"/>
  <c r="P105" i="11"/>
  <c r="Q104" i="11"/>
  <c r="P104" i="11"/>
  <c r="Q103" i="11"/>
  <c r="P103" i="11"/>
  <c r="Q102" i="11"/>
  <c r="P102" i="11"/>
  <c r="Q101" i="11"/>
  <c r="P101" i="11"/>
  <c r="Q100" i="11"/>
  <c r="P100" i="11"/>
  <c r="Q99" i="11"/>
  <c r="P99" i="11"/>
  <c r="Q98" i="11"/>
  <c r="P98" i="11"/>
  <c r="Q97" i="11"/>
  <c r="P97" i="11"/>
  <c r="Q96" i="11"/>
  <c r="P96" i="11"/>
  <c r="Q95" i="11"/>
  <c r="P95" i="11"/>
  <c r="Q94" i="11"/>
  <c r="P94" i="11"/>
  <c r="Q93" i="11"/>
  <c r="P93" i="11"/>
  <c r="Q92" i="11"/>
  <c r="P92" i="11"/>
  <c r="Q91" i="11"/>
  <c r="P91" i="11"/>
  <c r="Q90" i="11"/>
  <c r="P90" i="11"/>
  <c r="Q89" i="11"/>
  <c r="P89" i="11"/>
  <c r="Q88" i="11"/>
  <c r="P88" i="11"/>
  <c r="Q87" i="11"/>
  <c r="P87" i="11"/>
  <c r="Q86" i="11"/>
  <c r="P86" i="11"/>
  <c r="Q85" i="11"/>
  <c r="P85" i="11"/>
  <c r="Q84" i="11"/>
  <c r="P84" i="11"/>
  <c r="Q83" i="11"/>
  <c r="P83" i="11"/>
  <c r="Q82" i="11"/>
  <c r="P82" i="11"/>
  <c r="Q81" i="11"/>
  <c r="P81" i="11"/>
  <c r="Q80" i="11"/>
  <c r="P80" i="11"/>
  <c r="Q79" i="11"/>
  <c r="P79" i="11"/>
  <c r="Q78" i="11"/>
  <c r="P78" i="11"/>
  <c r="Q77" i="11"/>
  <c r="P77" i="11"/>
  <c r="Q76" i="11"/>
  <c r="P76" i="11"/>
  <c r="Q75" i="11"/>
  <c r="P75" i="11"/>
  <c r="Q74" i="11"/>
  <c r="P74" i="11"/>
  <c r="Q73" i="11"/>
  <c r="P73" i="11"/>
  <c r="Q72" i="11"/>
  <c r="P72" i="11"/>
  <c r="Q71" i="11"/>
  <c r="P71" i="11"/>
  <c r="Q70" i="11"/>
  <c r="P70" i="11"/>
  <c r="Q69" i="11"/>
  <c r="P69" i="11"/>
  <c r="Q68" i="11"/>
  <c r="P68" i="11"/>
  <c r="Q67" i="11"/>
  <c r="P67" i="11"/>
  <c r="Q66" i="11"/>
  <c r="P66" i="11"/>
  <c r="Q65" i="11"/>
  <c r="P65" i="11"/>
  <c r="Q64" i="11"/>
  <c r="P64" i="11"/>
  <c r="Q63" i="11"/>
  <c r="P63" i="11"/>
  <c r="Q62" i="11"/>
  <c r="P62" i="11"/>
  <c r="Q61" i="11"/>
  <c r="P61" i="11"/>
  <c r="Q60" i="11"/>
  <c r="P60" i="11"/>
  <c r="Q59" i="11"/>
  <c r="P59" i="11"/>
  <c r="Q58" i="11"/>
  <c r="P58" i="11"/>
  <c r="Q57" i="11"/>
  <c r="P57" i="11"/>
  <c r="Q56" i="11"/>
  <c r="P56" i="11"/>
  <c r="Q55" i="11"/>
  <c r="P55" i="11"/>
  <c r="Q54" i="11"/>
  <c r="P54" i="11"/>
  <c r="Q53" i="11"/>
  <c r="P53" i="11"/>
  <c r="Q52" i="11"/>
  <c r="P52" i="11"/>
  <c r="Q51" i="11"/>
  <c r="P51" i="11"/>
  <c r="Q50" i="11"/>
  <c r="P50" i="11"/>
  <c r="Q49" i="11"/>
  <c r="P49" i="11"/>
  <c r="Q48" i="11"/>
  <c r="P48" i="11"/>
  <c r="Q47" i="11"/>
  <c r="P47" i="11"/>
  <c r="Q46" i="11"/>
  <c r="P46" i="11"/>
  <c r="Q45" i="11"/>
  <c r="P45" i="11"/>
  <c r="Q44" i="11"/>
  <c r="P44" i="11"/>
  <c r="Q43" i="11"/>
  <c r="P43" i="11"/>
  <c r="Q42" i="11"/>
  <c r="P42" i="11"/>
  <c r="Q41" i="11"/>
  <c r="P41" i="11"/>
  <c r="Q40" i="11"/>
  <c r="P40" i="11"/>
  <c r="Q39" i="11"/>
  <c r="P39" i="11"/>
  <c r="Q38" i="11"/>
  <c r="P38" i="11"/>
  <c r="Q37" i="11"/>
  <c r="P37" i="11"/>
  <c r="Q36" i="11"/>
  <c r="P36" i="11"/>
  <c r="Q35" i="11"/>
  <c r="P35" i="11"/>
  <c r="Q34" i="11"/>
  <c r="P34" i="11"/>
  <c r="Q33" i="11"/>
  <c r="P33" i="11"/>
  <c r="Q32" i="11"/>
  <c r="P32" i="11"/>
  <c r="Q31" i="11"/>
  <c r="P31" i="11"/>
  <c r="Q30" i="11"/>
  <c r="P30" i="11"/>
  <c r="Q29" i="11"/>
  <c r="P29" i="11"/>
  <c r="Q28" i="11"/>
  <c r="P28" i="11"/>
  <c r="Q27" i="11"/>
  <c r="P27" i="11"/>
  <c r="Q26" i="11"/>
  <c r="P26" i="11"/>
  <c r="Q25" i="11"/>
  <c r="P25" i="11"/>
  <c r="Q24" i="11"/>
  <c r="P24" i="11"/>
  <c r="Q23" i="11"/>
  <c r="P23" i="11"/>
  <c r="Q22" i="11"/>
  <c r="P22" i="11"/>
  <c r="Q21" i="11"/>
  <c r="P21" i="11"/>
  <c r="Q20" i="11"/>
  <c r="P110" i="2" s="1"/>
  <c r="P20" i="11"/>
  <c r="Q19" i="11"/>
  <c r="P19" i="11"/>
  <c r="Q18" i="11"/>
  <c r="P114" i="2" s="1"/>
  <c r="P18" i="11"/>
  <c r="Q17" i="11"/>
  <c r="P17" i="11"/>
  <c r="Q16" i="11"/>
  <c r="P16" i="11"/>
  <c r="Q15" i="11"/>
  <c r="P15" i="11"/>
  <c r="Q14" i="11"/>
  <c r="P111" i="2" s="1"/>
  <c r="P14" i="11"/>
  <c r="Q13" i="11"/>
  <c r="P13" i="11"/>
  <c r="Q12" i="11"/>
  <c r="P12" i="11"/>
  <c r="Q11" i="11"/>
  <c r="P115" i="2" s="1"/>
  <c r="P11" i="11"/>
  <c r="Q10" i="11"/>
  <c r="P10" i="11"/>
  <c r="Q9" i="11"/>
  <c r="P9" i="11"/>
  <c r="Q8" i="11"/>
  <c r="P106" i="2" s="1"/>
  <c r="P8" i="11"/>
  <c r="Q7" i="11"/>
  <c r="P7" i="11"/>
  <c r="Q6" i="11"/>
  <c r="P6" i="11"/>
  <c r="Q5" i="11"/>
  <c r="P5" i="11"/>
  <c r="Q4" i="11"/>
  <c r="P112" i="2" s="1"/>
  <c r="P4" i="11"/>
  <c r="Q3" i="11"/>
  <c r="P107" i="2" s="1"/>
  <c r="P3" i="11"/>
  <c r="Q2" i="11"/>
  <c r="P2" i="11"/>
  <c r="Q65" i="10"/>
  <c r="P65" i="10"/>
  <c r="G65" i="10"/>
  <c r="I65" i="10" s="1"/>
  <c r="F65" i="10"/>
  <c r="E65" i="10"/>
  <c r="D65" i="10"/>
  <c r="C65" i="10"/>
  <c r="B65" i="10"/>
  <c r="Q64" i="10"/>
  <c r="P64" i="10"/>
  <c r="G64" i="10"/>
  <c r="I64" i="10" s="1"/>
  <c r="F64" i="10"/>
  <c r="E64" i="10"/>
  <c r="D64" i="10"/>
  <c r="C64" i="10"/>
  <c r="B64" i="10"/>
  <c r="Q63" i="10"/>
  <c r="P63" i="10"/>
  <c r="G63" i="10"/>
  <c r="I63" i="10" s="1"/>
  <c r="F63" i="10"/>
  <c r="E63" i="10"/>
  <c r="D63" i="10"/>
  <c r="C63" i="10"/>
  <c r="B63" i="10"/>
  <c r="Q62" i="10"/>
  <c r="P62" i="10"/>
  <c r="G62" i="10"/>
  <c r="I62" i="10" s="1"/>
  <c r="F62" i="10"/>
  <c r="E62" i="10"/>
  <c r="D62" i="10"/>
  <c r="C62" i="10"/>
  <c r="B62" i="10"/>
  <c r="Q61" i="10"/>
  <c r="P61" i="10"/>
  <c r="G61" i="10"/>
  <c r="I61" i="10" s="1"/>
  <c r="F61" i="10"/>
  <c r="E61" i="10"/>
  <c r="D61" i="10"/>
  <c r="C61" i="10"/>
  <c r="B61" i="10"/>
  <c r="Q60" i="10"/>
  <c r="P60" i="10"/>
  <c r="G60" i="10"/>
  <c r="I60" i="10" s="1"/>
  <c r="F60" i="10"/>
  <c r="E60" i="10"/>
  <c r="D60" i="10"/>
  <c r="C60" i="10"/>
  <c r="B60" i="10"/>
  <c r="Q59" i="10"/>
  <c r="P59" i="10"/>
  <c r="G59" i="10"/>
  <c r="I59" i="10" s="1"/>
  <c r="F59" i="10"/>
  <c r="E59" i="10"/>
  <c r="D59" i="10"/>
  <c r="C59" i="10"/>
  <c r="B59" i="10"/>
  <c r="Q58" i="10"/>
  <c r="P58" i="10"/>
  <c r="G58" i="10"/>
  <c r="I58" i="10" s="1"/>
  <c r="F58" i="10"/>
  <c r="E58" i="10"/>
  <c r="D58" i="10"/>
  <c r="C58" i="10"/>
  <c r="B58" i="10"/>
  <c r="Q57" i="10"/>
  <c r="P57" i="10"/>
  <c r="G57" i="10"/>
  <c r="I57" i="10" s="1"/>
  <c r="F57" i="10"/>
  <c r="E57" i="10"/>
  <c r="D57" i="10"/>
  <c r="C57" i="10"/>
  <c r="B57" i="10"/>
  <c r="Q56" i="10"/>
  <c r="P56" i="10"/>
  <c r="G56" i="10"/>
  <c r="I56" i="10" s="1"/>
  <c r="F56" i="10"/>
  <c r="E56" i="10"/>
  <c r="D56" i="10"/>
  <c r="C56" i="10"/>
  <c r="B56" i="10"/>
  <c r="Q55" i="10"/>
  <c r="P55" i="10"/>
  <c r="G55" i="10"/>
  <c r="I55" i="10" s="1"/>
  <c r="F55" i="10"/>
  <c r="E55" i="10"/>
  <c r="D55" i="10"/>
  <c r="C55" i="10"/>
  <c r="B55" i="10"/>
  <c r="Q54" i="10"/>
  <c r="P54" i="10"/>
  <c r="G54" i="10"/>
  <c r="I54" i="10" s="1"/>
  <c r="F54" i="10"/>
  <c r="E54" i="10"/>
  <c r="D54" i="10"/>
  <c r="C54" i="10"/>
  <c r="B54" i="10"/>
  <c r="Q53" i="10"/>
  <c r="P53" i="10"/>
  <c r="G53" i="10"/>
  <c r="I53" i="10" s="1"/>
  <c r="F53" i="10"/>
  <c r="E53" i="10"/>
  <c r="D53" i="10"/>
  <c r="C53" i="10"/>
  <c r="B53" i="10"/>
  <c r="Q52" i="10"/>
  <c r="P52" i="10"/>
  <c r="G52" i="10"/>
  <c r="I52" i="10" s="1"/>
  <c r="F52" i="10"/>
  <c r="E52" i="10"/>
  <c r="D52" i="10"/>
  <c r="C52" i="10"/>
  <c r="B52" i="10"/>
  <c r="Q51" i="10"/>
  <c r="P51" i="10"/>
  <c r="G51" i="10"/>
  <c r="I51" i="10" s="1"/>
  <c r="F51" i="10"/>
  <c r="E51" i="10"/>
  <c r="D51" i="10"/>
  <c r="C51" i="10"/>
  <c r="B51" i="10"/>
  <c r="Q50" i="10"/>
  <c r="P50" i="10"/>
  <c r="G50" i="10"/>
  <c r="I50" i="10" s="1"/>
  <c r="F50" i="10"/>
  <c r="E50" i="10"/>
  <c r="D50" i="10"/>
  <c r="C50" i="10"/>
  <c r="B50" i="10"/>
  <c r="Q49" i="10"/>
  <c r="P49" i="10"/>
  <c r="G49" i="10"/>
  <c r="I49" i="10" s="1"/>
  <c r="F49" i="10"/>
  <c r="E49" i="10"/>
  <c r="D49" i="10"/>
  <c r="C49" i="10"/>
  <c r="B49" i="10"/>
  <c r="Q48" i="10"/>
  <c r="P48" i="10"/>
  <c r="G48" i="10"/>
  <c r="I48" i="10" s="1"/>
  <c r="F48" i="10"/>
  <c r="E48" i="10"/>
  <c r="D48" i="10"/>
  <c r="C48" i="10"/>
  <c r="B48" i="10"/>
  <c r="Q47" i="10"/>
  <c r="P47" i="10"/>
  <c r="G47" i="10"/>
  <c r="I47" i="10" s="1"/>
  <c r="F47" i="10"/>
  <c r="E47" i="10"/>
  <c r="D47" i="10"/>
  <c r="C47" i="10"/>
  <c r="B47" i="10"/>
  <c r="Q46" i="10"/>
  <c r="P46" i="10"/>
  <c r="G46" i="10"/>
  <c r="I46" i="10" s="1"/>
  <c r="F46" i="10"/>
  <c r="E46" i="10"/>
  <c r="D46" i="10"/>
  <c r="C46" i="10"/>
  <c r="B46" i="10"/>
  <c r="Q45" i="10"/>
  <c r="P45" i="10"/>
  <c r="G45" i="10"/>
  <c r="I45" i="10" s="1"/>
  <c r="F45" i="10"/>
  <c r="E45" i="10"/>
  <c r="D45" i="10"/>
  <c r="C45" i="10"/>
  <c r="B45" i="10"/>
  <c r="Q44" i="10"/>
  <c r="P44" i="10"/>
  <c r="G44" i="10"/>
  <c r="I44" i="10" s="1"/>
  <c r="F44" i="10"/>
  <c r="E44" i="10"/>
  <c r="D44" i="10"/>
  <c r="C44" i="10"/>
  <c r="B44" i="10"/>
  <c r="Q43" i="10"/>
  <c r="P43" i="10"/>
  <c r="G43" i="10"/>
  <c r="I43" i="10" s="1"/>
  <c r="F43" i="10"/>
  <c r="E43" i="10"/>
  <c r="D43" i="10"/>
  <c r="C43" i="10"/>
  <c r="B43" i="10"/>
  <c r="Q42" i="10"/>
  <c r="P42" i="10"/>
  <c r="G42" i="10"/>
  <c r="I42" i="10" s="1"/>
  <c r="F42" i="10"/>
  <c r="E42" i="10"/>
  <c r="D42" i="10"/>
  <c r="C42" i="10"/>
  <c r="B42" i="10"/>
  <c r="Q41" i="10"/>
  <c r="P41" i="10"/>
  <c r="G41" i="10"/>
  <c r="I41" i="10" s="1"/>
  <c r="F41" i="10"/>
  <c r="E41" i="10"/>
  <c r="D41" i="10"/>
  <c r="C41" i="10"/>
  <c r="B41" i="10"/>
  <c r="Q40" i="10"/>
  <c r="P40" i="10"/>
  <c r="G40" i="10"/>
  <c r="I40" i="10" s="1"/>
  <c r="F40" i="10"/>
  <c r="E40" i="10"/>
  <c r="D40" i="10"/>
  <c r="C40" i="10"/>
  <c r="B40" i="10"/>
  <c r="Q39" i="10"/>
  <c r="P39" i="10"/>
  <c r="G39" i="10"/>
  <c r="I39" i="10" s="1"/>
  <c r="F39" i="10"/>
  <c r="E39" i="10"/>
  <c r="D39" i="10"/>
  <c r="C39" i="10"/>
  <c r="B39" i="10"/>
  <c r="Q38" i="10"/>
  <c r="P38" i="10"/>
  <c r="G38" i="10"/>
  <c r="I38" i="10" s="1"/>
  <c r="F38" i="10"/>
  <c r="E38" i="10"/>
  <c r="D38" i="10"/>
  <c r="C38" i="10"/>
  <c r="B38" i="10"/>
  <c r="Q37" i="10"/>
  <c r="P37" i="10"/>
  <c r="G37" i="10"/>
  <c r="I37" i="10" s="1"/>
  <c r="F37" i="10"/>
  <c r="E37" i="10"/>
  <c r="D37" i="10"/>
  <c r="C37" i="10"/>
  <c r="B37" i="10"/>
  <c r="Q36" i="10"/>
  <c r="P36" i="10"/>
  <c r="G36" i="10"/>
  <c r="I36" i="10" s="1"/>
  <c r="F36" i="10"/>
  <c r="E36" i="10"/>
  <c r="D36" i="10"/>
  <c r="C36" i="10"/>
  <c r="B36" i="10"/>
  <c r="Q35" i="10"/>
  <c r="P35" i="10"/>
  <c r="G35" i="10"/>
  <c r="I35" i="10" s="1"/>
  <c r="F35" i="10"/>
  <c r="E35" i="10"/>
  <c r="D35" i="10"/>
  <c r="C35" i="10"/>
  <c r="B35" i="10"/>
  <c r="Q34" i="10"/>
  <c r="P34" i="10"/>
  <c r="G34" i="10"/>
  <c r="I34" i="10" s="1"/>
  <c r="F34" i="10"/>
  <c r="E34" i="10"/>
  <c r="D34" i="10"/>
  <c r="C34" i="10"/>
  <c r="B34" i="10"/>
  <c r="Q33" i="10"/>
  <c r="P33" i="10"/>
  <c r="G33" i="10"/>
  <c r="I33" i="10" s="1"/>
  <c r="F33" i="10"/>
  <c r="E33" i="10"/>
  <c r="D33" i="10"/>
  <c r="C33" i="10"/>
  <c r="B33" i="10"/>
  <c r="Q32" i="10"/>
  <c r="P32" i="10"/>
  <c r="G32" i="10"/>
  <c r="I32" i="10" s="1"/>
  <c r="F32" i="10"/>
  <c r="E32" i="10"/>
  <c r="D32" i="10"/>
  <c r="C32" i="10"/>
  <c r="B32" i="10"/>
  <c r="Q31" i="10"/>
  <c r="P31" i="10"/>
  <c r="G31" i="10"/>
  <c r="I31" i="10" s="1"/>
  <c r="F31" i="10"/>
  <c r="E31" i="10"/>
  <c r="D31" i="10"/>
  <c r="C31" i="10"/>
  <c r="B31" i="10"/>
  <c r="Q30" i="10"/>
  <c r="P30" i="10"/>
  <c r="G30" i="10"/>
  <c r="I30" i="10" s="1"/>
  <c r="F30" i="10"/>
  <c r="E30" i="10"/>
  <c r="D30" i="10"/>
  <c r="C30" i="10"/>
  <c r="B30" i="10"/>
  <c r="Q29" i="10"/>
  <c r="P29" i="10"/>
  <c r="G29" i="10"/>
  <c r="I29" i="10" s="1"/>
  <c r="F29" i="10"/>
  <c r="E29" i="10"/>
  <c r="D29" i="10"/>
  <c r="C29" i="10"/>
  <c r="B29" i="10"/>
  <c r="Q28" i="10"/>
  <c r="P28" i="10"/>
  <c r="G28" i="10"/>
  <c r="I28" i="10" s="1"/>
  <c r="F28" i="10"/>
  <c r="E28" i="10"/>
  <c r="D28" i="10"/>
  <c r="C28" i="10"/>
  <c r="B28" i="10"/>
  <c r="Q27" i="10"/>
  <c r="P27" i="10"/>
  <c r="G27" i="10"/>
  <c r="I27" i="10" s="1"/>
  <c r="F27" i="10"/>
  <c r="E27" i="10"/>
  <c r="D27" i="10"/>
  <c r="C27" i="10"/>
  <c r="B27" i="10"/>
  <c r="Q26" i="10"/>
  <c r="P26" i="10"/>
  <c r="G26" i="10"/>
  <c r="I26" i="10" s="1"/>
  <c r="F26" i="10"/>
  <c r="E26" i="10"/>
  <c r="D26" i="10"/>
  <c r="C26" i="10"/>
  <c r="B26" i="10"/>
  <c r="Q25" i="10"/>
  <c r="P25" i="10"/>
  <c r="G25" i="10"/>
  <c r="I25" i="10" s="1"/>
  <c r="F25" i="10"/>
  <c r="E25" i="10"/>
  <c r="D25" i="10"/>
  <c r="C25" i="10"/>
  <c r="B25" i="10"/>
  <c r="Q24" i="10"/>
  <c r="P24" i="10"/>
  <c r="G24" i="10"/>
  <c r="I24" i="10" s="1"/>
  <c r="F24" i="10"/>
  <c r="E24" i="10"/>
  <c r="D24" i="10"/>
  <c r="C24" i="10"/>
  <c r="B24" i="10"/>
  <c r="Q23" i="10"/>
  <c r="P23" i="10"/>
  <c r="G23" i="10"/>
  <c r="I23" i="10" s="1"/>
  <c r="F23" i="10"/>
  <c r="E23" i="10"/>
  <c r="D23" i="10"/>
  <c r="C23" i="10"/>
  <c r="B23" i="10"/>
  <c r="Q22" i="10"/>
  <c r="P22" i="10"/>
  <c r="G22" i="10"/>
  <c r="I22" i="10" s="1"/>
  <c r="F22" i="10"/>
  <c r="E22" i="10"/>
  <c r="D22" i="10"/>
  <c r="C22" i="10"/>
  <c r="B22" i="10"/>
  <c r="Q21" i="10"/>
  <c r="P21" i="10"/>
  <c r="G21" i="10"/>
  <c r="I21" i="10" s="1"/>
  <c r="F21" i="10"/>
  <c r="E21" i="10"/>
  <c r="D21" i="10"/>
  <c r="C21" i="10"/>
  <c r="B21" i="10"/>
  <c r="Q20" i="10"/>
  <c r="P20" i="10"/>
  <c r="G20" i="10"/>
  <c r="I20" i="10" s="1"/>
  <c r="F20" i="10"/>
  <c r="E20" i="10"/>
  <c r="D20" i="10"/>
  <c r="C20" i="10"/>
  <c r="B20" i="10"/>
  <c r="Q19" i="10"/>
  <c r="P19" i="10"/>
  <c r="G19" i="10"/>
  <c r="I19" i="10" s="1"/>
  <c r="F19" i="10"/>
  <c r="E19" i="10"/>
  <c r="D19" i="10"/>
  <c r="C19" i="10"/>
  <c r="B19" i="10"/>
  <c r="Q18" i="10"/>
  <c r="P18" i="10"/>
  <c r="G18" i="10"/>
  <c r="I18" i="10" s="1"/>
  <c r="F18" i="10"/>
  <c r="E18" i="10"/>
  <c r="D18" i="10"/>
  <c r="C18" i="10"/>
  <c r="B18" i="10"/>
  <c r="Q17" i="10"/>
  <c r="P17" i="10"/>
  <c r="G17" i="10"/>
  <c r="I17" i="10" s="1"/>
  <c r="F17" i="10"/>
  <c r="E17" i="10"/>
  <c r="D17" i="10"/>
  <c r="C17" i="10"/>
  <c r="B17" i="10"/>
  <c r="Q16" i="10"/>
  <c r="P16" i="10"/>
  <c r="G16" i="10"/>
  <c r="I16" i="10" s="1"/>
  <c r="F16" i="10"/>
  <c r="E16" i="10"/>
  <c r="D16" i="10"/>
  <c r="C16" i="10"/>
  <c r="B16" i="10"/>
  <c r="Q15" i="10"/>
  <c r="P15" i="10"/>
  <c r="G15" i="10"/>
  <c r="I15" i="10" s="1"/>
  <c r="F15" i="10"/>
  <c r="E15" i="10"/>
  <c r="D15" i="10"/>
  <c r="C15" i="10"/>
  <c r="B15" i="10"/>
  <c r="Q14" i="10"/>
  <c r="P14" i="10"/>
  <c r="G14" i="10"/>
  <c r="I14" i="10" s="1"/>
  <c r="F14" i="10"/>
  <c r="E14" i="10"/>
  <c r="D14" i="10"/>
  <c r="C14" i="10"/>
  <c r="B14" i="10"/>
  <c r="Q13" i="10"/>
  <c r="P13" i="10"/>
  <c r="G13" i="10"/>
  <c r="I13" i="10" s="1"/>
  <c r="F13" i="10"/>
  <c r="E13" i="10"/>
  <c r="D13" i="10"/>
  <c r="C13" i="10"/>
  <c r="B13" i="10"/>
  <c r="Q12" i="10"/>
  <c r="P12" i="10"/>
  <c r="G12" i="10"/>
  <c r="I12" i="10" s="1"/>
  <c r="F12" i="10"/>
  <c r="E12" i="10"/>
  <c r="D12" i="10"/>
  <c r="C12" i="10"/>
  <c r="B12" i="10"/>
  <c r="Q11" i="10"/>
  <c r="P11" i="10"/>
  <c r="G11" i="10"/>
  <c r="I11" i="10" s="1"/>
  <c r="F11" i="10"/>
  <c r="E11" i="10"/>
  <c r="D11" i="10"/>
  <c r="C11" i="10"/>
  <c r="B11" i="10"/>
  <c r="Q10" i="10"/>
  <c r="P10" i="10"/>
  <c r="G10" i="10"/>
  <c r="I10" i="10" s="1"/>
  <c r="F10" i="10"/>
  <c r="E10" i="10"/>
  <c r="D10" i="10"/>
  <c r="C10" i="10"/>
  <c r="B10" i="10"/>
  <c r="Q9" i="10"/>
  <c r="P9" i="10"/>
  <c r="G9" i="10"/>
  <c r="I9" i="10" s="1"/>
  <c r="F9" i="10"/>
  <c r="E9" i="10"/>
  <c r="D9" i="10"/>
  <c r="C9" i="10"/>
  <c r="B9" i="10"/>
  <c r="Q8" i="10"/>
  <c r="P8" i="10"/>
  <c r="G8" i="10"/>
  <c r="I8" i="10" s="1"/>
  <c r="F8" i="10"/>
  <c r="E8" i="10"/>
  <c r="D8" i="10"/>
  <c r="C8" i="10"/>
  <c r="B8" i="10"/>
  <c r="Q7" i="10"/>
  <c r="P7" i="10"/>
  <c r="G7" i="10"/>
  <c r="I7" i="10" s="1"/>
  <c r="F7" i="10"/>
  <c r="E7" i="10"/>
  <c r="D7" i="10"/>
  <c r="C7" i="10"/>
  <c r="B7" i="10"/>
  <c r="Q6" i="10"/>
  <c r="P6" i="10"/>
  <c r="G6" i="10"/>
  <c r="I6" i="10" s="1"/>
  <c r="F6" i="10"/>
  <c r="E6" i="10"/>
  <c r="D6" i="10"/>
  <c r="C6" i="10"/>
  <c r="B6" i="10"/>
  <c r="Q5" i="10"/>
  <c r="P5" i="10"/>
  <c r="G5" i="10"/>
  <c r="I5" i="10" s="1"/>
  <c r="F5" i="10"/>
  <c r="E5" i="10"/>
  <c r="D5" i="10"/>
  <c r="C5" i="10"/>
  <c r="B5" i="10"/>
  <c r="Q4" i="10"/>
  <c r="P4" i="10"/>
  <c r="G4" i="10"/>
  <c r="I4" i="10" s="1"/>
  <c r="F4" i="10"/>
  <c r="E4" i="10"/>
  <c r="D4" i="10"/>
  <c r="C4" i="10"/>
  <c r="B4" i="10"/>
  <c r="Q3" i="10"/>
  <c r="P3" i="10"/>
  <c r="G3" i="10"/>
  <c r="I3" i="10" s="1"/>
  <c r="F3" i="10"/>
  <c r="E3" i="10"/>
  <c r="D3" i="10"/>
  <c r="C3" i="10"/>
  <c r="B3" i="10"/>
  <c r="Q2" i="10"/>
  <c r="P2" i="10"/>
  <c r="G2" i="10"/>
  <c r="I2" i="10" s="1"/>
  <c r="F2" i="10"/>
  <c r="E2" i="10"/>
  <c r="D2" i="10"/>
  <c r="C2" i="10"/>
  <c r="B2" i="10"/>
  <c r="P501" i="9"/>
  <c r="O501" i="9"/>
  <c r="M501" i="9"/>
  <c r="D501" i="9"/>
  <c r="C501" i="9"/>
  <c r="B501" i="9"/>
  <c r="P500" i="9"/>
  <c r="O500" i="9"/>
  <c r="M500" i="9"/>
  <c r="D500" i="9"/>
  <c r="C500" i="9"/>
  <c r="B500" i="9"/>
  <c r="P499" i="9"/>
  <c r="O499" i="9"/>
  <c r="M499" i="9"/>
  <c r="D499" i="9"/>
  <c r="C499" i="9"/>
  <c r="B499" i="9"/>
  <c r="P498" i="9"/>
  <c r="O498" i="9"/>
  <c r="M498" i="9"/>
  <c r="D498" i="9"/>
  <c r="C498" i="9"/>
  <c r="B498" i="9"/>
  <c r="P497" i="9"/>
  <c r="O497" i="9"/>
  <c r="M497" i="9"/>
  <c r="D497" i="9"/>
  <c r="C497" i="9"/>
  <c r="B497" i="9"/>
  <c r="P496" i="9"/>
  <c r="O496" i="9"/>
  <c r="M496" i="9"/>
  <c r="D496" i="9"/>
  <c r="C496" i="9"/>
  <c r="B496" i="9"/>
  <c r="P495" i="9"/>
  <c r="O495" i="9"/>
  <c r="M495" i="9"/>
  <c r="D495" i="9"/>
  <c r="C495" i="9"/>
  <c r="B495" i="9"/>
  <c r="P494" i="9"/>
  <c r="O494" i="9"/>
  <c r="M494" i="9"/>
  <c r="D494" i="9"/>
  <c r="C494" i="9"/>
  <c r="B494" i="9"/>
  <c r="P493" i="9"/>
  <c r="O493" i="9"/>
  <c r="M493" i="9"/>
  <c r="D493" i="9"/>
  <c r="C493" i="9"/>
  <c r="B493" i="9"/>
  <c r="P492" i="9"/>
  <c r="O492" i="9"/>
  <c r="M492" i="9"/>
  <c r="D492" i="9"/>
  <c r="C492" i="9"/>
  <c r="B492" i="9"/>
  <c r="P491" i="9"/>
  <c r="O491" i="9"/>
  <c r="M491" i="9"/>
  <c r="D491" i="9"/>
  <c r="C491" i="9"/>
  <c r="B491" i="9"/>
  <c r="P490" i="9"/>
  <c r="O490" i="9"/>
  <c r="M490" i="9"/>
  <c r="D490" i="9"/>
  <c r="C490" i="9"/>
  <c r="B490" i="9"/>
  <c r="P489" i="9"/>
  <c r="O489" i="9"/>
  <c r="M489" i="9"/>
  <c r="D489" i="9"/>
  <c r="C489" i="9"/>
  <c r="B489" i="9"/>
  <c r="P488" i="9"/>
  <c r="O488" i="9"/>
  <c r="M488" i="9"/>
  <c r="D488" i="9"/>
  <c r="C488" i="9"/>
  <c r="B488" i="9"/>
  <c r="P487" i="9"/>
  <c r="O487" i="9"/>
  <c r="M487" i="9"/>
  <c r="D487" i="9"/>
  <c r="C487" i="9"/>
  <c r="B487" i="9"/>
  <c r="P486" i="9"/>
  <c r="O486" i="9"/>
  <c r="M486" i="9"/>
  <c r="D486" i="9"/>
  <c r="C486" i="9"/>
  <c r="B486" i="9"/>
  <c r="P485" i="9"/>
  <c r="O485" i="9"/>
  <c r="M485" i="9"/>
  <c r="D485" i="9"/>
  <c r="C485" i="9"/>
  <c r="B485" i="9"/>
  <c r="P484" i="9"/>
  <c r="O484" i="9"/>
  <c r="M484" i="9"/>
  <c r="D484" i="9"/>
  <c r="C484" i="9"/>
  <c r="B484" i="9"/>
  <c r="P483" i="9"/>
  <c r="O483" i="9"/>
  <c r="M483" i="9"/>
  <c r="D483" i="9"/>
  <c r="C483" i="9"/>
  <c r="B483" i="9"/>
  <c r="P482" i="9"/>
  <c r="O482" i="9"/>
  <c r="M482" i="9"/>
  <c r="D482" i="9"/>
  <c r="C482" i="9"/>
  <c r="B482" i="9"/>
  <c r="P481" i="9"/>
  <c r="O481" i="9"/>
  <c r="M481" i="9"/>
  <c r="D481" i="9"/>
  <c r="C481" i="9"/>
  <c r="B481" i="9"/>
  <c r="P480" i="9"/>
  <c r="O480" i="9"/>
  <c r="M480" i="9"/>
  <c r="D480" i="9"/>
  <c r="C480" i="9"/>
  <c r="B480" i="9"/>
  <c r="P479" i="9"/>
  <c r="O479" i="9"/>
  <c r="M479" i="9"/>
  <c r="D479" i="9"/>
  <c r="C479" i="9"/>
  <c r="B479" i="9"/>
  <c r="P478" i="9"/>
  <c r="O478" i="9"/>
  <c r="M478" i="9"/>
  <c r="D478" i="9"/>
  <c r="C478" i="9"/>
  <c r="B478" i="9"/>
  <c r="P477" i="9"/>
  <c r="O477" i="9"/>
  <c r="M477" i="9"/>
  <c r="D477" i="9"/>
  <c r="C477" i="9"/>
  <c r="B477" i="9"/>
  <c r="P476" i="9"/>
  <c r="O476" i="9"/>
  <c r="M476" i="9"/>
  <c r="D476" i="9"/>
  <c r="C476" i="9"/>
  <c r="B476" i="9"/>
  <c r="P475" i="9"/>
  <c r="O475" i="9"/>
  <c r="M475" i="9"/>
  <c r="D475" i="9"/>
  <c r="C475" i="9"/>
  <c r="B475" i="9"/>
  <c r="P474" i="9"/>
  <c r="O474" i="9"/>
  <c r="M474" i="9"/>
  <c r="D474" i="9"/>
  <c r="C474" i="9"/>
  <c r="B474" i="9"/>
  <c r="P473" i="9"/>
  <c r="O473" i="9"/>
  <c r="M473" i="9"/>
  <c r="D473" i="9"/>
  <c r="C473" i="9"/>
  <c r="B473" i="9"/>
  <c r="P472" i="9"/>
  <c r="O472" i="9"/>
  <c r="M472" i="9"/>
  <c r="D472" i="9"/>
  <c r="C472" i="9"/>
  <c r="B472" i="9"/>
  <c r="P471" i="9"/>
  <c r="O471" i="9"/>
  <c r="M471" i="9"/>
  <c r="D471" i="9"/>
  <c r="C471" i="9"/>
  <c r="B471" i="9"/>
  <c r="P470" i="9"/>
  <c r="O470" i="9"/>
  <c r="M470" i="9"/>
  <c r="D470" i="9"/>
  <c r="C470" i="9"/>
  <c r="B470" i="9"/>
  <c r="P469" i="9"/>
  <c r="O469" i="9"/>
  <c r="M469" i="9"/>
  <c r="D469" i="9"/>
  <c r="C469" i="9"/>
  <c r="B469" i="9"/>
  <c r="P468" i="9"/>
  <c r="O468" i="9"/>
  <c r="M468" i="9"/>
  <c r="D468" i="9"/>
  <c r="C468" i="9"/>
  <c r="B468" i="9"/>
  <c r="P467" i="9"/>
  <c r="O467" i="9"/>
  <c r="M467" i="9"/>
  <c r="D467" i="9"/>
  <c r="C467" i="9"/>
  <c r="B467" i="9"/>
  <c r="P466" i="9"/>
  <c r="O466" i="9"/>
  <c r="M466" i="9"/>
  <c r="D466" i="9"/>
  <c r="C466" i="9"/>
  <c r="B466" i="9"/>
  <c r="P465" i="9"/>
  <c r="O465" i="9"/>
  <c r="M465" i="9"/>
  <c r="D465" i="9"/>
  <c r="C465" i="9"/>
  <c r="B465" i="9"/>
  <c r="P464" i="9"/>
  <c r="O464" i="9"/>
  <c r="M464" i="9"/>
  <c r="D464" i="9"/>
  <c r="C464" i="9"/>
  <c r="B464" i="9"/>
  <c r="P463" i="9"/>
  <c r="O463" i="9"/>
  <c r="M463" i="9"/>
  <c r="D463" i="9"/>
  <c r="C463" i="9"/>
  <c r="B463" i="9"/>
  <c r="P462" i="9"/>
  <c r="O462" i="9"/>
  <c r="M462" i="9"/>
  <c r="D462" i="9"/>
  <c r="C462" i="9"/>
  <c r="B462" i="9"/>
  <c r="P461" i="9"/>
  <c r="O461" i="9"/>
  <c r="M461" i="9"/>
  <c r="D461" i="9"/>
  <c r="C461" i="9"/>
  <c r="B461" i="9"/>
  <c r="P460" i="9"/>
  <c r="O460" i="9"/>
  <c r="M460" i="9"/>
  <c r="D460" i="9"/>
  <c r="C460" i="9"/>
  <c r="B460" i="9"/>
  <c r="P459" i="9"/>
  <c r="O459" i="9"/>
  <c r="M459" i="9"/>
  <c r="D459" i="9"/>
  <c r="C459" i="9"/>
  <c r="B459" i="9"/>
  <c r="P458" i="9"/>
  <c r="O458" i="9"/>
  <c r="M458" i="9"/>
  <c r="D458" i="9"/>
  <c r="C458" i="9"/>
  <c r="B458" i="9"/>
  <c r="P457" i="9"/>
  <c r="O457" i="9"/>
  <c r="M457" i="9"/>
  <c r="D457" i="9"/>
  <c r="C457" i="9"/>
  <c r="B457" i="9"/>
  <c r="P456" i="9"/>
  <c r="O456" i="9"/>
  <c r="M456" i="9"/>
  <c r="D456" i="9"/>
  <c r="C456" i="9"/>
  <c r="B456" i="9"/>
  <c r="P455" i="9"/>
  <c r="O455" i="9"/>
  <c r="M455" i="9"/>
  <c r="D455" i="9"/>
  <c r="C455" i="9"/>
  <c r="B455" i="9"/>
  <c r="P454" i="9"/>
  <c r="O454" i="9"/>
  <c r="M454" i="9"/>
  <c r="D454" i="9"/>
  <c r="C454" i="9"/>
  <c r="B454" i="9"/>
  <c r="P453" i="9"/>
  <c r="O453" i="9"/>
  <c r="M453" i="9"/>
  <c r="D453" i="9"/>
  <c r="C453" i="9"/>
  <c r="B453" i="9"/>
  <c r="P452" i="9"/>
  <c r="O452" i="9"/>
  <c r="M452" i="9"/>
  <c r="D452" i="9"/>
  <c r="C452" i="9"/>
  <c r="B452" i="9"/>
  <c r="P451" i="9"/>
  <c r="O451" i="9"/>
  <c r="M451" i="9"/>
  <c r="D451" i="9"/>
  <c r="C451" i="9"/>
  <c r="B451" i="9"/>
  <c r="P450" i="9"/>
  <c r="O450" i="9"/>
  <c r="M450" i="9"/>
  <c r="D450" i="9"/>
  <c r="C450" i="9"/>
  <c r="B450" i="9"/>
  <c r="P449" i="9"/>
  <c r="O449" i="9"/>
  <c r="M449" i="9"/>
  <c r="D449" i="9"/>
  <c r="C449" i="9"/>
  <c r="B449" i="9"/>
  <c r="P448" i="9"/>
  <c r="O448" i="9"/>
  <c r="M448" i="9"/>
  <c r="D448" i="9"/>
  <c r="C448" i="9"/>
  <c r="B448" i="9"/>
  <c r="P447" i="9"/>
  <c r="O447" i="9"/>
  <c r="M447" i="9"/>
  <c r="D447" i="9"/>
  <c r="C447" i="9"/>
  <c r="B447" i="9"/>
  <c r="P446" i="9"/>
  <c r="O446" i="9"/>
  <c r="M446" i="9"/>
  <c r="D446" i="9"/>
  <c r="C446" i="9"/>
  <c r="B446" i="9"/>
  <c r="P445" i="9"/>
  <c r="O445" i="9"/>
  <c r="M445" i="9"/>
  <c r="D445" i="9"/>
  <c r="C445" i="9"/>
  <c r="B445" i="9"/>
  <c r="P444" i="9"/>
  <c r="O444" i="9"/>
  <c r="M444" i="9"/>
  <c r="D444" i="9"/>
  <c r="C444" i="9"/>
  <c r="B444" i="9"/>
  <c r="P443" i="9"/>
  <c r="O443" i="9"/>
  <c r="M443" i="9"/>
  <c r="D443" i="9"/>
  <c r="C443" i="9"/>
  <c r="B443" i="9"/>
  <c r="P442" i="9"/>
  <c r="O442" i="9"/>
  <c r="M442" i="9"/>
  <c r="D442" i="9"/>
  <c r="C442" i="9"/>
  <c r="B442" i="9"/>
  <c r="P441" i="9"/>
  <c r="O441" i="9"/>
  <c r="M441" i="9"/>
  <c r="D441" i="9"/>
  <c r="C441" i="9"/>
  <c r="B441" i="9"/>
  <c r="P440" i="9"/>
  <c r="O440" i="9"/>
  <c r="M440" i="9"/>
  <c r="D440" i="9"/>
  <c r="C440" i="9"/>
  <c r="B440" i="9"/>
  <c r="P439" i="9"/>
  <c r="O439" i="9"/>
  <c r="M439" i="9"/>
  <c r="D439" i="9"/>
  <c r="C439" i="9"/>
  <c r="B439" i="9"/>
  <c r="P438" i="9"/>
  <c r="O438" i="9"/>
  <c r="M438" i="9"/>
  <c r="D438" i="9"/>
  <c r="C438" i="9"/>
  <c r="B438" i="9"/>
  <c r="P437" i="9"/>
  <c r="O437" i="9"/>
  <c r="M437" i="9"/>
  <c r="D437" i="9"/>
  <c r="C437" i="9"/>
  <c r="B437" i="9"/>
  <c r="P436" i="9"/>
  <c r="O436" i="9"/>
  <c r="M436" i="9"/>
  <c r="D436" i="9"/>
  <c r="C436" i="9"/>
  <c r="B436" i="9"/>
  <c r="P435" i="9"/>
  <c r="O435" i="9"/>
  <c r="M435" i="9"/>
  <c r="D435" i="9"/>
  <c r="C435" i="9"/>
  <c r="B435" i="9"/>
  <c r="P434" i="9"/>
  <c r="O434" i="9"/>
  <c r="M434" i="9"/>
  <c r="D434" i="9"/>
  <c r="C434" i="9"/>
  <c r="B434" i="9"/>
  <c r="P433" i="9"/>
  <c r="O433" i="9"/>
  <c r="M433" i="9"/>
  <c r="D433" i="9"/>
  <c r="C433" i="9"/>
  <c r="B433" i="9"/>
  <c r="P432" i="9"/>
  <c r="O432" i="9"/>
  <c r="M432" i="9"/>
  <c r="D432" i="9"/>
  <c r="C432" i="9"/>
  <c r="B432" i="9"/>
  <c r="P431" i="9"/>
  <c r="O431" i="9"/>
  <c r="M431" i="9"/>
  <c r="D431" i="9"/>
  <c r="C431" i="9"/>
  <c r="B431" i="9"/>
  <c r="P430" i="9"/>
  <c r="O430" i="9"/>
  <c r="M430" i="9"/>
  <c r="D430" i="9"/>
  <c r="C430" i="9"/>
  <c r="B430" i="9"/>
  <c r="P429" i="9"/>
  <c r="O429" i="9"/>
  <c r="M429" i="9"/>
  <c r="D429" i="9"/>
  <c r="C429" i="9"/>
  <c r="B429" i="9"/>
  <c r="P428" i="9"/>
  <c r="O428" i="9"/>
  <c r="M428" i="9"/>
  <c r="D428" i="9"/>
  <c r="C428" i="9"/>
  <c r="B428" i="9"/>
  <c r="P427" i="9"/>
  <c r="O427" i="9"/>
  <c r="M427" i="9"/>
  <c r="D427" i="9"/>
  <c r="C427" i="9"/>
  <c r="B427" i="9"/>
  <c r="P426" i="9"/>
  <c r="O426" i="9"/>
  <c r="M426" i="9"/>
  <c r="D426" i="9"/>
  <c r="C426" i="9"/>
  <c r="B426" i="9"/>
  <c r="P425" i="9"/>
  <c r="O425" i="9"/>
  <c r="M425" i="9"/>
  <c r="D425" i="9"/>
  <c r="C425" i="9"/>
  <c r="B425" i="9"/>
  <c r="P424" i="9"/>
  <c r="O424" i="9"/>
  <c r="M424" i="9"/>
  <c r="D424" i="9"/>
  <c r="C424" i="9"/>
  <c r="B424" i="9"/>
  <c r="P423" i="9"/>
  <c r="O423" i="9"/>
  <c r="M423" i="9"/>
  <c r="D423" i="9"/>
  <c r="C423" i="9"/>
  <c r="B423" i="9"/>
  <c r="P422" i="9"/>
  <c r="O422" i="9"/>
  <c r="M422" i="9"/>
  <c r="E422" i="9"/>
  <c r="D422" i="9"/>
  <c r="C422" i="9"/>
  <c r="B422" i="9"/>
  <c r="P421" i="9"/>
  <c r="O421" i="9"/>
  <c r="M421" i="9"/>
  <c r="E421" i="9"/>
  <c r="S421" i="9" s="1"/>
  <c r="D421" i="9"/>
  <c r="C421" i="9"/>
  <c r="B421" i="9"/>
  <c r="P420" i="9"/>
  <c r="O420" i="9"/>
  <c r="M420" i="9"/>
  <c r="E420" i="9"/>
  <c r="S420" i="9" s="1"/>
  <c r="D420" i="9"/>
  <c r="C420" i="9"/>
  <c r="B420" i="9"/>
  <c r="P419" i="9"/>
  <c r="O419" i="9"/>
  <c r="M419" i="9"/>
  <c r="E419" i="9"/>
  <c r="S419" i="9" s="1"/>
  <c r="D419" i="9"/>
  <c r="C419" i="9"/>
  <c r="B419" i="9"/>
  <c r="P418" i="9"/>
  <c r="O418" i="9"/>
  <c r="M418" i="9"/>
  <c r="E418" i="9"/>
  <c r="D418" i="9"/>
  <c r="C418" i="9"/>
  <c r="B418" i="9"/>
  <c r="P417" i="9"/>
  <c r="O417" i="9"/>
  <c r="M417" i="9"/>
  <c r="E417" i="9"/>
  <c r="D417" i="9"/>
  <c r="C417" i="9"/>
  <c r="B417" i="9"/>
  <c r="P416" i="9"/>
  <c r="O416" i="9"/>
  <c r="M416" i="9"/>
  <c r="E416" i="9"/>
  <c r="D416" i="9"/>
  <c r="C416" i="9"/>
  <c r="B416" i="9"/>
  <c r="P415" i="9"/>
  <c r="O415" i="9"/>
  <c r="M415" i="9"/>
  <c r="E415" i="9"/>
  <c r="D415" i="9"/>
  <c r="C415" i="9"/>
  <c r="B415" i="9"/>
  <c r="P414" i="9"/>
  <c r="O414" i="9"/>
  <c r="M414" i="9"/>
  <c r="E414" i="9"/>
  <c r="D414" i="9"/>
  <c r="C414" i="9"/>
  <c r="B414" i="9"/>
  <c r="P413" i="9"/>
  <c r="O413" i="9"/>
  <c r="M413" i="9"/>
  <c r="E413" i="9"/>
  <c r="D413" i="9"/>
  <c r="C413" i="9"/>
  <c r="B413" i="9"/>
  <c r="P412" i="9"/>
  <c r="O412" i="9"/>
  <c r="M412" i="9"/>
  <c r="E412" i="9"/>
  <c r="D412" i="9"/>
  <c r="C412" i="9"/>
  <c r="B412" i="9"/>
  <c r="P411" i="9"/>
  <c r="O411" i="9"/>
  <c r="M411" i="9"/>
  <c r="E411" i="9"/>
  <c r="D411" i="9"/>
  <c r="C411" i="9"/>
  <c r="B411" i="9"/>
  <c r="P410" i="9"/>
  <c r="O410" i="9"/>
  <c r="M410" i="9"/>
  <c r="E410" i="9"/>
  <c r="D410" i="9"/>
  <c r="C410" i="9"/>
  <c r="B410" i="9"/>
  <c r="P409" i="9"/>
  <c r="O409" i="9"/>
  <c r="M409" i="9"/>
  <c r="E409" i="9"/>
  <c r="D409" i="9"/>
  <c r="C409" i="9"/>
  <c r="B409" i="9"/>
  <c r="P408" i="9"/>
  <c r="O408" i="9"/>
  <c r="M408" i="9"/>
  <c r="E408" i="9"/>
  <c r="D408" i="9"/>
  <c r="C408" i="9"/>
  <c r="B408" i="9"/>
  <c r="P407" i="9"/>
  <c r="O407" i="9"/>
  <c r="M407" i="9"/>
  <c r="E407" i="9"/>
  <c r="S407" i="9" s="1"/>
  <c r="D407" i="9"/>
  <c r="C407" i="9"/>
  <c r="B407" i="9"/>
  <c r="P406" i="9"/>
  <c r="O406" i="9"/>
  <c r="M406" i="9"/>
  <c r="E406" i="9"/>
  <c r="D406" i="9"/>
  <c r="C406" i="9"/>
  <c r="B406" i="9"/>
  <c r="P405" i="9"/>
  <c r="O405" i="9"/>
  <c r="M405" i="9"/>
  <c r="E405" i="9"/>
  <c r="D405" i="9"/>
  <c r="C405" i="9"/>
  <c r="B405" i="9"/>
  <c r="P404" i="9"/>
  <c r="O404" i="9"/>
  <c r="M404" i="9"/>
  <c r="E404" i="9"/>
  <c r="S404" i="9" s="1"/>
  <c r="D404" i="9"/>
  <c r="C404" i="9"/>
  <c r="B404" i="9"/>
  <c r="P403" i="9"/>
  <c r="O403" i="9"/>
  <c r="M403" i="9"/>
  <c r="E403" i="9"/>
  <c r="D403" i="9"/>
  <c r="C403" i="9"/>
  <c r="B403" i="9"/>
  <c r="P402" i="9"/>
  <c r="O402" i="9"/>
  <c r="M402" i="9"/>
  <c r="E402" i="9"/>
  <c r="D402" i="9"/>
  <c r="C402" i="9"/>
  <c r="B402" i="9"/>
  <c r="P401" i="9"/>
  <c r="O401" i="9"/>
  <c r="M401" i="9"/>
  <c r="E401" i="9"/>
  <c r="D401" i="9"/>
  <c r="C401" i="9"/>
  <c r="B401" i="9"/>
  <c r="P400" i="9"/>
  <c r="O400" i="9"/>
  <c r="M400" i="9"/>
  <c r="E400" i="9"/>
  <c r="D400" i="9"/>
  <c r="C400" i="9"/>
  <c r="B400" i="9"/>
  <c r="P399" i="9"/>
  <c r="O399" i="9"/>
  <c r="M399" i="9"/>
  <c r="E399" i="9"/>
  <c r="D399" i="9"/>
  <c r="C399" i="9"/>
  <c r="B399" i="9"/>
  <c r="P398" i="9"/>
  <c r="O398" i="9"/>
  <c r="M398" i="9"/>
  <c r="E398" i="9"/>
  <c r="D398" i="9"/>
  <c r="C398" i="9"/>
  <c r="B398" i="9"/>
  <c r="P397" i="9"/>
  <c r="O397" i="9"/>
  <c r="M397" i="9"/>
  <c r="E397" i="9"/>
  <c r="D397" i="9"/>
  <c r="C397" i="9"/>
  <c r="B397" i="9"/>
  <c r="P396" i="9"/>
  <c r="O396" i="9"/>
  <c r="M396" i="9"/>
  <c r="E396" i="9"/>
  <c r="D396" i="9"/>
  <c r="C396" i="9"/>
  <c r="B396" i="9"/>
  <c r="P395" i="9"/>
  <c r="O395" i="9"/>
  <c r="M395" i="9"/>
  <c r="E395" i="9"/>
  <c r="S395" i="9" s="1"/>
  <c r="D395" i="9"/>
  <c r="C395" i="9"/>
  <c r="B395" i="9"/>
  <c r="P394" i="9"/>
  <c r="O394" i="9"/>
  <c r="M394" i="9"/>
  <c r="E394" i="9"/>
  <c r="D394" i="9"/>
  <c r="C394" i="9"/>
  <c r="B394" i="9"/>
  <c r="P393" i="9"/>
  <c r="O393" i="9"/>
  <c r="M393" i="9"/>
  <c r="E393" i="9"/>
  <c r="D393" i="9"/>
  <c r="C393" i="9"/>
  <c r="B393" i="9"/>
  <c r="P392" i="9"/>
  <c r="O392" i="9"/>
  <c r="M392" i="9"/>
  <c r="E392" i="9"/>
  <c r="S392" i="9" s="1"/>
  <c r="D392" i="9"/>
  <c r="C392" i="9"/>
  <c r="B392" i="9"/>
  <c r="P391" i="9"/>
  <c r="O391" i="9"/>
  <c r="M391" i="9"/>
  <c r="E391" i="9"/>
  <c r="D391" i="9"/>
  <c r="C391" i="9"/>
  <c r="B391" i="9"/>
  <c r="P390" i="9"/>
  <c r="O390" i="9"/>
  <c r="M390" i="9"/>
  <c r="E390" i="9"/>
  <c r="D390" i="9"/>
  <c r="C390" i="9"/>
  <c r="B390" i="9"/>
  <c r="P389" i="9"/>
  <c r="O389" i="9"/>
  <c r="M389" i="9"/>
  <c r="E389" i="9"/>
  <c r="D389" i="9"/>
  <c r="C389" i="9"/>
  <c r="B389" i="9"/>
  <c r="P388" i="9"/>
  <c r="O388" i="9"/>
  <c r="M388" i="9"/>
  <c r="E388" i="9"/>
  <c r="D388" i="9"/>
  <c r="C388" i="9"/>
  <c r="B388" i="9"/>
  <c r="P387" i="9"/>
  <c r="O387" i="9"/>
  <c r="M387" i="9"/>
  <c r="E387" i="9"/>
  <c r="D387" i="9"/>
  <c r="C387" i="9"/>
  <c r="B387" i="9"/>
  <c r="P386" i="9"/>
  <c r="O386" i="9"/>
  <c r="M386" i="9"/>
  <c r="E386" i="9"/>
  <c r="D386" i="9"/>
  <c r="C386" i="9"/>
  <c r="B386" i="9"/>
  <c r="P385" i="9"/>
  <c r="O385" i="9"/>
  <c r="M385" i="9"/>
  <c r="E385" i="9"/>
  <c r="D385" i="9"/>
  <c r="C385" i="9"/>
  <c r="B385" i="9"/>
  <c r="P384" i="9"/>
  <c r="O384" i="9"/>
  <c r="M384" i="9"/>
  <c r="E384" i="9"/>
  <c r="S384" i="9" s="1"/>
  <c r="D384" i="9"/>
  <c r="C384" i="9"/>
  <c r="B384" i="9"/>
  <c r="P383" i="9"/>
  <c r="O383" i="9"/>
  <c r="M383" i="9"/>
  <c r="E383" i="9"/>
  <c r="D383" i="9"/>
  <c r="C383" i="9"/>
  <c r="B383" i="9"/>
  <c r="P382" i="9"/>
  <c r="O382" i="9"/>
  <c r="M382" i="9"/>
  <c r="E382" i="9"/>
  <c r="D382" i="9"/>
  <c r="C382" i="9"/>
  <c r="B382" i="9"/>
  <c r="P381" i="9"/>
  <c r="O381" i="9"/>
  <c r="M381" i="9"/>
  <c r="E381" i="9"/>
  <c r="D381" i="9"/>
  <c r="C381" i="9"/>
  <c r="B381" i="9"/>
  <c r="P380" i="9"/>
  <c r="O380" i="9"/>
  <c r="M380" i="9"/>
  <c r="E380" i="9"/>
  <c r="D380" i="9"/>
  <c r="C380" i="9"/>
  <c r="B380" i="9"/>
  <c r="P379" i="9"/>
  <c r="O379" i="9"/>
  <c r="M379" i="9"/>
  <c r="E379" i="9"/>
  <c r="D379" i="9"/>
  <c r="C379" i="9"/>
  <c r="B379" i="9"/>
  <c r="P378" i="9"/>
  <c r="O378" i="9"/>
  <c r="M378" i="9"/>
  <c r="E378" i="9"/>
  <c r="D378" i="9"/>
  <c r="C378" i="9"/>
  <c r="B378" i="9"/>
  <c r="P377" i="9"/>
  <c r="O377" i="9"/>
  <c r="M377" i="9"/>
  <c r="E377" i="9"/>
  <c r="D377" i="9"/>
  <c r="C377" i="9"/>
  <c r="B377" i="9"/>
  <c r="P376" i="9"/>
  <c r="O376" i="9"/>
  <c r="M376" i="9"/>
  <c r="E376" i="9"/>
  <c r="S376" i="9" s="1"/>
  <c r="D376" i="9"/>
  <c r="C376" i="9"/>
  <c r="B376" i="9"/>
  <c r="P375" i="9"/>
  <c r="O375" i="9"/>
  <c r="M375" i="9"/>
  <c r="E375" i="9"/>
  <c r="S375" i="9" s="1"/>
  <c r="D375" i="9"/>
  <c r="C375" i="9"/>
  <c r="B375" i="9"/>
  <c r="P374" i="9"/>
  <c r="O374" i="9"/>
  <c r="M374" i="9"/>
  <c r="E374" i="9"/>
  <c r="D374" i="9"/>
  <c r="C374" i="9"/>
  <c r="B374" i="9"/>
  <c r="P373" i="9"/>
  <c r="O373" i="9"/>
  <c r="M373" i="9"/>
  <c r="E373" i="9"/>
  <c r="S373" i="9" s="1"/>
  <c r="D373" i="9"/>
  <c r="C373" i="9"/>
  <c r="B373" i="9"/>
  <c r="P372" i="9"/>
  <c r="O372" i="9"/>
  <c r="M372" i="9"/>
  <c r="E372" i="9"/>
  <c r="D372" i="9"/>
  <c r="C372" i="9"/>
  <c r="B372" i="9"/>
  <c r="P371" i="9"/>
  <c r="O371" i="9"/>
  <c r="M371" i="9"/>
  <c r="E371" i="9"/>
  <c r="D371" i="9"/>
  <c r="C371" i="9"/>
  <c r="B371" i="9"/>
  <c r="P370" i="9"/>
  <c r="O370" i="9"/>
  <c r="M370" i="9"/>
  <c r="E370" i="9"/>
  <c r="D370" i="9"/>
  <c r="C370" i="9"/>
  <c r="B370" i="9"/>
  <c r="P369" i="9"/>
  <c r="O369" i="9"/>
  <c r="M369" i="9"/>
  <c r="E369" i="9"/>
  <c r="D369" i="9"/>
  <c r="C369" i="9"/>
  <c r="B369" i="9"/>
  <c r="P368" i="9"/>
  <c r="O368" i="9"/>
  <c r="M368" i="9"/>
  <c r="E368" i="9"/>
  <c r="D368" i="9"/>
  <c r="C368" i="9"/>
  <c r="B368" i="9"/>
  <c r="P367" i="9"/>
  <c r="O367" i="9"/>
  <c r="M367" i="9"/>
  <c r="E367" i="9"/>
  <c r="D367" i="9"/>
  <c r="C367" i="9"/>
  <c r="B367" i="9"/>
  <c r="P366" i="9"/>
  <c r="O366" i="9"/>
  <c r="M366" i="9"/>
  <c r="E366" i="9"/>
  <c r="S366" i="9" s="1"/>
  <c r="D366" i="9"/>
  <c r="C366" i="9"/>
  <c r="B366" i="9"/>
  <c r="P365" i="9"/>
  <c r="O365" i="9"/>
  <c r="M365" i="9"/>
  <c r="E365" i="9"/>
  <c r="D365" i="9"/>
  <c r="C365" i="9"/>
  <c r="B365" i="9"/>
  <c r="P364" i="9"/>
  <c r="O364" i="9"/>
  <c r="M364" i="9"/>
  <c r="E364" i="9"/>
  <c r="S364" i="9" s="1"/>
  <c r="D364" i="9"/>
  <c r="C364" i="9"/>
  <c r="B364" i="9"/>
  <c r="P363" i="9"/>
  <c r="O363" i="9"/>
  <c r="M363" i="9"/>
  <c r="E363" i="9"/>
  <c r="D363" i="9"/>
  <c r="C363" i="9"/>
  <c r="B363" i="9"/>
  <c r="P362" i="9"/>
  <c r="O362" i="9"/>
  <c r="M362" i="9"/>
  <c r="E362" i="9"/>
  <c r="D362" i="9"/>
  <c r="C362" i="9"/>
  <c r="B362" i="9"/>
  <c r="P361" i="9"/>
  <c r="O361" i="9"/>
  <c r="M361" i="9"/>
  <c r="E361" i="9"/>
  <c r="D361" i="9"/>
  <c r="C361" i="9"/>
  <c r="B361" i="9"/>
  <c r="P360" i="9"/>
  <c r="O360" i="9"/>
  <c r="M360" i="9"/>
  <c r="E360" i="9"/>
  <c r="D360" i="9"/>
  <c r="C360" i="9"/>
  <c r="B360" i="9"/>
  <c r="P359" i="9"/>
  <c r="O359" i="9"/>
  <c r="M359" i="9"/>
  <c r="E359" i="9"/>
  <c r="D359" i="9"/>
  <c r="C359" i="9"/>
  <c r="B359" i="9"/>
  <c r="P358" i="9"/>
  <c r="O358" i="9"/>
  <c r="M358" i="9"/>
  <c r="E358" i="9"/>
  <c r="D358" i="9"/>
  <c r="C358" i="9"/>
  <c r="B358" i="9"/>
  <c r="P357" i="9"/>
  <c r="O357" i="9"/>
  <c r="M357" i="9"/>
  <c r="E357" i="9"/>
  <c r="D357" i="9"/>
  <c r="C357" i="9"/>
  <c r="B357" i="9"/>
  <c r="P356" i="9"/>
  <c r="O356" i="9"/>
  <c r="M356" i="9"/>
  <c r="E356" i="9"/>
  <c r="D356" i="9"/>
  <c r="C356" i="9"/>
  <c r="B356" i="9"/>
  <c r="P355" i="9"/>
  <c r="O355" i="9"/>
  <c r="M355" i="9"/>
  <c r="E355" i="9"/>
  <c r="S355" i="9" s="1"/>
  <c r="D355" i="9"/>
  <c r="C355" i="9"/>
  <c r="B355" i="9"/>
  <c r="P354" i="9"/>
  <c r="O354" i="9"/>
  <c r="M354" i="9"/>
  <c r="E354" i="9"/>
  <c r="D354" i="9"/>
  <c r="C354" i="9"/>
  <c r="B354" i="9"/>
  <c r="P353" i="9"/>
  <c r="O353" i="9"/>
  <c r="M353" i="9"/>
  <c r="E353" i="9"/>
  <c r="S353" i="9" s="1"/>
  <c r="D353" i="9"/>
  <c r="C353" i="9"/>
  <c r="B353" i="9"/>
  <c r="P352" i="9"/>
  <c r="O352" i="9"/>
  <c r="M352" i="9"/>
  <c r="E352" i="9"/>
  <c r="D352" i="9"/>
  <c r="C352" i="9"/>
  <c r="B352" i="9"/>
  <c r="P351" i="9"/>
  <c r="O351" i="9"/>
  <c r="M351" i="9"/>
  <c r="E351" i="9"/>
  <c r="D351" i="9"/>
  <c r="C351" i="9"/>
  <c r="B351" i="9"/>
  <c r="P350" i="9"/>
  <c r="O350" i="9"/>
  <c r="M350" i="9"/>
  <c r="E350" i="9"/>
  <c r="S350" i="9" s="1"/>
  <c r="D350" i="9"/>
  <c r="C350" i="9"/>
  <c r="B350" i="9"/>
  <c r="P349" i="9"/>
  <c r="O349" i="9"/>
  <c r="M349" i="9"/>
  <c r="E349" i="9"/>
  <c r="D349" i="9"/>
  <c r="C349" i="9"/>
  <c r="B349" i="9"/>
  <c r="P348" i="9"/>
  <c r="O348" i="9"/>
  <c r="M348" i="9"/>
  <c r="E348" i="9"/>
  <c r="D348" i="9"/>
  <c r="C348" i="9"/>
  <c r="B348" i="9"/>
  <c r="P347" i="9"/>
  <c r="O347" i="9"/>
  <c r="M347" i="9"/>
  <c r="E347" i="9"/>
  <c r="D347" i="9"/>
  <c r="C347" i="9"/>
  <c r="B347" i="9"/>
  <c r="P346" i="9"/>
  <c r="O346" i="9"/>
  <c r="M346" i="9"/>
  <c r="E346" i="9"/>
  <c r="D346" i="9"/>
  <c r="C346" i="9"/>
  <c r="B346" i="9"/>
  <c r="P345" i="9"/>
  <c r="O345" i="9"/>
  <c r="M345" i="9"/>
  <c r="E345" i="9"/>
  <c r="D345" i="9"/>
  <c r="C345" i="9"/>
  <c r="B345" i="9"/>
  <c r="P344" i="9"/>
  <c r="O344" i="9"/>
  <c r="M344" i="9"/>
  <c r="E344" i="9"/>
  <c r="S344" i="9" s="1"/>
  <c r="D344" i="9"/>
  <c r="C344" i="9"/>
  <c r="B344" i="9"/>
  <c r="P343" i="9"/>
  <c r="O343" i="9"/>
  <c r="M343" i="9"/>
  <c r="E343" i="9"/>
  <c r="D343" i="9"/>
  <c r="C343" i="9"/>
  <c r="B343" i="9"/>
  <c r="P342" i="9"/>
  <c r="O342" i="9"/>
  <c r="M342" i="9"/>
  <c r="E342" i="9"/>
  <c r="S342" i="9" s="1"/>
  <c r="D342" i="9"/>
  <c r="C342" i="9"/>
  <c r="B342" i="9"/>
  <c r="P341" i="9"/>
  <c r="O341" i="9"/>
  <c r="M341" i="9"/>
  <c r="E341" i="9"/>
  <c r="D341" i="9"/>
  <c r="C341" i="9"/>
  <c r="B341" i="9"/>
  <c r="P340" i="9"/>
  <c r="O340" i="9"/>
  <c r="M340" i="9"/>
  <c r="E340" i="9"/>
  <c r="D340" i="9"/>
  <c r="C340" i="9"/>
  <c r="B340" i="9"/>
  <c r="P339" i="9"/>
  <c r="O339" i="9"/>
  <c r="M339" i="9"/>
  <c r="E339" i="9"/>
  <c r="S339" i="9" s="1"/>
  <c r="D339" i="9"/>
  <c r="C339" i="9"/>
  <c r="B339" i="9"/>
  <c r="P338" i="9"/>
  <c r="O338" i="9"/>
  <c r="M338" i="9"/>
  <c r="E338" i="9"/>
  <c r="D338" i="9"/>
  <c r="C338" i="9"/>
  <c r="B338" i="9"/>
  <c r="P337" i="9"/>
  <c r="O337" i="9"/>
  <c r="M337" i="9"/>
  <c r="E337" i="9"/>
  <c r="D337" i="9"/>
  <c r="C337" i="9"/>
  <c r="B337" i="9"/>
  <c r="P336" i="9"/>
  <c r="O336" i="9"/>
  <c r="M336" i="9"/>
  <c r="E336" i="9"/>
  <c r="D336" i="9"/>
  <c r="C336" i="9"/>
  <c r="B336" i="9"/>
  <c r="P335" i="9"/>
  <c r="O335" i="9"/>
  <c r="M335" i="9"/>
  <c r="E335" i="9"/>
  <c r="S335" i="9" s="1"/>
  <c r="D335" i="9"/>
  <c r="C335" i="9"/>
  <c r="B335" i="9"/>
  <c r="P334" i="9"/>
  <c r="O334" i="9"/>
  <c r="M334" i="9"/>
  <c r="E334" i="9"/>
  <c r="D334" i="9"/>
  <c r="C334" i="9"/>
  <c r="B334" i="9"/>
  <c r="P333" i="9"/>
  <c r="O333" i="9"/>
  <c r="M333" i="9"/>
  <c r="E333" i="9"/>
  <c r="D333" i="9"/>
  <c r="C333" i="9"/>
  <c r="B333" i="9"/>
  <c r="P332" i="9"/>
  <c r="O332" i="9"/>
  <c r="M332" i="9"/>
  <c r="E332" i="9"/>
  <c r="D332" i="9"/>
  <c r="C332" i="9"/>
  <c r="B332" i="9"/>
  <c r="P331" i="9"/>
  <c r="O331" i="9"/>
  <c r="M331" i="9"/>
  <c r="E331" i="9"/>
  <c r="D331" i="9"/>
  <c r="C331" i="9"/>
  <c r="B331" i="9"/>
  <c r="P330" i="9"/>
  <c r="O330" i="9"/>
  <c r="M330" i="9"/>
  <c r="E330" i="9"/>
  <c r="D330" i="9"/>
  <c r="C330" i="9"/>
  <c r="B330" i="9"/>
  <c r="P329" i="9"/>
  <c r="O329" i="9"/>
  <c r="M329" i="9"/>
  <c r="E329" i="9"/>
  <c r="D329" i="9"/>
  <c r="C329" i="9"/>
  <c r="B329" i="9"/>
  <c r="P328" i="9"/>
  <c r="O328" i="9"/>
  <c r="M328" i="9"/>
  <c r="E328" i="9"/>
  <c r="D328" i="9"/>
  <c r="C328" i="9"/>
  <c r="B328" i="9"/>
  <c r="P327" i="9"/>
  <c r="O327" i="9"/>
  <c r="M327" i="9"/>
  <c r="E327" i="9"/>
  <c r="D327" i="9"/>
  <c r="C327" i="9"/>
  <c r="B327" i="9"/>
  <c r="P326" i="9"/>
  <c r="O326" i="9"/>
  <c r="M326" i="9"/>
  <c r="E326" i="9"/>
  <c r="D326" i="9"/>
  <c r="C326" i="9"/>
  <c r="B326" i="9"/>
  <c r="P325" i="9"/>
  <c r="O325" i="9"/>
  <c r="M325" i="9"/>
  <c r="E325" i="9"/>
  <c r="D325" i="9"/>
  <c r="C325" i="9"/>
  <c r="B325" i="9"/>
  <c r="P324" i="9"/>
  <c r="O324" i="9"/>
  <c r="M324" i="9"/>
  <c r="E324" i="9"/>
  <c r="D324" i="9"/>
  <c r="C324" i="9"/>
  <c r="B324" i="9"/>
  <c r="P323" i="9"/>
  <c r="O323" i="9"/>
  <c r="M323" i="9"/>
  <c r="E323" i="9"/>
  <c r="D323" i="9"/>
  <c r="C323" i="9"/>
  <c r="B323" i="9"/>
  <c r="P322" i="9"/>
  <c r="O322" i="9"/>
  <c r="M322" i="9"/>
  <c r="E322" i="9"/>
  <c r="D322" i="9"/>
  <c r="C322" i="9"/>
  <c r="B322" i="9"/>
  <c r="P321" i="9"/>
  <c r="O321" i="9"/>
  <c r="M321" i="9"/>
  <c r="E321" i="9"/>
  <c r="D321" i="9"/>
  <c r="C321" i="9"/>
  <c r="B321" i="9"/>
  <c r="P320" i="9"/>
  <c r="O320" i="9"/>
  <c r="M320" i="9"/>
  <c r="E320" i="9"/>
  <c r="D320" i="9"/>
  <c r="C320" i="9"/>
  <c r="B320" i="9"/>
  <c r="P319" i="9"/>
  <c r="O319" i="9"/>
  <c r="M319" i="9"/>
  <c r="E319" i="9"/>
  <c r="D319" i="9"/>
  <c r="C319" i="9"/>
  <c r="B319" i="9"/>
  <c r="P318" i="9"/>
  <c r="O318" i="9"/>
  <c r="M318" i="9"/>
  <c r="E318" i="9"/>
  <c r="D318" i="9"/>
  <c r="C318" i="9"/>
  <c r="B318" i="9"/>
  <c r="P317" i="9"/>
  <c r="O317" i="9"/>
  <c r="M317" i="9"/>
  <c r="E317" i="9"/>
  <c r="D317" i="9"/>
  <c r="C317" i="9"/>
  <c r="B317" i="9"/>
  <c r="P316" i="9"/>
  <c r="O316" i="9"/>
  <c r="M316" i="9"/>
  <c r="E316" i="9"/>
  <c r="D316" i="9"/>
  <c r="C316" i="9"/>
  <c r="B316" i="9"/>
  <c r="P315" i="9"/>
  <c r="O315" i="9"/>
  <c r="M315" i="9"/>
  <c r="E315" i="9"/>
  <c r="D315" i="9"/>
  <c r="C315" i="9"/>
  <c r="B315" i="9"/>
  <c r="P314" i="9"/>
  <c r="O314" i="9"/>
  <c r="M314" i="9"/>
  <c r="E314" i="9"/>
  <c r="D314" i="9"/>
  <c r="C314" i="9"/>
  <c r="B314" i="9"/>
  <c r="P313" i="9"/>
  <c r="O313" i="9"/>
  <c r="M313" i="9"/>
  <c r="E313" i="9"/>
  <c r="D313" i="9"/>
  <c r="C313" i="9"/>
  <c r="B313" i="9"/>
  <c r="P312" i="9"/>
  <c r="O312" i="9"/>
  <c r="M312" i="9"/>
  <c r="E312" i="9"/>
  <c r="D312" i="9"/>
  <c r="C312" i="9"/>
  <c r="B312" i="9"/>
  <c r="P311" i="9"/>
  <c r="O311" i="9"/>
  <c r="M311" i="9"/>
  <c r="E311" i="9"/>
  <c r="D311" i="9"/>
  <c r="C311" i="9"/>
  <c r="B311" i="9"/>
  <c r="P310" i="9"/>
  <c r="O310" i="9"/>
  <c r="M310" i="9"/>
  <c r="E310" i="9"/>
  <c r="D310" i="9"/>
  <c r="C310" i="9"/>
  <c r="B310" i="9"/>
  <c r="P309" i="9"/>
  <c r="O309" i="9"/>
  <c r="M309" i="9"/>
  <c r="E309" i="9"/>
  <c r="D309" i="9"/>
  <c r="C309" i="9"/>
  <c r="B309" i="9"/>
  <c r="P308" i="9"/>
  <c r="O308" i="9"/>
  <c r="M308" i="9"/>
  <c r="E308" i="9"/>
  <c r="D308" i="9"/>
  <c r="C308" i="9"/>
  <c r="B308" i="9"/>
  <c r="P307" i="9"/>
  <c r="O307" i="9"/>
  <c r="M307" i="9"/>
  <c r="E307" i="9"/>
  <c r="D307" i="9"/>
  <c r="C307" i="9"/>
  <c r="B307" i="9"/>
  <c r="P306" i="9"/>
  <c r="O306" i="9"/>
  <c r="M306" i="9"/>
  <c r="E306" i="9"/>
  <c r="D306" i="9"/>
  <c r="C306" i="9"/>
  <c r="B306" i="9"/>
  <c r="P305" i="9"/>
  <c r="O305" i="9"/>
  <c r="M305" i="9"/>
  <c r="E305" i="9"/>
  <c r="D305" i="9"/>
  <c r="C305" i="9"/>
  <c r="B305" i="9"/>
  <c r="P304" i="9"/>
  <c r="O304" i="9"/>
  <c r="M304" i="9"/>
  <c r="E304" i="9"/>
  <c r="D304" i="9"/>
  <c r="C304" i="9"/>
  <c r="B304" i="9"/>
  <c r="P303" i="9"/>
  <c r="O303" i="9"/>
  <c r="M303" i="9"/>
  <c r="E303" i="9"/>
  <c r="D303" i="9"/>
  <c r="C303" i="9"/>
  <c r="B303" i="9"/>
  <c r="P302" i="9"/>
  <c r="O302" i="9"/>
  <c r="M302" i="9"/>
  <c r="E302" i="9"/>
  <c r="D302" i="9"/>
  <c r="C302" i="9"/>
  <c r="B302" i="9"/>
  <c r="P301" i="9"/>
  <c r="O301" i="9"/>
  <c r="M301" i="9"/>
  <c r="E301" i="9"/>
  <c r="D301" i="9"/>
  <c r="C301" i="9"/>
  <c r="B301" i="9"/>
  <c r="P300" i="9"/>
  <c r="O300" i="9"/>
  <c r="M300" i="9"/>
  <c r="E300" i="9"/>
  <c r="D300" i="9"/>
  <c r="C300" i="9"/>
  <c r="B300" i="9"/>
  <c r="P299" i="9"/>
  <c r="O299" i="9"/>
  <c r="M299" i="9"/>
  <c r="E299" i="9"/>
  <c r="D299" i="9"/>
  <c r="C299" i="9"/>
  <c r="B299" i="9"/>
  <c r="P298" i="9"/>
  <c r="O298" i="9"/>
  <c r="M298" i="9"/>
  <c r="E298" i="9"/>
  <c r="D298" i="9"/>
  <c r="C298" i="9"/>
  <c r="B298" i="9"/>
  <c r="P297" i="9"/>
  <c r="O297" i="9"/>
  <c r="M297" i="9"/>
  <c r="E297" i="9"/>
  <c r="S297" i="9" s="1"/>
  <c r="D297" i="9"/>
  <c r="C297" i="9"/>
  <c r="B297" i="9"/>
  <c r="P296" i="9"/>
  <c r="O296" i="9"/>
  <c r="M296" i="9"/>
  <c r="E296" i="9"/>
  <c r="S296" i="9" s="1"/>
  <c r="D296" i="9"/>
  <c r="C296" i="9"/>
  <c r="B296" i="9"/>
  <c r="P295" i="9"/>
  <c r="O295" i="9"/>
  <c r="M295" i="9"/>
  <c r="E295" i="9"/>
  <c r="D295" i="9"/>
  <c r="C295" i="9"/>
  <c r="B295" i="9"/>
  <c r="P294" i="9"/>
  <c r="O294" i="9"/>
  <c r="M294" i="9"/>
  <c r="E294" i="9"/>
  <c r="S294" i="9" s="1"/>
  <c r="D294" i="9"/>
  <c r="C294" i="9"/>
  <c r="B294" i="9"/>
  <c r="P293" i="9"/>
  <c r="O293" i="9"/>
  <c r="M293" i="9"/>
  <c r="E293" i="9"/>
  <c r="D293" i="9"/>
  <c r="C293" i="9"/>
  <c r="B293" i="9"/>
  <c r="P292" i="9"/>
  <c r="O292" i="9"/>
  <c r="M292" i="9"/>
  <c r="E292" i="9"/>
  <c r="D292" i="9"/>
  <c r="C292" i="9"/>
  <c r="B292" i="9"/>
  <c r="P291" i="9"/>
  <c r="O291" i="9"/>
  <c r="M291" i="9"/>
  <c r="E291" i="9"/>
  <c r="D291" i="9"/>
  <c r="C291" i="9"/>
  <c r="B291" i="9"/>
  <c r="P290" i="9"/>
  <c r="O290" i="9"/>
  <c r="M290" i="9"/>
  <c r="E290" i="9"/>
  <c r="D290" i="9"/>
  <c r="C290" i="9"/>
  <c r="B290" i="9"/>
  <c r="P289" i="9"/>
  <c r="O289" i="9"/>
  <c r="M289" i="9"/>
  <c r="E289" i="9"/>
  <c r="D289" i="9"/>
  <c r="C289" i="9"/>
  <c r="B289" i="9"/>
  <c r="P288" i="9"/>
  <c r="O288" i="9"/>
  <c r="M288" i="9"/>
  <c r="E288" i="9"/>
  <c r="D288" i="9"/>
  <c r="C288" i="9"/>
  <c r="B288" i="9"/>
  <c r="P287" i="9"/>
  <c r="O287" i="9"/>
  <c r="M287" i="9"/>
  <c r="E287" i="9"/>
  <c r="D287" i="9"/>
  <c r="C287" i="9"/>
  <c r="B287" i="9"/>
  <c r="P286" i="9"/>
  <c r="O286" i="9"/>
  <c r="M286" i="9"/>
  <c r="E286" i="9"/>
  <c r="D286" i="9"/>
  <c r="C286" i="9"/>
  <c r="B286" i="9"/>
  <c r="P285" i="9"/>
  <c r="O285" i="9"/>
  <c r="M285" i="9"/>
  <c r="E285" i="9"/>
  <c r="S285" i="9" s="1"/>
  <c r="D285" i="9"/>
  <c r="C285" i="9"/>
  <c r="B285" i="9"/>
  <c r="P284" i="9"/>
  <c r="O284" i="9"/>
  <c r="M284" i="9"/>
  <c r="E284" i="9"/>
  <c r="S284" i="9" s="1"/>
  <c r="D284" i="9"/>
  <c r="C284" i="9"/>
  <c r="B284" i="9"/>
  <c r="P283" i="9"/>
  <c r="O283" i="9"/>
  <c r="M283" i="9"/>
  <c r="E283" i="9"/>
  <c r="D283" i="9"/>
  <c r="C283" i="9"/>
  <c r="B283" i="9"/>
  <c r="P282" i="9"/>
  <c r="O282" i="9"/>
  <c r="M282" i="9"/>
  <c r="E282" i="9"/>
  <c r="D282" i="9"/>
  <c r="C282" i="9"/>
  <c r="B282" i="9"/>
  <c r="P281" i="9"/>
  <c r="O281" i="9"/>
  <c r="M281" i="9"/>
  <c r="E281" i="9"/>
  <c r="S281" i="9" s="1"/>
  <c r="D281" i="9"/>
  <c r="C281" i="9"/>
  <c r="B281" i="9"/>
  <c r="P280" i="9"/>
  <c r="O280" i="9"/>
  <c r="M280" i="9"/>
  <c r="E280" i="9"/>
  <c r="D280" i="9"/>
  <c r="C280" i="9"/>
  <c r="B280" i="9"/>
  <c r="P279" i="9"/>
  <c r="O279" i="9"/>
  <c r="M279" i="9"/>
  <c r="E279" i="9"/>
  <c r="D279" i="9"/>
  <c r="C279" i="9"/>
  <c r="B279" i="9"/>
  <c r="P278" i="9"/>
  <c r="O278" i="9"/>
  <c r="M278" i="9"/>
  <c r="D278" i="9"/>
  <c r="C278" i="9"/>
  <c r="B278" i="9"/>
  <c r="P277" i="9"/>
  <c r="O277" i="9"/>
  <c r="M277" i="9"/>
  <c r="D277" i="9"/>
  <c r="C277" i="9"/>
  <c r="B277" i="9"/>
  <c r="P276" i="9"/>
  <c r="O276" i="9"/>
  <c r="M276" i="9"/>
  <c r="D276" i="9"/>
  <c r="C276" i="9"/>
  <c r="B276" i="9"/>
  <c r="P275" i="9"/>
  <c r="O275" i="9"/>
  <c r="M275" i="9"/>
  <c r="D275" i="9"/>
  <c r="C275" i="9"/>
  <c r="B275" i="9"/>
  <c r="P274" i="9"/>
  <c r="O274" i="9"/>
  <c r="M274" i="9"/>
  <c r="D274" i="9"/>
  <c r="C274" i="9"/>
  <c r="B274" i="9"/>
  <c r="P273" i="9"/>
  <c r="O273" i="9"/>
  <c r="M273" i="9"/>
  <c r="D273" i="9"/>
  <c r="C273" i="9"/>
  <c r="B273" i="9"/>
  <c r="P272" i="9"/>
  <c r="O272" i="9"/>
  <c r="M272" i="9"/>
  <c r="D272" i="9"/>
  <c r="C272" i="9"/>
  <c r="B272" i="9"/>
  <c r="P271" i="9"/>
  <c r="O271" i="9"/>
  <c r="M271" i="9"/>
  <c r="D271" i="9"/>
  <c r="C271" i="9"/>
  <c r="B271" i="9"/>
  <c r="P270" i="9"/>
  <c r="O270" i="9"/>
  <c r="M270" i="9"/>
  <c r="D270" i="9"/>
  <c r="C270" i="9"/>
  <c r="B270" i="9"/>
  <c r="P269" i="9"/>
  <c r="O269" i="9"/>
  <c r="M269" i="9"/>
  <c r="D269" i="9"/>
  <c r="C269" i="9"/>
  <c r="B269" i="9"/>
  <c r="P268" i="9"/>
  <c r="O268" i="9"/>
  <c r="M268" i="9"/>
  <c r="D268" i="9"/>
  <c r="C268" i="9"/>
  <c r="B268" i="9"/>
  <c r="P267" i="9"/>
  <c r="O267" i="9"/>
  <c r="M267" i="9"/>
  <c r="D267" i="9"/>
  <c r="C267" i="9"/>
  <c r="B267" i="9"/>
  <c r="P266" i="9"/>
  <c r="O266" i="9"/>
  <c r="M266" i="9"/>
  <c r="D266" i="9"/>
  <c r="C266" i="9"/>
  <c r="B266" i="9"/>
  <c r="P265" i="9"/>
  <c r="O265" i="9"/>
  <c r="M265" i="9"/>
  <c r="D265" i="9"/>
  <c r="C265" i="9"/>
  <c r="B265" i="9"/>
  <c r="P264" i="9"/>
  <c r="O264" i="9"/>
  <c r="M264" i="9"/>
  <c r="D264" i="9"/>
  <c r="C264" i="9"/>
  <c r="B264" i="9"/>
  <c r="P263" i="9"/>
  <c r="O263" i="9"/>
  <c r="M263" i="9"/>
  <c r="D263" i="9"/>
  <c r="C263" i="9"/>
  <c r="B263" i="9"/>
  <c r="P262" i="9"/>
  <c r="O262" i="9"/>
  <c r="M262" i="9"/>
  <c r="D262" i="9"/>
  <c r="C262" i="9"/>
  <c r="B262" i="9"/>
  <c r="P261" i="9"/>
  <c r="O261" i="9"/>
  <c r="M261" i="9"/>
  <c r="D261" i="9"/>
  <c r="C261" i="9"/>
  <c r="B261" i="9"/>
  <c r="P260" i="9"/>
  <c r="O260" i="9"/>
  <c r="M260" i="9"/>
  <c r="D260" i="9"/>
  <c r="C260" i="9"/>
  <c r="B260" i="9"/>
  <c r="P259" i="9"/>
  <c r="O259" i="9"/>
  <c r="M259" i="9"/>
  <c r="D259" i="9"/>
  <c r="C259" i="9"/>
  <c r="B259" i="9"/>
  <c r="P258" i="9"/>
  <c r="O258" i="9"/>
  <c r="M258" i="9"/>
  <c r="D258" i="9"/>
  <c r="C258" i="9"/>
  <c r="B258" i="9"/>
  <c r="P257" i="9"/>
  <c r="O257" i="9"/>
  <c r="M257" i="9"/>
  <c r="D257" i="9"/>
  <c r="C257" i="9"/>
  <c r="B257" i="9"/>
  <c r="P256" i="9"/>
  <c r="O256" i="9"/>
  <c r="M256" i="9"/>
  <c r="D256" i="9"/>
  <c r="C256" i="9"/>
  <c r="B256" i="9"/>
  <c r="P255" i="9"/>
  <c r="O255" i="9"/>
  <c r="M255" i="9"/>
  <c r="D255" i="9"/>
  <c r="C255" i="9"/>
  <c r="B255" i="9"/>
  <c r="P254" i="9"/>
  <c r="O254" i="9"/>
  <c r="M254" i="9"/>
  <c r="D254" i="9"/>
  <c r="C254" i="9"/>
  <c r="B254" i="9"/>
  <c r="P253" i="9"/>
  <c r="O253" i="9"/>
  <c r="M253" i="9"/>
  <c r="D253" i="9"/>
  <c r="C253" i="9"/>
  <c r="B253" i="9"/>
  <c r="P252" i="9"/>
  <c r="O252" i="9"/>
  <c r="M252" i="9"/>
  <c r="D252" i="9"/>
  <c r="C252" i="9"/>
  <c r="B252" i="9"/>
  <c r="P251" i="9"/>
  <c r="O251" i="9"/>
  <c r="M251" i="9"/>
  <c r="D251" i="9"/>
  <c r="C251" i="9"/>
  <c r="B251" i="9"/>
  <c r="P250" i="9"/>
  <c r="O250" i="9"/>
  <c r="M250" i="9"/>
  <c r="D250" i="9"/>
  <c r="C250" i="9"/>
  <c r="B250" i="9"/>
  <c r="P249" i="9"/>
  <c r="O249" i="9"/>
  <c r="M249" i="9"/>
  <c r="R249" i="9" s="1"/>
  <c r="D249" i="9"/>
  <c r="C249" i="9"/>
  <c r="B249" i="9"/>
  <c r="P248" i="9"/>
  <c r="O248" i="9"/>
  <c r="M248" i="9"/>
  <c r="D248" i="9"/>
  <c r="C248" i="9"/>
  <c r="B248" i="9"/>
  <c r="P247" i="9"/>
  <c r="O247" i="9"/>
  <c r="M247" i="9"/>
  <c r="D247" i="9"/>
  <c r="C247" i="9"/>
  <c r="B247" i="9"/>
  <c r="P246" i="9"/>
  <c r="O246" i="9"/>
  <c r="M246" i="9"/>
  <c r="D246" i="9"/>
  <c r="C246" i="9"/>
  <c r="B246" i="9"/>
  <c r="P245" i="9"/>
  <c r="O245" i="9"/>
  <c r="M245" i="9"/>
  <c r="D245" i="9"/>
  <c r="C245" i="9"/>
  <c r="B245" i="9"/>
  <c r="P244" i="9"/>
  <c r="O244" i="9"/>
  <c r="M244" i="9"/>
  <c r="D244" i="9"/>
  <c r="C244" i="9"/>
  <c r="B244" i="9"/>
  <c r="P243" i="9"/>
  <c r="O243" i="9"/>
  <c r="M243" i="9"/>
  <c r="D243" i="9"/>
  <c r="C243" i="9"/>
  <c r="B243" i="9"/>
  <c r="P242" i="9"/>
  <c r="O242" i="9"/>
  <c r="M242" i="9"/>
  <c r="D242" i="9"/>
  <c r="C242" i="9"/>
  <c r="B242" i="9"/>
  <c r="P241" i="9"/>
  <c r="O241" i="9"/>
  <c r="M241" i="9"/>
  <c r="D241" i="9"/>
  <c r="C241" i="9"/>
  <c r="B241" i="9"/>
  <c r="P240" i="9"/>
  <c r="O240" i="9"/>
  <c r="M240" i="9"/>
  <c r="D240" i="9"/>
  <c r="C240" i="9"/>
  <c r="B240" i="9"/>
  <c r="P239" i="9"/>
  <c r="O239" i="9"/>
  <c r="M239" i="9"/>
  <c r="D239" i="9"/>
  <c r="C239" i="9"/>
  <c r="B239" i="9"/>
  <c r="P238" i="9"/>
  <c r="O238" i="9"/>
  <c r="M238" i="9"/>
  <c r="D238" i="9"/>
  <c r="C238" i="9"/>
  <c r="B238" i="9"/>
  <c r="P237" i="9"/>
  <c r="O237" i="9"/>
  <c r="M237" i="9"/>
  <c r="D237" i="9"/>
  <c r="C237" i="9"/>
  <c r="B237" i="9"/>
  <c r="P236" i="9"/>
  <c r="O236" i="9"/>
  <c r="M236" i="9"/>
  <c r="D236" i="9"/>
  <c r="C236" i="9"/>
  <c r="B236" i="9"/>
  <c r="P235" i="9"/>
  <c r="O235" i="9"/>
  <c r="M235" i="9"/>
  <c r="D235" i="9"/>
  <c r="C235" i="9"/>
  <c r="B235" i="9"/>
  <c r="P234" i="9"/>
  <c r="O234" i="9"/>
  <c r="M234" i="9"/>
  <c r="D234" i="9"/>
  <c r="C234" i="9"/>
  <c r="B234" i="9"/>
  <c r="P233" i="9"/>
  <c r="O233" i="9"/>
  <c r="M233" i="9"/>
  <c r="D233" i="9"/>
  <c r="C233" i="9"/>
  <c r="B233" i="9"/>
  <c r="P232" i="9"/>
  <c r="O232" i="9"/>
  <c r="M232" i="9"/>
  <c r="D232" i="9"/>
  <c r="C232" i="9"/>
  <c r="B232" i="9"/>
  <c r="P231" i="9"/>
  <c r="O231" i="9"/>
  <c r="M231" i="9"/>
  <c r="D231" i="9"/>
  <c r="C231" i="9"/>
  <c r="B231" i="9"/>
  <c r="P230" i="9"/>
  <c r="O230" i="9"/>
  <c r="M230" i="9"/>
  <c r="D230" i="9"/>
  <c r="C230" i="9"/>
  <c r="B230" i="9"/>
  <c r="P229" i="9"/>
  <c r="O229" i="9"/>
  <c r="M229" i="9"/>
  <c r="D229" i="9"/>
  <c r="C229" i="9"/>
  <c r="B229" i="9"/>
  <c r="P228" i="9"/>
  <c r="O228" i="9"/>
  <c r="M228" i="9"/>
  <c r="D228" i="9"/>
  <c r="C228" i="9"/>
  <c r="B228" i="9"/>
  <c r="P227" i="9"/>
  <c r="O227" i="9"/>
  <c r="M227" i="9"/>
  <c r="D227" i="9"/>
  <c r="C227" i="9"/>
  <c r="B227" i="9"/>
  <c r="P226" i="9"/>
  <c r="O226" i="9"/>
  <c r="M226" i="9"/>
  <c r="D226" i="9"/>
  <c r="C226" i="9"/>
  <c r="B226" i="9"/>
  <c r="P225" i="9"/>
  <c r="O225" i="9"/>
  <c r="M225" i="9"/>
  <c r="D225" i="9"/>
  <c r="C225" i="9"/>
  <c r="B225" i="9"/>
  <c r="P224" i="9"/>
  <c r="O224" i="9"/>
  <c r="M224" i="9"/>
  <c r="D224" i="9"/>
  <c r="C224" i="9"/>
  <c r="B224" i="9"/>
  <c r="P223" i="9"/>
  <c r="O223" i="9"/>
  <c r="M223" i="9"/>
  <c r="D223" i="9"/>
  <c r="C223" i="9"/>
  <c r="B223" i="9"/>
  <c r="P222" i="9"/>
  <c r="O222" i="9"/>
  <c r="M222" i="9"/>
  <c r="D222" i="9"/>
  <c r="C222" i="9"/>
  <c r="B222" i="9"/>
  <c r="P221" i="9"/>
  <c r="O221" i="9"/>
  <c r="M221" i="9"/>
  <c r="D221" i="9"/>
  <c r="C221" i="9"/>
  <c r="B221" i="9"/>
  <c r="P220" i="9"/>
  <c r="O220" i="9"/>
  <c r="M220" i="9"/>
  <c r="D220" i="9"/>
  <c r="C220" i="9"/>
  <c r="B220" i="9"/>
  <c r="P219" i="9"/>
  <c r="O219" i="9"/>
  <c r="M219" i="9"/>
  <c r="D219" i="9"/>
  <c r="C219" i="9"/>
  <c r="B219" i="9"/>
  <c r="P218" i="9"/>
  <c r="O218" i="9"/>
  <c r="M218" i="9"/>
  <c r="D218" i="9"/>
  <c r="C218" i="9"/>
  <c r="B218" i="9"/>
  <c r="P217" i="9"/>
  <c r="O217" i="9"/>
  <c r="M217" i="9"/>
  <c r="D217" i="9"/>
  <c r="C217" i="9"/>
  <c r="B217" i="9"/>
  <c r="P216" i="9"/>
  <c r="O216" i="9"/>
  <c r="M216" i="9"/>
  <c r="D216" i="9"/>
  <c r="C216" i="9"/>
  <c r="B216" i="9"/>
  <c r="P215" i="9"/>
  <c r="O215" i="9"/>
  <c r="M215" i="9"/>
  <c r="D215" i="9"/>
  <c r="C215" i="9"/>
  <c r="B215" i="9"/>
  <c r="P214" i="9"/>
  <c r="O214" i="9"/>
  <c r="M214" i="9"/>
  <c r="D214" i="9"/>
  <c r="C214" i="9"/>
  <c r="B214" i="9"/>
  <c r="P213" i="9"/>
  <c r="O213" i="9"/>
  <c r="M213" i="9"/>
  <c r="D213" i="9"/>
  <c r="C213" i="9"/>
  <c r="B213" i="9"/>
  <c r="P212" i="9"/>
  <c r="O212" i="9"/>
  <c r="M212" i="9"/>
  <c r="D212" i="9"/>
  <c r="C212" i="9"/>
  <c r="B212" i="9"/>
  <c r="P211" i="9"/>
  <c r="O211" i="9"/>
  <c r="M211" i="9"/>
  <c r="D211" i="9"/>
  <c r="C211" i="9"/>
  <c r="B211" i="9"/>
  <c r="P210" i="9"/>
  <c r="O210" i="9"/>
  <c r="M210" i="9"/>
  <c r="D210" i="9"/>
  <c r="C210" i="9"/>
  <c r="B210" i="9"/>
  <c r="P209" i="9"/>
  <c r="O209" i="9"/>
  <c r="M209" i="9"/>
  <c r="D209" i="9"/>
  <c r="C209" i="9"/>
  <c r="B209" i="9"/>
  <c r="P208" i="9"/>
  <c r="O208" i="9"/>
  <c r="M208" i="9"/>
  <c r="D208" i="9"/>
  <c r="C208" i="9"/>
  <c r="B208" i="9"/>
  <c r="P207" i="9"/>
  <c r="O207" i="9"/>
  <c r="M207" i="9"/>
  <c r="D207" i="9"/>
  <c r="C207" i="9"/>
  <c r="B207" i="9"/>
  <c r="P206" i="9"/>
  <c r="O206" i="9"/>
  <c r="M206" i="9"/>
  <c r="D206" i="9"/>
  <c r="C206" i="9"/>
  <c r="B206" i="9"/>
  <c r="P205" i="9"/>
  <c r="O205" i="9"/>
  <c r="M205" i="9"/>
  <c r="D205" i="9"/>
  <c r="C205" i="9"/>
  <c r="B205" i="9"/>
  <c r="P204" i="9"/>
  <c r="O204" i="9"/>
  <c r="M204" i="9"/>
  <c r="D204" i="9"/>
  <c r="C204" i="9"/>
  <c r="B204" i="9"/>
  <c r="P203" i="9"/>
  <c r="O203" i="9"/>
  <c r="M203" i="9"/>
  <c r="D203" i="9"/>
  <c r="C203" i="9"/>
  <c r="B203" i="9"/>
  <c r="P202" i="9"/>
  <c r="O202" i="9"/>
  <c r="M202" i="9"/>
  <c r="D202" i="9"/>
  <c r="C202" i="9"/>
  <c r="B202" i="9"/>
  <c r="P201" i="9"/>
  <c r="O201" i="9"/>
  <c r="M201" i="9"/>
  <c r="D201" i="9"/>
  <c r="C201" i="9"/>
  <c r="B201" i="9"/>
  <c r="P200" i="9"/>
  <c r="O200" i="9"/>
  <c r="M200" i="9"/>
  <c r="D200" i="9"/>
  <c r="C200" i="9"/>
  <c r="B200" i="9"/>
  <c r="P199" i="9"/>
  <c r="O199" i="9"/>
  <c r="M199" i="9"/>
  <c r="D199" i="9"/>
  <c r="C199" i="9"/>
  <c r="B199" i="9"/>
  <c r="P198" i="9"/>
  <c r="O198" i="9"/>
  <c r="M198" i="9"/>
  <c r="D198" i="9"/>
  <c r="C198" i="9"/>
  <c r="B198" i="9"/>
  <c r="P197" i="9"/>
  <c r="O197" i="9"/>
  <c r="M197" i="9"/>
  <c r="D197" i="9"/>
  <c r="C197" i="9"/>
  <c r="B197" i="9"/>
  <c r="P196" i="9"/>
  <c r="O196" i="9"/>
  <c r="M196" i="9"/>
  <c r="D196" i="9"/>
  <c r="C196" i="9"/>
  <c r="B196" i="9"/>
  <c r="P195" i="9"/>
  <c r="O195" i="9"/>
  <c r="M195" i="9"/>
  <c r="D195" i="9"/>
  <c r="C195" i="9"/>
  <c r="B195" i="9"/>
  <c r="P194" i="9"/>
  <c r="O194" i="9"/>
  <c r="M194" i="9"/>
  <c r="D194" i="9"/>
  <c r="C194" i="9"/>
  <c r="B194" i="9"/>
  <c r="P193" i="9"/>
  <c r="O193" i="9"/>
  <c r="M193" i="9"/>
  <c r="D193" i="9"/>
  <c r="C193" i="9"/>
  <c r="B193" i="9"/>
  <c r="P192" i="9"/>
  <c r="O192" i="9"/>
  <c r="M192" i="9"/>
  <c r="D192" i="9"/>
  <c r="C192" i="9"/>
  <c r="B192" i="9"/>
  <c r="P191" i="9"/>
  <c r="O191" i="9"/>
  <c r="M191" i="9"/>
  <c r="D191" i="9"/>
  <c r="C191" i="9"/>
  <c r="B191" i="9"/>
  <c r="P190" i="9"/>
  <c r="O190" i="9"/>
  <c r="M190" i="9"/>
  <c r="D190" i="9"/>
  <c r="C190" i="9"/>
  <c r="B190" i="9"/>
  <c r="P189" i="9"/>
  <c r="O189" i="9"/>
  <c r="M189" i="9"/>
  <c r="D189" i="9"/>
  <c r="C189" i="9"/>
  <c r="B189" i="9"/>
  <c r="P188" i="9"/>
  <c r="O188" i="9"/>
  <c r="M188" i="9"/>
  <c r="D188" i="9"/>
  <c r="C188" i="9"/>
  <c r="B188" i="9"/>
  <c r="P187" i="9"/>
  <c r="O187" i="9"/>
  <c r="M187" i="9"/>
  <c r="D187" i="9"/>
  <c r="C187" i="9"/>
  <c r="B187" i="9"/>
  <c r="P186" i="9"/>
  <c r="O186" i="9"/>
  <c r="M186" i="9"/>
  <c r="D186" i="9"/>
  <c r="C186" i="9"/>
  <c r="B186" i="9"/>
  <c r="P185" i="9"/>
  <c r="O185" i="9"/>
  <c r="M185" i="9"/>
  <c r="D185" i="9"/>
  <c r="C185" i="9"/>
  <c r="B185" i="9"/>
  <c r="P184" i="9"/>
  <c r="O184" i="9"/>
  <c r="M184" i="9"/>
  <c r="D184" i="9"/>
  <c r="C184" i="9"/>
  <c r="B184" i="9"/>
  <c r="P183" i="9"/>
  <c r="O183" i="9"/>
  <c r="M183" i="9"/>
  <c r="D183" i="9"/>
  <c r="C183" i="9"/>
  <c r="B183" i="9"/>
  <c r="P182" i="9"/>
  <c r="O182" i="9"/>
  <c r="M182" i="9"/>
  <c r="D182" i="9"/>
  <c r="C182" i="9"/>
  <c r="B182" i="9"/>
  <c r="P181" i="9"/>
  <c r="O181" i="9"/>
  <c r="M181" i="9"/>
  <c r="D181" i="9"/>
  <c r="C181" i="9"/>
  <c r="B181" i="9"/>
  <c r="P180" i="9"/>
  <c r="O180" i="9"/>
  <c r="M180" i="9"/>
  <c r="D180" i="9"/>
  <c r="C180" i="9"/>
  <c r="B180" i="9"/>
  <c r="P179" i="9"/>
  <c r="O179" i="9"/>
  <c r="M179" i="9"/>
  <c r="D179" i="9"/>
  <c r="C179" i="9"/>
  <c r="B179" i="9"/>
  <c r="P178" i="9"/>
  <c r="O178" i="9"/>
  <c r="M178" i="9"/>
  <c r="D178" i="9"/>
  <c r="C178" i="9"/>
  <c r="B178" i="9"/>
  <c r="P177" i="9"/>
  <c r="O177" i="9"/>
  <c r="M177" i="9"/>
  <c r="D177" i="9"/>
  <c r="C177" i="9"/>
  <c r="B177" i="9"/>
  <c r="P176" i="9"/>
  <c r="O176" i="9"/>
  <c r="M176" i="9"/>
  <c r="D176" i="9"/>
  <c r="C176" i="9"/>
  <c r="B176" i="9"/>
  <c r="P175" i="9"/>
  <c r="O175" i="9"/>
  <c r="M175" i="9"/>
  <c r="D175" i="9"/>
  <c r="C175" i="9"/>
  <c r="B175" i="9"/>
  <c r="P174" i="9"/>
  <c r="O174" i="9"/>
  <c r="M174" i="9"/>
  <c r="D174" i="9"/>
  <c r="C174" i="9"/>
  <c r="B174" i="9"/>
  <c r="P173" i="9"/>
  <c r="O173" i="9"/>
  <c r="M173" i="9"/>
  <c r="D173" i="9"/>
  <c r="C173" i="9"/>
  <c r="B173" i="9"/>
  <c r="P172" i="9"/>
  <c r="O172" i="9"/>
  <c r="M172" i="9"/>
  <c r="D172" i="9"/>
  <c r="C172" i="9"/>
  <c r="B172" i="9"/>
  <c r="P171" i="9"/>
  <c r="O171" i="9"/>
  <c r="M171" i="9"/>
  <c r="D171" i="9"/>
  <c r="C171" i="9"/>
  <c r="B171" i="9"/>
  <c r="P170" i="9"/>
  <c r="O170" i="9"/>
  <c r="M170" i="9"/>
  <c r="D170" i="9"/>
  <c r="C170" i="9"/>
  <c r="B170" i="9"/>
  <c r="P169" i="9"/>
  <c r="O169" i="9"/>
  <c r="M169" i="9"/>
  <c r="D169" i="9"/>
  <c r="C169" i="9"/>
  <c r="B169" i="9"/>
  <c r="P168" i="9"/>
  <c r="O168" i="9"/>
  <c r="M168" i="9"/>
  <c r="D168" i="9"/>
  <c r="C168" i="9"/>
  <c r="B168" i="9"/>
  <c r="P167" i="9"/>
  <c r="O167" i="9"/>
  <c r="M167" i="9"/>
  <c r="D167" i="9"/>
  <c r="C167" i="9"/>
  <c r="B167" i="9"/>
  <c r="P166" i="9"/>
  <c r="O166" i="9"/>
  <c r="M166" i="9"/>
  <c r="D166" i="9"/>
  <c r="C166" i="9"/>
  <c r="B166" i="9"/>
  <c r="P165" i="9"/>
  <c r="O165" i="9"/>
  <c r="M165" i="9"/>
  <c r="D165" i="9"/>
  <c r="C165" i="9"/>
  <c r="B165" i="9"/>
  <c r="P164" i="9"/>
  <c r="O164" i="9"/>
  <c r="M164" i="9"/>
  <c r="D164" i="9"/>
  <c r="C164" i="9"/>
  <c r="B164" i="9"/>
  <c r="P163" i="9"/>
  <c r="O163" i="9"/>
  <c r="M163" i="9"/>
  <c r="D163" i="9"/>
  <c r="C163" i="9"/>
  <c r="B163" i="9"/>
  <c r="P162" i="9"/>
  <c r="O162" i="9"/>
  <c r="M162" i="9"/>
  <c r="D162" i="9"/>
  <c r="C162" i="9"/>
  <c r="B162" i="9"/>
  <c r="P161" i="9"/>
  <c r="O161" i="9"/>
  <c r="M161" i="9"/>
  <c r="D161" i="9"/>
  <c r="C161" i="9"/>
  <c r="B161" i="9"/>
  <c r="P160" i="9"/>
  <c r="O160" i="9"/>
  <c r="M160" i="9"/>
  <c r="D160" i="9"/>
  <c r="C160" i="9"/>
  <c r="B160" i="9"/>
  <c r="P159" i="9"/>
  <c r="O159" i="9"/>
  <c r="M159" i="9"/>
  <c r="D159" i="9"/>
  <c r="C159" i="9"/>
  <c r="B159" i="9"/>
  <c r="P158" i="9"/>
  <c r="O158" i="9"/>
  <c r="M158" i="9"/>
  <c r="D158" i="9"/>
  <c r="C158" i="9"/>
  <c r="B158" i="9"/>
  <c r="P157" i="9"/>
  <c r="O157" i="9"/>
  <c r="M157" i="9"/>
  <c r="D157" i="9"/>
  <c r="C157" i="9"/>
  <c r="B157" i="9"/>
  <c r="P156" i="9"/>
  <c r="O156" i="9"/>
  <c r="M156" i="9"/>
  <c r="D156" i="9"/>
  <c r="C156" i="9"/>
  <c r="B156" i="9"/>
  <c r="P155" i="9"/>
  <c r="O155" i="9"/>
  <c r="M155" i="9"/>
  <c r="D155" i="9"/>
  <c r="C155" i="9"/>
  <c r="B155" i="9"/>
  <c r="P154" i="9"/>
  <c r="O154" i="9"/>
  <c r="M154" i="9"/>
  <c r="D154" i="9"/>
  <c r="C154" i="9"/>
  <c r="B154" i="9"/>
  <c r="P153" i="9"/>
  <c r="O153" i="9"/>
  <c r="M153" i="9"/>
  <c r="D153" i="9"/>
  <c r="C153" i="9"/>
  <c r="B153" i="9"/>
  <c r="P152" i="9"/>
  <c r="O152" i="9"/>
  <c r="M152" i="9"/>
  <c r="D152" i="9"/>
  <c r="C152" i="9"/>
  <c r="B152" i="9"/>
  <c r="P151" i="9"/>
  <c r="O151" i="9"/>
  <c r="M151" i="9"/>
  <c r="D151" i="9"/>
  <c r="C151" i="9"/>
  <c r="B151" i="9"/>
  <c r="P150" i="9"/>
  <c r="O150" i="9"/>
  <c r="M150" i="9"/>
  <c r="D150" i="9"/>
  <c r="C150" i="9"/>
  <c r="B150" i="9"/>
  <c r="P149" i="9"/>
  <c r="O149" i="9"/>
  <c r="M149" i="9"/>
  <c r="D149" i="9"/>
  <c r="C149" i="9"/>
  <c r="B149" i="9"/>
  <c r="P148" i="9"/>
  <c r="O148" i="9"/>
  <c r="M148" i="9"/>
  <c r="D148" i="9"/>
  <c r="C148" i="9"/>
  <c r="B148" i="9"/>
  <c r="P147" i="9"/>
  <c r="O147" i="9"/>
  <c r="M147" i="9"/>
  <c r="D147" i="9"/>
  <c r="C147" i="9"/>
  <c r="B147" i="9"/>
  <c r="P146" i="9"/>
  <c r="O146" i="9"/>
  <c r="M146" i="9"/>
  <c r="D146" i="9"/>
  <c r="C146" i="9"/>
  <c r="B146" i="9"/>
  <c r="P145" i="9"/>
  <c r="O145" i="9"/>
  <c r="M145" i="9"/>
  <c r="D145" i="9"/>
  <c r="C145" i="9"/>
  <c r="B145" i="9"/>
  <c r="P144" i="9"/>
  <c r="O144" i="9"/>
  <c r="M144" i="9"/>
  <c r="D144" i="9"/>
  <c r="C144" i="9"/>
  <c r="B144" i="9"/>
  <c r="P143" i="9"/>
  <c r="O143" i="9"/>
  <c r="M143" i="9"/>
  <c r="D143" i="9"/>
  <c r="C143" i="9"/>
  <c r="B143" i="9"/>
  <c r="P142" i="9"/>
  <c r="O142" i="9"/>
  <c r="M142" i="9"/>
  <c r="D142" i="9"/>
  <c r="C142" i="9"/>
  <c r="B142" i="9"/>
  <c r="P141" i="9"/>
  <c r="O141" i="9"/>
  <c r="M141" i="9"/>
  <c r="D141" i="9"/>
  <c r="C141" i="9"/>
  <c r="B141" i="9"/>
  <c r="P140" i="9"/>
  <c r="O140" i="9"/>
  <c r="M140" i="9"/>
  <c r="D140" i="9"/>
  <c r="C140" i="9"/>
  <c r="B140" i="9"/>
  <c r="P139" i="9"/>
  <c r="O139" i="9"/>
  <c r="M139" i="9"/>
  <c r="D139" i="9"/>
  <c r="C139" i="9"/>
  <c r="B139" i="9"/>
  <c r="P138" i="9"/>
  <c r="O138" i="9"/>
  <c r="M138" i="9"/>
  <c r="D138" i="9"/>
  <c r="C138" i="9"/>
  <c r="B138" i="9"/>
  <c r="P137" i="9"/>
  <c r="O137" i="9"/>
  <c r="M137" i="9"/>
  <c r="D137" i="9"/>
  <c r="C137" i="9"/>
  <c r="B137" i="9"/>
  <c r="P136" i="9"/>
  <c r="O136" i="9"/>
  <c r="M136" i="9"/>
  <c r="D136" i="9"/>
  <c r="C136" i="9"/>
  <c r="B136" i="9"/>
  <c r="P135" i="9"/>
  <c r="O135" i="9"/>
  <c r="M135" i="9"/>
  <c r="D135" i="9"/>
  <c r="C135" i="9"/>
  <c r="B135" i="9"/>
  <c r="P134" i="9"/>
  <c r="O134" i="9"/>
  <c r="M134" i="9"/>
  <c r="D134" i="9"/>
  <c r="C134" i="9"/>
  <c r="B134" i="9"/>
  <c r="P133" i="9"/>
  <c r="O133" i="9"/>
  <c r="M133" i="9"/>
  <c r="D133" i="9"/>
  <c r="C133" i="9"/>
  <c r="B133" i="9"/>
  <c r="P132" i="9"/>
  <c r="O132" i="9"/>
  <c r="M132" i="9"/>
  <c r="D132" i="9"/>
  <c r="C132" i="9"/>
  <c r="B132" i="9"/>
  <c r="P131" i="9"/>
  <c r="O131" i="9"/>
  <c r="M131" i="9"/>
  <c r="D131" i="9"/>
  <c r="C131" i="9"/>
  <c r="B131" i="9"/>
  <c r="P130" i="9"/>
  <c r="O130" i="9"/>
  <c r="M130" i="9"/>
  <c r="D130" i="9"/>
  <c r="C130" i="9"/>
  <c r="B130" i="9"/>
  <c r="P129" i="9"/>
  <c r="O129" i="9"/>
  <c r="M129" i="9"/>
  <c r="D129" i="9"/>
  <c r="C129" i="9"/>
  <c r="B129" i="9"/>
  <c r="P128" i="9"/>
  <c r="O128" i="9"/>
  <c r="M128" i="9"/>
  <c r="D128" i="9"/>
  <c r="C128" i="9"/>
  <c r="B128" i="9"/>
  <c r="P127" i="9"/>
  <c r="O127" i="9"/>
  <c r="M127" i="9"/>
  <c r="D127" i="9"/>
  <c r="C127" i="9"/>
  <c r="B127" i="9"/>
  <c r="P126" i="9"/>
  <c r="O126" i="9"/>
  <c r="M126" i="9"/>
  <c r="D126" i="9"/>
  <c r="C126" i="9"/>
  <c r="B126" i="9"/>
  <c r="P125" i="9"/>
  <c r="O125" i="9"/>
  <c r="M125" i="9"/>
  <c r="D125" i="9"/>
  <c r="C125" i="9"/>
  <c r="B125" i="9"/>
  <c r="P124" i="9"/>
  <c r="O124" i="9"/>
  <c r="M124" i="9"/>
  <c r="D124" i="9"/>
  <c r="C124" i="9"/>
  <c r="B124" i="9"/>
  <c r="P123" i="9"/>
  <c r="O123" i="9"/>
  <c r="M123" i="9"/>
  <c r="D123" i="9"/>
  <c r="C123" i="9"/>
  <c r="B123" i="9"/>
  <c r="P122" i="9"/>
  <c r="O122" i="9"/>
  <c r="M122" i="9"/>
  <c r="D122" i="9"/>
  <c r="C122" i="9"/>
  <c r="B122" i="9"/>
  <c r="P121" i="9"/>
  <c r="O121" i="9"/>
  <c r="M121" i="9"/>
  <c r="D121" i="9"/>
  <c r="C121" i="9"/>
  <c r="B121" i="9"/>
  <c r="P120" i="9"/>
  <c r="O120" i="9"/>
  <c r="M120" i="9"/>
  <c r="D120" i="9"/>
  <c r="C120" i="9"/>
  <c r="B120" i="9"/>
  <c r="P119" i="9"/>
  <c r="O119" i="9"/>
  <c r="M119" i="9"/>
  <c r="D119" i="9"/>
  <c r="C119" i="9"/>
  <c r="B119" i="9"/>
  <c r="P118" i="9"/>
  <c r="O118" i="9"/>
  <c r="M118" i="9"/>
  <c r="D118" i="9"/>
  <c r="C118" i="9"/>
  <c r="B118" i="9"/>
  <c r="P117" i="9"/>
  <c r="O117" i="9"/>
  <c r="M117" i="9"/>
  <c r="D117" i="9"/>
  <c r="C117" i="9"/>
  <c r="B117" i="9"/>
  <c r="P116" i="9"/>
  <c r="O116" i="9"/>
  <c r="M116" i="9"/>
  <c r="D116" i="9"/>
  <c r="C116" i="9"/>
  <c r="B116" i="9"/>
  <c r="P115" i="9"/>
  <c r="O115" i="9"/>
  <c r="M115" i="9"/>
  <c r="D115" i="9"/>
  <c r="C115" i="9"/>
  <c r="B115" i="9"/>
  <c r="P114" i="9"/>
  <c r="O114" i="9"/>
  <c r="M114" i="9"/>
  <c r="D114" i="9"/>
  <c r="C114" i="9"/>
  <c r="B114" i="9"/>
  <c r="P113" i="9"/>
  <c r="O113" i="9"/>
  <c r="M113" i="9"/>
  <c r="D113" i="9"/>
  <c r="C113" i="9"/>
  <c r="B113" i="9"/>
  <c r="P112" i="9"/>
  <c r="O112" i="9"/>
  <c r="M112" i="9"/>
  <c r="D112" i="9"/>
  <c r="C112" i="9"/>
  <c r="B112" i="9"/>
  <c r="P111" i="9"/>
  <c r="O111" i="9"/>
  <c r="M111" i="9"/>
  <c r="D111" i="9"/>
  <c r="C111" i="9"/>
  <c r="B111" i="9"/>
  <c r="P110" i="9"/>
  <c r="O110" i="9"/>
  <c r="M110" i="9"/>
  <c r="D110" i="9"/>
  <c r="C110" i="9"/>
  <c r="B110" i="9"/>
  <c r="P109" i="9"/>
  <c r="O109" i="9"/>
  <c r="M109" i="9"/>
  <c r="D109" i="9"/>
  <c r="C109" i="9"/>
  <c r="B109" i="9"/>
  <c r="P108" i="9"/>
  <c r="O108" i="9"/>
  <c r="M108" i="9"/>
  <c r="D108" i="9"/>
  <c r="C108" i="9"/>
  <c r="B108" i="9"/>
  <c r="P107" i="9"/>
  <c r="O107" i="9"/>
  <c r="M107" i="9"/>
  <c r="D107" i="9"/>
  <c r="C107" i="9"/>
  <c r="B107" i="9"/>
  <c r="P106" i="9"/>
  <c r="O106" i="9"/>
  <c r="M106" i="9"/>
  <c r="D106" i="9"/>
  <c r="C106" i="9"/>
  <c r="B106" i="9"/>
  <c r="P105" i="9"/>
  <c r="O105" i="9"/>
  <c r="M105" i="9"/>
  <c r="D105" i="9"/>
  <c r="C105" i="9"/>
  <c r="B105" i="9"/>
  <c r="P104" i="9"/>
  <c r="O104" i="9"/>
  <c r="M104" i="9"/>
  <c r="D104" i="9"/>
  <c r="C104" i="9"/>
  <c r="B104" i="9"/>
  <c r="P103" i="9"/>
  <c r="O103" i="9"/>
  <c r="M103" i="9"/>
  <c r="D103" i="9"/>
  <c r="C103" i="9"/>
  <c r="B103" i="9"/>
  <c r="P102" i="9"/>
  <c r="O102" i="9"/>
  <c r="M102" i="9"/>
  <c r="D102" i="9"/>
  <c r="C102" i="9"/>
  <c r="B102" i="9"/>
  <c r="P101" i="9"/>
  <c r="O101" i="9"/>
  <c r="M101" i="9"/>
  <c r="D101" i="9"/>
  <c r="C101" i="9"/>
  <c r="B101" i="9"/>
  <c r="P100" i="9"/>
  <c r="O100" i="9"/>
  <c r="M100" i="9"/>
  <c r="D100" i="9"/>
  <c r="C100" i="9"/>
  <c r="B100" i="9"/>
  <c r="P99" i="9"/>
  <c r="O99" i="9"/>
  <c r="M99" i="9"/>
  <c r="D99" i="9"/>
  <c r="C99" i="9"/>
  <c r="B99" i="9"/>
  <c r="P98" i="9"/>
  <c r="O98" i="9"/>
  <c r="M98" i="9"/>
  <c r="D98" i="9"/>
  <c r="C98" i="9"/>
  <c r="B98" i="9"/>
  <c r="P97" i="9"/>
  <c r="O97" i="9"/>
  <c r="M97" i="9"/>
  <c r="D97" i="9"/>
  <c r="C97" i="9"/>
  <c r="B97" i="9"/>
  <c r="P96" i="9"/>
  <c r="O96" i="9"/>
  <c r="M96" i="9"/>
  <c r="D96" i="9"/>
  <c r="C96" i="9"/>
  <c r="B96" i="9"/>
  <c r="P95" i="9"/>
  <c r="O95" i="9"/>
  <c r="M95" i="9"/>
  <c r="D95" i="9"/>
  <c r="C95" i="9"/>
  <c r="B95" i="9"/>
  <c r="P94" i="9"/>
  <c r="O94" i="9"/>
  <c r="M94" i="9"/>
  <c r="D94" i="9"/>
  <c r="C94" i="9"/>
  <c r="B94" i="9"/>
  <c r="P93" i="9"/>
  <c r="O93" i="9"/>
  <c r="M93" i="9"/>
  <c r="D93" i="9"/>
  <c r="C93" i="9"/>
  <c r="B93" i="9"/>
  <c r="P92" i="9"/>
  <c r="O92" i="9"/>
  <c r="M92" i="9"/>
  <c r="D92" i="9"/>
  <c r="C92" i="9"/>
  <c r="B92" i="9"/>
  <c r="P91" i="9"/>
  <c r="O91" i="9"/>
  <c r="M91" i="9"/>
  <c r="D91" i="9"/>
  <c r="C91" i="9"/>
  <c r="B91" i="9"/>
  <c r="P90" i="9"/>
  <c r="O90" i="9"/>
  <c r="M90" i="9"/>
  <c r="D90" i="9"/>
  <c r="C90" i="9"/>
  <c r="B90" i="9"/>
  <c r="P89" i="9"/>
  <c r="O89" i="9"/>
  <c r="M89" i="9"/>
  <c r="D89" i="9"/>
  <c r="C89" i="9"/>
  <c r="B89" i="9"/>
  <c r="P88" i="9"/>
  <c r="O88" i="9"/>
  <c r="M88" i="9"/>
  <c r="D88" i="9"/>
  <c r="C88" i="9"/>
  <c r="B88" i="9"/>
  <c r="P87" i="9"/>
  <c r="O87" i="9"/>
  <c r="M87" i="9"/>
  <c r="D87" i="9"/>
  <c r="C87" i="9"/>
  <c r="B87" i="9"/>
  <c r="P86" i="9"/>
  <c r="O86" i="9"/>
  <c r="M86" i="9"/>
  <c r="D86" i="9"/>
  <c r="C86" i="9"/>
  <c r="B86" i="9"/>
  <c r="P85" i="9"/>
  <c r="O85" i="9"/>
  <c r="M85" i="9"/>
  <c r="D85" i="9"/>
  <c r="C85" i="9"/>
  <c r="B85" i="9"/>
  <c r="P84" i="9"/>
  <c r="O84" i="9"/>
  <c r="M84" i="9"/>
  <c r="D84" i="9"/>
  <c r="C84" i="9"/>
  <c r="B84" i="9"/>
  <c r="P83" i="9"/>
  <c r="O83" i="9"/>
  <c r="M83" i="9"/>
  <c r="D83" i="9"/>
  <c r="C83" i="9"/>
  <c r="B83" i="9"/>
  <c r="P82" i="9"/>
  <c r="O82" i="9"/>
  <c r="M82" i="9"/>
  <c r="D82" i="9"/>
  <c r="C82" i="9"/>
  <c r="B82" i="9"/>
  <c r="P81" i="9"/>
  <c r="O81" i="9"/>
  <c r="M81" i="9"/>
  <c r="D81" i="9"/>
  <c r="C81" i="9"/>
  <c r="B81" i="9"/>
  <c r="P80" i="9"/>
  <c r="O80" i="9"/>
  <c r="M80" i="9"/>
  <c r="D80" i="9"/>
  <c r="C80" i="9"/>
  <c r="B80" i="9"/>
  <c r="P79" i="9"/>
  <c r="O79" i="9"/>
  <c r="M79" i="9"/>
  <c r="D79" i="9"/>
  <c r="C79" i="9"/>
  <c r="B79" i="9"/>
  <c r="P78" i="9"/>
  <c r="O78" i="9"/>
  <c r="M78" i="9"/>
  <c r="D78" i="9"/>
  <c r="C78" i="9"/>
  <c r="B78" i="9"/>
  <c r="P77" i="9"/>
  <c r="O77" i="9"/>
  <c r="M77" i="9"/>
  <c r="D77" i="9"/>
  <c r="C77" i="9"/>
  <c r="B77" i="9"/>
  <c r="P76" i="9"/>
  <c r="O76" i="9"/>
  <c r="M76" i="9"/>
  <c r="D76" i="9"/>
  <c r="C76" i="9"/>
  <c r="B76" i="9"/>
  <c r="P75" i="9"/>
  <c r="O75" i="9"/>
  <c r="M75" i="9"/>
  <c r="D75" i="9"/>
  <c r="C75" i="9"/>
  <c r="B75" i="9"/>
  <c r="P74" i="9"/>
  <c r="O74" i="9"/>
  <c r="M74" i="9"/>
  <c r="D74" i="9"/>
  <c r="C74" i="9"/>
  <c r="B74" i="9"/>
  <c r="P73" i="9"/>
  <c r="O73" i="9"/>
  <c r="M73" i="9"/>
  <c r="D73" i="9"/>
  <c r="C73" i="9"/>
  <c r="B73" i="9"/>
  <c r="P72" i="9"/>
  <c r="O72" i="9"/>
  <c r="M72" i="9"/>
  <c r="D72" i="9"/>
  <c r="C72" i="9"/>
  <c r="B72" i="9"/>
  <c r="P71" i="9"/>
  <c r="O71" i="9"/>
  <c r="M71" i="9"/>
  <c r="D71" i="9"/>
  <c r="C71" i="9"/>
  <c r="B71" i="9"/>
  <c r="P70" i="9"/>
  <c r="O70" i="9"/>
  <c r="M70" i="9"/>
  <c r="D70" i="9"/>
  <c r="C70" i="9"/>
  <c r="B70" i="9"/>
  <c r="P69" i="9"/>
  <c r="O69" i="9"/>
  <c r="M69" i="9"/>
  <c r="D69" i="9"/>
  <c r="C69" i="9"/>
  <c r="B69" i="9"/>
  <c r="P68" i="9"/>
  <c r="O68" i="9"/>
  <c r="M68" i="9"/>
  <c r="D68" i="9"/>
  <c r="C68" i="9"/>
  <c r="B68" i="9"/>
  <c r="P67" i="9"/>
  <c r="O67" i="9"/>
  <c r="M67" i="9"/>
  <c r="D67" i="9"/>
  <c r="C67" i="9"/>
  <c r="B67" i="9"/>
  <c r="P66" i="9"/>
  <c r="O66" i="9"/>
  <c r="M66" i="9"/>
  <c r="D66" i="9"/>
  <c r="C66" i="9"/>
  <c r="B66" i="9"/>
  <c r="P65" i="9"/>
  <c r="O65" i="9"/>
  <c r="M65" i="9"/>
  <c r="D65" i="9"/>
  <c r="C65" i="9"/>
  <c r="B65" i="9"/>
  <c r="P64" i="9"/>
  <c r="O64" i="9"/>
  <c r="M64" i="9"/>
  <c r="D64" i="9"/>
  <c r="C64" i="9"/>
  <c r="B64" i="9"/>
  <c r="P63" i="9"/>
  <c r="O63" i="9"/>
  <c r="M63" i="9"/>
  <c r="D63" i="9"/>
  <c r="C63" i="9"/>
  <c r="B63" i="9"/>
  <c r="P62" i="9"/>
  <c r="O62" i="9"/>
  <c r="M62" i="9"/>
  <c r="D62" i="9"/>
  <c r="C62" i="9"/>
  <c r="B62" i="9"/>
  <c r="P61" i="9"/>
  <c r="O61" i="9"/>
  <c r="M61" i="9"/>
  <c r="D61" i="9"/>
  <c r="C61" i="9"/>
  <c r="B61" i="9"/>
  <c r="P60" i="9"/>
  <c r="O60" i="9"/>
  <c r="M60" i="9"/>
  <c r="D60" i="9"/>
  <c r="C60" i="9"/>
  <c r="B60" i="9"/>
  <c r="P59" i="9"/>
  <c r="O59" i="9"/>
  <c r="M59" i="9"/>
  <c r="D59" i="9"/>
  <c r="C59" i="9"/>
  <c r="B59" i="9"/>
  <c r="P58" i="9"/>
  <c r="O58" i="9"/>
  <c r="M58" i="9"/>
  <c r="D58" i="9"/>
  <c r="C58" i="9"/>
  <c r="B58" i="9"/>
  <c r="P57" i="9"/>
  <c r="O57" i="9"/>
  <c r="M57" i="9"/>
  <c r="D57" i="9"/>
  <c r="C57" i="9"/>
  <c r="B57" i="9"/>
  <c r="P56" i="9"/>
  <c r="O56" i="9"/>
  <c r="M56" i="9"/>
  <c r="D56" i="9"/>
  <c r="C56" i="9"/>
  <c r="B56" i="9"/>
  <c r="P55" i="9"/>
  <c r="O55" i="9"/>
  <c r="M55" i="9"/>
  <c r="D55" i="9"/>
  <c r="C55" i="9"/>
  <c r="B55" i="9"/>
  <c r="P54" i="9"/>
  <c r="O54" i="9"/>
  <c r="M54" i="9"/>
  <c r="D54" i="9"/>
  <c r="C54" i="9"/>
  <c r="B54" i="9"/>
  <c r="P53" i="9"/>
  <c r="O53" i="9"/>
  <c r="M53" i="9"/>
  <c r="D53" i="9"/>
  <c r="C53" i="9"/>
  <c r="B53" i="9"/>
  <c r="P52" i="9"/>
  <c r="O52" i="9"/>
  <c r="M52" i="9"/>
  <c r="D52" i="9"/>
  <c r="C52" i="9"/>
  <c r="B52" i="9"/>
  <c r="P51" i="9"/>
  <c r="O51" i="9"/>
  <c r="M51" i="9"/>
  <c r="D51" i="9"/>
  <c r="C51" i="9"/>
  <c r="B51" i="9"/>
  <c r="P50" i="9"/>
  <c r="O50" i="9"/>
  <c r="M50" i="9"/>
  <c r="D50" i="9"/>
  <c r="C50" i="9"/>
  <c r="B50" i="9"/>
  <c r="P49" i="9"/>
  <c r="O49" i="9"/>
  <c r="M49" i="9"/>
  <c r="D49" i="9"/>
  <c r="C49" i="9"/>
  <c r="B49" i="9"/>
  <c r="P48" i="9"/>
  <c r="O48" i="9"/>
  <c r="M48" i="9"/>
  <c r="D48" i="9"/>
  <c r="C48" i="9"/>
  <c r="B48" i="9"/>
  <c r="P47" i="9"/>
  <c r="O47" i="9"/>
  <c r="M47" i="9"/>
  <c r="D47" i="9"/>
  <c r="C47" i="9"/>
  <c r="B47" i="9"/>
  <c r="P46" i="9"/>
  <c r="O46" i="9"/>
  <c r="M46" i="9"/>
  <c r="D46" i="9"/>
  <c r="C46" i="9"/>
  <c r="B46" i="9"/>
  <c r="P45" i="9"/>
  <c r="O45" i="9"/>
  <c r="M45" i="9"/>
  <c r="D45" i="9"/>
  <c r="C45" i="9"/>
  <c r="B45" i="9"/>
  <c r="P44" i="9"/>
  <c r="O44" i="9"/>
  <c r="M44" i="9"/>
  <c r="D44" i="9"/>
  <c r="C44" i="9"/>
  <c r="B44" i="9"/>
  <c r="P43" i="9"/>
  <c r="O43" i="9"/>
  <c r="M43" i="9"/>
  <c r="D43" i="9"/>
  <c r="C43" i="9"/>
  <c r="B43" i="9"/>
  <c r="P42" i="9"/>
  <c r="O42" i="9"/>
  <c r="M42" i="9"/>
  <c r="D42" i="9"/>
  <c r="C42" i="9"/>
  <c r="B42" i="9"/>
  <c r="P41" i="9"/>
  <c r="O41" i="9"/>
  <c r="M41" i="9"/>
  <c r="D41" i="9"/>
  <c r="C41" i="9"/>
  <c r="B41" i="9"/>
  <c r="P40" i="9"/>
  <c r="O40" i="9"/>
  <c r="M40" i="9"/>
  <c r="D40" i="9"/>
  <c r="C40" i="9"/>
  <c r="B40" i="9"/>
  <c r="P39" i="9"/>
  <c r="O39" i="9"/>
  <c r="M39" i="9"/>
  <c r="D39" i="9"/>
  <c r="C39" i="9"/>
  <c r="B39" i="9"/>
  <c r="P38" i="9"/>
  <c r="O38" i="9"/>
  <c r="M38" i="9"/>
  <c r="D38" i="9"/>
  <c r="C38" i="9"/>
  <c r="B38" i="9"/>
  <c r="P37" i="9"/>
  <c r="O37" i="9"/>
  <c r="M37" i="9"/>
  <c r="D37" i="9"/>
  <c r="C37" i="9"/>
  <c r="B37" i="9"/>
  <c r="P36" i="9"/>
  <c r="O36" i="9"/>
  <c r="M36" i="9"/>
  <c r="D36" i="9"/>
  <c r="C36" i="9"/>
  <c r="B36" i="9"/>
  <c r="P35" i="9"/>
  <c r="O35" i="9"/>
  <c r="M35" i="9"/>
  <c r="D35" i="9"/>
  <c r="C35" i="9"/>
  <c r="B35" i="9"/>
  <c r="P34" i="9"/>
  <c r="O34" i="9"/>
  <c r="M34" i="9"/>
  <c r="D34" i="9"/>
  <c r="C34" i="9"/>
  <c r="B34" i="9"/>
  <c r="P33" i="9"/>
  <c r="O33" i="9"/>
  <c r="M33" i="9"/>
  <c r="D33" i="9"/>
  <c r="C33" i="9"/>
  <c r="B33" i="9"/>
  <c r="P32" i="9"/>
  <c r="O32" i="9"/>
  <c r="M32" i="9"/>
  <c r="D32" i="9"/>
  <c r="C32" i="9"/>
  <c r="B32" i="9"/>
  <c r="P31" i="9"/>
  <c r="O31" i="9"/>
  <c r="M31" i="9"/>
  <c r="D31" i="9"/>
  <c r="C31" i="9"/>
  <c r="B31" i="9"/>
  <c r="P30" i="9"/>
  <c r="O30" i="9"/>
  <c r="M30" i="9"/>
  <c r="D30" i="9"/>
  <c r="C30" i="9"/>
  <c r="B30" i="9"/>
  <c r="P29" i="9"/>
  <c r="O29" i="9"/>
  <c r="M29" i="9"/>
  <c r="E29" i="9"/>
  <c r="S29" i="9" s="1"/>
  <c r="D29" i="9"/>
  <c r="C29" i="9"/>
  <c r="B29" i="9"/>
  <c r="P28" i="9"/>
  <c r="O28" i="9"/>
  <c r="M28" i="9"/>
  <c r="E28" i="9"/>
  <c r="D28" i="9"/>
  <c r="C28" i="9"/>
  <c r="B28" i="9"/>
  <c r="P27" i="9"/>
  <c r="O27" i="9"/>
  <c r="M27" i="9"/>
  <c r="E27" i="9"/>
  <c r="S27" i="9" s="1"/>
  <c r="D27" i="9"/>
  <c r="C27" i="9"/>
  <c r="B27" i="9"/>
  <c r="P26" i="9"/>
  <c r="O26" i="9"/>
  <c r="M26" i="9"/>
  <c r="E26" i="9"/>
  <c r="D26" i="9"/>
  <c r="C26" i="9"/>
  <c r="B26" i="9"/>
  <c r="P25" i="9"/>
  <c r="O25" i="9"/>
  <c r="M25" i="9"/>
  <c r="E25" i="9"/>
  <c r="D25" i="9"/>
  <c r="C25" i="9"/>
  <c r="B25" i="9"/>
  <c r="P24" i="9"/>
  <c r="O24" i="9"/>
  <c r="M24" i="9"/>
  <c r="E24" i="9"/>
  <c r="D24" i="9"/>
  <c r="C24" i="9"/>
  <c r="B24" i="9"/>
  <c r="P23" i="9"/>
  <c r="O23" i="9"/>
  <c r="M23" i="9"/>
  <c r="E23" i="9"/>
  <c r="D23" i="9"/>
  <c r="C23" i="9"/>
  <c r="B23" i="9"/>
  <c r="P22" i="9"/>
  <c r="O22" i="9"/>
  <c r="M22" i="9"/>
  <c r="E22" i="9"/>
  <c r="D22" i="9"/>
  <c r="C22" i="9"/>
  <c r="B22" i="9"/>
  <c r="P21" i="9"/>
  <c r="O21" i="9"/>
  <c r="M21" i="9"/>
  <c r="E21" i="9"/>
  <c r="D21" i="9"/>
  <c r="C21" i="9"/>
  <c r="B21" i="9"/>
  <c r="P20" i="9"/>
  <c r="O20" i="9"/>
  <c r="M20" i="9"/>
  <c r="E20" i="9"/>
  <c r="D20" i="9"/>
  <c r="C20" i="9"/>
  <c r="B20" i="9"/>
  <c r="P19" i="9"/>
  <c r="O19" i="9"/>
  <c r="M19" i="9"/>
  <c r="E19" i="9"/>
  <c r="S19" i="9" s="1"/>
  <c r="D19" i="9"/>
  <c r="C19" i="9"/>
  <c r="B19" i="9"/>
  <c r="P18" i="9"/>
  <c r="O18" i="9"/>
  <c r="M18" i="9"/>
  <c r="E18" i="9"/>
  <c r="D18" i="9"/>
  <c r="C18" i="9"/>
  <c r="B18" i="9"/>
  <c r="P17" i="9"/>
  <c r="O17" i="9"/>
  <c r="M17" i="9"/>
  <c r="E17" i="9"/>
  <c r="D17" i="9"/>
  <c r="C17" i="9"/>
  <c r="B17" i="9"/>
  <c r="P16" i="9"/>
  <c r="O16" i="9"/>
  <c r="M16" i="9"/>
  <c r="D16" i="9"/>
  <c r="C16" i="9"/>
  <c r="B16" i="9"/>
  <c r="P15" i="9"/>
  <c r="O15" i="9"/>
  <c r="M15" i="9"/>
  <c r="D15" i="9"/>
  <c r="C15" i="9"/>
  <c r="B15" i="9"/>
  <c r="P14" i="9"/>
  <c r="O14" i="9"/>
  <c r="M14" i="9"/>
  <c r="D14" i="9"/>
  <c r="C14" i="9"/>
  <c r="B14" i="9"/>
  <c r="P13" i="9"/>
  <c r="O13" i="9"/>
  <c r="M13" i="9"/>
  <c r="D13" i="9"/>
  <c r="C13" i="9"/>
  <c r="B13" i="9"/>
  <c r="P12" i="9"/>
  <c r="O12" i="9"/>
  <c r="M12" i="9"/>
  <c r="D12" i="9"/>
  <c r="C12" i="9"/>
  <c r="B12" i="9"/>
  <c r="P11" i="9"/>
  <c r="O11" i="9"/>
  <c r="M11" i="9"/>
  <c r="D11" i="9"/>
  <c r="C11" i="9"/>
  <c r="B11" i="9"/>
  <c r="P10" i="9"/>
  <c r="O10" i="9"/>
  <c r="M10" i="9"/>
  <c r="D10" i="9"/>
  <c r="C10" i="9"/>
  <c r="B10" i="9"/>
  <c r="P9" i="9"/>
  <c r="O9" i="9"/>
  <c r="M9" i="9"/>
  <c r="D9" i="9"/>
  <c r="C9" i="9"/>
  <c r="B9" i="9"/>
  <c r="P8" i="9"/>
  <c r="O8" i="9"/>
  <c r="M8" i="9"/>
  <c r="D8" i="9"/>
  <c r="C8" i="9"/>
  <c r="B8" i="9"/>
  <c r="P7" i="9"/>
  <c r="O7" i="9"/>
  <c r="M7" i="9"/>
  <c r="D7" i="9"/>
  <c r="C7" i="9"/>
  <c r="B7" i="9"/>
  <c r="P6" i="9"/>
  <c r="O6" i="9"/>
  <c r="M6" i="9"/>
  <c r="D6" i="9"/>
  <c r="C6" i="9"/>
  <c r="B6" i="9"/>
  <c r="P5" i="9"/>
  <c r="O5" i="9"/>
  <c r="M5" i="9"/>
  <c r="D5" i="9"/>
  <c r="C5" i="9"/>
  <c r="B5" i="9"/>
  <c r="P4" i="9"/>
  <c r="O4" i="9"/>
  <c r="M4" i="9"/>
  <c r="D4" i="9"/>
  <c r="C4" i="9"/>
  <c r="B4" i="9"/>
  <c r="P3" i="9"/>
  <c r="O3" i="9"/>
  <c r="M3" i="9"/>
  <c r="D3" i="9"/>
  <c r="C3" i="9"/>
  <c r="B3" i="9"/>
  <c r="P2" i="9"/>
  <c r="O2" i="9"/>
  <c r="M2" i="9"/>
  <c r="D2" i="9"/>
  <c r="C2" i="9"/>
  <c r="B2" i="9"/>
  <c r="M501" i="8"/>
  <c r="D501" i="8"/>
  <c r="C501" i="8"/>
  <c r="B501" i="8"/>
  <c r="M500" i="8"/>
  <c r="D500" i="8"/>
  <c r="C500" i="8"/>
  <c r="B500" i="8"/>
  <c r="M499" i="8"/>
  <c r="D499" i="8"/>
  <c r="C499" i="8"/>
  <c r="B499" i="8"/>
  <c r="M498" i="8"/>
  <c r="D498" i="8"/>
  <c r="C498" i="8"/>
  <c r="B498" i="8"/>
  <c r="M497" i="8"/>
  <c r="D497" i="8"/>
  <c r="C497" i="8"/>
  <c r="B497" i="8"/>
  <c r="M496" i="8"/>
  <c r="D496" i="8"/>
  <c r="C496" i="8"/>
  <c r="B496" i="8"/>
  <c r="M495" i="8"/>
  <c r="D495" i="8"/>
  <c r="C495" i="8"/>
  <c r="B495" i="8"/>
  <c r="M494" i="8"/>
  <c r="D494" i="8"/>
  <c r="C494" i="8"/>
  <c r="B494" i="8"/>
  <c r="M493" i="8"/>
  <c r="D493" i="8"/>
  <c r="C493" i="8"/>
  <c r="B493" i="8"/>
  <c r="M492" i="8"/>
  <c r="D492" i="8"/>
  <c r="C492" i="8"/>
  <c r="B492" i="8"/>
  <c r="M491" i="8"/>
  <c r="D491" i="8"/>
  <c r="C491" i="8"/>
  <c r="B491" i="8"/>
  <c r="M490" i="8"/>
  <c r="D490" i="8"/>
  <c r="C490" i="8"/>
  <c r="B490" i="8"/>
  <c r="M489" i="8"/>
  <c r="D489" i="8"/>
  <c r="C489" i="8"/>
  <c r="B489" i="8"/>
  <c r="M488" i="8"/>
  <c r="D488" i="8"/>
  <c r="C488" i="8"/>
  <c r="B488" i="8"/>
  <c r="M487" i="8"/>
  <c r="D487" i="8"/>
  <c r="C487" i="8"/>
  <c r="B487" i="8"/>
  <c r="M486" i="8"/>
  <c r="D486" i="8"/>
  <c r="C486" i="8"/>
  <c r="B486" i="8"/>
  <c r="M485" i="8"/>
  <c r="D485" i="8"/>
  <c r="C485" i="8"/>
  <c r="B485" i="8"/>
  <c r="M484" i="8"/>
  <c r="D484" i="8"/>
  <c r="C484" i="8"/>
  <c r="B484" i="8"/>
  <c r="M483" i="8"/>
  <c r="D483" i="8"/>
  <c r="C483" i="8"/>
  <c r="B483" i="8"/>
  <c r="M482" i="8"/>
  <c r="D482" i="8"/>
  <c r="C482" i="8"/>
  <c r="B482" i="8"/>
  <c r="M481" i="8"/>
  <c r="D481" i="8"/>
  <c r="C481" i="8"/>
  <c r="B481" i="8"/>
  <c r="M480" i="8"/>
  <c r="D480" i="8"/>
  <c r="C480" i="8"/>
  <c r="B480" i="8"/>
  <c r="M479" i="8"/>
  <c r="D479" i="8"/>
  <c r="C479" i="8"/>
  <c r="B479" i="8"/>
  <c r="M478" i="8"/>
  <c r="D478" i="8"/>
  <c r="C478" i="8"/>
  <c r="B478" i="8"/>
  <c r="M477" i="8"/>
  <c r="D477" i="8"/>
  <c r="C477" i="8"/>
  <c r="B477" i="8"/>
  <c r="M476" i="8"/>
  <c r="D476" i="8"/>
  <c r="C476" i="8"/>
  <c r="B476" i="8"/>
  <c r="M475" i="8"/>
  <c r="D475" i="8"/>
  <c r="C475" i="8"/>
  <c r="B475" i="8"/>
  <c r="M474" i="8"/>
  <c r="D474" i="8"/>
  <c r="C474" i="8"/>
  <c r="B474" i="8"/>
  <c r="M473" i="8"/>
  <c r="D473" i="8"/>
  <c r="C473" i="8"/>
  <c r="B473" i="8"/>
  <c r="M472" i="8"/>
  <c r="D472" i="8"/>
  <c r="C472" i="8"/>
  <c r="B472" i="8"/>
  <c r="M471" i="8"/>
  <c r="D471" i="8"/>
  <c r="C471" i="8"/>
  <c r="B471" i="8"/>
  <c r="M470" i="8"/>
  <c r="D470" i="8"/>
  <c r="C470" i="8"/>
  <c r="B470" i="8"/>
  <c r="M469" i="8"/>
  <c r="D469" i="8"/>
  <c r="C469" i="8"/>
  <c r="B469" i="8"/>
  <c r="M468" i="8"/>
  <c r="D468" i="8"/>
  <c r="C468" i="8"/>
  <c r="B468" i="8"/>
  <c r="M467" i="8"/>
  <c r="D467" i="8"/>
  <c r="C467" i="8"/>
  <c r="B467" i="8"/>
  <c r="M466" i="8"/>
  <c r="D466" i="8"/>
  <c r="C466" i="8"/>
  <c r="B466" i="8"/>
  <c r="M465" i="8"/>
  <c r="D465" i="8"/>
  <c r="C465" i="8"/>
  <c r="B465" i="8"/>
  <c r="M464" i="8"/>
  <c r="D464" i="8"/>
  <c r="C464" i="8"/>
  <c r="B464" i="8"/>
  <c r="M463" i="8"/>
  <c r="D463" i="8"/>
  <c r="C463" i="8"/>
  <c r="B463" i="8"/>
  <c r="M462" i="8"/>
  <c r="D462" i="8"/>
  <c r="C462" i="8"/>
  <c r="B462" i="8"/>
  <c r="M461" i="8"/>
  <c r="D461" i="8"/>
  <c r="C461" i="8"/>
  <c r="B461" i="8"/>
  <c r="M460" i="8"/>
  <c r="D460" i="8"/>
  <c r="C460" i="8"/>
  <c r="B460" i="8"/>
  <c r="M459" i="8"/>
  <c r="D459" i="8"/>
  <c r="C459" i="8"/>
  <c r="B459" i="8"/>
  <c r="M458" i="8"/>
  <c r="D458" i="8"/>
  <c r="C458" i="8"/>
  <c r="B458" i="8"/>
  <c r="M457" i="8"/>
  <c r="D457" i="8"/>
  <c r="C457" i="8"/>
  <c r="B457" i="8"/>
  <c r="M456" i="8"/>
  <c r="D456" i="8"/>
  <c r="C456" i="8"/>
  <c r="B456" i="8"/>
  <c r="M455" i="8"/>
  <c r="D455" i="8"/>
  <c r="C455" i="8"/>
  <c r="B455" i="8"/>
  <c r="M454" i="8"/>
  <c r="D454" i="8"/>
  <c r="C454" i="8"/>
  <c r="B454" i="8"/>
  <c r="M453" i="8"/>
  <c r="D453" i="8"/>
  <c r="C453" i="8"/>
  <c r="B453" i="8"/>
  <c r="M452" i="8"/>
  <c r="D452" i="8"/>
  <c r="C452" i="8"/>
  <c r="B452" i="8"/>
  <c r="M451" i="8"/>
  <c r="D451" i="8"/>
  <c r="C451" i="8"/>
  <c r="B451" i="8"/>
  <c r="M450" i="8"/>
  <c r="D450" i="8"/>
  <c r="C450" i="8"/>
  <c r="B450" i="8"/>
  <c r="M449" i="8"/>
  <c r="D449" i="8"/>
  <c r="C449" i="8"/>
  <c r="B449" i="8"/>
  <c r="M448" i="8"/>
  <c r="D448" i="8"/>
  <c r="C448" i="8"/>
  <c r="B448" i="8"/>
  <c r="M447" i="8"/>
  <c r="D447" i="8"/>
  <c r="C447" i="8"/>
  <c r="B447" i="8"/>
  <c r="M446" i="8"/>
  <c r="D446" i="8"/>
  <c r="C446" i="8"/>
  <c r="B446" i="8"/>
  <c r="M445" i="8"/>
  <c r="D445" i="8"/>
  <c r="C445" i="8"/>
  <c r="B445" i="8"/>
  <c r="M444" i="8"/>
  <c r="D444" i="8"/>
  <c r="C444" i="8"/>
  <c r="B444" i="8"/>
  <c r="M443" i="8"/>
  <c r="D443" i="8"/>
  <c r="C443" i="8"/>
  <c r="B443" i="8"/>
  <c r="M442" i="8"/>
  <c r="D442" i="8"/>
  <c r="C442" i="8"/>
  <c r="B442" i="8"/>
  <c r="M441" i="8"/>
  <c r="D441" i="8"/>
  <c r="C441" i="8"/>
  <c r="B441" i="8"/>
  <c r="M440" i="8"/>
  <c r="D440" i="8"/>
  <c r="C440" i="8"/>
  <c r="B440" i="8"/>
  <c r="M439" i="8"/>
  <c r="D439" i="8"/>
  <c r="C439" i="8"/>
  <c r="B439" i="8"/>
  <c r="M438" i="8"/>
  <c r="D438" i="8"/>
  <c r="C438" i="8"/>
  <c r="B438" i="8"/>
  <c r="M437" i="8"/>
  <c r="D437" i="8"/>
  <c r="C437" i="8"/>
  <c r="B437" i="8"/>
  <c r="M436" i="8"/>
  <c r="D436" i="8"/>
  <c r="C436" i="8"/>
  <c r="B436" i="8"/>
  <c r="M435" i="8"/>
  <c r="D435" i="8"/>
  <c r="C435" i="8"/>
  <c r="B435" i="8"/>
  <c r="M434" i="8"/>
  <c r="D434" i="8"/>
  <c r="C434" i="8"/>
  <c r="B434" i="8"/>
  <c r="M433" i="8"/>
  <c r="D433" i="8"/>
  <c r="C433" i="8"/>
  <c r="B433" i="8"/>
  <c r="M432" i="8"/>
  <c r="D432" i="8"/>
  <c r="C432" i="8"/>
  <c r="B432" i="8"/>
  <c r="M431" i="8"/>
  <c r="D431" i="8"/>
  <c r="C431" i="8"/>
  <c r="B431" i="8"/>
  <c r="M430" i="8"/>
  <c r="D430" i="8"/>
  <c r="C430" i="8"/>
  <c r="B430" i="8"/>
  <c r="M429" i="8"/>
  <c r="D429" i="8"/>
  <c r="C429" i="8"/>
  <c r="B429" i="8"/>
  <c r="M428" i="8"/>
  <c r="D428" i="8"/>
  <c r="C428" i="8"/>
  <c r="B428" i="8"/>
  <c r="M427" i="8"/>
  <c r="D427" i="8"/>
  <c r="C427" i="8"/>
  <c r="B427" i="8"/>
  <c r="M426" i="8"/>
  <c r="D426" i="8"/>
  <c r="C426" i="8"/>
  <c r="B426" i="8"/>
  <c r="M425" i="8"/>
  <c r="D425" i="8"/>
  <c r="C425" i="8"/>
  <c r="B425" i="8"/>
  <c r="M424" i="8"/>
  <c r="D424" i="8"/>
  <c r="C424" i="8"/>
  <c r="B424" i="8"/>
  <c r="M423" i="8"/>
  <c r="D423" i="8"/>
  <c r="C423" i="8"/>
  <c r="B423" i="8"/>
  <c r="M422" i="8"/>
  <c r="E422" i="8"/>
  <c r="D422" i="8"/>
  <c r="C422" i="8"/>
  <c r="B422" i="8"/>
  <c r="M421" i="8"/>
  <c r="E421" i="8"/>
  <c r="D421" i="8"/>
  <c r="C421" i="8"/>
  <c r="B421" i="8"/>
  <c r="M420" i="8"/>
  <c r="E420" i="8"/>
  <c r="D420" i="8"/>
  <c r="C420" i="8"/>
  <c r="B420" i="8"/>
  <c r="M419" i="8"/>
  <c r="E419" i="8"/>
  <c r="D419" i="8"/>
  <c r="C419" i="8"/>
  <c r="B419" i="8"/>
  <c r="M418" i="8"/>
  <c r="E418" i="8"/>
  <c r="D418" i="8"/>
  <c r="C418" i="8"/>
  <c r="B418" i="8"/>
  <c r="M417" i="8"/>
  <c r="E417" i="8"/>
  <c r="D417" i="8"/>
  <c r="C417" i="8"/>
  <c r="B417" i="8"/>
  <c r="M416" i="8"/>
  <c r="E416" i="8"/>
  <c r="D416" i="8"/>
  <c r="C416" i="8"/>
  <c r="B416" i="8"/>
  <c r="M415" i="8"/>
  <c r="E415" i="8"/>
  <c r="D415" i="8"/>
  <c r="C415" i="8"/>
  <c r="B415" i="8"/>
  <c r="M414" i="8"/>
  <c r="E414" i="8"/>
  <c r="D414" i="8"/>
  <c r="C414" i="8"/>
  <c r="B414" i="8"/>
  <c r="M413" i="8"/>
  <c r="E413" i="8"/>
  <c r="D413" i="8"/>
  <c r="C413" i="8"/>
  <c r="B413" i="8"/>
  <c r="M412" i="8"/>
  <c r="E412" i="8"/>
  <c r="D412" i="8"/>
  <c r="C412" i="8"/>
  <c r="B412" i="8"/>
  <c r="M411" i="8"/>
  <c r="E411" i="8"/>
  <c r="D411" i="8"/>
  <c r="C411" i="8"/>
  <c r="B411" i="8"/>
  <c r="M410" i="8"/>
  <c r="E410" i="8"/>
  <c r="D410" i="8"/>
  <c r="C410" i="8"/>
  <c r="B410" i="8"/>
  <c r="M409" i="8"/>
  <c r="E409" i="8"/>
  <c r="D409" i="8"/>
  <c r="C409" i="8"/>
  <c r="B409" i="8"/>
  <c r="M408" i="8"/>
  <c r="E408" i="8"/>
  <c r="D408" i="8"/>
  <c r="C408" i="8"/>
  <c r="B408" i="8"/>
  <c r="M407" i="8"/>
  <c r="E407" i="8"/>
  <c r="D407" i="8"/>
  <c r="C407" i="8"/>
  <c r="B407" i="8"/>
  <c r="M406" i="8"/>
  <c r="E406" i="8"/>
  <c r="D406" i="8"/>
  <c r="C406" i="8"/>
  <c r="B406" i="8"/>
  <c r="M405" i="8"/>
  <c r="E405" i="8"/>
  <c r="D405" i="8"/>
  <c r="C405" i="8"/>
  <c r="B405" i="8"/>
  <c r="M404" i="8"/>
  <c r="E404" i="8"/>
  <c r="D404" i="8"/>
  <c r="C404" i="8"/>
  <c r="B404" i="8"/>
  <c r="M403" i="8"/>
  <c r="E403" i="8"/>
  <c r="D403" i="8"/>
  <c r="C403" i="8"/>
  <c r="B403" i="8"/>
  <c r="M402" i="8"/>
  <c r="E402" i="8"/>
  <c r="D402" i="8"/>
  <c r="C402" i="8"/>
  <c r="B402" i="8"/>
  <c r="M401" i="8"/>
  <c r="E401" i="8"/>
  <c r="D401" i="8"/>
  <c r="C401" i="8"/>
  <c r="B401" i="8"/>
  <c r="M400" i="8"/>
  <c r="E400" i="8"/>
  <c r="D400" i="8"/>
  <c r="C400" i="8"/>
  <c r="B400" i="8"/>
  <c r="M399" i="8"/>
  <c r="E399" i="8"/>
  <c r="D399" i="8"/>
  <c r="C399" i="8"/>
  <c r="B399" i="8"/>
  <c r="M398" i="8"/>
  <c r="E398" i="8"/>
  <c r="D398" i="8"/>
  <c r="C398" i="8"/>
  <c r="B398" i="8"/>
  <c r="M397" i="8"/>
  <c r="E397" i="8"/>
  <c r="D397" i="8"/>
  <c r="C397" i="8"/>
  <c r="B397" i="8"/>
  <c r="M396" i="8"/>
  <c r="E396" i="8"/>
  <c r="D396" i="8"/>
  <c r="C396" i="8"/>
  <c r="B396" i="8"/>
  <c r="M395" i="8"/>
  <c r="E395" i="8"/>
  <c r="D395" i="8"/>
  <c r="C395" i="8"/>
  <c r="B395" i="8"/>
  <c r="M394" i="8"/>
  <c r="E394" i="8"/>
  <c r="D394" i="8"/>
  <c r="C394" i="8"/>
  <c r="B394" i="8"/>
  <c r="M393" i="8"/>
  <c r="E393" i="8"/>
  <c r="D393" i="8"/>
  <c r="C393" i="8"/>
  <c r="B393" i="8"/>
  <c r="M392" i="8"/>
  <c r="E392" i="8"/>
  <c r="D392" i="8"/>
  <c r="C392" i="8"/>
  <c r="B392" i="8"/>
  <c r="M391" i="8"/>
  <c r="E391" i="8"/>
  <c r="D391" i="8"/>
  <c r="C391" i="8"/>
  <c r="B391" i="8"/>
  <c r="M390" i="8"/>
  <c r="E390" i="8"/>
  <c r="D390" i="8"/>
  <c r="C390" i="8"/>
  <c r="B390" i="8"/>
  <c r="M389" i="8"/>
  <c r="E389" i="8"/>
  <c r="D389" i="8"/>
  <c r="C389" i="8"/>
  <c r="B389" i="8"/>
  <c r="M388" i="8"/>
  <c r="E388" i="8"/>
  <c r="D388" i="8"/>
  <c r="C388" i="8"/>
  <c r="B388" i="8"/>
  <c r="M387" i="8"/>
  <c r="E387" i="8"/>
  <c r="D387" i="8"/>
  <c r="C387" i="8"/>
  <c r="B387" i="8"/>
  <c r="M386" i="8"/>
  <c r="E386" i="8"/>
  <c r="D386" i="8"/>
  <c r="C386" i="8"/>
  <c r="B386" i="8"/>
  <c r="M385" i="8"/>
  <c r="E385" i="8"/>
  <c r="D385" i="8"/>
  <c r="C385" i="8"/>
  <c r="B385" i="8"/>
  <c r="M384" i="8"/>
  <c r="E384" i="8"/>
  <c r="D384" i="8"/>
  <c r="C384" i="8"/>
  <c r="B384" i="8"/>
  <c r="M383" i="8"/>
  <c r="E383" i="8"/>
  <c r="D383" i="8"/>
  <c r="C383" i="8"/>
  <c r="B383" i="8"/>
  <c r="M382" i="8"/>
  <c r="E382" i="8"/>
  <c r="D382" i="8"/>
  <c r="C382" i="8"/>
  <c r="B382" i="8"/>
  <c r="M381" i="8"/>
  <c r="E381" i="8"/>
  <c r="D381" i="8"/>
  <c r="C381" i="8"/>
  <c r="B381" i="8"/>
  <c r="M380" i="8"/>
  <c r="E380" i="8"/>
  <c r="D380" i="8"/>
  <c r="C380" i="8"/>
  <c r="B380" i="8"/>
  <c r="M379" i="8"/>
  <c r="E379" i="8"/>
  <c r="D379" i="8"/>
  <c r="C379" i="8"/>
  <c r="B379" i="8"/>
  <c r="M378" i="8"/>
  <c r="E378" i="8"/>
  <c r="D378" i="8"/>
  <c r="C378" i="8"/>
  <c r="B378" i="8"/>
  <c r="M377" i="8"/>
  <c r="E377" i="8"/>
  <c r="D377" i="8"/>
  <c r="C377" i="8"/>
  <c r="B377" i="8"/>
  <c r="M376" i="8"/>
  <c r="E376" i="8"/>
  <c r="D376" i="8"/>
  <c r="C376" i="8"/>
  <c r="B376" i="8"/>
  <c r="M375" i="8"/>
  <c r="E375" i="8"/>
  <c r="D375" i="8"/>
  <c r="C375" i="8"/>
  <c r="B375" i="8"/>
  <c r="M374" i="8"/>
  <c r="E374" i="8"/>
  <c r="D374" i="8"/>
  <c r="C374" i="8"/>
  <c r="B374" i="8"/>
  <c r="M373" i="8"/>
  <c r="E373" i="8"/>
  <c r="D373" i="8"/>
  <c r="C373" i="8"/>
  <c r="B373" i="8"/>
  <c r="M372" i="8"/>
  <c r="E372" i="8"/>
  <c r="D372" i="8"/>
  <c r="C372" i="8"/>
  <c r="B372" i="8"/>
  <c r="M371" i="8"/>
  <c r="E371" i="8"/>
  <c r="D371" i="8"/>
  <c r="C371" i="8"/>
  <c r="B371" i="8"/>
  <c r="M370" i="8"/>
  <c r="E370" i="8"/>
  <c r="D370" i="8"/>
  <c r="C370" i="8"/>
  <c r="B370" i="8"/>
  <c r="M369" i="8"/>
  <c r="E369" i="8"/>
  <c r="D369" i="8"/>
  <c r="C369" i="8"/>
  <c r="B369" i="8"/>
  <c r="M368" i="8"/>
  <c r="E368" i="8"/>
  <c r="D368" i="8"/>
  <c r="C368" i="8"/>
  <c r="B368" i="8"/>
  <c r="M367" i="8"/>
  <c r="E367" i="8"/>
  <c r="D367" i="8"/>
  <c r="C367" i="8"/>
  <c r="B367" i="8"/>
  <c r="M366" i="8"/>
  <c r="E366" i="8"/>
  <c r="D366" i="8"/>
  <c r="C366" i="8"/>
  <c r="B366" i="8"/>
  <c r="M365" i="8"/>
  <c r="E365" i="8"/>
  <c r="D365" i="8"/>
  <c r="C365" i="8"/>
  <c r="B365" i="8"/>
  <c r="M364" i="8"/>
  <c r="E364" i="8"/>
  <c r="D364" i="8"/>
  <c r="C364" i="8"/>
  <c r="B364" i="8"/>
  <c r="M363" i="8"/>
  <c r="E363" i="8"/>
  <c r="D363" i="8"/>
  <c r="C363" i="8"/>
  <c r="B363" i="8"/>
  <c r="M362" i="8"/>
  <c r="E362" i="8"/>
  <c r="D362" i="8"/>
  <c r="C362" i="8"/>
  <c r="B362" i="8"/>
  <c r="M361" i="8"/>
  <c r="E361" i="8"/>
  <c r="D361" i="8"/>
  <c r="C361" i="8"/>
  <c r="B361" i="8"/>
  <c r="M360" i="8"/>
  <c r="E360" i="8"/>
  <c r="D360" i="8"/>
  <c r="C360" i="8"/>
  <c r="B360" i="8"/>
  <c r="M359" i="8"/>
  <c r="E359" i="8"/>
  <c r="D359" i="8"/>
  <c r="C359" i="8"/>
  <c r="B359" i="8"/>
  <c r="M358" i="8"/>
  <c r="E358" i="8"/>
  <c r="D358" i="8"/>
  <c r="C358" i="8"/>
  <c r="B358" i="8"/>
  <c r="M357" i="8"/>
  <c r="E357" i="8"/>
  <c r="D357" i="8"/>
  <c r="C357" i="8"/>
  <c r="B357" i="8"/>
  <c r="M356" i="8"/>
  <c r="E356" i="8"/>
  <c r="D356" i="8"/>
  <c r="C356" i="8"/>
  <c r="B356" i="8"/>
  <c r="M355" i="8"/>
  <c r="E355" i="8"/>
  <c r="D355" i="8"/>
  <c r="C355" i="8"/>
  <c r="B355" i="8"/>
  <c r="M354" i="8"/>
  <c r="E354" i="8"/>
  <c r="D354" i="8"/>
  <c r="C354" i="8"/>
  <c r="B354" i="8"/>
  <c r="M353" i="8"/>
  <c r="E353" i="8"/>
  <c r="D353" i="8"/>
  <c r="C353" i="8"/>
  <c r="B353" i="8"/>
  <c r="M352" i="8"/>
  <c r="E352" i="8"/>
  <c r="D352" i="8"/>
  <c r="C352" i="8"/>
  <c r="B352" i="8"/>
  <c r="M351" i="8"/>
  <c r="E351" i="8"/>
  <c r="D351" i="8"/>
  <c r="C351" i="8"/>
  <c r="B351" i="8"/>
  <c r="M350" i="8"/>
  <c r="E350" i="8"/>
  <c r="D350" i="8"/>
  <c r="C350" i="8"/>
  <c r="B350" i="8"/>
  <c r="M349" i="8"/>
  <c r="E349" i="8"/>
  <c r="D349" i="8"/>
  <c r="C349" i="8"/>
  <c r="B349" i="8"/>
  <c r="M348" i="8"/>
  <c r="E348" i="8"/>
  <c r="D348" i="8"/>
  <c r="C348" i="8"/>
  <c r="B348" i="8"/>
  <c r="M347" i="8"/>
  <c r="E347" i="8"/>
  <c r="D347" i="8"/>
  <c r="C347" i="8"/>
  <c r="B347" i="8"/>
  <c r="M346" i="8"/>
  <c r="E346" i="8"/>
  <c r="D346" i="8"/>
  <c r="C346" i="8"/>
  <c r="B346" i="8"/>
  <c r="M345" i="8"/>
  <c r="E345" i="8"/>
  <c r="D345" i="8"/>
  <c r="C345" i="8"/>
  <c r="B345" i="8"/>
  <c r="M344" i="8"/>
  <c r="E344" i="8"/>
  <c r="D344" i="8"/>
  <c r="C344" i="8"/>
  <c r="B344" i="8"/>
  <c r="M343" i="8"/>
  <c r="E343" i="8"/>
  <c r="D343" i="8"/>
  <c r="C343" i="8"/>
  <c r="B343" i="8"/>
  <c r="M342" i="8"/>
  <c r="E342" i="8"/>
  <c r="D342" i="8"/>
  <c r="C342" i="8"/>
  <c r="B342" i="8"/>
  <c r="M341" i="8"/>
  <c r="E341" i="8"/>
  <c r="D341" i="8"/>
  <c r="C341" i="8"/>
  <c r="B341" i="8"/>
  <c r="M340" i="8"/>
  <c r="E340" i="8"/>
  <c r="D340" i="8"/>
  <c r="C340" i="8"/>
  <c r="B340" i="8"/>
  <c r="M339" i="8"/>
  <c r="E339" i="8"/>
  <c r="D339" i="8"/>
  <c r="C339" i="8"/>
  <c r="B339" i="8"/>
  <c r="M338" i="8"/>
  <c r="E338" i="8"/>
  <c r="D338" i="8"/>
  <c r="C338" i="8"/>
  <c r="B338" i="8"/>
  <c r="M337" i="8"/>
  <c r="E337" i="8"/>
  <c r="D337" i="8"/>
  <c r="C337" i="8"/>
  <c r="B337" i="8"/>
  <c r="M336" i="8"/>
  <c r="E336" i="8"/>
  <c r="D336" i="8"/>
  <c r="C336" i="8"/>
  <c r="B336" i="8"/>
  <c r="M335" i="8"/>
  <c r="E335" i="8"/>
  <c r="D335" i="8"/>
  <c r="C335" i="8"/>
  <c r="B335" i="8"/>
  <c r="M334" i="8"/>
  <c r="E334" i="8"/>
  <c r="D334" i="8"/>
  <c r="C334" i="8"/>
  <c r="B334" i="8"/>
  <c r="M333" i="8"/>
  <c r="E333" i="8"/>
  <c r="D333" i="8"/>
  <c r="C333" i="8"/>
  <c r="B333" i="8"/>
  <c r="M332" i="8"/>
  <c r="E332" i="8"/>
  <c r="D332" i="8"/>
  <c r="C332" i="8"/>
  <c r="B332" i="8"/>
  <c r="M331" i="8"/>
  <c r="E331" i="8"/>
  <c r="D331" i="8"/>
  <c r="C331" i="8"/>
  <c r="B331" i="8"/>
  <c r="M330" i="8"/>
  <c r="E330" i="8"/>
  <c r="D330" i="8"/>
  <c r="C330" i="8"/>
  <c r="B330" i="8"/>
  <c r="M329" i="8"/>
  <c r="E329" i="8"/>
  <c r="D329" i="8"/>
  <c r="C329" i="8"/>
  <c r="B329" i="8"/>
  <c r="M328" i="8"/>
  <c r="E328" i="8"/>
  <c r="D328" i="8"/>
  <c r="C328" i="8"/>
  <c r="B328" i="8"/>
  <c r="M327" i="8"/>
  <c r="E327" i="8"/>
  <c r="D327" i="8"/>
  <c r="C327" i="8"/>
  <c r="B327" i="8"/>
  <c r="M326" i="8"/>
  <c r="E326" i="8"/>
  <c r="D326" i="8"/>
  <c r="C326" i="8"/>
  <c r="B326" i="8"/>
  <c r="M325" i="8"/>
  <c r="E325" i="8"/>
  <c r="D325" i="8"/>
  <c r="C325" i="8"/>
  <c r="B325" i="8"/>
  <c r="M324" i="8"/>
  <c r="E324" i="8"/>
  <c r="D324" i="8"/>
  <c r="C324" i="8"/>
  <c r="B324" i="8"/>
  <c r="M323" i="8"/>
  <c r="E323" i="8"/>
  <c r="D323" i="8"/>
  <c r="C323" i="8"/>
  <c r="B323" i="8"/>
  <c r="M322" i="8"/>
  <c r="E322" i="8"/>
  <c r="D322" i="8"/>
  <c r="C322" i="8"/>
  <c r="B322" i="8"/>
  <c r="M321" i="8"/>
  <c r="E321" i="8"/>
  <c r="D321" i="8"/>
  <c r="C321" i="8"/>
  <c r="B321" i="8"/>
  <c r="M320" i="8"/>
  <c r="E320" i="8"/>
  <c r="D320" i="8"/>
  <c r="C320" i="8"/>
  <c r="B320" i="8"/>
  <c r="M319" i="8"/>
  <c r="E319" i="8"/>
  <c r="D319" i="8"/>
  <c r="C319" i="8"/>
  <c r="B319" i="8"/>
  <c r="M318" i="8"/>
  <c r="E318" i="8"/>
  <c r="D318" i="8"/>
  <c r="C318" i="8"/>
  <c r="B318" i="8"/>
  <c r="M317" i="8"/>
  <c r="E317" i="8"/>
  <c r="D317" i="8"/>
  <c r="C317" i="8"/>
  <c r="B317" i="8"/>
  <c r="M316" i="8"/>
  <c r="E316" i="8"/>
  <c r="D316" i="8"/>
  <c r="C316" i="8"/>
  <c r="B316" i="8"/>
  <c r="M315" i="8"/>
  <c r="E315" i="8"/>
  <c r="D315" i="8"/>
  <c r="C315" i="8"/>
  <c r="B315" i="8"/>
  <c r="M314" i="8"/>
  <c r="E314" i="8"/>
  <c r="D314" i="8"/>
  <c r="C314" i="8"/>
  <c r="B314" i="8"/>
  <c r="M313" i="8"/>
  <c r="E313" i="8"/>
  <c r="D313" i="8"/>
  <c r="C313" i="8"/>
  <c r="B313" i="8"/>
  <c r="M312" i="8"/>
  <c r="E312" i="8"/>
  <c r="D312" i="8"/>
  <c r="C312" i="8"/>
  <c r="B312" i="8"/>
  <c r="M311" i="8"/>
  <c r="E311" i="8"/>
  <c r="D311" i="8"/>
  <c r="C311" i="8"/>
  <c r="B311" i="8"/>
  <c r="M310" i="8"/>
  <c r="E310" i="8"/>
  <c r="D310" i="8"/>
  <c r="C310" i="8"/>
  <c r="B310" i="8"/>
  <c r="M309" i="8"/>
  <c r="E309" i="8"/>
  <c r="D309" i="8"/>
  <c r="C309" i="8"/>
  <c r="B309" i="8"/>
  <c r="M308" i="8"/>
  <c r="E308" i="8"/>
  <c r="D308" i="8"/>
  <c r="C308" i="8"/>
  <c r="B308" i="8"/>
  <c r="M307" i="8"/>
  <c r="E307" i="8"/>
  <c r="D307" i="8"/>
  <c r="C307" i="8"/>
  <c r="B307" i="8"/>
  <c r="M306" i="8"/>
  <c r="E306" i="8"/>
  <c r="D306" i="8"/>
  <c r="C306" i="8"/>
  <c r="B306" i="8"/>
  <c r="M305" i="8"/>
  <c r="E305" i="8"/>
  <c r="D305" i="8"/>
  <c r="C305" i="8"/>
  <c r="B305" i="8"/>
  <c r="M304" i="8"/>
  <c r="E304" i="8"/>
  <c r="D304" i="8"/>
  <c r="C304" i="8"/>
  <c r="B304" i="8"/>
  <c r="M303" i="8"/>
  <c r="E303" i="8"/>
  <c r="D303" i="8"/>
  <c r="C303" i="8"/>
  <c r="B303" i="8"/>
  <c r="M302" i="8"/>
  <c r="E302" i="8"/>
  <c r="D302" i="8"/>
  <c r="C302" i="8"/>
  <c r="B302" i="8"/>
  <c r="M301" i="8"/>
  <c r="E301" i="8"/>
  <c r="D301" i="8"/>
  <c r="C301" i="8"/>
  <c r="B301" i="8"/>
  <c r="M300" i="8"/>
  <c r="E300" i="8"/>
  <c r="D300" i="8"/>
  <c r="C300" i="8"/>
  <c r="B300" i="8"/>
  <c r="M299" i="8"/>
  <c r="E299" i="8"/>
  <c r="D299" i="8"/>
  <c r="C299" i="8"/>
  <c r="B299" i="8"/>
  <c r="M298" i="8"/>
  <c r="E298" i="8"/>
  <c r="D298" i="8"/>
  <c r="C298" i="8"/>
  <c r="B298" i="8"/>
  <c r="M297" i="8"/>
  <c r="E297" i="8"/>
  <c r="D297" i="8"/>
  <c r="C297" i="8"/>
  <c r="B297" i="8"/>
  <c r="M296" i="8"/>
  <c r="E296" i="8"/>
  <c r="D296" i="8"/>
  <c r="C296" i="8"/>
  <c r="B296" i="8"/>
  <c r="M295" i="8"/>
  <c r="E295" i="8"/>
  <c r="D295" i="8"/>
  <c r="C295" i="8"/>
  <c r="B295" i="8"/>
  <c r="M294" i="8"/>
  <c r="E294" i="8"/>
  <c r="D294" i="8"/>
  <c r="C294" i="8"/>
  <c r="B294" i="8"/>
  <c r="M293" i="8"/>
  <c r="E293" i="8"/>
  <c r="D293" i="8"/>
  <c r="C293" i="8"/>
  <c r="B293" i="8"/>
  <c r="M292" i="8"/>
  <c r="E292" i="8"/>
  <c r="D292" i="8"/>
  <c r="C292" i="8"/>
  <c r="B292" i="8"/>
  <c r="M291" i="8"/>
  <c r="E291" i="8"/>
  <c r="D291" i="8"/>
  <c r="C291" i="8"/>
  <c r="B291" i="8"/>
  <c r="M290" i="8"/>
  <c r="E290" i="8"/>
  <c r="D290" i="8"/>
  <c r="C290" i="8"/>
  <c r="B290" i="8"/>
  <c r="M289" i="8"/>
  <c r="E289" i="8"/>
  <c r="D289" i="8"/>
  <c r="C289" i="8"/>
  <c r="B289" i="8"/>
  <c r="M288" i="8"/>
  <c r="E288" i="8"/>
  <c r="D288" i="8"/>
  <c r="C288" i="8"/>
  <c r="B288" i="8"/>
  <c r="M287" i="8"/>
  <c r="E287" i="8"/>
  <c r="D287" i="8"/>
  <c r="C287" i="8"/>
  <c r="B287" i="8"/>
  <c r="M286" i="8"/>
  <c r="E286" i="8"/>
  <c r="D286" i="8"/>
  <c r="C286" i="8"/>
  <c r="B286" i="8"/>
  <c r="M285" i="8"/>
  <c r="E285" i="8"/>
  <c r="D285" i="8"/>
  <c r="C285" i="8"/>
  <c r="B285" i="8"/>
  <c r="M284" i="8"/>
  <c r="E284" i="8"/>
  <c r="D284" i="8"/>
  <c r="C284" i="8"/>
  <c r="B284" i="8"/>
  <c r="M283" i="8"/>
  <c r="E283" i="8"/>
  <c r="D283" i="8"/>
  <c r="C283" i="8"/>
  <c r="B283" i="8"/>
  <c r="M282" i="8"/>
  <c r="E282" i="8"/>
  <c r="D282" i="8"/>
  <c r="C282" i="8"/>
  <c r="B282" i="8"/>
  <c r="M281" i="8"/>
  <c r="E281" i="8"/>
  <c r="D281" i="8"/>
  <c r="C281" i="8"/>
  <c r="B281" i="8"/>
  <c r="M280" i="8"/>
  <c r="E280" i="8"/>
  <c r="D280" i="8"/>
  <c r="C280" i="8"/>
  <c r="B280" i="8"/>
  <c r="M279" i="8"/>
  <c r="E279" i="8"/>
  <c r="D279" i="8"/>
  <c r="C279" i="8"/>
  <c r="B279" i="8"/>
  <c r="M278" i="8"/>
  <c r="E278" i="8"/>
  <c r="D278" i="8"/>
  <c r="C278" i="8"/>
  <c r="B278" i="8"/>
  <c r="M277" i="8"/>
  <c r="E277" i="8"/>
  <c r="D277" i="8"/>
  <c r="C277" i="8"/>
  <c r="B277" i="8"/>
  <c r="M276" i="8"/>
  <c r="E276" i="8"/>
  <c r="D276" i="8"/>
  <c r="C276" i="8"/>
  <c r="B276" i="8"/>
  <c r="M275" i="8"/>
  <c r="E275" i="8"/>
  <c r="D275" i="8"/>
  <c r="C275" i="8"/>
  <c r="B275" i="8"/>
  <c r="M274" i="8"/>
  <c r="E274" i="8"/>
  <c r="D274" i="8"/>
  <c r="C274" i="8"/>
  <c r="B274" i="8"/>
  <c r="M273" i="8"/>
  <c r="E273" i="8"/>
  <c r="D273" i="8"/>
  <c r="C273" i="8"/>
  <c r="B273" i="8"/>
  <c r="M272" i="8"/>
  <c r="E272" i="8"/>
  <c r="D272" i="8"/>
  <c r="C272" i="8"/>
  <c r="B272" i="8"/>
  <c r="M271" i="8"/>
  <c r="E271" i="8"/>
  <c r="D271" i="8"/>
  <c r="C271" i="8"/>
  <c r="B271" i="8"/>
  <c r="M270" i="8"/>
  <c r="E270" i="8"/>
  <c r="D270" i="8"/>
  <c r="C270" i="8"/>
  <c r="B270" i="8"/>
  <c r="M269" i="8"/>
  <c r="E269" i="8"/>
  <c r="D269" i="8"/>
  <c r="C269" i="8"/>
  <c r="B269" i="8"/>
  <c r="M268" i="8"/>
  <c r="E268" i="8"/>
  <c r="D268" i="8"/>
  <c r="C268" i="8"/>
  <c r="B268" i="8"/>
  <c r="M267" i="8"/>
  <c r="E267" i="8"/>
  <c r="D267" i="8"/>
  <c r="C267" i="8"/>
  <c r="B267" i="8"/>
  <c r="M266" i="8"/>
  <c r="E266" i="8"/>
  <c r="D266" i="8"/>
  <c r="C266" i="8"/>
  <c r="B266" i="8"/>
  <c r="M265" i="8"/>
  <c r="E265" i="8"/>
  <c r="D265" i="8"/>
  <c r="C265" i="8"/>
  <c r="B265" i="8"/>
  <c r="M264" i="8"/>
  <c r="E264" i="8"/>
  <c r="D264" i="8"/>
  <c r="C264" i="8"/>
  <c r="B264" i="8"/>
  <c r="M263" i="8"/>
  <c r="E263" i="8"/>
  <c r="D263" i="8"/>
  <c r="C263" i="8"/>
  <c r="B263" i="8"/>
  <c r="M262" i="8"/>
  <c r="E262" i="8"/>
  <c r="D262" i="8"/>
  <c r="C262" i="8"/>
  <c r="B262" i="8"/>
  <c r="M261" i="8"/>
  <c r="E261" i="8"/>
  <c r="D261" i="8"/>
  <c r="C261" i="8"/>
  <c r="B261" i="8"/>
  <c r="M260" i="8"/>
  <c r="E260" i="8"/>
  <c r="D260" i="8"/>
  <c r="C260" i="8"/>
  <c r="B260" i="8"/>
  <c r="M259" i="8"/>
  <c r="E259" i="8"/>
  <c r="D259" i="8"/>
  <c r="C259" i="8"/>
  <c r="B259" i="8"/>
  <c r="M258" i="8"/>
  <c r="E258" i="8"/>
  <c r="D258" i="8"/>
  <c r="C258" i="8"/>
  <c r="B258" i="8"/>
  <c r="M257" i="8"/>
  <c r="E257" i="8"/>
  <c r="D257" i="8"/>
  <c r="C257" i="8"/>
  <c r="B257" i="8"/>
  <c r="M256" i="8"/>
  <c r="E256" i="8"/>
  <c r="D256" i="8"/>
  <c r="C256" i="8"/>
  <c r="B256" i="8"/>
  <c r="M255" i="8"/>
  <c r="E255" i="8"/>
  <c r="D255" i="8"/>
  <c r="C255" i="8"/>
  <c r="B255" i="8"/>
  <c r="M254" i="8"/>
  <c r="E254" i="8"/>
  <c r="D254" i="8"/>
  <c r="C254" i="8"/>
  <c r="B254" i="8"/>
  <c r="M253" i="8"/>
  <c r="E253" i="8"/>
  <c r="D253" i="8"/>
  <c r="C253" i="8"/>
  <c r="B253" i="8"/>
  <c r="M252" i="8"/>
  <c r="E252" i="8"/>
  <c r="D252" i="8"/>
  <c r="C252" i="8"/>
  <c r="B252" i="8"/>
  <c r="M251" i="8"/>
  <c r="E251" i="8"/>
  <c r="D251" i="8"/>
  <c r="C251" i="8"/>
  <c r="B251" i="8"/>
  <c r="M250" i="8"/>
  <c r="E250" i="8"/>
  <c r="D250" i="8"/>
  <c r="C250" i="8"/>
  <c r="B250" i="8"/>
  <c r="M249" i="8"/>
  <c r="E249" i="8"/>
  <c r="D249" i="8"/>
  <c r="C249" i="8"/>
  <c r="B249" i="8"/>
  <c r="M248" i="8"/>
  <c r="E248" i="8"/>
  <c r="D248" i="8"/>
  <c r="C248" i="8"/>
  <c r="B248" i="8"/>
  <c r="M247" i="8"/>
  <c r="E247" i="8"/>
  <c r="D247" i="8"/>
  <c r="C247" i="8"/>
  <c r="B247" i="8"/>
  <c r="M246" i="8"/>
  <c r="E246" i="8"/>
  <c r="D246" i="8"/>
  <c r="C246" i="8"/>
  <c r="B246" i="8"/>
  <c r="M245" i="8"/>
  <c r="E245" i="8"/>
  <c r="D245" i="8"/>
  <c r="C245" i="8"/>
  <c r="B245" i="8"/>
  <c r="M244" i="8"/>
  <c r="E244" i="8"/>
  <c r="D244" i="8"/>
  <c r="C244" i="8"/>
  <c r="B244" i="8"/>
  <c r="M243" i="8"/>
  <c r="E243" i="8"/>
  <c r="D243" i="8"/>
  <c r="C243" i="8"/>
  <c r="B243" i="8"/>
  <c r="M242" i="8"/>
  <c r="E242" i="8"/>
  <c r="D242" i="8"/>
  <c r="C242" i="8"/>
  <c r="B242" i="8"/>
  <c r="M241" i="8"/>
  <c r="E241" i="8"/>
  <c r="D241" i="8"/>
  <c r="C241" i="8"/>
  <c r="B241" i="8"/>
  <c r="M240" i="8"/>
  <c r="E240" i="8"/>
  <c r="D240" i="8"/>
  <c r="C240" i="8"/>
  <c r="B240" i="8"/>
  <c r="M239" i="8"/>
  <c r="E239" i="8"/>
  <c r="D239" i="8"/>
  <c r="C239" i="8"/>
  <c r="B239" i="8"/>
  <c r="M238" i="8"/>
  <c r="E238" i="8"/>
  <c r="D238" i="8"/>
  <c r="C238" i="8"/>
  <c r="B238" i="8"/>
  <c r="M237" i="8"/>
  <c r="E237" i="8"/>
  <c r="D237" i="8"/>
  <c r="C237" i="8"/>
  <c r="B237" i="8"/>
  <c r="M236" i="8"/>
  <c r="E236" i="8"/>
  <c r="D236" i="8"/>
  <c r="C236" i="8"/>
  <c r="B236" i="8"/>
  <c r="M235" i="8"/>
  <c r="E235" i="8"/>
  <c r="D235" i="8"/>
  <c r="C235" i="8"/>
  <c r="B235" i="8"/>
  <c r="M234" i="8"/>
  <c r="E234" i="8"/>
  <c r="D234" i="8"/>
  <c r="C234" i="8"/>
  <c r="B234" i="8"/>
  <c r="M233" i="8"/>
  <c r="E233" i="8"/>
  <c r="D233" i="8"/>
  <c r="C233" i="8"/>
  <c r="B233" i="8"/>
  <c r="M232" i="8"/>
  <c r="E232" i="8"/>
  <c r="D232" i="8"/>
  <c r="C232" i="8"/>
  <c r="B232" i="8"/>
  <c r="M231" i="8"/>
  <c r="E231" i="8"/>
  <c r="D231" i="8"/>
  <c r="C231" i="8"/>
  <c r="B231" i="8"/>
  <c r="M230" i="8"/>
  <c r="E230" i="8"/>
  <c r="D230" i="8"/>
  <c r="C230" i="8"/>
  <c r="B230" i="8"/>
  <c r="M229" i="8"/>
  <c r="E229" i="8"/>
  <c r="D229" i="8"/>
  <c r="C229" i="8"/>
  <c r="B229" i="8"/>
  <c r="M228" i="8"/>
  <c r="E228" i="8"/>
  <c r="D228" i="8"/>
  <c r="C228" i="8"/>
  <c r="B228" i="8"/>
  <c r="M227" i="8"/>
  <c r="E227" i="8"/>
  <c r="D227" i="8"/>
  <c r="C227" i="8"/>
  <c r="B227" i="8"/>
  <c r="M226" i="8"/>
  <c r="E226" i="8"/>
  <c r="D226" i="8"/>
  <c r="C226" i="8"/>
  <c r="B226" i="8"/>
  <c r="M225" i="8"/>
  <c r="E225" i="8"/>
  <c r="D225" i="8"/>
  <c r="C225" i="8"/>
  <c r="B225" i="8"/>
  <c r="M224" i="8"/>
  <c r="E224" i="8"/>
  <c r="D224" i="8"/>
  <c r="C224" i="8"/>
  <c r="B224" i="8"/>
  <c r="M223" i="8"/>
  <c r="E223" i="8"/>
  <c r="D223" i="8"/>
  <c r="C223" i="8"/>
  <c r="B223" i="8"/>
  <c r="M222" i="8"/>
  <c r="E222" i="8"/>
  <c r="D222" i="8"/>
  <c r="C222" i="8"/>
  <c r="B222" i="8"/>
  <c r="M221" i="8"/>
  <c r="E221" i="8"/>
  <c r="D221" i="8"/>
  <c r="C221" i="8"/>
  <c r="B221" i="8"/>
  <c r="M220" i="8"/>
  <c r="E220" i="8"/>
  <c r="D220" i="8"/>
  <c r="C220" i="8"/>
  <c r="B220" i="8"/>
  <c r="M219" i="8"/>
  <c r="E219" i="8"/>
  <c r="D219" i="8"/>
  <c r="C219" i="8"/>
  <c r="B219" i="8"/>
  <c r="M218" i="8"/>
  <c r="E218" i="8"/>
  <c r="D218" i="8"/>
  <c r="C218" i="8"/>
  <c r="B218" i="8"/>
  <c r="M217" i="8"/>
  <c r="E217" i="8"/>
  <c r="D217" i="8"/>
  <c r="C217" i="8"/>
  <c r="B217" i="8"/>
  <c r="M216" i="8"/>
  <c r="E216" i="8"/>
  <c r="D216" i="8"/>
  <c r="C216" i="8"/>
  <c r="B216" i="8"/>
  <c r="M215" i="8"/>
  <c r="E215" i="8"/>
  <c r="D215" i="8"/>
  <c r="C215" i="8"/>
  <c r="B215" i="8"/>
  <c r="M214" i="8"/>
  <c r="E214" i="8"/>
  <c r="D214" i="8"/>
  <c r="C214" i="8"/>
  <c r="B214" i="8"/>
  <c r="M213" i="8"/>
  <c r="E213" i="8"/>
  <c r="D213" i="8"/>
  <c r="C213" i="8"/>
  <c r="B213" i="8"/>
  <c r="M212" i="8"/>
  <c r="E212" i="8"/>
  <c r="D212" i="8"/>
  <c r="C212" i="8"/>
  <c r="B212" i="8"/>
  <c r="M211" i="8"/>
  <c r="E211" i="8"/>
  <c r="D211" i="8"/>
  <c r="C211" i="8"/>
  <c r="B211" i="8"/>
  <c r="M210" i="8"/>
  <c r="E210" i="8"/>
  <c r="D210" i="8"/>
  <c r="C210" i="8"/>
  <c r="B210" i="8"/>
  <c r="M209" i="8"/>
  <c r="E209" i="8"/>
  <c r="D209" i="8"/>
  <c r="C209" i="8"/>
  <c r="B209" i="8"/>
  <c r="M208" i="8"/>
  <c r="E208" i="8"/>
  <c r="D208" i="8"/>
  <c r="C208" i="8"/>
  <c r="B208" i="8"/>
  <c r="M207" i="8"/>
  <c r="E207" i="8"/>
  <c r="D207" i="8"/>
  <c r="C207" i="8"/>
  <c r="B207" i="8"/>
  <c r="M206" i="8"/>
  <c r="E206" i="8"/>
  <c r="D206" i="8"/>
  <c r="C206" i="8"/>
  <c r="B206" i="8"/>
  <c r="M205" i="8"/>
  <c r="E205" i="8"/>
  <c r="D205" i="8"/>
  <c r="C205" i="8"/>
  <c r="B205" i="8"/>
  <c r="M204" i="8"/>
  <c r="E204" i="8"/>
  <c r="D204" i="8"/>
  <c r="C204" i="8"/>
  <c r="B204" i="8"/>
  <c r="M203" i="8"/>
  <c r="E203" i="8"/>
  <c r="D203" i="8"/>
  <c r="C203" i="8"/>
  <c r="B203" i="8"/>
  <c r="M202" i="8"/>
  <c r="E202" i="8"/>
  <c r="D202" i="8"/>
  <c r="C202" i="8"/>
  <c r="B202" i="8"/>
  <c r="M201" i="8"/>
  <c r="E201" i="8"/>
  <c r="D201" i="8"/>
  <c r="C201" i="8"/>
  <c r="B201" i="8"/>
  <c r="M200" i="8"/>
  <c r="E200" i="8"/>
  <c r="D200" i="8"/>
  <c r="C200" i="8"/>
  <c r="B200" i="8"/>
  <c r="M199" i="8"/>
  <c r="E199" i="8"/>
  <c r="D199" i="8"/>
  <c r="C199" i="8"/>
  <c r="B199" i="8"/>
  <c r="M198" i="8"/>
  <c r="E198" i="8"/>
  <c r="D198" i="8"/>
  <c r="C198" i="8"/>
  <c r="B198" i="8"/>
  <c r="M197" i="8"/>
  <c r="E197" i="8"/>
  <c r="D197" i="8"/>
  <c r="C197" i="8"/>
  <c r="B197" i="8"/>
  <c r="M196" i="8"/>
  <c r="E196" i="8"/>
  <c r="D196" i="8"/>
  <c r="C196" i="8"/>
  <c r="B196" i="8"/>
  <c r="M195" i="8"/>
  <c r="E195" i="8"/>
  <c r="D195" i="8"/>
  <c r="C195" i="8"/>
  <c r="B195" i="8"/>
  <c r="M194" i="8"/>
  <c r="E194" i="8"/>
  <c r="D194" i="8"/>
  <c r="C194" i="8"/>
  <c r="B194" i="8"/>
  <c r="M193" i="8"/>
  <c r="E193" i="8"/>
  <c r="D193" i="8"/>
  <c r="C193" i="8"/>
  <c r="B193" i="8"/>
  <c r="M192" i="8"/>
  <c r="E192" i="8"/>
  <c r="D192" i="8"/>
  <c r="C192" i="8"/>
  <c r="B192" i="8"/>
  <c r="M191" i="8"/>
  <c r="E191" i="8"/>
  <c r="D191" i="8"/>
  <c r="C191" i="8"/>
  <c r="B191" i="8"/>
  <c r="M190" i="8"/>
  <c r="E190" i="8"/>
  <c r="D190" i="8"/>
  <c r="C190" i="8"/>
  <c r="B190" i="8"/>
  <c r="M189" i="8"/>
  <c r="E189" i="8"/>
  <c r="D189" i="8"/>
  <c r="C189" i="8"/>
  <c r="B189" i="8"/>
  <c r="M188" i="8"/>
  <c r="E188" i="8"/>
  <c r="D188" i="8"/>
  <c r="C188" i="8"/>
  <c r="B188" i="8"/>
  <c r="M187" i="8"/>
  <c r="E187" i="8"/>
  <c r="D187" i="8"/>
  <c r="C187" i="8"/>
  <c r="B187" i="8"/>
  <c r="M186" i="8"/>
  <c r="E186" i="8"/>
  <c r="D186" i="8"/>
  <c r="C186" i="8"/>
  <c r="B186" i="8"/>
  <c r="M185" i="8"/>
  <c r="E185" i="8"/>
  <c r="D185" i="8"/>
  <c r="C185" i="8"/>
  <c r="B185" i="8"/>
  <c r="M184" i="8"/>
  <c r="E184" i="8"/>
  <c r="D184" i="8"/>
  <c r="C184" i="8"/>
  <c r="B184" i="8"/>
  <c r="M183" i="8"/>
  <c r="E183" i="8"/>
  <c r="D183" i="8"/>
  <c r="C183" i="8"/>
  <c r="B183" i="8"/>
  <c r="M182" i="8"/>
  <c r="E182" i="8"/>
  <c r="D182" i="8"/>
  <c r="C182" i="8"/>
  <c r="B182" i="8"/>
  <c r="M181" i="8"/>
  <c r="E181" i="8"/>
  <c r="D181" i="8"/>
  <c r="C181" i="8"/>
  <c r="B181" i="8"/>
  <c r="M180" i="8"/>
  <c r="E180" i="8"/>
  <c r="D180" i="8"/>
  <c r="C180" i="8"/>
  <c r="B180" i="8"/>
  <c r="M179" i="8"/>
  <c r="E179" i="8"/>
  <c r="D179" i="8"/>
  <c r="C179" i="8"/>
  <c r="B179" i="8"/>
  <c r="M178" i="8"/>
  <c r="E178" i="8"/>
  <c r="D178" i="8"/>
  <c r="C178" i="8"/>
  <c r="B178" i="8"/>
  <c r="M177" i="8"/>
  <c r="E177" i="8"/>
  <c r="D177" i="8"/>
  <c r="C177" i="8"/>
  <c r="B177" i="8"/>
  <c r="M176" i="8"/>
  <c r="E176" i="8"/>
  <c r="D176" i="8"/>
  <c r="C176" i="8"/>
  <c r="B176" i="8"/>
  <c r="M175" i="8"/>
  <c r="E175" i="8"/>
  <c r="D175" i="8"/>
  <c r="C175" i="8"/>
  <c r="B175" i="8"/>
  <c r="M174" i="8"/>
  <c r="E174" i="8"/>
  <c r="D174" i="8"/>
  <c r="C174" i="8"/>
  <c r="B174" i="8"/>
  <c r="M173" i="8"/>
  <c r="E173" i="8"/>
  <c r="D173" i="8"/>
  <c r="C173" i="8"/>
  <c r="B173" i="8"/>
  <c r="M172" i="8"/>
  <c r="E172" i="8"/>
  <c r="D172" i="8"/>
  <c r="C172" i="8"/>
  <c r="B172" i="8"/>
  <c r="M171" i="8"/>
  <c r="E171" i="8"/>
  <c r="D171" i="8"/>
  <c r="C171" i="8"/>
  <c r="B171" i="8"/>
  <c r="M170" i="8"/>
  <c r="E170" i="8"/>
  <c r="D170" i="8"/>
  <c r="C170" i="8"/>
  <c r="B170" i="8"/>
  <c r="M169" i="8"/>
  <c r="E169" i="8"/>
  <c r="D169" i="8"/>
  <c r="C169" i="8"/>
  <c r="B169" i="8"/>
  <c r="M168" i="8"/>
  <c r="E168" i="8"/>
  <c r="D168" i="8"/>
  <c r="C168" i="8"/>
  <c r="B168" i="8"/>
  <c r="M167" i="8"/>
  <c r="E167" i="8"/>
  <c r="D167" i="8"/>
  <c r="C167" i="8"/>
  <c r="B167" i="8"/>
  <c r="M166" i="8"/>
  <c r="E166" i="8"/>
  <c r="D166" i="8"/>
  <c r="C166" i="8"/>
  <c r="B166" i="8"/>
  <c r="M165" i="8"/>
  <c r="E165" i="8"/>
  <c r="D165" i="8"/>
  <c r="C165" i="8"/>
  <c r="B165" i="8"/>
  <c r="M164" i="8"/>
  <c r="E164" i="8"/>
  <c r="D164" i="8"/>
  <c r="C164" i="8"/>
  <c r="B164" i="8"/>
  <c r="M163" i="8"/>
  <c r="E163" i="8"/>
  <c r="D163" i="8"/>
  <c r="C163" i="8"/>
  <c r="B163" i="8"/>
  <c r="M162" i="8"/>
  <c r="E162" i="8"/>
  <c r="D162" i="8"/>
  <c r="C162" i="8"/>
  <c r="B162" i="8"/>
  <c r="M161" i="8"/>
  <c r="E161" i="8"/>
  <c r="D161" i="8"/>
  <c r="C161" i="8"/>
  <c r="B161" i="8"/>
  <c r="M160" i="8"/>
  <c r="E160" i="8"/>
  <c r="D160" i="8"/>
  <c r="C160" i="8"/>
  <c r="B160" i="8"/>
  <c r="M159" i="8"/>
  <c r="E159" i="8"/>
  <c r="D159" i="8"/>
  <c r="C159" i="8"/>
  <c r="B159" i="8"/>
  <c r="M158" i="8"/>
  <c r="E158" i="8"/>
  <c r="D158" i="8"/>
  <c r="C158" i="8"/>
  <c r="B158" i="8"/>
  <c r="M157" i="8"/>
  <c r="E157" i="8"/>
  <c r="D157" i="8"/>
  <c r="C157" i="8"/>
  <c r="B157" i="8"/>
  <c r="M156" i="8"/>
  <c r="E156" i="8"/>
  <c r="D156" i="8"/>
  <c r="C156" i="8"/>
  <c r="B156" i="8"/>
  <c r="M155" i="8"/>
  <c r="E155" i="8"/>
  <c r="D155" i="8"/>
  <c r="C155" i="8"/>
  <c r="B155" i="8"/>
  <c r="M154" i="8"/>
  <c r="E154" i="8"/>
  <c r="D154" i="8"/>
  <c r="C154" i="8"/>
  <c r="B154" i="8"/>
  <c r="M153" i="8"/>
  <c r="E153" i="8"/>
  <c r="D153" i="8"/>
  <c r="C153" i="8"/>
  <c r="B153" i="8"/>
  <c r="M152" i="8"/>
  <c r="E152" i="8"/>
  <c r="D152" i="8"/>
  <c r="C152" i="8"/>
  <c r="B152" i="8"/>
  <c r="M151" i="8"/>
  <c r="E151" i="8"/>
  <c r="D151" i="8"/>
  <c r="C151" i="8"/>
  <c r="B151" i="8"/>
  <c r="M150" i="8"/>
  <c r="E150" i="8"/>
  <c r="D150" i="8"/>
  <c r="C150" i="8"/>
  <c r="B150" i="8"/>
  <c r="M149" i="8"/>
  <c r="E149" i="8"/>
  <c r="D149" i="8"/>
  <c r="C149" i="8"/>
  <c r="B149" i="8"/>
  <c r="M148" i="8"/>
  <c r="E148" i="8"/>
  <c r="D148" i="8"/>
  <c r="C148" i="8"/>
  <c r="B148" i="8"/>
  <c r="M147" i="8"/>
  <c r="E147" i="8"/>
  <c r="D147" i="8"/>
  <c r="C147" i="8"/>
  <c r="B147" i="8"/>
  <c r="M146" i="8"/>
  <c r="E146" i="8"/>
  <c r="D146" i="8"/>
  <c r="C146" i="8"/>
  <c r="B146" i="8"/>
  <c r="M145" i="8"/>
  <c r="E145" i="8"/>
  <c r="D145" i="8"/>
  <c r="C145" i="8"/>
  <c r="B145" i="8"/>
  <c r="M144" i="8"/>
  <c r="E144" i="8"/>
  <c r="D144" i="8"/>
  <c r="C144" i="8"/>
  <c r="B144" i="8"/>
  <c r="M143" i="8"/>
  <c r="E143" i="8"/>
  <c r="D143" i="8"/>
  <c r="C143" i="8"/>
  <c r="B143" i="8"/>
  <c r="M142" i="8"/>
  <c r="E142" i="8"/>
  <c r="D142" i="8"/>
  <c r="C142" i="8"/>
  <c r="B142" i="8"/>
  <c r="M141" i="8"/>
  <c r="E141" i="8"/>
  <c r="D141" i="8"/>
  <c r="C141" i="8"/>
  <c r="B141" i="8"/>
  <c r="M140" i="8"/>
  <c r="E140" i="8"/>
  <c r="D140" i="8"/>
  <c r="C140" i="8"/>
  <c r="B140" i="8"/>
  <c r="M139" i="8"/>
  <c r="E139" i="8"/>
  <c r="D139" i="8"/>
  <c r="C139" i="8"/>
  <c r="B139" i="8"/>
  <c r="M138" i="8"/>
  <c r="E138" i="8"/>
  <c r="D138" i="8"/>
  <c r="C138" i="8"/>
  <c r="B138" i="8"/>
  <c r="M137" i="8"/>
  <c r="E137" i="8"/>
  <c r="D137" i="8"/>
  <c r="C137" i="8"/>
  <c r="B137" i="8"/>
  <c r="M136" i="8"/>
  <c r="E136" i="8"/>
  <c r="D136" i="8"/>
  <c r="C136" i="8"/>
  <c r="B136" i="8"/>
  <c r="M135" i="8"/>
  <c r="E135" i="8"/>
  <c r="D135" i="8"/>
  <c r="C135" i="8"/>
  <c r="B135" i="8"/>
  <c r="M134" i="8"/>
  <c r="E134" i="8"/>
  <c r="D134" i="8"/>
  <c r="C134" i="8"/>
  <c r="B134" i="8"/>
  <c r="M133" i="8"/>
  <c r="E133" i="8"/>
  <c r="D133" i="8"/>
  <c r="C133" i="8"/>
  <c r="B133" i="8"/>
  <c r="M132" i="8"/>
  <c r="E132" i="8"/>
  <c r="D132" i="8"/>
  <c r="C132" i="8"/>
  <c r="B132" i="8"/>
  <c r="M131" i="8"/>
  <c r="E131" i="8"/>
  <c r="D131" i="8"/>
  <c r="C131" i="8"/>
  <c r="B131" i="8"/>
  <c r="M130" i="8"/>
  <c r="D130" i="8"/>
  <c r="C130" i="8"/>
  <c r="B130" i="8"/>
  <c r="M129" i="8"/>
  <c r="D129" i="8"/>
  <c r="C129" i="8"/>
  <c r="B129" i="8"/>
  <c r="M128" i="8"/>
  <c r="D128" i="8"/>
  <c r="C128" i="8"/>
  <c r="B128" i="8"/>
  <c r="M127" i="8"/>
  <c r="D127" i="8"/>
  <c r="C127" i="8"/>
  <c r="B127" i="8"/>
  <c r="M126" i="8"/>
  <c r="D126" i="8"/>
  <c r="C126" i="8"/>
  <c r="B126" i="8"/>
  <c r="M125" i="8"/>
  <c r="D125" i="8"/>
  <c r="C125" i="8"/>
  <c r="B125" i="8"/>
  <c r="M124" i="8"/>
  <c r="D124" i="8"/>
  <c r="C124" i="8"/>
  <c r="B124" i="8"/>
  <c r="M123" i="8"/>
  <c r="D123" i="8"/>
  <c r="C123" i="8"/>
  <c r="B123" i="8"/>
  <c r="M122" i="8"/>
  <c r="D122" i="8"/>
  <c r="C122" i="8"/>
  <c r="B122" i="8"/>
  <c r="M121" i="8"/>
  <c r="D121" i="8"/>
  <c r="C121" i="8"/>
  <c r="B121" i="8"/>
  <c r="M120" i="8"/>
  <c r="D120" i="8"/>
  <c r="C120" i="8"/>
  <c r="B120" i="8"/>
  <c r="M119" i="8"/>
  <c r="D119" i="8"/>
  <c r="C119" i="8"/>
  <c r="B119" i="8"/>
  <c r="M118" i="8"/>
  <c r="D118" i="8"/>
  <c r="C118" i="8"/>
  <c r="B118" i="8"/>
  <c r="M117" i="8"/>
  <c r="D117" i="8"/>
  <c r="C117" i="8"/>
  <c r="B117" i="8"/>
  <c r="M116" i="8"/>
  <c r="D116" i="8"/>
  <c r="C116" i="8"/>
  <c r="B116" i="8"/>
  <c r="M115" i="8"/>
  <c r="D115" i="8"/>
  <c r="C115" i="8"/>
  <c r="B115" i="8"/>
  <c r="M114" i="8"/>
  <c r="D114" i="8"/>
  <c r="C114" i="8"/>
  <c r="B114" i="8"/>
  <c r="M113" i="8"/>
  <c r="D113" i="8"/>
  <c r="C113" i="8"/>
  <c r="B113" i="8"/>
  <c r="M112" i="8"/>
  <c r="D112" i="8"/>
  <c r="C112" i="8"/>
  <c r="B112" i="8"/>
  <c r="M111" i="8"/>
  <c r="D111" i="8"/>
  <c r="C111" i="8"/>
  <c r="B111" i="8"/>
  <c r="M110" i="8"/>
  <c r="D110" i="8"/>
  <c r="C110" i="8"/>
  <c r="B110" i="8"/>
  <c r="M109" i="8"/>
  <c r="D109" i="8"/>
  <c r="C109" i="8"/>
  <c r="B109" i="8"/>
  <c r="M108" i="8"/>
  <c r="D108" i="8"/>
  <c r="C108" i="8"/>
  <c r="B108" i="8"/>
  <c r="M107" i="8"/>
  <c r="D107" i="8"/>
  <c r="C107" i="8"/>
  <c r="B107" i="8"/>
  <c r="M106" i="8"/>
  <c r="D106" i="8"/>
  <c r="C106" i="8"/>
  <c r="B106" i="8"/>
  <c r="M105" i="8"/>
  <c r="D105" i="8"/>
  <c r="C105" i="8"/>
  <c r="B105" i="8"/>
  <c r="M104" i="8"/>
  <c r="D104" i="8"/>
  <c r="C104" i="8"/>
  <c r="B104" i="8"/>
  <c r="M103" i="8"/>
  <c r="D103" i="8"/>
  <c r="C103" i="8"/>
  <c r="B103" i="8"/>
  <c r="M102" i="8"/>
  <c r="D102" i="8"/>
  <c r="C102" i="8"/>
  <c r="B102" i="8"/>
  <c r="M101" i="8"/>
  <c r="D101" i="8"/>
  <c r="C101" i="8"/>
  <c r="B101" i="8"/>
  <c r="M100" i="8"/>
  <c r="D100" i="8"/>
  <c r="C100" i="8"/>
  <c r="B100" i="8"/>
  <c r="M99" i="8"/>
  <c r="D99" i="8"/>
  <c r="C99" i="8"/>
  <c r="B99" i="8"/>
  <c r="M98" i="8"/>
  <c r="D98" i="8"/>
  <c r="C98" i="8"/>
  <c r="B98" i="8"/>
  <c r="M97" i="8"/>
  <c r="D97" i="8"/>
  <c r="C97" i="8"/>
  <c r="B97" i="8"/>
  <c r="M96" i="8"/>
  <c r="D96" i="8"/>
  <c r="C96" i="8"/>
  <c r="B96" i="8"/>
  <c r="M95" i="8"/>
  <c r="D95" i="8"/>
  <c r="C95" i="8"/>
  <c r="B95" i="8"/>
  <c r="M94" i="8"/>
  <c r="D94" i="8"/>
  <c r="C94" i="8"/>
  <c r="B94" i="8"/>
  <c r="M93" i="8"/>
  <c r="D93" i="8"/>
  <c r="C93" i="8"/>
  <c r="B93" i="8"/>
  <c r="M92" i="8"/>
  <c r="D92" i="8"/>
  <c r="C92" i="8"/>
  <c r="B92" i="8"/>
  <c r="M91" i="8"/>
  <c r="D91" i="8"/>
  <c r="C91" i="8"/>
  <c r="B91" i="8"/>
  <c r="M90" i="8"/>
  <c r="D90" i="8"/>
  <c r="C90" i="8"/>
  <c r="B90" i="8"/>
  <c r="M89" i="8"/>
  <c r="D89" i="8"/>
  <c r="C89" i="8"/>
  <c r="B89" i="8"/>
  <c r="M88" i="8"/>
  <c r="D88" i="8"/>
  <c r="C88" i="8"/>
  <c r="B88" i="8"/>
  <c r="M87" i="8"/>
  <c r="D87" i="8"/>
  <c r="C87" i="8"/>
  <c r="B87" i="8"/>
  <c r="M86" i="8"/>
  <c r="D86" i="8"/>
  <c r="C86" i="8"/>
  <c r="B86" i="8"/>
  <c r="M85" i="8"/>
  <c r="D85" i="8"/>
  <c r="C85" i="8"/>
  <c r="B85" i="8"/>
  <c r="M84" i="8"/>
  <c r="D84" i="8"/>
  <c r="C84" i="8"/>
  <c r="B84" i="8"/>
  <c r="M83" i="8"/>
  <c r="D83" i="8"/>
  <c r="C83" i="8"/>
  <c r="B83" i="8"/>
  <c r="M82" i="8"/>
  <c r="D82" i="8"/>
  <c r="C82" i="8"/>
  <c r="B82" i="8"/>
  <c r="M81" i="8"/>
  <c r="D81" i="8"/>
  <c r="C81" i="8"/>
  <c r="B81" i="8"/>
  <c r="M80" i="8"/>
  <c r="D80" i="8"/>
  <c r="C80" i="8"/>
  <c r="B80" i="8"/>
  <c r="M79" i="8"/>
  <c r="D79" i="8"/>
  <c r="C79" i="8"/>
  <c r="B79" i="8"/>
  <c r="M78" i="8"/>
  <c r="D78" i="8"/>
  <c r="C78" i="8"/>
  <c r="B78" i="8"/>
  <c r="M77" i="8"/>
  <c r="D77" i="8"/>
  <c r="C77" i="8"/>
  <c r="B77" i="8"/>
  <c r="M76" i="8"/>
  <c r="D76" i="8"/>
  <c r="C76" i="8"/>
  <c r="B76" i="8"/>
  <c r="M75" i="8"/>
  <c r="D75" i="8"/>
  <c r="C75" i="8"/>
  <c r="B75" i="8"/>
  <c r="M74" i="8"/>
  <c r="D74" i="8"/>
  <c r="C74" i="8"/>
  <c r="B74" i="8"/>
  <c r="M73" i="8"/>
  <c r="D73" i="8"/>
  <c r="C73" i="8"/>
  <c r="B73" i="8"/>
  <c r="M72" i="8"/>
  <c r="D72" i="8"/>
  <c r="C72" i="8"/>
  <c r="B72" i="8"/>
  <c r="M71" i="8"/>
  <c r="D71" i="8"/>
  <c r="C71" i="8"/>
  <c r="B71" i="8"/>
  <c r="M70" i="8"/>
  <c r="D70" i="8"/>
  <c r="C70" i="8"/>
  <c r="B70" i="8"/>
  <c r="M69" i="8"/>
  <c r="D69" i="8"/>
  <c r="C69" i="8"/>
  <c r="B69" i="8"/>
  <c r="M68" i="8"/>
  <c r="D68" i="8"/>
  <c r="C68" i="8"/>
  <c r="B68" i="8"/>
  <c r="M67" i="8"/>
  <c r="D67" i="8"/>
  <c r="C67" i="8"/>
  <c r="B67" i="8"/>
  <c r="M66" i="8"/>
  <c r="D66" i="8"/>
  <c r="C66" i="8"/>
  <c r="B66" i="8"/>
  <c r="M65" i="8"/>
  <c r="D65" i="8"/>
  <c r="C65" i="8"/>
  <c r="B65" i="8"/>
  <c r="M64" i="8"/>
  <c r="D64" i="8"/>
  <c r="C64" i="8"/>
  <c r="B64" i="8"/>
  <c r="M63" i="8"/>
  <c r="D63" i="8"/>
  <c r="C63" i="8"/>
  <c r="B63" i="8"/>
  <c r="M62" i="8"/>
  <c r="D62" i="8"/>
  <c r="C62" i="8"/>
  <c r="B62" i="8"/>
  <c r="M61" i="8"/>
  <c r="D61" i="8"/>
  <c r="C61" i="8"/>
  <c r="B61" i="8"/>
  <c r="M60" i="8"/>
  <c r="D60" i="8"/>
  <c r="C60" i="8"/>
  <c r="B60" i="8"/>
  <c r="M59" i="8"/>
  <c r="D59" i="8"/>
  <c r="C59" i="8"/>
  <c r="B59" i="8"/>
  <c r="M58" i="8"/>
  <c r="D58" i="8"/>
  <c r="C58" i="8"/>
  <c r="B58" i="8"/>
  <c r="M57" i="8"/>
  <c r="D57" i="8"/>
  <c r="C57" i="8"/>
  <c r="B57" i="8"/>
  <c r="M56" i="8"/>
  <c r="D56" i="8"/>
  <c r="C56" i="8"/>
  <c r="B56" i="8"/>
  <c r="M55" i="8"/>
  <c r="D55" i="8"/>
  <c r="C55" i="8"/>
  <c r="B55" i="8"/>
  <c r="M54" i="8"/>
  <c r="D54" i="8"/>
  <c r="C54" i="8"/>
  <c r="B54" i="8"/>
  <c r="M53" i="8"/>
  <c r="D53" i="8"/>
  <c r="C53" i="8"/>
  <c r="B53" i="8"/>
  <c r="M52" i="8"/>
  <c r="D52" i="8"/>
  <c r="C52" i="8"/>
  <c r="B52" i="8"/>
  <c r="M51" i="8"/>
  <c r="D51" i="8"/>
  <c r="C51" i="8"/>
  <c r="B51" i="8"/>
  <c r="M50" i="8"/>
  <c r="D50" i="8"/>
  <c r="C50" i="8"/>
  <c r="B50" i="8"/>
  <c r="M49" i="8"/>
  <c r="D49" i="8"/>
  <c r="C49" i="8"/>
  <c r="B49" i="8"/>
  <c r="M48" i="8"/>
  <c r="D48" i="8"/>
  <c r="C48" i="8"/>
  <c r="B48" i="8"/>
  <c r="M47" i="8"/>
  <c r="D47" i="8"/>
  <c r="C47" i="8"/>
  <c r="B47" i="8"/>
  <c r="M46" i="8"/>
  <c r="D46" i="8"/>
  <c r="C46" i="8"/>
  <c r="B46" i="8"/>
  <c r="M45" i="8"/>
  <c r="D45" i="8"/>
  <c r="C45" i="8"/>
  <c r="B45" i="8"/>
  <c r="M44" i="8"/>
  <c r="D44" i="8"/>
  <c r="C44" i="8"/>
  <c r="B44" i="8"/>
  <c r="M43" i="8"/>
  <c r="D43" i="8"/>
  <c r="C43" i="8"/>
  <c r="B43" i="8"/>
  <c r="M42" i="8"/>
  <c r="D42" i="8"/>
  <c r="C42" i="8"/>
  <c r="B42" i="8"/>
  <c r="M41" i="8"/>
  <c r="D41" i="8"/>
  <c r="C41" i="8"/>
  <c r="B41" i="8"/>
  <c r="M40" i="8"/>
  <c r="D40" i="8"/>
  <c r="C40" i="8"/>
  <c r="B40" i="8"/>
  <c r="M39" i="8"/>
  <c r="D39" i="8"/>
  <c r="C39" i="8"/>
  <c r="B39" i="8"/>
  <c r="M38" i="8"/>
  <c r="D38" i="8"/>
  <c r="C38" i="8"/>
  <c r="B38" i="8"/>
  <c r="M37" i="8"/>
  <c r="D37" i="8"/>
  <c r="C37" i="8"/>
  <c r="B37" i="8"/>
  <c r="M36" i="8"/>
  <c r="D36" i="8"/>
  <c r="C36" i="8"/>
  <c r="B36" i="8"/>
  <c r="M35" i="8"/>
  <c r="D35" i="8"/>
  <c r="C35" i="8"/>
  <c r="B35" i="8"/>
  <c r="M34" i="8"/>
  <c r="D34" i="8"/>
  <c r="C34" i="8"/>
  <c r="B34" i="8"/>
  <c r="M33" i="8"/>
  <c r="D33" i="8"/>
  <c r="C33" i="8"/>
  <c r="B33" i="8"/>
  <c r="M32" i="8"/>
  <c r="D32" i="8"/>
  <c r="C32" i="8"/>
  <c r="B32" i="8"/>
  <c r="M31" i="8"/>
  <c r="D31" i="8"/>
  <c r="C31" i="8"/>
  <c r="B31" i="8"/>
  <c r="M30" i="8"/>
  <c r="D30" i="8"/>
  <c r="C30" i="8"/>
  <c r="B30" i="8"/>
  <c r="M29" i="8"/>
  <c r="E29" i="8"/>
  <c r="D29" i="8"/>
  <c r="C29" i="8"/>
  <c r="B29" i="8"/>
  <c r="M28" i="8"/>
  <c r="E28" i="8"/>
  <c r="D28" i="8"/>
  <c r="C28" i="8"/>
  <c r="B28" i="8"/>
  <c r="M27" i="8"/>
  <c r="E27" i="8"/>
  <c r="D27" i="8"/>
  <c r="C27" i="8"/>
  <c r="B27" i="8"/>
  <c r="M26" i="8"/>
  <c r="E26" i="8"/>
  <c r="D26" i="8"/>
  <c r="C26" i="8"/>
  <c r="B26" i="8"/>
  <c r="M25" i="8"/>
  <c r="E25" i="8"/>
  <c r="D25" i="8"/>
  <c r="C25" i="8"/>
  <c r="B25" i="8"/>
  <c r="M24" i="8"/>
  <c r="E24" i="8"/>
  <c r="D24" i="8"/>
  <c r="C24" i="8"/>
  <c r="B24" i="8"/>
  <c r="M23" i="8"/>
  <c r="E23" i="8"/>
  <c r="D23" i="8"/>
  <c r="C23" i="8"/>
  <c r="B23" i="8"/>
  <c r="M22" i="8"/>
  <c r="E22" i="8"/>
  <c r="D22" i="8"/>
  <c r="C22" i="8"/>
  <c r="B22" i="8"/>
  <c r="M21" i="8"/>
  <c r="E21" i="8"/>
  <c r="D21" i="8"/>
  <c r="C21" i="8"/>
  <c r="B21" i="8"/>
  <c r="M20" i="8"/>
  <c r="E20" i="8"/>
  <c r="D20" i="8"/>
  <c r="C20" i="8"/>
  <c r="B20" i="8"/>
  <c r="M19" i="8"/>
  <c r="E19" i="8"/>
  <c r="D19" i="8"/>
  <c r="C19" i="8"/>
  <c r="B19" i="8"/>
  <c r="M18" i="8"/>
  <c r="E18" i="8"/>
  <c r="D18" i="8"/>
  <c r="C18" i="8"/>
  <c r="B18" i="8"/>
  <c r="M17" i="8"/>
  <c r="E17" i="8"/>
  <c r="D17" i="8"/>
  <c r="C17" i="8"/>
  <c r="B17" i="8"/>
  <c r="M16" i="8"/>
  <c r="E16" i="8"/>
  <c r="D16" i="8"/>
  <c r="C16" i="8"/>
  <c r="B16" i="8"/>
  <c r="M15" i="8"/>
  <c r="E15" i="8"/>
  <c r="D15" i="8"/>
  <c r="C15" i="8"/>
  <c r="B15" i="8"/>
  <c r="M14" i="8"/>
  <c r="E14" i="8"/>
  <c r="D14" i="8"/>
  <c r="C14" i="8"/>
  <c r="B14" i="8"/>
  <c r="M13" i="8"/>
  <c r="E13" i="8"/>
  <c r="D13" i="8"/>
  <c r="C13" i="8"/>
  <c r="B13" i="8"/>
  <c r="M12" i="8"/>
  <c r="E12" i="8"/>
  <c r="D12" i="8"/>
  <c r="C12" i="8"/>
  <c r="B12" i="8"/>
  <c r="M11" i="8"/>
  <c r="E11" i="8"/>
  <c r="D11" i="8"/>
  <c r="C11" i="8"/>
  <c r="B11" i="8"/>
  <c r="M10" i="8"/>
  <c r="E10" i="8"/>
  <c r="D10" i="8"/>
  <c r="C10" i="8"/>
  <c r="B10" i="8"/>
  <c r="M9" i="8"/>
  <c r="E9" i="8"/>
  <c r="D9" i="8"/>
  <c r="C9" i="8"/>
  <c r="B9" i="8"/>
  <c r="M8" i="8"/>
  <c r="E8" i="8"/>
  <c r="D8" i="8"/>
  <c r="C8" i="8"/>
  <c r="B8" i="8"/>
  <c r="M7" i="8"/>
  <c r="E7" i="8"/>
  <c r="D7" i="8"/>
  <c r="C7" i="8"/>
  <c r="B7" i="8"/>
  <c r="M6" i="8"/>
  <c r="E6" i="8"/>
  <c r="D6" i="8"/>
  <c r="C6" i="8"/>
  <c r="B6" i="8"/>
  <c r="M5" i="8"/>
  <c r="E5" i="8"/>
  <c r="D5" i="8"/>
  <c r="C5" i="8"/>
  <c r="B5" i="8"/>
  <c r="M4" i="8"/>
  <c r="E4" i="8"/>
  <c r="D4" i="8"/>
  <c r="C4" i="8"/>
  <c r="B4" i="8"/>
  <c r="M3" i="8"/>
  <c r="E3" i="8"/>
  <c r="D3" i="8"/>
  <c r="C3" i="8"/>
  <c r="B3" i="8"/>
  <c r="M2" i="8"/>
  <c r="E2" i="8"/>
  <c r="D2" i="8"/>
  <c r="C2" i="8"/>
  <c r="B2" i="8"/>
  <c r="O501" i="7"/>
  <c r="I501" i="7"/>
  <c r="J501" i="7" s="1"/>
  <c r="K501" i="7" s="1"/>
  <c r="C501" i="7"/>
  <c r="B501" i="7"/>
  <c r="I500" i="7"/>
  <c r="J500" i="7" s="1"/>
  <c r="K500" i="7" s="1"/>
  <c r="O500" i="7" s="1"/>
  <c r="C500" i="7"/>
  <c r="B500" i="7"/>
  <c r="I499" i="7"/>
  <c r="J499" i="7" s="1"/>
  <c r="K499" i="7" s="1"/>
  <c r="O499" i="7" s="1"/>
  <c r="C499" i="7"/>
  <c r="B499" i="7"/>
  <c r="I498" i="7"/>
  <c r="J498" i="7" s="1"/>
  <c r="K498" i="7" s="1"/>
  <c r="O498" i="7" s="1"/>
  <c r="C498" i="7"/>
  <c r="B498" i="7"/>
  <c r="O497" i="7"/>
  <c r="I497" i="7"/>
  <c r="J497" i="7" s="1"/>
  <c r="K497" i="7" s="1"/>
  <c r="C497" i="7"/>
  <c r="B497" i="7"/>
  <c r="I496" i="7"/>
  <c r="J496" i="7" s="1"/>
  <c r="K496" i="7" s="1"/>
  <c r="O496" i="7" s="1"/>
  <c r="C496" i="7"/>
  <c r="B496" i="7"/>
  <c r="I495" i="7"/>
  <c r="J495" i="7" s="1"/>
  <c r="K495" i="7" s="1"/>
  <c r="O495" i="7" s="1"/>
  <c r="C495" i="7"/>
  <c r="B495" i="7"/>
  <c r="I494" i="7"/>
  <c r="J494" i="7" s="1"/>
  <c r="K494" i="7" s="1"/>
  <c r="O494" i="7" s="1"/>
  <c r="C494" i="7"/>
  <c r="B494" i="7"/>
  <c r="I493" i="7"/>
  <c r="J493" i="7" s="1"/>
  <c r="K493" i="7" s="1"/>
  <c r="O493" i="7" s="1"/>
  <c r="C493" i="7"/>
  <c r="B493" i="7"/>
  <c r="I492" i="7"/>
  <c r="J492" i="7" s="1"/>
  <c r="K492" i="7" s="1"/>
  <c r="O492" i="7" s="1"/>
  <c r="C492" i="7"/>
  <c r="B492" i="7"/>
  <c r="I491" i="7"/>
  <c r="J491" i="7" s="1"/>
  <c r="K491" i="7" s="1"/>
  <c r="O491" i="7" s="1"/>
  <c r="C491" i="7"/>
  <c r="B491" i="7"/>
  <c r="O490" i="7"/>
  <c r="I490" i="7"/>
  <c r="J490" i="7" s="1"/>
  <c r="K490" i="7" s="1"/>
  <c r="C490" i="7"/>
  <c r="B490" i="7"/>
  <c r="I489" i="7"/>
  <c r="J489" i="7" s="1"/>
  <c r="K489" i="7" s="1"/>
  <c r="O489" i="7" s="1"/>
  <c r="C489" i="7"/>
  <c r="B489" i="7"/>
  <c r="O488" i="7"/>
  <c r="I488" i="7"/>
  <c r="J488" i="7" s="1"/>
  <c r="K488" i="7" s="1"/>
  <c r="C488" i="7"/>
  <c r="B488" i="7"/>
  <c r="I487" i="7"/>
  <c r="J487" i="7" s="1"/>
  <c r="K487" i="7" s="1"/>
  <c r="O487" i="7" s="1"/>
  <c r="C487" i="7"/>
  <c r="B487" i="7"/>
  <c r="I486" i="7"/>
  <c r="J486" i="7" s="1"/>
  <c r="K486" i="7" s="1"/>
  <c r="O486" i="7" s="1"/>
  <c r="C486" i="7"/>
  <c r="B486" i="7"/>
  <c r="I485" i="7"/>
  <c r="J485" i="7" s="1"/>
  <c r="K485" i="7" s="1"/>
  <c r="O485" i="7" s="1"/>
  <c r="C485" i="7"/>
  <c r="B485" i="7"/>
  <c r="I484" i="7"/>
  <c r="J484" i="7" s="1"/>
  <c r="K484" i="7" s="1"/>
  <c r="O484" i="7" s="1"/>
  <c r="C484" i="7"/>
  <c r="B484" i="7"/>
  <c r="I483" i="7"/>
  <c r="J483" i="7" s="1"/>
  <c r="K483" i="7" s="1"/>
  <c r="O483" i="7" s="1"/>
  <c r="C483" i="7"/>
  <c r="B483" i="7"/>
  <c r="I482" i="7"/>
  <c r="J482" i="7" s="1"/>
  <c r="K482" i="7" s="1"/>
  <c r="O482" i="7" s="1"/>
  <c r="C482" i="7"/>
  <c r="B482" i="7"/>
  <c r="I481" i="7"/>
  <c r="J481" i="7" s="1"/>
  <c r="K481" i="7" s="1"/>
  <c r="O481" i="7" s="1"/>
  <c r="C481" i="7"/>
  <c r="B481" i="7"/>
  <c r="I480" i="7"/>
  <c r="J480" i="7" s="1"/>
  <c r="K480" i="7" s="1"/>
  <c r="O480" i="7" s="1"/>
  <c r="C480" i="7"/>
  <c r="B480" i="7"/>
  <c r="I479" i="7"/>
  <c r="J479" i="7" s="1"/>
  <c r="K479" i="7" s="1"/>
  <c r="O479" i="7" s="1"/>
  <c r="C479" i="7"/>
  <c r="B479" i="7"/>
  <c r="O478" i="7"/>
  <c r="I478" i="7"/>
  <c r="J478" i="7" s="1"/>
  <c r="K478" i="7" s="1"/>
  <c r="C478" i="7"/>
  <c r="B478" i="7"/>
  <c r="I477" i="7"/>
  <c r="J477" i="7" s="1"/>
  <c r="K477" i="7" s="1"/>
  <c r="O477" i="7" s="1"/>
  <c r="C477" i="7"/>
  <c r="B477" i="7"/>
  <c r="I476" i="7"/>
  <c r="J476" i="7" s="1"/>
  <c r="K476" i="7" s="1"/>
  <c r="O476" i="7" s="1"/>
  <c r="C476" i="7"/>
  <c r="B476" i="7"/>
  <c r="I475" i="7"/>
  <c r="J475" i="7" s="1"/>
  <c r="K475" i="7" s="1"/>
  <c r="O475" i="7" s="1"/>
  <c r="C475" i="7"/>
  <c r="B475" i="7"/>
  <c r="I474" i="7"/>
  <c r="J474" i="7" s="1"/>
  <c r="K474" i="7" s="1"/>
  <c r="O474" i="7" s="1"/>
  <c r="C474" i="7"/>
  <c r="B474" i="7"/>
  <c r="I473" i="7"/>
  <c r="J473" i="7" s="1"/>
  <c r="K473" i="7" s="1"/>
  <c r="O473" i="7" s="1"/>
  <c r="C473" i="7"/>
  <c r="B473" i="7"/>
  <c r="I472" i="7"/>
  <c r="J472" i="7" s="1"/>
  <c r="K472" i="7" s="1"/>
  <c r="O472" i="7" s="1"/>
  <c r="C472" i="7"/>
  <c r="B472" i="7"/>
  <c r="I471" i="7"/>
  <c r="J471" i="7" s="1"/>
  <c r="K471" i="7" s="1"/>
  <c r="O471" i="7" s="1"/>
  <c r="C471" i="7"/>
  <c r="B471" i="7"/>
  <c r="I470" i="7"/>
  <c r="J470" i="7" s="1"/>
  <c r="K470" i="7" s="1"/>
  <c r="O470" i="7" s="1"/>
  <c r="C470" i="7"/>
  <c r="B470" i="7"/>
  <c r="I469" i="7"/>
  <c r="J469" i="7" s="1"/>
  <c r="K469" i="7" s="1"/>
  <c r="O469" i="7" s="1"/>
  <c r="C469" i="7"/>
  <c r="B469" i="7"/>
  <c r="I468" i="7"/>
  <c r="J468" i="7" s="1"/>
  <c r="K468" i="7" s="1"/>
  <c r="O468" i="7" s="1"/>
  <c r="C468" i="7"/>
  <c r="B468" i="7"/>
  <c r="I467" i="7"/>
  <c r="J467" i="7" s="1"/>
  <c r="K467" i="7" s="1"/>
  <c r="O467" i="7" s="1"/>
  <c r="C467" i="7"/>
  <c r="B467" i="7"/>
  <c r="I466" i="7"/>
  <c r="J466" i="7" s="1"/>
  <c r="K466" i="7" s="1"/>
  <c r="O466" i="7" s="1"/>
  <c r="C466" i="7"/>
  <c r="B466" i="7"/>
  <c r="I465" i="7"/>
  <c r="J465" i="7" s="1"/>
  <c r="K465" i="7" s="1"/>
  <c r="O465" i="7" s="1"/>
  <c r="C465" i="7"/>
  <c r="B465" i="7"/>
  <c r="I464" i="7"/>
  <c r="J464" i="7" s="1"/>
  <c r="K464" i="7" s="1"/>
  <c r="O464" i="7" s="1"/>
  <c r="C464" i="7"/>
  <c r="B464" i="7"/>
  <c r="I463" i="7"/>
  <c r="J463" i="7" s="1"/>
  <c r="K463" i="7" s="1"/>
  <c r="O463" i="7" s="1"/>
  <c r="C463" i="7"/>
  <c r="B463" i="7"/>
  <c r="I462" i="7"/>
  <c r="J462" i="7" s="1"/>
  <c r="K462" i="7" s="1"/>
  <c r="O462" i="7" s="1"/>
  <c r="C462" i="7"/>
  <c r="B462" i="7"/>
  <c r="I461" i="7"/>
  <c r="J461" i="7" s="1"/>
  <c r="K461" i="7" s="1"/>
  <c r="O461" i="7" s="1"/>
  <c r="C461" i="7"/>
  <c r="B461" i="7"/>
  <c r="I460" i="7"/>
  <c r="J460" i="7" s="1"/>
  <c r="K460" i="7" s="1"/>
  <c r="O460" i="7" s="1"/>
  <c r="C460" i="7"/>
  <c r="B460" i="7"/>
  <c r="I459" i="7"/>
  <c r="J459" i="7" s="1"/>
  <c r="K459" i="7" s="1"/>
  <c r="O459" i="7" s="1"/>
  <c r="C459" i="7"/>
  <c r="B459" i="7"/>
  <c r="I458" i="7"/>
  <c r="J458" i="7" s="1"/>
  <c r="K458" i="7" s="1"/>
  <c r="O458" i="7" s="1"/>
  <c r="C458" i="7"/>
  <c r="B458" i="7"/>
  <c r="I457" i="7"/>
  <c r="J457" i="7" s="1"/>
  <c r="K457" i="7" s="1"/>
  <c r="O457" i="7" s="1"/>
  <c r="C457" i="7"/>
  <c r="B457" i="7"/>
  <c r="I456" i="7"/>
  <c r="J456" i="7" s="1"/>
  <c r="K456" i="7" s="1"/>
  <c r="O456" i="7" s="1"/>
  <c r="C456" i="7"/>
  <c r="B456" i="7"/>
  <c r="O455" i="7"/>
  <c r="I455" i="7"/>
  <c r="J455" i="7" s="1"/>
  <c r="K455" i="7" s="1"/>
  <c r="C455" i="7"/>
  <c r="B455" i="7"/>
  <c r="I454" i="7"/>
  <c r="J454" i="7" s="1"/>
  <c r="K454" i="7" s="1"/>
  <c r="O454" i="7" s="1"/>
  <c r="C454" i="7"/>
  <c r="B454" i="7"/>
  <c r="I453" i="7"/>
  <c r="J453" i="7" s="1"/>
  <c r="K453" i="7" s="1"/>
  <c r="O453" i="7" s="1"/>
  <c r="C453" i="7"/>
  <c r="B453" i="7"/>
  <c r="I452" i="7"/>
  <c r="J452" i="7" s="1"/>
  <c r="K452" i="7" s="1"/>
  <c r="O452" i="7" s="1"/>
  <c r="C452" i="7"/>
  <c r="B452" i="7"/>
  <c r="I451" i="7"/>
  <c r="J451" i="7" s="1"/>
  <c r="K451" i="7" s="1"/>
  <c r="O451" i="7" s="1"/>
  <c r="C451" i="7"/>
  <c r="B451" i="7"/>
  <c r="I450" i="7"/>
  <c r="J450" i="7" s="1"/>
  <c r="K450" i="7" s="1"/>
  <c r="O450" i="7" s="1"/>
  <c r="C450" i="7"/>
  <c r="B450" i="7"/>
  <c r="I449" i="7"/>
  <c r="J449" i="7" s="1"/>
  <c r="K449" i="7" s="1"/>
  <c r="O449" i="7" s="1"/>
  <c r="C449" i="7"/>
  <c r="B449" i="7"/>
  <c r="I448" i="7"/>
  <c r="J448" i="7" s="1"/>
  <c r="K448" i="7" s="1"/>
  <c r="O448" i="7" s="1"/>
  <c r="C448" i="7"/>
  <c r="B448" i="7"/>
  <c r="I447" i="7"/>
  <c r="J447" i="7" s="1"/>
  <c r="K447" i="7" s="1"/>
  <c r="O447" i="7" s="1"/>
  <c r="C447" i="7"/>
  <c r="B447" i="7"/>
  <c r="O446" i="7"/>
  <c r="I446" i="7"/>
  <c r="J446" i="7" s="1"/>
  <c r="K446" i="7" s="1"/>
  <c r="C446" i="7"/>
  <c r="B446" i="7"/>
  <c r="I445" i="7"/>
  <c r="J445" i="7" s="1"/>
  <c r="K445" i="7" s="1"/>
  <c r="O445" i="7" s="1"/>
  <c r="C445" i="7"/>
  <c r="B445" i="7"/>
  <c r="I444" i="7"/>
  <c r="J444" i="7" s="1"/>
  <c r="K444" i="7" s="1"/>
  <c r="O444" i="7" s="1"/>
  <c r="C444" i="7"/>
  <c r="B444" i="7"/>
  <c r="I443" i="7"/>
  <c r="J443" i="7" s="1"/>
  <c r="K443" i="7" s="1"/>
  <c r="O443" i="7" s="1"/>
  <c r="C443" i="7"/>
  <c r="B443" i="7"/>
  <c r="I442" i="7"/>
  <c r="J442" i="7" s="1"/>
  <c r="K442" i="7" s="1"/>
  <c r="O442" i="7" s="1"/>
  <c r="C442" i="7"/>
  <c r="B442" i="7"/>
  <c r="I441" i="7"/>
  <c r="J441" i="7" s="1"/>
  <c r="K441" i="7" s="1"/>
  <c r="O441" i="7" s="1"/>
  <c r="C441" i="7"/>
  <c r="B441" i="7"/>
  <c r="I440" i="7"/>
  <c r="J440" i="7" s="1"/>
  <c r="K440" i="7" s="1"/>
  <c r="O440" i="7" s="1"/>
  <c r="C440" i="7"/>
  <c r="B440" i="7"/>
  <c r="I439" i="7"/>
  <c r="J439" i="7" s="1"/>
  <c r="K439" i="7" s="1"/>
  <c r="O439" i="7" s="1"/>
  <c r="C439" i="7"/>
  <c r="B439" i="7"/>
  <c r="O438" i="7"/>
  <c r="I438" i="7"/>
  <c r="J438" i="7" s="1"/>
  <c r="K438" i="7" s="1"/>
  <c r="C438" i="7"/>
  <c r="B438" i="7"/>
  <c r="I437" i="7"/>
  <c r="J437" i="7" s="1"/>
  <c r="K437" i="7" s="1"/>
  <c r="O437" i="7" s="1"/>
  <c r="C437" i="7"/>
  <c r="B437" i="7"/>
  <c r="I436" i="7"/>
  <c r="J436" i="7" s="1"/>
  <c r="K436" i="7" s="1"/>
  <c r="O436" i="7" s="1"/>
  <c r="C436" i="7"/>
  <c r="B436" i="7"/>
  <c r="I435" i="7"/>
  <c r="J435" i="7" s="1"/>
  <c r="K435" i="7" s="1"/>
  <c r="O435" i="7" s="1"/>
  <c r="C435" i="7"/>
  <c r="B435" i="7"/>
  <c r="I434" i="7"/>
  <c r="J434" i="7" s="1"/>
  <c r="K434" i="7" s="1"/>
  <c r="O434" i="7" s="1"/>
  <c r="C434" i="7"/>
  <c r="B434" i="7"/>
  <c r="I433" i="7"/>
  <c r="J433" i="7" s="1"/>
  <c r="K433" i="7" s="1"/>
  <c r="O433" i="7" s="1"/>
  <c r="C433" i="7"/>
  <c r="B433" i="7"/>
  <c r="O432" i="7"/>
  <c r="I432" i="7"/>
  <c r="J432" i="7" s="1"/>
  <c r="K432" i="7" s="1"/>
  <c r="C432" i="7"/>
  <c r="B432" i="7"/>
  <c r="I431" i="7"/>
  <c r="J431" i="7" s="1"/>
  <c r="K431" i="7" s="1"/>
  <c r="O431" i="7" s="1"/>
  <c r="C431" i="7"/>
  <c r="B431" i="7"/>
  <c r="I430" i="7"/>
  <c r="J430" i="7" s="1"/>
  <c r="K430" i="7" s="1"/>
  <c r="O430" i="7" s="1"/>
  <c r="C430" i="7"/>
  <c r="B430" i="7"/>
  <c r="I429" i="7"/>
  <c r="J429" i="7" s="1"/>
  <c r="K429" i="7" s="1"/>
  <c r="O429" i="7" s="1"/>
  <c r="C429" i="7"/>
  <c r="B429" i="7"/>
  <c r="I428" i="7"/>
  <c r="J428" i="7" s="1"/>
  <c r="K428" i="7" s="1"/>
  <c r="O428" i="7" s="1"/>
  <c r="C428" i="7"/>
  <c r="B428" i="7"/>
  <c r="I427" i="7"/>
  <c r="J427" i="7" s="1"/>
  <c r="K427" i="7" s="1"/>
  <c r="O427" i="7" s="1"/>
  <c r="C427" i="7"/>
  <c r="B427" i="7"/>
  <c r="O426" i="7"/>
  <c r="I426" i="7"/>
  <c r="J426" i="7" s="1"/>
  <c r="K426" i="7" s="1"/>
  <c r="C426" i="7"/>
  <c r="B426" i="7"/>
  <c r="I425" i="7"/>
  <c r="J425" i="7" s="1"/>
  <c r="K425" i="7" s="1"/>
  <c r="O425" i="7" s="1"/>
  <c r="C425" i="7"/>
  <c r="B425" i="7"/>
  <c r="I424" i="7"/>
  <c r="J424" i="7" s="1"/>
  <c r="K424" i="7" s="1"/>
  <c r="O424" i="7" s="1"/>
  <c r="C424" i="7"/>
  <c r="B424" i="7"/>
  <c r="I423" i="7"/>
  <c r="J423" i="7" s="1"/>
  <c r="K423" i="7" s="1"/>
  <c r="O423" i="7" s="1"/>
  <c r="C423" i="7"/>
  <c r="B423" i="7"/>
  <c r="I422" i="7"/>
  <c r="J422" i="7" s="1"/>
  <c r="K422" i="7" s="1"/>
  <c r="O422" i="7" s="1"/>
  <c r="D422" i="7"/>
  <c r="C422" i="7"/>
  <c r="B422" i="7"/>
  <c r="O421" i="7"/>
  <c r="I421" i="7"/>
  <c r="J421" i="7" s="1"/>
  <c r="K421" i="7" s="1"/>
  <c r="D421" i="7"/>
  <c r="C421" i="7"/>
  <c r="B421" i="7"/>
  <c r="I420" i="7"/>
  <c r="J420" i="7" s="1"/>
  <c r="K420" i="7" s="1"/>
  <c r="O420" i="7" s="1"/>
  <c r="D420" i="7"/>
  <c r="C420" i="7"/>
  <c r="B420" i="7"/>
  <c r="I419" i="7"/>
  <c r="J419" i="7" s="1"/>
  <c r="K419" i="7" s="1"/>
  <c r="O419" i="7" s="1"/>
  <c r="D419" i="7"/>
  <c r="C419" i="7"/>
  <c r="B419" i="7"/>
  <c r="O418" i="7"/>
  <c r="I418" i="7"/>
  <c r="J418" i="7" s="1"/>
  <c r="K418" i="7" s="1"/>
  <c r="D418" i="7"/>
  <c r="C418" i="7"/>
  <c r="B418" i="7"/>
  <c r="O417" i="7"/>
  <c r="I417" i="7"/>
  <c r="J417" i="7" s="1"/>
  <c r="K417" i="7" s="1"/>
  <c r="D417" i="7"/>
  <c r="C417" i="7"/>
  <c r="B417" i="7"/>
  <c r="I416" i="7"/>
  <c r="J416" i="7" s="1"/>
  <c r="K416" i="7" s="1"/>
  <c r="O416" i="7" s="1"/>
  <c r="D416" i="7"/>
  <c r="C416" i="7"/>
  <c r="B416" i="7"/>
  <c r="I415" i="7"/>
  <c r="J415" i="7" s="1"/>
  <c r="K415" i="7" s="1"/>
  <c r="O415" i="7" s="1"/>
  <c r="D415" i="7"/>
  <c r="C415" i="7"/>
  <c r="B415" i="7"/>
  <c r="I414" i="7"/>
  <c r="J414" i="7" s="1"/>
  <c r="K414" i="7" s="1"/>
  <c r="O414" i="7" s="1"/>
  <c r="D414" i="7"/>
  <c r="C414" i="7"/>
  <c r="B414" i="7"/>
  <c r="O413" i="7"/>
  <c r="I413" i="7"/>
  <c r="J413" i="7" s="1"/>
  <c r="K413" i="7" s="1"/>
  <c r="D413" i="7"/>
  <c r="C413" i="7"/>
  <c r="B413" i="7"/>
  <c r="I412" i="7"/>
  <c r="J412" i="7" s="1"/>
  <c r="K412" i="7" s="1"/>
  <c r="O412" i="7" s="1"/>
  <c r="D412" i="7"/>
  <c r="C412" i="7"/>
  <c r="B412" i="7"/>
  <c r="I411" i="7"/>
  <c r="J411" i="7" s="1"/>
  <c r="K411" i="7" s="1"/>
  <c r="O411" i="7" s="1"/>
  <c r="D411" i="7"/>
  <c r="C411" i="7"/>
  <c r="B411" i="7"/>
  <c r="I410" i="7"/>
  <c r="J410" i="7" s="1"/>
  <c r="K410" i="7" s="1"/>
  <c r="O410" i="7" s="1"/>
  <c r="D410" i="7"/>
  <c r="C410" i="7"/>
  <c r="B410" i="7"/>
  <c r="O409" i="7"/>
  <c r="I409" i="7"/>
  <c r="J409" i="7" s="1"/>
  <c r="K409" i="7" s="1"/>
  <c r="D409" i="7"/>
  <c r="C409" i="7"/>
  <c r="B409" i="7"/>
  <c r="I408" i="7"/>
  <c r="J408" i="7" s="1"/>
  <c r="K408" i="7" s="1"/>
  <c r="O408" i="7" s="1"/>
  <c r="D408" i="7"/>
  <c r="C408" i="7"/>
  <c r="B408" i="7"/>
  <c r="I407" i="7"/>
  <c r="J407" i="7" s="1"/>
  <c r="K407" i="7" s="1"/>
  <c r="O407" i="7" s="1"/>
  <c r="D407" i="7"/>
  <c r="C407" i="7"/>
  <c r="B407" i="7"/>
  <c r="O406" i="7"/>
  <c r="I406" i="7"/>
  <c r="J406" i="7" s="1"/>
  <c r="K406" i="7" s="1"/>
  <c r="D406" i="7"/>
  <c r="C406" i="7"/>
  <c r="B406" i="7"/>
  <c r="I405" i="7"/>
  <c r="J405" i="7" s="1"/>
  <c r="K405" i="7" s="1"/>
  <c r="O405" i="7" s="1"/>
  <c r="D405" i="7"/>
  <c r="C405" i="7"/>
  <c r="B405" i="7"/>
  <c r="O404" i="7"/>
  <c r="I404" i="7"/>
  <c r="J404" i="7" s="1"/>
  <c r="K404" i="7" s="1"/>
  <c r="D404" i="7"/>
  <c r="C404" i="7"/>
  <c r="B404" i="7"/>
  <c r="O403" i="7"/>
  <c r="I403" i="7"/>
  <c r="J403" i="7" s="1"/>
  <c r="K403" i="7" s="1"/>
  <c r="D403" i="7"/>
  <c r="C403" i="7"/>
  <c r="B403" i="7"/>
  <c r="I402" i="7"/>
  <c r="J402" i="7" s="1"/>
  <c r="K402" i="7" s="1"/>
  <c r="O402" i="7" s="1"/>
  <c r="D402" i="7"/>
  <c r="C402" i="7"/>
  <c r="B402" i="7"/>
  <c r="O401" i="7"/>
  <c r="I401" i="7"/>
  <c r="J401" i="7" s="1"/>
  <c r="K401" i="7" s="1"/>
  <c r="D401" i="7"/>
  <c r="C401" i="7"/>
  <c r="B401" i="7"/>
  <c r="I400" i="7"/>
  <c r="J400" i="7" s="1"/>
  <c r="K400" i="7" s="1"/>
  <c r="O400" i="7" s="1"/>
  <c r="D400" i="7"/>
  <c r="C400" i="7"/>
  <c r="B400" i="7"/>
  <c r="I399" i="7"/>
  <c r="J399" i="7" s="1"/>
  <c r="K399" i="7" s="1"/>
  <c r="O399" i="7" s="1"/>
  <c r="D399" i="7"/>
  <c r="C399" i="7"/>
  <c r="B399" i="7"/>
  <c r="I398" i="7"/>
  <c r="J398" i="7" s="1"/>
  <c r="K398" i="7" s="1"/>
  <c r="O398" i="7" s="1"/>
  <c r="D398" i="7"/>
  <c r="C398" i="7"/>
  <c r="B398" i="7"/>
  <c r="I397" i="7"/>
  <c r="J397" i="7" s="1"/>
  <c r="K397" i="7" s="1"/>
  <c r="O397" i="7" s="1"/>
  <c r="D397" i="7"/>
  <c r="C397" i="7"/>
  <c r="B397" i="7"/>
  <c r="I396" i="7"/>
  <c r="J396" i="7" s="1"/>
  <c r="K396" i="7" s="1"/>
  <c r="O396" i="7" s="1"/>
  <c r="D396" i="7"/>
  <c r="C396" i="7"/>
  <c r="B396" i="7"/>
  <c r="I395" i="7"/>
  <c r="J395" i="7" s="1"/>
  <c r="K395" i="7" s="1"/>
  <c r="O395" i="7" s="1"/>
  <c r="D395" i="7"/>
  <c r="C395" i="7"/>
  <c r="B395" i="7"/>
  <c r="I394" i="7"/>
  <c r="J394" i="7" s="1"/>
  <c r="K394" i="7" s="1"/>
  <c r="O394" i="7" s="1"/>
  <c r="D394" i="7"/>
  <c r="C394" i="7"/>
  <c r="B394" i="7"/>
  <c r="I393" i="7"/>
  <c r="J393" i="7" s="1"/>
  <c r="K393" i="7" s="1"/>
  <c r="O393" i="7" s="1"/>
  <c r="D393" i="7"/>
  <c r="C393" i="7"/>
  <c r="B393" i="7"/>
  <c r="O392" i="7"/>
  <c r="I392" i="7"/>
  <c r="J392" i="7" s="1"/>
  <c r="K392" i="7" s="1"/>
  <c r="D392" i="7"/>
  <c r="C392" i="7"/>
  <c r="B392" i="7"/>
  <c r="I391" i="7"/>
  <c r="J391" i="7" s="1"/>
  <c r="K391" i="7" s="1"/>
  <c r="O391" i="7" s="1"/>
  <c r="D391" i="7"/>
  <c r="C391" i="7"/>
  <c r="B391" i="7"/>
  <c r="I390" i="7"/>
  <c r="J390" i="7" s="1"/>
  <c r="K390" i="7" s="1"/>
  <c r="O390" i="7" s="1"/>
  <c r="D390" i="7"/>
  <c r="C390" i="7"/>
  <c r="B390" i="7"/>
  <c r="I389" i="7"/>
  <c r="J389" i="7" s="1"/>
  <c r="K389" i="7" s="1"/>
  <c r="O389" i="7" s="1"/>
  <c r="D389" i="7"/>
  <c r="C389" i="7"/>
  <c r="B389" i="7"/>
  <c r="I388" i="7"/>
  <c r="J388" i="7" s="1"/>
  <c r="K388" i="7" s="1"/>
  <c r="O388" i="7" s="1"/>
  <c r="D388" i="7"/>
  <c r="C388" i="7"/>
  <c r="B388" i="7"/>
  <c r="O387" i="7"/>
  <c r="I387" i="7"/>
  <c r="J387" i="7" s="1"/>
  <c r="K387" i="7" s="1"/>
  <c r="D387" i="7"/>
  <c r="C387" i="7"/>
  <c r="B387" i="7"/>
  <c r="I386" i="7"/>
  <c r="J386" i="7" s="1"/>
  <c r="K386" i="7" s="1"/>
  <c r="O386" i="7" s="1"/>
  <c r="D386" i="7"/>
  <c r="C386" i="7"/>
  <c r="B386" i="7"/>
  <c r="O385" i="7"/>
  <c r="I385" i="7"/>
  <c r="J385" i="7" s="1"/>
  <c r="K385" i="7" s="1"/>
  <c r="D385" i="7"/>
  <c r="C385" i="7"/>
  <c r="B385" i="7"/>
  <c r="I384" i="7"/>
  <c r="J384" i="7" s="1"/>
  <c r="K384" i="7" s="1"/>
  <c r="O384" i="7" s="1"/>
  <c r="D384" i="7"/>
  <c r="C384" i="7"/>
  <c r="B384" i="7"/>
  <c r="I383" i="7"/>
  <c r="J383" i="7" s="1"/>
  <c r="K383" i="7" s="1"/>
  <c r="O383" i="7" s="1"/>
  <c r="D383" i="7"/>
  <c r="C383" i="7"/>
  <c r="B383" i="7"/>
  <c r="I382" i="7"/>
  <c r="J382" i="7" s="1"/>
  <c r="K382" i="7" s="1"/>
  <c r="O382" i="7" s="1"/>
  <c r="D382" i="7"/>
  <c r="C382" i="7"/>
  <c r="B382" i="7"/>
  <c r="I381" i="7"/>
  <c r="J381" i="7" s="1"/>
  <c r="K381" i="7" s="1"/>
  <c r="O381" i="7" s="1"/>
  <c r="D381" i="7"/>
  <c r="C381" i="7"/>
  <c r="B381" i="7"/>
  <c r="I380" i="7"/>
  <c r="J380" i="7" s="1"/>
  <c r="K380" i="7" s="1"/>
  <c r="O380" i="7" s="1"/>
  <c r="D380" i="7"/>
  <c r="C380" i="7"/>
  <c r="B380" i="7"/>
  <c r="I379" i="7"/>
  <c r="J379" i="7" s="1"/>
  <c r="K379" i="7" s="1"/>
  <c r="O379" i="7" s="1"/>
  <c r="D379" i="7"/>
  <c r="C379" i="7"/>
  <c r="B379" i="7"/>
  <c r="I378" i="7"/>
  <c r="J378" i="7" s="1"/>
  <c r="K378" i="7" s="1"/>
  <c r="O378" i="7" s="1"/>
  <c r="D378" i="7"/>
  <c r="C378" i="7"/>
  <c r="B378" i="7"/>
  <c r="I377" i="7"/>
  <c r="J377" i="7" s="1"/>
  <c r="K377" i="7" s="1"/>
  <c r="O377" i="7" s="1"/>
  <c r="D377" i="7"/>
  <c r="C377" i="7"/>
  <c r="B377" i="7"/>
  <c r="I376" i="7"/>
  <c r="J376" i="7" s="1"/>
  <c r="K376" i="7" s="1"/>
  <c r="O376" i="7" s="1"/>
  <c r="D376" i="7"/>
  <c r="C376" i="7"/>
  <c r="B376" i="7"/>
  <c r="I375" i="7"/>
  <c r="J375" i="7" s="1"/>
  <c r="K375" i="7" s="1"/>
  <c r="O375" i="7" s="1"/>
  <c r="D375" i="7"/>
  <c r="C375" i="7"/>
  <c r="B375" i="7"/>
  <c r="O374" i="7"/>
  <c r="I374" i="7"/>
  <c r="J374" i="7" s="1"/>
  <c r="K374" i="7" s="1"/>
  <c r="D374" i="7"/>
  <c r="C374" i="7"/>
  <c r="B374" i="7"/>
  <c r="I373" i="7"/>
  <c r="J373" i="7" s="1"/>
  <c r="K373" i="7" s="1"/>
  <c r="O373" i="7" s="1"/>
  <c r="D373" i="7"/>
  <c r="C373" i="7"/>
  <c r="B373" i="7"/>
  <c r="I372" i="7"/>
  <c r="J372" i="7" s="1"/>
  <c r="K372" i="7" s="1"/>
  <c r="O372" i="7" s="1"/>
  <c r="D372" i="7"/>
  <c r="C372" i="7"/>
  <c r="B372" i="7"/>
  <c r="O371" i="7"/>
  <c r="I371" i="7"/>
  <c r="J371" i="7" s="1"/>
  <c r="K371" i="7" s="1"/>
  <c r="D371" i="7"/>
  <c r="C371" i="7"/>
  <c r="B371" i="7"/>
  <c r="I370" i="7"/>
  <c r="J370" i="7" s="1"/>
  <c r="K370" i="7" s="1"/>
  <c r="O370" i="7" s="1"/>
  <c r="D370" i="7"/>
  <c r="C370" i="7"/>
  <c r="B370" i="7"/>
  <c r="O369" i="7"/>
  <c r="I369" i="7"/>
  <c r="J369" i="7" s="1"/>
  <c r="K369" i="7" s="1"/>
  <c r="D369" i="7"/>
  <c r="C369" i="7"/>
  <c r="B369" i="7"/>
  <c r="I368" i="7"/>
  <c r="J368" i="7" s="1"/>
  <c r="K368" i="7" s="1"/>
  <c r="O368" i="7" s="1"/>
  <c r="D368" i="7"/>
  <c r="C368" i="7"/>
  <c r="B368" i="7"/>
  <c r="I367" i="7"/>
  <c r="J367" i="7" s="1"/>
  <c r="K367" i="7" s="1"/>
  <c r="O367" i="7" s="1"/>
  <c r="D367" i="7"/>
  <c r="C367" i="7"/>
  <c r="B367" i="7"/>
  <c r="O366" i="7"/>
  <c r="I366" i="7"/>
  <c r="J366" i="7" s="1"/>
  <c r="K366" i="7" s="1"/>
  <c r="D366" i="7"/>
  <c r="C366" i="7"/>
  <c r="B366" i="7"/>
  <c r="O365" i="7"/>
  <c r="I365" i="7"/>
  <c r="J365" i="7" s="1"/>
  <c r="K365" i="7" s="1"/>
  <c r="D365" i="7"/>
  <c r="C365" i="7"/>
  <c r="B365" i="7"/>
  <c r="I364" i="7"/>
  <c r="J364" i="7" s="1"/>
  <c r="K364" i="7" s="1"/>
  <c r="O364" i="7" s="1"/>
  <c r="D364" i="7"/>
  <c r="C364" i="7"/>
  <c r="B364" i="7"/>
  <c r="I363" i="7"/>
  <c r="J363" i="7" s="1"/>
  <c r="K363" i="7" s="1"/>
  <c r="O363" i="7" s="1"/>
  <c r="D363" i="7"/>
  <c r="C363" i="7"/>
  <c r="B363" i="7"/>
  <c r="I362" i="7"/>
  <c r="J362" i="7" s="1"/>
  <c r="K362" i="7" s="1"/>
  <c r="O362" i="7" s="1"/>
  <c r="D362" i="7"/>
  <c r="C362" i="7"/>
  <c r="B362" i="7"/>
  <c r="I361" i="7"/>
  <c r="J361" i="7" s="1"/>
  <c r="K361" i="7" s="1"/>
  <c r="O361" i="7" s="1"/>
  <c r="D361" i="7"/>
  <c r="C361" i="7"/>
  <c r="B361" i="7"/>
  <c r="I360" i="7"/>
  <c r="J360" i="7" s="1"/>
  <c r="K360" i="7" s="1"/>
  <c r="O360" i="7" s="1"/>
  <c r="D360" i="7"/>
  <c r="C360" i="7"/>
  <c r="B360" i="7"/>
  <c r="I359" i="7"/>
  <c r="J359" i="7" s="1"/>
  <c r="K359" i="7" s="1"/>
  <c r="O359" i="7" s="1"/>
  <c r="D359" i="7"/>
  <c r="C359" i="7"/>
  <c r="B359" i="7"/>
  <c r="I358" i="7"/>
  <c r="J358" i="7" s="1"/>
  <c r="K358" i="7" s="1"/>
  <c r="O358" i="7" s="1"/>
  <c r="D358" i="7"/>
  <c r="C358" i="7"/>
  <c r="B358" i="7"/>
  <c r="I357" i="7"/>
  <c r="J357" i="7" s="1"/>
  <c r="K357" i="7" s="1"/>
  <c r="O357" i="7" s="1"/>
  <c r="D357" i="7"/>
  <c r="C357" i="7"/>
  <c r="B357" i="7"/>
  <c r="I356" i="7"/>
  <c r="J356" i="7" s="1"/>
  <c r="K356" i="7" s="1"/>
  <c r="O356" i="7" s="1"/>
  <c r="D356" i="7"/>
  <c r="C356" i="7"/>
  <c r="B356" i="7"/>
  <c r="I355" i="7"/>
  <c r="J355" i="7" s="1"/>
  <c r="K355" i="7" s="1"/>
  <c r="O355" i="7" s="1"/>
  <c r="D355" i="7"/>
  <c r="C355" i="7"/>
  <c r="B355" i="7"/>
  <c r="I354" i="7"/>
  <c r="J354" i="7" s="1"/>
  <c r="K354" i="7" s="1"/>
  <c r="O354" i="7" s="1"/>
  <c r="D354" i="7"/>
  <c r="C354" i="7"/>
  <c r="B354" i="7"/>
  <c r="I353" i="7"/>
  <c r="J353" i="7" s="1"/>
  <c r="K353" i="7" s="1"/>
  <c r="O353" i="7" s="1"/>
  <c r="D353" i="7"/>
  <c r="C353" i="7"/>
  <c r="B353" i="7"/>
  <c r="I352" i="7"/>
  <c r="J352" i="7" s="1"/>
  <c r="K352" i="7" s="1"/>
  <c r="O352" i="7" s="1"/>
  <c r="D352" i="7"/>
  <c r="C352" i="7"/>
  <c r="B352" i="7"/>
  <c r="I351" i="7"/>
  <c r="J351" i="7" s="1"/>
  <c r="K351" i="7" s="1"/>
  <c r="O351" i="7" s="1"/>
  <c r="D351" i="7"/>
  <c r="C351" i="7"/>
  <c r="B351" i="7"/>
  <c r="I350" i="7"/>
  <c r="J350" i="7" s="1"/>
  <c r="K350" i="7" s="1"/>
  <c r="O350" i="7" s="1"/>
  <c r="D350" i="7"/>
  <c r="C350" i="7"/>
  <c r="B350" i="7"/>
  <c r="I349" i="7"/>
  <c r="J349" i="7" s="1"/>
  <c r="K349" i="7" s="1"/>
  <c r="O349" i="7" s="1"/>
  <c r="D349" i="7"/>
  <c r="C349" i="7"/>
  <c r="B349" i="7"/>
  <c r="I348" i="7"/>
  <c r="J348" i="7" s="1"/>
  <c r="K348" i="7" s="1"/>
  <c r="O348" i="7" s="1"/>
  <c r="D348" i="7"/>
  <c r="C348" i="7"/>
  <c r="B348" i="7"/>
  <c r="O347" i="7"/>
  <c r="I347" i="7"/>
  <c r="J347" i="7" s="1"/>
  <c r="K347" i="7" s="1"/>
  <c r="D347" i="7"/>
  <c r="C347" i="7"/>
  <c r="B347" i="7"/>
  <c r="O346" i="7"/>
  <c r="I346" i="7"/>
  <c r="J346" i="7" s="1"/>
  <c r="K346" i="7" s="1"/>
  <c r="D346" i="7"/>
  <c r="C346" i="7"/>
  <c r="B346" i="7"/>
  <c r="O345" i="7"/>
  <c r="I345" i="7"/>
  <c r="J345" i="7" s="1"/>
  <c r="K345" i="7" s="1"/>
  <c r="D345" i="7"/>
  <c r="C345" i="7"/>
  <c r="B345" i="7"/>
  <c r="I344" i="7"/>
  <c r="J344" i="7" s="1"/>
  <c r="K344" i="7" s="1"/>
  <c r="O344" i="7" s="1"/>
  <c r="D344" i="7"/>
  <c r="C344" i="7"/>
  <c r="B344" i="7"/>
  <c r="I343" i="7"/>
  <c r="J343" i="7" s="1"/>
  <c r="K343" i="7" s="1"/>
  <c r="O343" i="7" s="1"/>
  <c r="D343" i="7"/>
  <c r="C343" i="7"/>
  <c r="B343" i="7"/>
  <c r="I342" i="7"/>
  <c r="J342" i="7" s="1"/>
  <c r="K342" i="7" s="1"/>
  <c r="O342" i="7" s="1"/>
  <c r="D342" i="7"/>
  <c r="C342" i="7"/>
  <c r="B342" i="7"/>
  <c r="O341" i="7"/>
  <c r="I341" i="7"/>
  <c r="J341" i="7" s="1"/>
  <c r="K341" i="7" s="1"/>
  <c r="D341" i="7"/>
  <c r="C341" i="7"/>
  <c r="B341" i="7"/>
  <c r="O340" i="7"/>
  <c r="I340" i="7"/>
  <c r="J340" i="7" s="1"/>
  <c r="K340" i="7" s="1"/>
  <c r="D340" i="7"/>
  <c r="C340" i="7"/>
  <c r="B340" i="7"/>
  <c r="I339" i="7"/>
  <c r="J339" i="7" s="1"/>
  <c r="K339" i="7" s="1"/>
  <c r="O339" i="7" s="1"/>
  <c r="D339" i="7"/>
  <c r="C339" i="7"/>
  <c r="B339" i="7"/>
  <c r="I338" i="7"/>
  <c r="J338" i="7" s="1"/>
  <c r="K338" i="7" s="1"/>
  <c r="O338" i="7" s="1"/>
  <c r="D338" i="7"/>
  <c r="C338" i="7"/>
  <c r="B338" i="7"/>
  <c r="I337" i="7"/>
  <c r="J337" i="7" s="1"/>
  <c r="K337" i="7" s="1"/>
  <c r="O337" i="7" s="1"/>
  <c r="D337" i="7"/>
  <c r="C337" i="7"/>
  <c r="B337" i="7"/>
  <c r="I336" i="7"/>
  <c r="J336" i="7" s="1"/>
  <c r="K336" i="7" s="1"/>
  <c r="O336" i="7" s="1"/>
  <c r="D336" i="7"/>
  <c r="C336" i="7"/>
  <c r="B336" i="7"/>
  <c r="I335" i="7"/>
  <c r="J335" i="7" s="1"/>
  <c r="K335" i="7" s="1"/>
  <c r="O335" i="7" s="1"/>
  <c r="D335" i="7"/>
  <c r="C335" i="7"/>
  <c r="B335" i="7"/>
  <c r="I334" i="7"/>
  <c r="J334" i="7" s="1"/>
  <c r="K334" i="7" s="1"/>
  <c r="O334" i="7" s="1"/>
  <c r="D334" i="7"/>
  <c r="C334" i="7"/>
  <c r="B334" i="7"/>
  <c r="I333" i="7"/>
  <c r="J333" i="7" s="1"/>
  <c r="K333" i="7" s="1"/>
  <c r="O333" i="7" s="1"/>
  <c r="D333" i="7"/>
  <c r="C333" i="7"/>
  <c r="B333" i="7"/>
  <c r="I332" i="7"/>
  <c r="J332" i="7" s="1"/>
  <c r="K332" i="7" s="1"/>
  <c r="O332" i="7" s="1"/>
  <c r="D332" i="7"/>
  <c r="C332" i="7"/>
  <c r="B332" i="7"/>
  <c r="I331" i="7"/>
  <c r="J331" i="7" s="1"/>
  <c r="K331" i="7" s="1"/>
  <c r="O331" i="7" s="1"/>
  <c r="D331" i="7"/>
  <c r="C331" i="7"/>
  <c r="B331" i="7"/>
  <c r="I330" i="7"/>
  <c r="J330" i="7" s="1"/>
  <c r="K330" i="7" s="1"/>
  <c r="O330" i="7" s="1"/>
  <c r="D330" i="7"/>
  <c r="C330" i="7"/>
  <c r="B330" i="7"/>
  <c r="I329" i="7"/>
  <c r="J329" i="7" s="1"/>
  <c r="K329" i="7" s="1"/>
  <c r="O329" i="7" s="1"/>
  <c r="D329" i="7"/>
  <c r="C329" i="7"/>
  <c r="B329" i="7"/>
  <c r="I328" i="7"/>
  <c r="J328" i="7" s="1"/>
  <c r="K328" i="7" s="1"/>
  <c r="O328" i="7" s="1"/>
  <c r="D328" i="7"/>
  <c r="C328" i="7"/>
  <c r="B328" i="7"/>
  <c r="I327" i="7"/>
  <c r="J327" i="7" s="1"/>
  <c r="K327" i="7" s="1"/>
  <c r="O327" i="7" s="1"/>
  <c r="D327" i="7"/>
  <c r="C327" i="7"/>
  <c r="B327" i="7"/>
  <c r="I326" i="7"/>
  <c r="J326" i="7" s="1"/>
  <c r="K326" i="7" s="1"/>
  <c r="O326" i="7" s="1"/>
  <c r="D326" i="7"/>
  <c r="C326" i="7"/>
  <c r="B326" i="7"/>
  <c r="I325" i="7"/>
  <c r="J325" i="7" s="1"/>
  <c r="K325" i="7" s="1"/>
  <c r="O325" i="7" s="1"/>
  <c r="D325" i="7"/>
  <c r="C325" i="7"/>
  <c r="B325" i="7"/>
  <c r="O324" i="7"/>
  <c r="I324" i="7"/>
  <c r="J324" i="7" s="1"/>
  <c r="K324" i="7" s="1"/>
  <c r="D324" i="7"/>
  <c r="C324" i="7"/>
  <c r="B324" i="7"/>
  <c r="I323" i="7"/>
  <c r="J323" i="7" s="1"/>
  <c r="K323" i="7" s="1"/>
  <c r="O323" i="7" s="1"/>
  <c r="D323" i="7"/>
  <c r="C323" i="7"/>
  <c r="B323" i="7"/>
  <c r="I322" i="7"/>
  <c r="J322" i="7" s="1"/>
  <c r="K322" i="7" s="1"/>
  <c r="O322" i="7" s="1"/>
  <c r="D322" i="7"/>
  <c r="C322" i="7"/>
  <c r="B322" i="7"/>
  <c r="I321" i="7"/>
  <c r="J321" i="7" s="1"/>
  <c r="K321" i="7" s="1"/>
  <c r="O321" i="7" s="1"/>
  <c r="D321" i="7"/>
  <c r="C321" i="7"/>
  <c r="B321" i="7"/>
  <c r="I320" i="7"/>
  <c r="J320" i="7" s="1"/>
  <c r="K320" i="7" s="1"/>
  <c r="O320" i="7" s="1"/>
  <c r="D320" i="7"/>
  <c r="C320" i="7"/>
  <c r="B320" i="7"/>
  <c r="I319" i="7"/>
  <c r="J319" i="7" s="1"/>
  <c r="K319" i="7" s="1"/>
  <c r="O319" i="7" s="1"/>
  <c r="D319" i="7"/>
  <c r="C319" i="7"/>
  <c r="B319" i="7"/>
  <c r="I318" i="7"/>
  <c r="J318" i="7" s="1"/>
  <c r="K318" i="7" s="1"/>
  <c r="O318" i="7" s="1"/>
  <c r="D318" i="7"/>
  <c r="C318" i="7"/>
  <c r="B318" i="7"/>
  <c r="I317" i="7"/>
  <c r="J317" i="7" s="1"/>
  <c r="K317" i="7" s="1"/>
  <c r="O317" i="7" s="1"/>
  <c r="D317" i="7"/>
  <c r="C317" i="7"/>
  <c r="B317" i="7"/>
  <c r="I316" i="7"/>
  <c r="J316" i="7" s="1"/>
  <c r="K316" i="7" s="1"/>
  <c r="O316" i="7" s="1"/>
  <c r="D316" i="7"/>
  <c r="C316" i="7"/>
  <c r="B316" i="7"/>
  <c r="I315" i="7"/>
  <c r="J315" i="7" s="1"/>
  <c r="K315" i="7" s="1"/>
  <c r="O315" i="7" s="1"/>
  <c r="D315" i="7"/>
  <c r="C315" i="7"/>
  <c r="B315" i="7"/>
  <c r="I314" i="7"/>
  <c r="J314" i="7" s="1"/>
  <c r="K314" i="7" s="1"/>
  <c r="O314" i="7" s="1"/>
  <c r="D314" i="7"/>
  <c r="C314" i="7"/>
  <c r="B314" i="7"/>
  <c r="I313" i="7"/>
  <c r="J313" i="7" s="1"/>
  <c r="K313" i="7" s="1"/>
  <c r="O313" i="7" s="1"/>
  <c r="D313" i="7"/>
  <c r="C313" i="7"/>
  <c r="B313" i="7"/>
  <c r="I312" i="7"/>
  <c r="J312" i="7" s="1"/>
  <c r="K312" i="7" s="1"/>
  <c r="O312" i="7" s="1"/>
  <c r="D312" i="7"/>
  <c r="C312" i="7"/>
  <c r="B312" i="7"/>
  <c r="I311" i="7"/>
  <c r="J311" i="7" s="1"/>
  <c r="K311" i="7" s="1"/>
  <c r="O311" i="7" s="1"/>
  <c r="D311" i="7"/>
  <c r="C311" i="7"/>
  <c r="B311" i="7"/>
  <c r="O310" i="7"/>
  <c r="I310" i="7"/>
  <c r="J310" i="7" s="1"/>
  <c r="K310" i="7" s="1"/>
  <c r="D310" i="7"/>
  <c r="C310" i="7"/>
  <c r="B310" i="7"/>
  <c r="I309" i="7"/>
  <c r="J309" i="7" s="1"/>
  <c r="K309" i="7" s="1"/>
  <c r="O309" i="7" s="1"/>
  <c r="D309" i="7"/>
  <c r="C309" i="7"/>
  <c r="B309" i="7"/>
  <c r="I308" i="7"/>
  <c r="J308" i="7" s="1"/>
  <c r="K308" i="7" s="1"/>
  <c r="O308" i="7" s="1"/>
  <c r="D308" i="7"/>
  <c r="C308" i="7"/>
  <c r="B308" i="7"/>
  <c r="I307" i="7"/>
  <c r="J307" i="7" s="1"/>
  <c r="K307" i="7" s="1"/>
  <c r="O307" i="7" s="1"/>
  <c r="D307" i="7"/>
  <c r="C307" i="7"/>
  <c r="B307" i="7"/>
  <c r="I306" i="7"/>
  <c r="J306" i="7" s="1"/>
  <c r="K306" i="7" s="1"/>
  <c r="O306" i="7" s="1"/>
  <c r="D306" i="7"/>
  <c r="C306" i="7"/>
  <c r="B306" i="7"/>
  <c r="I305" i="7"/>
  <c r="J305" i="7" s="1"/>
  <c r="K305" i="7" s="1"/>
  <c r="O305" i="7" s="1"/>
  <c r="D305" i="7"/>
  <c r="C305" i="7"/>
  <c r="B305" i="7"/>
  <c r="I304" i="7"/>
  <c r="J304" i="7" s="1"/>
  <c r="K304" i="7" s="1"/>
  <c r="O304" i="7" s="1"/>
  <c r="D304" i="7"/>
  <c r="C304" i="7"/>
  <c r="B304" i="7"/>
  <c r="I303" i="7"/>
  <c r="J303" i="7" s="1"/>
  <c r="K303" i="7" s="1"/>
  <c r="O303" i="7" s="1"/>
  <c r="D303" i="7"/>
  <c r="C303" i="7"/>
  <c r="B303" i="7"/>
  <c r="I302" i="7"/>
  <c r="J302" i="7" s="1"/>
  <c r="K302" i="7" s="1"/>
  <c r="O302" i="7" s="1"/>
  <c r="D302" i="7"/>
  <c r="C302" i="7"/>
  <c r="B302" i="7"/>
  <c r="I301" i="7"/>
  <c r="J301" i="7" s="1"/>
  <c r="K301" i="7" s="1"/>
  <c r="O301" i="7" s="1"/>
  <c r="D301" i="7"/>
  <c r="C301" i="7"/>
  <c r="B301" i="7"/>
  <c r="I300" i="7"/>
  <c r="J300" i="7" s="1"/>
  <c r="K300" i="7" s="1"/>
  <c r="O300" i="7" s="1"/>
  <c r="D300" i="7"/>
  <c r="C300" i="7"/>
  <c r="B300" i="7"/>
  <c r="I299" i="7"/>
  <c r="J299" i="7" s="1"/>
  <c r="K299" i="7" s="1"/>
  <c r="O299" i="7" s="1"/>
  <c r="D299" i="7"/>
  <c r="C299" i="7"/>
  <c r="B299" i="7"/>
  <c r="I298" i="7"/>
  <c r="J298" i="7" s="1"/>
  <c r="K298" i="7" s="1"/>
  <c r="O298" i="7" s="1"/>
  <c r="D298" i="7"/>
  <c r="C298" i="7"/>
  <c r="B298" i="7"/>
  <c r="I297" i="7"/>
  <c r="J297" i="7" s="1"/>
  <c r="K297" i="7" s="1"/>
  <c r="O297" i="7" s="1"/>
  <c r="D297" i="7"/>
  <c r="C297" i="7"/>
  <c r="B297" i="7"/>
  <c r="I296" i="7"/>
  <c r="J296" i="7" s="1"/>
  <c r="K296" i="7" s="1"/>
  <c r="O296" i="7" s="1"/>
  <c r="D296" i="7"/>
  <c r="C296" i="7"/>
  <c r="B296" i="7"/>
  <c r="I295" i="7"/>
  <c r="J295" i="7" s="1"/>
  <c r="K295" i="7" s="1"/>
  <c r="O295" i="7" s="1"/>
  <c r="D295" i="7"/>
  <c r="C295" i="7"/>
  <c r="B295" i="7"/>
  <c r="O294" i="7"/>
  <c r="I294" i="7"/>
  <c r="J294" i="7" s="1"/>
  <c r="K294" i="7" s="1"/>
  <c r="D294" i="7"/>
  <c r="C294" i="7"/>
  <c r="B294" i="7"/>
  <c r="I293" i="7"/>
  <c r="J293" i="7" s="1"/>
  <c r="K293" i="7" s="1"/>
  <c r="O293" i="7" s="1"/>
  <c r="D293" i="7"/>
  <c r="C293" i="7"/>
  <c r="B293" i="7"/>
  <c r="I292" i="7"/>
  <c r="J292" i="7" s="1"/>
  <c r="K292" i="7" s="1"/>
  <c r="O292" i="7" s="1"/>
  <c r="D292" i="7"/>
  <c r="C292" i="7"/>
  <c r="B292" i="7"/>
  <c r="I291" i="7"/>
  <c r="J291" i="7" s="1"/>
  <c r="K291" i="7" s="1"/>
  <c r="O291" i="7" s="1"/>
  <c r="D291" i="7"/>
  <c r="C291" i="7"/>
  <c r="B291" i="7"/>
  <c r="O290" i="7"/>
  <c r="I290" i="7"/>
  <c r="J290" i="7" s="1"/>
  <c r="K290" i="7" s="1"/>
  <c r="D290" i="7"/>
  <c r="C290" i="7"/>
  <c r="B290" i="7"/>
  <c r="I289" i="7"/>
  <c r="J289" i="7" s="1"/>
  <c r="K289" i="7" s="1"/>
  <c r="O289" i="7" s="1"/>
  <c r="D289" i="7"/>
  <c r="C289" i="7"/>
  <c r="B289" i="7"/>
  <c r="I288" i="7"/>
  <c r="J288" i="7" s="1"/>
  <c r="K288" i="7" s="1"/>
  <c r="O288" i="7" s="1"/>
  <c r="D288" i="7"/>
  <c r="C288" i="7"/>
  <c r="B288" i="7"/>
  <c r="I287" i="7"/>
  <c r="J287" i="7" s="1"/>
  <c r="K287" i="7" s="1"/>
  <c r="O287" i="7" s="1"/>
  <c r="D287" i="7"/>
  <c r="C287" i="7"/>
  <c r="B287" i="7"/>
  <c r="I286" i="7"/>
  <c r="J286" i="7" s="1"/>
  <c r="K286" i="7" s="1"/>
  <c r="O286" i="7" s="1"/>
  <c r="D286" i="7"/>
  <c r="C286" i="7"/>
  <c r="B286" i="7"/>
  <c r="I285" i="7"/>
  <c r="J285" i="7" s="1"/>
  <c r="K285" i="7" s="1"/>
  <c r="O285" i="7" s="1"/>
  <c r="D285" i="7"/>
  <c r="C285" i="7"/>
  <c r="B285" i="7"/>
  <c r="I284" i="7"/>
  <c r="J284" i="7" s="1"/>
  <c r="K284" i="7" s="1"/>
  <c r="O284" i="7" s="1"/>
  <c r="D284" i="7"/>
  <c r="C284" i="7"/>
  <c r="B284" i="7"/>
  <c r="I283" i="7"/>
  <c r="J283" i="7" s="1"/>
  <c r="K283" i="7" s="1"/>
  <c r="O283" i="7" s="1"/>
  <c r="D283" i="7"/>
  <c r="C283" i="7"/>
  <c r="B283" i="7"/>
  <c r="I282" i="7"/>
  <c r="J282" i="7" s="1"/>
  <c r="K282" i="7" s="1"/>
  <c r="O282" i="7" s="1"/>
  <c r="D282" i="7"/>
  <c r="C282" i="7"/>
  <c r="B282" i="7"/>
  <c r="I281" i="7"/>
  <c r="J281" i="7" s="1"/>
  <c r="K281" i="7" s="1"/>
  <c r="O281" i="7" s="1"/>
  <c r="D281" i="7"/>
  <c r="C281" i="7"/>
  <c r="B281" i="7"/>
  <c r="I280" i="7"/>
  <c r="J280" i="7" s="1"/>
  <c r="K280" i="7" s="1"/>
  <c r="O280" i="7" s="1"/>
  <c r="D280" i="7"/>
  <c r="C280" i="7"/>
  <c r="B280" i="7"/>
  <c r="I279" i="7"/>
  <c r="J279" i="7" s="1"/>
  <c r="K279" i="7" s="1"/>
  <c r="O279" i="7" s="1"/>
  <c r="D279" i="7"/>
  <c r="C279" i="7"/>
  <c r="B279" i="7"/>
  <c r="I278" i="7"/>
  <c r="J278" i="7" s="1"/>
  <c r="K278" i="7" s="1"/>
  <c r="O278" i="7" s="1"/>
  <c r="D278" i="7"/>
  <c r="C278" i="7"/>
  <c r="B278" i="7"/>
  <c r="I277" i="7"/>
  <c r="J277" i="7" s="1"/>
  <c r="K277" i="7" s="1"/>
  <c r="O277" i="7" s="1"/>
  <c r="D277" i="7"/>
  <c r="C277" i="7"/>
  <c r="B277" i="7"/>
  <c r="I276" i="7"/>
  <c r="J276" i="7" s="1"/>
  <c r="K276" i="7" s="1"/>
  <c r="O276" i="7" s="1"/>
  <c r="D276" i="7"/>
  <c r="C276" i="7"/>
  <c r="B276" i="7"/>
  <c r="I275" i="7"/>
  <c r="J275" i="7" s="1"/>
  <c r="K275" i="7" s="1"/>
  <c r="O275" i="7" s="1"/>
  <c r="D275" i="7"/>
  <c r="C275" i="7"/>
  <c r="B275" i="7"/>
  <c r="I274" i="7"/>
  <c r="J274" i="7" s="1"/>
  <c r="K274" i="7" s="1"/>
  <c r="O274" i="7" s="1"/>
  <c r="D274" i="7"/>
  <c r="C274" i="7"/>
  <c r="B274" i="7"/>
  <c r="I273" i="7"/>
  <c r="J273" i="7" s="1"/>
  <c r="K273" i="7" s="1"/>
  <c r="O273" i="7" s="1"/>
  <c r="D273" i="7"/>
  <c r="C273" i="7"/>
  <c r="B273" i="7"/>
  <c r="O272" i="7"/>
  <c r="I272" i="7"/>
  <c r="J272" i="7" s="1"/>
  <c r="K272" i="7" s="1"/>
  <c r="D272" i="7"/>
  <c r="C272" i="7"/>
  <c r="B272" i="7"/>
  <c r="I271" i="7"/>
  <c r="J271" i="7" s="1"/>
  <c r="K271" i="7" s="1"/>
  <c r="O271" i="7" s="1"/>
  <c r="D271" i="7"/>
  <c r="C271" i="7"/>
  <c r="B271" i="7"/>
  <c r="I270" i="7"/>
  <c r="J270" i="7" s="1"/>
  <c r="K270" i="7" s="1"/>
  <c r="O270" i="7" s="1"/>
  <c r="D270" i="7"/>
  <c r="C270" i="7"/>
  <c r="B270" i="7"/>
  <c r="I269" i="7"/>
  <c r="J269" i="7" s="1"/>
  <c r="K269" i="7" s="1"/>
  <c r="O269" i="7" s="1"/>
  <c r="D269" i="7"/>
  <c r="C269" i="7"/>
  <c r="B269" i="7"/>
  <c r="I268" i="7"/>
  <c r="J268" i="7" s="1"/>
  <c r="K268" i="7" s="1"/>
  <c r="O268" i="7" s="1"/>
  <c r="D268" i="7"/>
  <c r="C268" i="7"/>
  <c r="B268" i="7"/>
  <c r="I267" i="7"/>
  <c r="J267" i="7" s="1"/>
  <c r="K267" i="7" s="1"/>
  <c r="O267" i="7" s="1"/>
  <c r="D267" i="7"/>
  <c r="C267" i="7"/>
  <c r="B267" i="7"/>
  <c r="I266" i="7"/>
  <c r="J266" i="7" s="1"/>
  <c r="K266" i="7" s="1"/>
  <c r="O266" i="7" s="1"/>
  <c r="D266" i="7"/>
  <c r="C266" i="7"/>
  <c r="B266" i="7"/>
  <c r="I265" i="7"/>
  <c r="J265" i="7" s="1"/>
  <c r="K265" i="7" s="1"/>
  <c r="O265" i="7" s="1"/>
  <c r="D265" i="7"/>
  <c r="C265" i="7"/>
  <c r="B265" i="7"/>
  <c r="I264" i="7"/>
  <c r="J264" i="7" s="1"/>
  <c r="K264" i="7" s="1"/>
  <c r="O264" i="7" s="1"/>
  <c r="D264" i="7"/>
  <c r="C264" i="7"/>
  <c r="B264" i="7"/>
  <c r="I263" i="7"/>
  <c r="J263" i="7" s="1"/>
  <c r="K263" i="7" s="1"/>
  <c r="O263" i="7" s="1"/>
  <c r="D263" i="7"/>
  <c r="C263" i="7"/>
  <c r="B263" i="7"/>
  <c r="I262" i="7"/>
  <c r="J262" i="7" s="1"/>
  <c r="K262" i="7" s="1"/>
  <c r="O262" i="7" s="1"/>
  <c r="D262" i="7"/>
  <c r="C262" i="7"/>
  <c r="B262" i="7"/>
  <c r="I261" i="7"/>
  <c r="J261" i="7" s="1"/>
  <c r="K261" i="7" s="1"/>
  <c r="O261" i="7" s="1"/>
  <c r="D261" i="7"/>
  <c r="C261" i="7"/>
  <c r="B261" i="7"/>
  <c r="O260" i="7"/>
  <c r="I260" i="7"/>
  <c r="J260" i="7" s="1"/>
  <c r="K260" i="7" s="1"/>
  <c r="D260" i="7"/>
  <c r="C260" i="7"/>
  <c r="B260" i="7"/>
  <c r="I259" i="7"/>
  <c r="J259" i="7" s="1"/>
  <c r="K259" i="7" s="1"/>
  <c r="O259" i="7" s="1"/>
  <c r="D259" i="7"/>
  <c r="C259" i="7"/>
  <c r="B259" i="7"/>
  <c r="I258" i="7"/>
  <c r="J258" i="7" s="1"/>
  <c r="K258" i="7" s="1"/>
  <c r="O258" i="7" s="1"/>
  <c r="D258" i="7"/>
  <c r="C258" i="7"/>
  <c r="B258" i="7"/>
  <c r="I257" i="7"/>
  <c r="J257" i="7" s="1"/>
  <c r="K257" i="7" s="1"/>
  <c r="O257" i="7" s="1"/>
  <c r="D257" i="7"/>
  <c r="C257" i="7"/>
  <c r="B257" i="7"/>
  <c r="I256" i="7"/>
  <c r="J256" i="7" s="1"/>
  <c r="K256" i="7" s="1"/>
  <c r="O256" i="7" s="1"/>
  <c r="D256" i="7"/>
  <c r="C256" i="7"/>
  <c r="B256" i="7"/>
  <c r="I255" i="7"/>
  <c r="J255" i="7" s="1"/>
  <c r="K255" i="7" s="1"/>
  <c r="O255" i="7" s="1"/>
  <c r="D255" i="7"/>
  <c r="C255" i="7"/>
  <c r="B255" i="7"/>
  <c r="I254" i="7"/>
  <c r="J254" i="7" s="1"/>
  <c r="K254" i="7" s="1"/>
  <c r="O254" i="7" s="1"/>
  <c r="D254" i="7"/>
  <c r="C254" i="7"/>
  <c r="B254" i="7"/>
  <c r="I253" i="7"/>
  <c r="J253" i="7" s="1"/>
  <c r="K253" i="7" s="1"/>
  <c r="O253" i="7" s="1"/>
  <c r="D253" i="7"/>
  <c r="C253" i="7"/>
  <c r="B253" i="7"/>
  <c r="I252" i="7"/>
  <c r="J252" i="7" s="1"/>
  <c r="K252" i="7" s="1"/>
  <c r="O252" i="7" s="1"/>
  <c r="D252" i="7"/>
  <c r="C252" i="7"/>
  <c r="B252" i="7"/>
  <c r="I251" i="7"/>
  <c r="J251" i="7" s="1"/>
  <c r="K251" i="7" s="1"/>
  <c r="O251" i="7" s="1"/>
  <c r="D251" i="7"/>
  <c r="C251" i="7"/>
  <c r="B251" i="7"/>
  <c r="I250" i="7"/>
  <c r="J250" i="7" s="1"/>
  <c r="K250" i="7" s="1"/>
  <c r="O250" i="7" s="1"/>
  <c r="D250" i="7"/>
  <c r="C250" i="7"/>
  <c r="B250" i="7"/>
  <c r="I249" i="7"/>
  <c r="J249" i="7" s="1"/>
  <c r="K249" i="7" s="1"/>
  <c r="O249" i="7" s="1"/>
  <c r="D249" i="7"/>
  <c r="C249" i="7"/>
  <c r="B249" i="7"/>
  <c r="I248" i="7"/>
  <c r="J248" i="7" s="1"/>
  <c r="K248" i="7" s="1"/>
  <c r="O248" i="7" s="1"/>
  <c r="D248" i="7"/>
  <c r="C248" i="7"/>
  <c r="B248" i="7"/>
  <c r="I247" i="7"/>
  <c r="J247" i="7" s="1"/>
  <c r="K247" i="7" s="1"/>
  <c r="O247" i="7" s="1"/>
  <c r="D247" i="7"/>
  <c r="C247" i="7"/>
  <c r="B247" i="7"/>
  <c r="I246" i="7"/>
  <c r="J246" i="7" s="1"/>
  <c r="K246" i="7" s="1"/>
  <c r="O246" i="7" s="1"/>
  <c r="D246" i="7"/>
  <c r="C246" i="7"/>
  <c r="B246" i="7"/>
  <c r="I245" i="7"/>
  <c r="J245" i="7" s="1"/>
  <c r="K245" i="7" s="1"/>
  <c r="O245" i="7" s="1"/>
  <c r="D245" i="7"/>
  <c r="C245" i="7"/>
  <c r="B245" i="7"/>
  <c r="I244" i="7"/>
  <c r="J244" i="7" s="1"/>
  <c r="K244" i="7" s="1"/>
  <c r="O244" i="7" s="1"/>
  <c r="D244" i="7"/>
  <c r="C244" i="7"/>
  <c r="B244" i="7"/>
  <c r="I243" i="7"/>
  <c r="J243" i="7" s="1"/>
  <c r="K243" i="7" s="1"/>
  <c r="O243" i="7" s="1"/>
  <c r="D243" i="7"/>
  <c r="C243" i="7"/>
  <c r="B243" i="7"/>
  <c r="I242" i="7"/>
  <c r="J242" i="7" s="1"/>
  <c r="K242" i="7" s="1"/>
  <c r="O242" i="7" s="1"/>
  <c r="C242" i="7"/>
  <c r="B242" i="7"/>
  <c r="I241" i="7"/>
  <c r="J241" i="7" s="1"/>
  <c r="K241" i="7" s="1"/>
  <c r="O241" i="7" s="1"/>
  <c r="C241" i="7"/>
  <c r="B241" i="7"/>
  <c r="I240" i="7"/>
  <c r="J240" i="7" s="1"/>
  <c r="K240" i="7" s="1"/>
  <c r="O240" i="7" s="1"/>
  <c r="C240" i="7"/>
  <c r="B240" i="7"/>
  <c r="O239" i="7"/>
  <c r="I239" i="7"/>
  <c r="J239" i="7" s="1"/>
  <c r="K239" i="7" s="1"/>
  <c r="C239" i="7"/>
  <c r="B239" i="7"/>
  <c r="I238" i="7"/>
  <c r="J238" i="7" s="1"/>
  <c r="K238" i="7" s="1"/>
  <c r="O238" i="7" s="1"/>
  <c r="C238" i="7"/>
  <c r="B238" i="7"/>
  <c r="I237" i="7"/>
  <c r="J237" i="7" s="1"/>
  <c r="K237" i="7" s="1"/>
  <c r="O237" i="7" s="1"/>
  <c r="C237" i="7"/>
  <c r="B237" i="7"/>
  <c r="I236" i="7"/>
  <c r="J236" i="7" s="1"/>
  <c r="K236" i="7" s="1"/>
  <c r="O236" i="7" s="1"/>
  <c r="C236" i="7"/>
  <c r="B236" i="7"/>
  <c r="I235" i="7"/>
  <c r="J235" i="7" s="1"/>
  <c r="K235" i="7" s="1"/>
  <c r="O235" i="7" s="1"/>
  <c r="C235" i="7"/>
  <c r="B235" i="7"/>
  <c r="I234" i="7"/>
  <c r="J234" i="7" s="1"/>
  <c r="K234" i="7" s="1"/>
  <c r="O234" i="7" s="1"/>
  <c r="C234" i="7"/>
  <c r="B234" i="7"/>
  <c r="I233" i="7"/>
  <c r="J233" i="7" s="1"/>
  <c r="K233" i="7" s="1"/>
  <c r="O233" i="7" s="1"/>
  <c r="C233" i="7"/>
  <c r="B233" i="7"/>
  <c r="I232" i="7"/>
  <c r="J232" i="7" s="1"/>
  <c r="K232" i="7" s="1"/>
  <c r="O232" i="7" s="1"/>
  <c r="C232" i="7"/>
  <c r="B232" i="7"/>
  <c r="I231" i="7"/>
  <c r="J231" i="7" s="1"/>
  <c r="K231" i="7" s="1"/>
  <c r="O231" i="7" s="1"/>
  <c r="C231" i="7"/>
  <c r="B231" i="7"/>
  <c r="I230" i="7"/>
  <c r="J230" i="7" s="1"/>
  <c r="K230" i="7" s="1"/>
  <c r="O230" i="7" s="1"/>
  <c r="C230" i="7"/>
  <c r="B230" i="7"/>
  <c r="I229" i="7"/>
  <c r="J229" i="7" s="1"/>
  <c r="K229" i="7" s="1"/>
  <c r="O229" i="7" s="1"/>
  <c r="C229" i="7"/>
  <c r="B229" i="7"/>
  <c r="O228" i="7"/>
  <c r="I228" i="7"/>
  <c r="J228" i="7" s="1"/>
  <c r="K228" i="7" s="1"/>
  <c r="C228" i="7"/>
  <c r="B228" i="7"/>
  <c r="I227" i="7"/>
  <c r="J227" i="7" s="1"/>
  <c r="K227" i="7" s="1"/>
  <c r="O227" i="7" s="1"/>
  <c r="C227" i="7"/>
  <c r="B227" i="7"/>
  <c r="O226" i="7"/>
  <c r="I226" i="7"/>
  <c r="J226" i="7" s="1"/>
  <c r="K226" i="7" s="1"/>
  <c r="C226" i="7"/>
  <c r="B226" i="7"/>
  <c r="I225" i="7"/>
  <c r="J225" i="7" s="1"/>
  <c r="K225" i="7" s="1"/>
  <c r="O225" i="7" s="1"/>
  <c r="C225" i="7"/>
  <c r="B225" i="7"/>
  <c r="I224" i="7"/>
  <c r="J224" i="7" s="1"/>
  <c r="K224" i="7" s="1"/>
  <c r="O224" i="7" s="1"/>
  <c r="C224" i="7"/>
  <c r="B224" i="7"/>
  <c r="I223" i="7"/>
  <c r="J223" i="7" s="1"/>
  <c r="K223" i="7" s="1"/>
  <c r="O223" i="7" s="1"/>
  <c r="C223" i="7"/>
  <c r="B223" i="7"/>
  <c r="I222" i="7"/>
  <c r="J222" i="7" s="1"/>
  <c r="K222" i="7" s="1"/>
  <c r="O222" i="7" s="1"/>
  <c r="C222" i="7"/>
  <c r="B222" i="7"/>
  <c r="I221" i="7"/>
  <c r="J221" i="7" s="1"/>
  <c r="K221" i="7" s="1"/>
  <c r="O221" i="7" s="1"/>
  <c r="C221" i="7"/>
  <c r="B221" i="7"/>
  <c r="I220" i="7"/>
  <c r="J220" i="7" s="1"/>
  <c r="K220" i="7" s="1"/>
  <c r="O220" i="7" s="1"/>
  <c r="C220" i="7"/>
  <c r="B220" i="7"/>
  <c r="O219" i="7"/>
  <c r="I219" i="7"/>
  <c r="J219" i="7" s="1"/>
  <c r="K219" i="7" s="1"/>
  <c r="C219" i="7"/>
  <c r="B219" i="7"/>
  <c r="I218" i="7"/>
  <c r="J218" i="7" s="1"/>
  <c r="K218" i="7" s="1"/>
  <c r="O218" i="7" s="1"/>
  <c r="C218" i="7"/>
  <c r="B218" i="7"/>
  <c r="I217" i="7"/>
  <c r="J217" i="7" s="1"/>
  <c r="K217" i="7" s="1"/>
  <c r="O217" i="7" s="1"/>
  <c r="C217" i="7"/>
  <c r="B217" i="7"/>
  <c r="I216" i="7"/>
  <c r="J216" i="7" s="1"/>
  <c r="K216" i="7" s="1"/>
  <c r="O216" i="7" s="1"/>
  <c r="C216" i="7"/>
  <c r="B216" i="7"/>
  <c r="I215" i="7"/>
  <c r="J215" i="7" s="1"/>
  <c r="K215" i="7" s="1"/>
  <c r="O215" i="7" s="1"/>
  <c r="C215" i="7"/>
  <c r="B215" i="7"/>
  <c r="I214" i="7"/>
  <c r="J214" i="7" s="1"/>
  <c r="K214" i="7" s="1"/>
  <c r="O214" i="7" s="1"/>
  <c r="C214" i="7"/>
  <c r="B214" i="7"/>
  <c r="I213" i="7"/>
  <c r="J213" i="7" s="1"/>
  <c r="K213" i="7" s="1"/>
  <c r="O213" i="7" s="1"/>
  <c r="C213" i="7"/>
  <c r="B213" i="7"/>
  <c r="I212" i="7"/>
  <c r="J212" i="7" s="1"/>
  <c r="K212" i="7" s="1"/>
  <c r="O212" i="7" s="1"/>
  <c r="C212" i="7"/>
  <c r="B212" i="7"/>
  <c r="I211" i="7"/>
  <c r="J211" i="7" s="1"/>
  <c r="K211" i="7" s="1"/>
  <c r="O211" i="7" s="1"/>
  <c r="C211" i="7"/>
  <c r="B211" i="7"/>
  <c r="I210" i="7"/>
  <c r="J210" i="7" s="1"/>
  <c r="K210" i="7" s="1"/>
  <c r="O210" i="7" s="1"/>
  <c r="C210" i="7"/>
  <c r="B210" i="7"/>
  <c r="I209" i="7"/>
  <c r="J209" i="7" s="1"/>
  <c r="K209" i="7" s="1"/>
  <c r="O209" i="7" s="1"/>
  <c r="C209" i="7"/>
  <c r="B209" i="7"/>
  <c r="I208" i="7"/>
  <c r="J208" i="7" s="1"/>
  <c r="K208" i="7" s="1"/>
  <c r="O208" i="7" s="1"/>
  <c r="C208" i="7"/>
  <c r="B208" i="7"/>
  <c r="I207" i="7"/>
  <c r="J207" i="7" s="1"/>
  <c r="K207" i="7" s="1"/>
  <c r="O207" i="7" s="1"/>
  <c r="C207" i="7"/>
  <c r="B207" i="7"/>
  <c r="I206" i="7"/>
  <c r="J206" i="7" s="1"/>
  <c r="K206" i="7" s="1"/>
  <c r="O206" i="7" s="1"/>
  <c r="C206" i="7"/>
  <c r="B206" i="7"/>
  <c r="I205" i="7"/>
  <c r="J205" i="7" s="1"/>
  <c r="K205" i="7" s="1"/>
  <c r="O205" i="7" s="1"/>
  <c r="C205" i="7"/>
  <c r="B205" i="7"/>
  <c r="I204" i="7"/>
  <c r="J204" i="7" s="1"/>
  <c r="K204" i="7" s="1"/>
  <c r="O204" i="7" s="1"/>
  <c r="C204" i="7"/>
  <c r="B204" i="7"/>
  <c r="I203" i="7"/>
  <c r="J203" i="7" s="1"/>
  <c r="K203" i="7" s="1"/>
  <c r="O203" i="7" s="1"/>
  <c r="C203" i="7"/>
  <c r="B203" i="7"/>
  <c r="I202" i="7"/>
  <c r="J202" i="7" s="1"/>
  <c r="K202" i="7" s="1"/>
  <c r="O202" i="7" s="1"/>
  <c r="C202" i="7"/>
  <c r="B202" i="7"/>
  <c r="I201" i="7"/>
  <c r="J201" i="7" s="1"/>
  <c r="K201" i="7" s="1"/>
  <c r="O201" i="7" s="1"/>
  <c r="C201" i="7"/>
  <c r="B201" i="7"/>
  <c r="I200" i="7"/>
  <c r="J200" i="7" s="1"/>
  <c r="K200" i="7" s="1"/>
  <c r="O200" i="7" s="1"/>
  <c r="C200" i="7"/>
  <c r="B200" i="7"/>
  <c r="I199" i="7"/>
  <c r="J199" i="7" s="1"/>
  <c r="K199" i="7" s="1"/>
  <c r="O199" i="7" s="1"/>
  <c r="C199" i="7"/>
  <c r="B199" i="7"/>
  <c r="I198" i="7"/>
  <c r="J198" i="7" s="1"/>
  <c r="K198" i="7" s="1"/>
  <c r="O198" i="7" s="1"/>
  <c r="C198" i="7"/>
  <c r="B198" i="7"/>
  <c r="I197" i="7"/>
  <c r="J197" i="7" s="1"/>
  <c r="K197" i="7" s="1"/>
  <c r="O197" i="7" s="1"/>
  <c r="C197" i="7"/>
  <c r="B197" i="7"/>
  <c r="I196" i="7"/>
  <c r="J196" i="7" s="1"/>
  <c r="K196" i="7" s="1"/>
  <c r="O196" i="7" s="1"/>
  <c r="C196" i="7"/>
  <c r="B196" i="7"/>
  <c r="I195" i="7"/>
  <c r="J195" i="7" s="1"/>
  <c r="K195" i="7" s="1"/>
  <c r="O195" i="7" s="1"/>
  <c r="C195" i="7"/>
  <c r="B195" i="7"/>
  <c r="I194" i="7"/>
  <c r="J194" i="7" s="1"/>
  <c r="K194" i="7" s="1"/>
  <c r="O194" i="7" s="1"/>
  <c r="C194" i="7"/>
  <c r="B194" i="7"/>
  <c r="I193" i="7"/>
  <c r="J193" i="7" s="1"/>
  <c r="K193" i="7" s="1"/>
  <c r="O193" i="7" s="1"/>
  <c r="C193" i="7"/>
  <c r="B193" i="7"/>
  <c r="O192" i="7"/>
  <c r="I192" i="7"/>
  <c r="J192" i="7" s="1"/>
  <c r="K192" i="7" s="1"/>
  <c r="C192" i="7"/>
  <c r="B192" i="7"/>
  <c r="I191" i="7"/>
  <c r="J191" i="7" s="1"/>
  <c r="K191" i="7" s="1"/>
  <c r="O191" i="7" s="1"/>
  <c r="C191" i="7"/>
  <c r="B191" i="7"/>
  <c r="I190" i="7"/>
  <c r="J190" i="7" s="1"/>
  <c r="K190" i="7" s="1"/>
  <c r="O190" i="7" s="1"/>
  <c r="C190" i="7"/>
  <c r="B190" i="7"/>
  <c r="I189" i="7"/>
  <c r="J189" i="7" s="1"/>
  <c r="K189" i="7" s="1"/>
  <c r="O189" i="7" s="1"/>
  <c r="C189" i="7"/>
  <c r="B189" i="7"/>
  <c r="I188" i="7"/>
  <c r="J188" i="7" s="1"/>
  <c r="K188" i="7" s="1"/>
  <c r="O188" i="7" s="1"/>
  <c r="C188" i="7"/>
  <c r="B188" i="7"/>
  <c r="I187" i="7"/>
  <c r="J187" i="7" s="1"/>
  <c r="K187" i="7" s="1"/>
  <c r="O187" i="7" s="1"/>
  <c r="C187" i="7"/>
  <c r="B187" i="7"/>
  <c r="I186" i="7"/>
  <c r="J186" i="7" s="1"/>
  <c r="K186" i="7" s="1"/>
  <c r="O186" i="7" s="1"/>
  <c r="C186" i="7"/>
  <c r="B186" i="7"/>
  <c r="I185" i="7"/>
  <c r="J185" i="7" s="1"/>
  <c r="K185" i="7" s="1"/>
  <c r="O185" i="7" s="1"/>
  <c r="C185" i="7"/>
  <c r="B185" i="7"/>
  <c r="I184" i="7"/>
  <c r="J184" i="7" s="1"/>
  <c r="K184" i="7" s="1"/>
  <c r="O184" i="7" s="1"/>
  <c r="C184" i="7"/>
  <c r="B184" i="7"/>
  <c r="I183" i="7"/>
  <c r="J183" i="7" s="1"/>
  <c r="K183" i="7" s="1"/>
  <c r="O183" i="7" s="1"/>
  <c r="C183" i="7"/>
  <c r="B183" i="7"/>
  <c r="I182" i="7"/>
  <c r="J182" i="7" s="1"/>
  <c r="K182" i="7" s="1"/>
  <c r="O182" i="7" s="1"/>
  <c r="C182" i="7"/>
  <c r="B182" i="7"/>
  <c r="I181" i="7"/>
  <c r="J181" i="7" s="1"/>
  <c r="K181" i="7" s="1"/>
  <c r="O181" i="7" s="1"/>
  <c r="C181" i="7"/>
  <c r="B181" i="7"/>
  <c r="O180" i="7"/>
  <c r="I180" i="7"/>
  <c r="J180" i="7" s="1"/>
  <c r="K180" i="7" s="1"/>
  <c r="C180" i="7"/>
  <c r="B180" i="7"/>
  <c r="I179" i="7"/>
  <c r="J179" i="7" s="1"/>
  <c r="K179" i="7" s="1"/>
  <c r="O179" i="7" s="1"/>
  <c r="C179" i="7"/>
  <c r="B179" i="7"/>
  <c r="I178" i="7"/>
  <c r="J178" i="7" s="1"/>
  <c r="K178" i="7" s="1"/>
  <c r="O178" i="7" s="1"/>
  <c r="C178" i="7"/>
  <c r="B178" i="7"/>
  <c r="I177" i="7"/>
  <c r="J177" i="7" s="1"/>
  <c r="K177" i="7" s="1"/>
  <c r="O177" i="7" s="1"/>
  <c r="C177" i="7"/>
  <c r="B177" i="7"/>
  <c r="I176" i="7"/>
  <c r="J176" i="7" s="1"/>
  <c r="K176" i="7" s="1"/>
  <c r="O176" i="7" s="1"/>
  <c r="C176" i="7"/>
  <c r="B176" i="7"/>
  <c r="I175" i="7"/>
  <c r="J175" i="7" s="1"/>
  <c r="K175" i="7" s="1"/>
  <c r="O175" i="7" s="1"/>
  <c r="C175" i="7"/>
  <c r="B175" i="7"/>
  <c r="I174" i="7"/>
  <c r="J174" i="7" s="1"/>
  <c r="K174" i="7" s="1"/>
  <c r="O174" i="7" s="1"/>
  <c r="C174" i="7"/>
  <c r="B174" i="7"/>
  <c r="O173" i="7"/>
  <c r="I173" i="7"/>
  <c r="J173" i="7" s="1"/>
  <c r="K173" i="7" s="1"/>
  <c r="C173" i="7"/>
  <c r="B173" i="7"/>
  <c r="I172" i="7"/>
  <c r="J172" i="7" s="1"/>
  <c r="K172" i="7" s="1"/>
  <c r="O172" i="7" s="1"/>
  <c r="C172" i="7"/>
  <c r="B172" i="7"/>
  <c r="I171" i="7"/>
  <c r="J171" i="7" s="1"/>
  <c r="K171" i="7" s="1"/>
  <c r="O171" i="7" s="1"/>
  <c r="C171" i="7"/>
  <c r="B171" i="7"/>
  <c r="I170" i="7"/>
  <c r="J170" i="7" s="1"/>
  <c r="K170" i="7" s="1"/>
  <c r="O170" i="7" s="1"/>
  <c r="C170" i="7"/>
  <c r="B170" i="7"/>
  <c r="I169" i="7"/>
  <c r="J169" i="7" s="1"/>
  <c r="K169" i="7" s="1"/>
  <c r="O169" i="7" s="1"/>
  <c r="C169" i="7"/>
  <c r="B169" i="7"/>
  <c r="O168" i="7"/>
  <c r="I168" i="7"/>
  <c r="J168" i="7" s="1"/>
  <c r="K168" i="7" s="1"/>
  <c r="C168" i="7"/>
  <c r="B168" i="7"/>
  <c r="I167" i="7"/>
  <c r="J167" i="7" s="1"/>
  <c r="K167" i="7" s="1"/>
  <c r="O167" i="7" s="1"/>
  <c r="C167" i="7"/>
  <c r="B167" i="7"/>
  <c r="I166" i="7"/>
  <c r="J166" i="7" s="1"/>
  <c r="K166" i="7" s="1"/>
  <c r="O166" i="7" s="1"/>
  <c r="C166" i="7"/>
  <c r="B166" i="7"/>
  <c r="O165" i="7"/>
  <c r="I165" i="7"/>
  <c r="J165" i="7" s="1"/>
  <c r="K165" i="7" s="1"/>
  <c r="C165" i="7"/>
  <c r="B165" i="7"/>
  <c r="I164" i="7"/>
  <c r="J164" i="7" s="1"/>
  <c r="K164" i="7" s="1"/>
  <c r="O164" i="7" s="1"/>
  <c r="C164" i="7"/>
  <c r="B164" i="7"/>
  <c r="I163" i="7"/>
  <c r="J163" i="7" s="1"/>
  <c r="K163" i="7" s="1"/>
  <c r="O163" i="7" s="1"/>
  <c r="C163" i="7"/>
  <c r="B163" i="7"/>
  <c r="I162" i="7"/>
  <c r="J162" i="7" s="1"/>
  <c r="K162" i="7" s="1"/>
  <c r="O162" i="7" s="1"/>
  <c r="C162" i="7"/>
  <c r="B162" i="7"/>
  <c r="I161" i="7"/>
  <c r="J161" i="7" s="1"/>
  <c r="K161" i="7" s="1"/>
  <c r="O161" i="7" s="1"/>
  <c r="C161" i="7"/>
  <c r="B161" i="7"/>
  <c r="I160" i="7"/>
  <c r="J160" i="7" s="1"/>
  <c r="K160" i="7" s="1"/>
  <c r="O160" i="7" s="1"/>
  <c r="C160" i="7"/>
  <c r="B160" i="7"/>
  <c r="I159" i="7"/>
  <c r="J159" i="7" s="1"/>
  <c r="K159" i="7" s="1"/>
  <c r="O159" i="7" s="1"/>
  <c r="C159" i="7"/>
  <c r="B159" i="7"/>
  <c r="I158" i="7"/>
  <c r="J158" i="7" s="1"/>
  <c r="K158" i="7" s="1"/>
  <c r="O158" i="7" s="1"/>
  <c r="C158" i="7"/>
  <c r="B158" i="7"/>
  <c r="O157" i="7"/>
  <c r="I157" i="7"/>
  <c r="J157" i="7" s="1"/>
  <c r="K157" i="7" s="1"/>
  <c r="C157" i="7"/>
  <c r="B157" i="7"/>
  <c r="I156" i="7"/>
  <c r="J156" i="7" s="1"/>
  <c r="K156" i="7" s="1"/>
  <c r="O156" i="7" s="1"/>
  <c r="C156" i="7"/>
  <c r="B156" i="7"/>
  <c r="I155" i="7"/>
  <c r="J155" i="7" s="1"/>
  <c r="K155" i="7" s="1"/>
  <c r="O155" i="7" s="1"/>
  <c r="C155" i="7"/>
  <c r="B155" i="7"/>
  <c r="I154" i="7"/>
  <c r="J154" i="7" s="1"/>
  <c r="K154" i="7" s="1"/>
  <c r="O154" i="7" s="1"/>
  <c r="C154" i="7"/>
  <c r="B154" i="7"/>
  <c r="O153" i="7"/>
  <c r="I153" i="7"/>
  <c r="J153" i="7" s="1"/>
  <c r="K153" i="7" s="1"/>
  <c r="C153" i="7"/>
  <c r="B153" i="7"/>
  <c r="I152" i="7"/>
  <c r="J152" i="7" s="1"/>
  <c r="K152" i="7" s="1"/>
  <c r="O152" i="7" s="1"/>
  <c r="C152" i="7"/>
  <c r="B152" i="7"/>
  <c r="I151" i="7"/>
  <c r="J151" i="7" s="1"/>
  <c r="K151" i="7" s="1"/>
  <c r="O151" i="7" s="1"/>
  <c r="C151" i="7"/>
  <c r="B151" i="7"/>
  <c r="O150" i="7"/>
  <c r="I150" i="7"/>
  <c r="J150" i="7" s="1"/>
  <c r="K150" i="7" s="1"/>
  <c r="C150" i="7"/>
  <c r="B150" i="7"/>
  <c r="I149" i="7"/>
  <c r="J149" i="7" s="1"/>
  <c r="K149" i="7" s="1"/>
  <c r="O149" i="7" s="1"/>
  <c r="C149" i="7"/>
  <c r="B149" i="7"/>
  <c r="I148" i="7"/>
  <c r="J148" i="7" s="1"/>
  <c r="K148" i="7" s="1"/>
  <c r="O148" i="7" s="1"/>
  <c r="C148" i="7"/>
  <c r="B148" i="7"/>
  <c r="I147" i="7"/>
  <c r="J147" i="7" s="1"/>
  <c r="K147" i="7" s="1"/>
  <c r="O147" i="7" s="1"/>
  <c r="C147" i="7"/>
  <c r="B147" i="7"/>
  <c r="I146" i="7"/>
  <c r="J146" i="7" s="1"/>
  <c r="K146" i="7" s="1"/>
  <c r="O146" i="7" s="1"/>
  <c r="C146" i="7"/>
  <c r="B146" i="7"/>
  <c r="I145" i="7"/>
  <c r="J145" i="7" s="1"/>
  <c r="K145" i="7" s="1"/>
  <c r="O145" i="7" s="1"/>
  <c r="C145" i="7"/>
  <c r="B145" i="7"/>
  <c r="I144" i="7"/>
  <c r="J144" i="7" s="1"/>
  <c r="K144" i="7" s="1"/>
  <c r="O144" i="7" s="1"/>
  <c r="C144" i="7"/>
  <c r="B144" i="7"/>
  <c r="I143" i="7"/>
  <c r="J143" i="7" s="1"/>
  <c r="K143" i="7" s="1"/>
  <c r="O143" i="7" s="1"/>
  <c r="C143" i="7"/>
  <c r="B143" i="7"/>
  <c r="I142" i="7"/>
  <c r="J142" i="7" s="1"/>
  <c r="K142" i="7" s="1"/>
  <c r="O142" i="7" s="1"/>
  <c r="C142" i="7"/>
  <c r="B142" i="7"/>
  <c r="I141" i="7"/>
  <c r="J141" i="7" s="1"/>
  <c r="K141" i="7" s="1"/>
  <c r="O141" i="7" s="1"/>
  <c r="C141" i="7"/>
  <c r="B141" i="7"/>
  <c r="I140" i="7"/>
  <c r="J140" i="7" s="1"/>
  <c r="K140" i="7" s="1"/>
  <c r="O140" i="7" s="1"/>
  <c r="C140" i="7"/>
  <c r="B140" i="7"/>
  <c r="I139" i="7"/>
  <c r="J139" i="7" s="1"/>
  <c r="K139" i="7" s="1"/>
  <c r="O139" i="7" s="1"/>
  <c r="C139" i="7"/>
  <c r="B139" i="7"/>
  <c r="I138" i="7"/>
  <c r="J138" i="7" s="1"/>
  <c r="K138" i="7" s="1"/>
  <c r="O138" i="7" s="1"/>
  <c r="C138" i="7"/>
  <c r="B138" i="7"/>
  <c r="I137" i="7"/>
  <c r="J137" i="7" s="1"/>
  <c r="K137" i="7" s="1"/>
  <c r="O137" i="7" s="1"/>
  <c r="C137" i="7"/>
  <c r="B137" i="7"/>
  <c r="I136" i="7"/>
  <c r="J136" i="7" s="1"/>
  <c r="K136" i="7" s="1"/>
  <c r="O136" i="7" s="1"/>
  <c r="C136" i="7"/>
  <c r="B136" i="7"/>
  <c r="I135" i="7"/>
  <c r="J135" i="7" s="1"/>
  <c r="K135" i="7" s="1"/>
  <c r="O135" i="7" s="1"/>
  <c r="C135" i="7"/>
  <c r="B135" i="7"/>
  <c r="I134" i="7"/>
  <c r="J134" i="7" s="1"/>
  <c r="K134" i="7" s="1"/>
  <c r="O134" i="7" s="1"/>
  <c r="C134" i="7"/>
  <c r="B134" i="7"/>
  <c r="O133" i="7"/>
  <c r="I133" i="7"/>
  <c r="J133" i="7" s="1"/>
  <c r="K133" i="7" s="1"/>
  <c r="C133" i="7"/>
  <c r="B133" i="7"/>
  <c r="I132" i="7"/>
  <c r="J132" i="7" s="1"/>
  <c r="K132" i="7" s="1"/>
  <c r="O132" i="7" s="1"/>
  <c r="C132" i="7"/>
  <c r="B132" i="7"/>
  <c r="I131" i="7"/>
  <c r="J131" i="7" s="1"/>
  <c r="K131" i="7" s="1"/>
  <c r="O131" i="7" s="1"/>
  <c r="C131" i="7"/>
  <c r="B131" i="7"/>
  <c r="I130" i="7"/>
  <c r="J130" i="7" s="1"/>
  <c r="K130" i="7" s="1"/>
  <c r="O130" i="7" s="1"/>
  <c r="C130" i="7"/>
  <c r="B130" i="7"/>
  <c r="O129" i="7"/>
  <c r="I129" i="7"/>
  <c r="J129" i="7" s="1"/>
  <c r="K129" i="7" s="1"/>
  <c r="C129" i="7"/>
  <c r="B129" i="7"/>
  <c r="I128" i="7"/>
  <c r="J128" i="7" s="1"/>
  <c r="K128" i="7" s="1"/>
  <c r="O128" i="7" s="1"/>
  <c r="C128" i="7"/>
  <c r="B128" i="7"/>
  <c r="I127" i="7"/>
  <c r="J127" i="7" s="1"/>
  <c r="K127" i="7" s="1"/>
  <c r="O127" i="7" s="1"/>
  <c r="C127" i="7"/>
  <c r="B127" i="7"/>
  <c r="O126" i="7"/>
  <c r="I126" i="7"/>
  <c r="J126" i="7" s="1"/>
  <c r="K126" i="7" s="1"/>
  <c r="C126" i="7"/>
  <c r="B126" i="7"/>
  <c r="I125" i="7"/>
  <c r="J125" i="7" s="1"/>
  <c r="K125" i="7" s="1"/>
  <c r="O125" i="7" s="1"/>
  <c r="C125" i="7"/>
  <c r="B125" i="7"/>
  <c r="I124" i="7"/>
  <c r="J124" i="7" s="1"/>
  <c r="K124" i="7" s="1"/>
  <c r="O124" i="7" s="1"/>
  <c r="C124" i="7"/>
  <c r="B124" i="7"/>
  <c r="I123" i="7"/>
  <c r="J123" i="7" s="1"/>
  <c r="K123" i="7" s="1"/>
  <c r="O123" i="7" s="1"/>
  <c r="C123" i="7"/>
  <c r="B123" i="7"/>
  <c r="I122" i="7"/>
  <c r="J122" i="7" s="1"/>
  <c r="K122" i="7" s="1"/>
  <c r="O122" i="7" s="1"/>
  <c r="C122" i="7"/>
  <c r="B122" i="7"/>
  <c r="I121" i="7"/>
  <c r="J121" i="7" s="1"/>
  <c r="K121" i="7" s="1"/>
  <c r="O121" i="7" s="1"/>
  <c r="C121" i="7"/>
  <c r="B121" i="7"/>
  <c r="I120" i="7"/>
  <c r="J120" i="7" s="1"/>
  <c r="K120" i="7" s="1"/>
  <c r="O120" i="7" s="1"/>
  <c r="C120" i="7"/>
  <c r="B120" i="7"/>
  <c r="O119" i="7"/>
  <c r="I119" i="7"/>
  <c r="J119" i="7" s="1"/>
  <c r="K119" i="7" s="1"/>
  <c r="C119" i="7"/>
  <c r="B119" i="7"/>
  <c r="I118" i="7"/>
  <c r="J118" i="7" s="1"/>
  <c r="K118" i="7" s="1"/>
  <c r="O118" i="7" s="1"/>
  <c r="C118" i="7"/>
  <c r="B118" i="7"/>
  <c r="I117" i="7"/>
  <c r="J117" i="7" s="1"/>
  <c r="K117" i="7" s="1"/>
  <c r="O117" i="7" s="1"/>
  <c r="C117" i="7"/>
  <c r="B117" i="7"/>
  <c r="I116" i="7"/>
  <c r="J116" i="7" s="1"/>
  <c r="K116" i="7" s="1"/>
  <c r="O116" i="7" s="1"/>
  <c r="C116" i="7"/>
  <c r="B116" i="7"/>
  <c r="I115" i="7"/>
  <c r="J115" i="7" s="1"/>
  <c r="K115" i="7" s="1"/>
  <c r="O115" i="7" s="1"/>
  <c r="C115" i="7"/>
  <c r="B115" i="7"/>
  <c r="I114" i="7"/>
  <c r="J114" i="7" s="1"/>
  <c r="K114" i="7" s="1"/>
  <c r="O114" i="7" s="1"/>
  <c r="C114" i="7"/>
  <c r="B114" i="7"/>
  <c r="I113" i="7"/>
  <c r="J113" i="7" s="1"/>
  <c r="K113" i="7" s="1"/>
  <c r="O113" i="7" s="1"/>
  <c r="C113" i="7"/>
  <c r="B113" i="7"/>
  <c r="O112" i="7"/>
  <c r="I112" i="7"/>
  <c r="J112" i="7" s="1"/>
  <c r="K112" i="7" s="1"/>
  <c r="C112" i="7"/>
  <c r="B112" i="7"/>
  <c r="I111" i="7"/>
  <c r="J111" i="7" s="1"/>
  <c r="K111" i="7" s="1"/>
  <c r="O111" i="7" s="1"/>
  <c r="C111" i="7"/>
  <c r="B111" i="7"/>
  <c r="I110" i="7"/>
  <c r="J110" i="7" s="1"/>
  <c r="K110" i="7" s="1"/>
  <c r="O110" i="7" s="1"/>
  <c r="C110" i="7"/>
  <c r="B110" i="7"/>
  <c r="I109" i="7"/>
  <c r="J109" i="7" s="1"/>
  <c r="K109" i="7" s="1"/>
  <c r="O109" i="7" s="1"/>
  <c r="C109" i="7"/>
  <c r="B109" i="7"/>
  <c r="I108" i="7"/>
  <c r="J108" i="7" s="1"/>
  <c r="K108" i="7" s="1"/>
  <c r="O108" i="7" s="1"/>
  <c r="C108" i="7"/>
  <c r="B108" i="7"/>
  <c r="I107" i="7"/>
  <c r="J107" i="7" s="1"/>
  <c r="K107" i="7" s="1"/>
  <c r="O107" i="7" s="1"/>
  <c r="C107" i="7"/>
  <c r="B107" i="7"/>
  <c r="I106" i="7"/>
  <c r="J106" i="7" s="1"/>
  <c r="K106" i="7" s="1"/>
  <c r="O106" i="7" s="1"/>
  <c r="C106" i="7"/>
  <c r="B106" i="7"/>
  <c r="I105" i="7"/>
  <c r="J105" i="7" s="1"/>
  <c r="K105" i="7" s="1"/>
  <c r="O105" i="7" s="1"/>
  <c r="C105" i="7"/>
  <c r="B105" i="7"/>
  <c r="I104" i="7"/>
  <c r="J104" i="7" s="1"/>
  <c r="K104" i="7" s="1"/>
  <c r="O104" i="7" s="1"/>
  <c r="C104" i="7"/>
  <c r="B104" i="7"/>
  <c r="I103" i="7"/>
  <c r="J103" i="7" s="1"/>
  <c r="K103" i="7" s="1"/>
  <c r="O103" i="7" s="1"/>
  <c r="C103" i="7"/>
  <c r="B103" i="7"/>
  <c r="I102" i="7"/>
  <c r="J102" i="7" s="1"/>
  <c r="K102" i="7" s="1"/>
  <c r="O102" i="7" s="1"/>
  <c r="C102" i="7"/>
  <c r="B102" i="7"/>
  <c r="I101" i="7"/>
  <c r="J101" i="7" s="1"/>
  <c r="K101" i="7" s="1"/>
  <c r="O101" i="7" s="1"/>
  <c r="C101" i="7"/>
  <c r="B101" i="7"/>
  <c r="O100" i="7"/>
  <c r="I100" i="7"/>
  <c r="J100" i="7" s="1"/>
  <c r="K100" i="7" s="1"/>
  <c r="C100" i="7"/>
  <c r="B100" i="7"/>
  <c r="I99" i="7"/>
  <c r="J99" i="7" s="1"/>
  <c r="K99" i="7" s="1"/>
  <c r="O99" i="7" s="1"/>
  <c r="C99" i="7"/>
  <c r="B99" i="7"/>
  <c r="O98" i="7"/>
  <c r="I98" i="7"/>
  <c r="J98" i="7" s="1"/>
  <c r="K98" i="7" s="1"/>
  <c r="C98" i="7"/>
  <c r="B98" i="7"/>
  <c r="I97" i="7"/>
  <c r="J97" i="7" s="1"/>
  <c r="K97" i="7" s="1"/>
  <c r="O97" i="7" s="1"/>
  <c r="C97" i="7"/>
  <c r="B97" i="7"/>
  <c r="I96" i="7"/>
  <c r="J96" i="7" s="1"/>
  <c r="K96" i="7" s="1"/>
  <c r="O96" i="7" s="1"/>
  <c r="C96" i="7"/>
  <c r="B96" i="7"/>
  <c r="I95" i="7"/>
  <c r="J95" i="7" s="1"/>
  <c r="K95" i="7" s="1"/>
  <c r="O95" i="7" s="1"/>
  <c r="C95" i="7"/>
  <c r="B95" i="7"/>
  <c r="I94" i="7"/>
  <c r="J94" i="7" s="1"/>
  <c r="K94" i="7" s="1"/>
  <c r="O94" i="7" s="1"/>
  <c r="C94" i="7"/>
  <c r="B94" i="7"/>
  <c r="I93" i="7"/>
  <c r="J93" i="7" s="1"/>
  <c r="K93" i="7" s="1"/>
  <c r="O93" i="7" s="1"/>
  <c r="C93" i="7"/>
  <c r="B93" i="7"/>
  <c r="I92" i="7"/>
  <c r="J92" i="7" s="1"/>
  <c r="K92" i="7" s="1"/>
  <c r="O92" i="7" s="1"/>
  <c r="C92" i="7"/>
  <c r="B92" i="7"/>
  <c r="I91" i="7"/>
  <c r="J91" i="7" s="1"/>
  <c r="K91" i="7" s="1"/>
  <c r="O91" i="7" s="1"/>
  <c r="C91" i="7"/>
  <c r="B91" i="7"/>
  <c r="I90" i="7"/>
  <c r="J90" i="7" s="1"/>
  <c r="K90" i="7" s="1"/>
  <c r="O90" i="7" s="1"/>
  <c r="C90" i="7"/>
  <c r="B90" i="7"/>
  <c r="I89" i="7"/>
  <c r="J89" i="7" s="1"/>
  <c r="K89" i="7" s="1"/>
  <c r="O89" i="7" s="1"/>
  <c r="C89" i="7"/>
  <c r="B89" i="7"/>
  <c r="I88" i="7"/>
  <c r="J88" i="7" s="1"/>
  <c r="K88" i="7" s="1"/>
  <c r="O88" i="7" s="1"/>
  <c r="C88" i="7"/>
  <c r="B88" i="7"/>
  <c r="I87" i="7"/>
  <c r="J87" i="7" s="1"/>
  <c r="K87" i="7" s="1"/>
  <c r="O87" i="7" s="1"/>
  <c r="C87" i="7"/>
  <c r="B87" i="7"/>
  <c r="I86" i="7"/>
  <c r="J86" i="7" s="1"/>
  <c r="K86" i="7" s="1"/>
  <c r="O86" i="7" s="1"/>
  <c r="C86" i="7"/>
  <c r="B86" i="7"/>
  <c r="I85" i="7"/>
  <c r="J85" i="7" s="1"/>
  <c r="K85" i="7" s="1"/>
  <c r="O85" i="7" s="1"/>
  <c r="C85" i="7"/>
  <c r="B85" i="7"/>
  <c r="I84" i="7"/>
  <c r="J84" i="7" s="1"/>
  <c r="K84" i="7" s="1"/>
  <c r="O84" i="7" s="1"/>
  <c r="C84" i="7"/>
  <c r="B84" i="7"/>
  <c r="I83" i="7"/>
  <c r="J83" i="7" s="1"/>
  <c r="K83" i="7" s="1"/>
  <c r="O83" i="7" s="1"/>
  <c r="C83" i="7"/>
  <c r="B83" i="7"/>
  <c r="I82" i="7"/>
  <c r="J82" i="7" s="1"/>
  <c r="K82" i="7" s="1"/>
  <c r="O82" i="7" s="1"/>
  <c r="C82" i="7"/>
  <c r="B82" i="7"/>
  <c r="O81" i="7"/>
  <c r="I81" i="7"/>
  <c r="J81" i="7" s="1"/>
  <c r="K81" i="7" s="1"/>
  <c r="C81" i="7"/>
  <c r="B81" i="7"/>
  <c r="I80" i="7"/>
  <c r="J80" i="7" s="1"/>
  <c r="K80" i="7" s="1"/>
  <c r="O80" i="7" s="1"/>
  <c r="C80" i="7"/>
  <c r="B80" i="7"/>
  <c r="I79" i="7"/>
  <c r="J79" i="7" s="1"/>
  <c r="K79" i="7" s="1"/>
  <c r="O79" i="7" s="1"/>
  <c r="C79" i="7"/>
  <c r="B79" i="7"/>
  <c r="I78" i="7"/>
  <c r="J78" i="7" s="1"/>
  <c r="K78" i="7" s="1"/>
  <c r="O78" i="7" s="1"/>
  <c r="C78" i="7"/>
  <c r="B78" i="7"/>
  <c r="I77" i="7"/>
  <c r="J77" i="7" s="1"/>
  <c r="K77" i="7" s="1"/>
  <c r="O77" i="7" s="1"/>
  <c r="C77" i="7"/>
  <c r="B77" i="7"/>
  <c r="I76" i="7"/>
  <c r="J76" i="7" s="1"/>
  <c r="K76" i="7" s="1"/>
  <c r="O76" i="7" s="1"/>
  <c r="C76" i="7"/>
  <c r="B76" i="7"/>
  <c r="O75" i="7"/>
  <c r="I75" i="7"/>
  <c r="J75" i="7" s="1"/>
  <c r="K75" i="7" s="1"/>
  <c r="C75" i="7"/>
  <c r="B75" i="7"/>
  <c r="I74" i="7"/>
  <c r="J74" i="7" s="1"/>
  <c r="K74" i="7" s="1"/>
  <c r="O74" i="7" s="1"/>
  <c r="C74" i="7"/>
  <c r="B74" i="7"/>
  <c r="I73" i="7"/>
  <c r="J73" i="7" s="1"/>
  <c r="K73" i="7" s="1"/>
  <c r="O73" i="7" s="1"/>
  <c r="C73" i="7"/>
  <c r="B73" i="7"/>
  <c r="I72" i="7"/>
  <c r="J72" i="7" s="1"/>
  <c r="K72" i="7" s="1"/>
  <c r="O72" i="7" s="1"/>
  <c r="C72" i="7"/>
  <c r="B72" i="7"/>
  <c r="I71" i="7"/>
  <c r="J71" i="7" s="1"/>
  <c r="K71" i="7" s="1"/>
  <c r="O71" i="7" s="1"/>
  <c r="C71" i="7"/>
  <c r="B71" i="7"/>
  <c r="I70" i="7"/>
  <c r="J70" i="7" s="1"/>
  <c r="K70" i="7" s="1"/>
  <c r="O70" i="7" s="1"/>
  <c r="C70" i="7"/>
  <c r="B70" i="7"/>
  <c r="I69" i="7"/>
  <c r="J69" i="7" s="1"/>
  <c r="K69" i="7" s="1"/>
  <c r="O69" i="7" s="1"/>
  <c r="C69" i="7"/>
  <c r="B69" i="7"/>
  <c r="I68" i="7"/>
  <c r="J68" i="7" s="1"/>
  <c r="K68" i="7" s="1"/>
  <c r="O68" i="7" s="1"/>
  <c r="C68" i="7"/>
  <c r="B68" i="7"/>
  <c r="I67" i="7"/>
  <c r="J67" i="7" s="1"/>
  <c r="K67" i="7" s="1"/>
  <c r="O67" i="7" s="1"/>
  <c r="C67" i="7"/>
  <c r="B67" i="7"/>
  <c r="I66" i="7"/>
  <c r="J66" i="7" s="1"/>
  <c r="K66" i="7" s="1"/>
  <c r="O66" i="7" s="1"/>
  <c r="C66" i="7"/>
  <c r="B66" i="7"/>
  <c r="I65" i="7"/>
  <c r="J65" i="7" s="1"/>
  <c r="K65" i="7" s="1"/>
  <c r="O65" i="7" s="1"/>
  <c r="C65" i="7"/>
  <c r="B65" i="7"/>
  <c r="I64" i="7"/>
  <c r="J64" i="7" s="1"/>
  <c r="K64" i="7" s="1"/>
  <c r="O64" i="7" s="1"/>
  <c r="C64" i="7"/>
  <c r="B64" i="7"/>
  <c r="I63" i="7"/>
  <c r="J63" i="7" s="1"/>
  <c r="K63" i="7" s="1"/>
  <c r="O63" i="7" s="1"/>
  <c r="C63" i="7"/>
  <c r="B63" i="7"/>
  <c r="I62" i="7"/>
  <c r="J62" i="7" s="1"/>
  <c r="K62" i="7" s="1"/>
  <c r="O62" i="7" s="1"/>
  <c r="C62" i="7"/>
  <c r="B62" i="7"/>
  <c r="O61" i="7"/>
  <c r="I61" i="7"/>
  <c r="J61" i="7" s="1"/>
  <c r="K61" i="7" s="1"/>
  <c r="C61" i="7"/>
  <c r="B61" i="7"/>
  <c r="I60" i="7"/>
  <c r="J60" i="7" s="1"/>
  <c r="K60" i="7" s="1"/>
  <c r="O60" i="7" s="1"/>
  <c r="C60" i="7"/>
  <c r="B60" i="7"/>
  <c r="I59" i="7"/>
  <c r="J59" i="7" s="1"/>
  <c r="K59" i="7" s="1"/>
  <c r="O59" i="7" s="1"/>
  <c r="C59" i="7"/>
  <c r="B59" i="7"/>
  <c r="I58" i="7"/>
  <c r="J58" i="7" s="1"/>
  <c r="K58" i="7" s="1"/>
  <c r="O58" i="7" s="1"/>
  <c r="C58" i="7"/>
  <c r="B58" i="7"/>
  <c r="I57" i="7"/>
  <c r="J57" i="7" s="1"/>
  <c r="K57" i="7" s="1"/>
  <c r="O57" i="7" s="1"/>
  <c r="C57" i="7"/>
  <c r="B57" i="7"/>
  <c r="I56" i="7"/>
  <c r="J56" i="7" s="1"/>
  <c r="K56" i="7" s="1"/>
  <c r="O56" i="7" s="1"/>
  <c r="C56" i="7"/>
  <c r="B56" i="7"/>
  <c r="I55" i="7"/>
  <c r="J55" i="7" s="1"/>
  <c r="K55" i="7" s="1"/>
  <c r="O55" i="7" s="1"/>
  <c r="C55" i="7"/>
  <c r="B55" i="7"/>
  <c r="I54" i="7"/>
  <c r="J54" i="7" s="1"/>
  <c r="K54" i="7" s="1"/>
  <c r="O54" i="7" s="1"/>
  <c r="C54" i="7"/>
  <c r="B54" i="7"/>
  <c r="I53" i="7"/>
  <c r="J53" i="7" s="1"/>
  <c r="K53" i="7" s="1"/>
  <c r="O53" i="7" s="1"/>
  <c r="C53" i="7"/>
  <c r="B53" i="7"/>
  <c r="O52" i="7"/>
  <c r="I52" i="7"/>
  <c r="J52" i="7" s="1"/>
  <c r="K52" i="7" s="1"/>
  <c r="C52" i="7"/>
  <c r="B52" i="7"/>
  <c r="I51" i="7"/>
  <c r="J51" i="7" s="1"/>
  <c r="K51" i="7" s="1"/>
  <c r="O51" i="7" s="1"/>
  <c r="C51" i="7"/>
  <c r="B51" i="7"/>
  <c r="I50" i="7"/>
  <c r="J50" i="7" s="1"/>
  <c r="K50" i="7" s="1"/>
  <c r="O50" i="7" s="1"/>
  <c r="C50" i="7"/>
  <c r="B50" i="7"/>
  <c r="O49" i="7"/>
  <c r="I49" i="7"/>
  <c r="J49" i="7" s="1"/>
  <c r="K49" i="7" s="1"/>
  <c r="C49" i="7"/>
  <c r="B49" i="7"/>
  <c r="I48" i="7"/>
  <c r="J48" i="7" s="1"/>
  <c r="K48" i="7" s="1"/>
  <c r="O48" i="7" s="1"/>
  <c r="C48" i="7"/>
  <c r="B48" i="7"/>
  <c r="I47" i="7"/>
  <c r="J47" i="7" s="1"/>
  <c r="K47" i="7" s="1"/>
  <c r="O47" i="7" s="1"/>
  <c r="C47" i="7"/>
  <c r="B47" i="7"/>
  <c r="I46" i="7"/>
  <c r="J46" i="7" s="1"/>
  <c r="K46" i="7" s="1"/>
  <c r="O46" i="7" s="1"/>
  <c r="C46" i="7"/>
  <c r="B46" i="7"/>
  <c r="O45" i="7"/>
  <c r="I45" i="7"/>
  <c r="J45" i="7" s="1"/>
  <c r="K45" i="7" s="1"/>
  <c r="C45" i="7"/>
  <c r="B45" i="7"/>
  <c r="O44" i="7"/>
  <c r="I44" i="7"/>
  <c r="J44" i="7" s="1"/>
  <c r="K44" i="7" s="1"/>
  <c r="C44" i="7"/>
  <c r="B44" i="7"/>
  <c r="I43" i="7"/>
  <c r="J43" i="7" s="1"/>
  <c r="K43" i="7" s="1"/>
  <c r="O43" i="7" s="1"/>
  <c r="C43" i="7"/>
  <c r="B43" i="7"/>
  <c r="O42" i="7"/>
  <c r="I42" i="7"/>
  <c r="J42" i="7" s="1"/>
  <c r="K42" i="7" s="1"/>
  <c r="C42" i="7"/>
  <c r="B42" i="7"/>
  <c r="I41" i="7"/>
  <c r="J41" i="7" s="1"/>
  <c r="K41" i="7" s="1"/>
  <c r="O41" i="7" s="1"/>
  <c r="C41" i="7"/>
  <c r="B41" i="7"/>
  <c r="I40" i="7"/>
  <c r="J40" i="7" s="1"/>
  <c r="K40" i="7" s="1"/>
  <c r="O40" i="7" s="1"/>
  <c r="C40" i="7"/>
  <c r="B40" i="7"/>
  <c r="I39" i="7"/>
  <c r="J39" i="7" s="1"/>
  <c r="K39" i="7" s="1"/>
  <c r="O39" i="7" s="1"/>
  <c r="C39" i="7"/>
  <c r="B39" i="7"/>
  <c r="I38" i="7"/>
  <c r="J38" i="7" s="1"/>
  <c r="K38" i="7" s="1"/>
  <c r="O38" i="7" s="1"/>
  <c r="C38" i="7"/>
  <c r="B38" i="7"/>
  <c r="I37" i="7"/>
  <c r="J37" i="7" s="1"/>
  <c r="K37" i="7" s="1"/>
  <c r="O37" i="7" s="1"/>
  <c r="C37" i="7"/>
  <c r="B37" i="7"/>
  <c r="I36" i="7"/>
  <c r="J36" i="7" s="1"/>
  <c r="K36" i="7" s="1"/>
  <c r="O36" i="7" s="1"/>
  <c r="C36" i="7"/>
  <c r="B36" i="7"/>
  <c r="O35" i="7"/>
  <c r="I35" i="7"/>
  <c r="J35" i="7" s="1"/>
  <c r="K35" i="7" s="1"/>
  <c r="C35" i="7"/>
  <c r="B35" i="7"/>
  <c r="I34" i="7"/>
  <c r="J34" i="7" s="1"/>
  <c r="K34" i="7" s="1"/>
  <c r="O34" i="7" s="1"/>
  <c r="C34" i="7"/>
  <c r="B34" i="7"/>
  <c r="O33" i="7"/>
  <c r="I33" i="7"/>
  <c r="J33" i="7" s="1"/>
  <c r="K33" i="7" s="1"/>
  <c r="C33" i="7"/>
  <c r="B33" i="7"/>
  <c r="I32" i="7"/>
  <c r="J32" i="7" s="1"/>
  <c r="K32" i="7" s="1"/>
  <c r="O32" i="7" s="1"/>
  <c r="C32" i="7"/>
  <c r="B32" i="7"/>
  <c r="I31" i="7"/>
  <c r="J31" i="7" s="1"/>
  <c r="K31" i="7" s="1"/>
  <c r="O31" i="7" s="1"/>
  <c r="C31" i="7"/>
  <c r="B31" i="7"/>
  <c r="I30" i="7"/>
  <c r="J30" i="7" s="1"/>
  <c r="K30" i="7" s="1"/>
  <c r="O30" i="7" s="1"/>
  <c r="C30" i="7"/>
  <c r="B30" i="7"/>
  <c r="O29" i="7"/>
  <c r="I29" i="7"/>
  <c r="J29" i="7" s="1"/>
  <c r="K29" i="7" s="1"/>
  <c r="D29" i="7"/>
  <c r="C29" i="7"/>
  <c r="B29" i="7"/>
  <c r="I28" i="7"/>
  <c r="J28" i="7" s="1"/>
  <c r="K28" i="7" s="1"/>
  <c r="O28" i="7" s="1"/>
  <c r="D28" i="7"/>
  <c r="C28" i="7"/>
  <c r="B28" i="7"/>
  <c r="I27" i="7"/>
  <c r="J27" i="7" s="1"/>
  <c r="K27" i="7" s="1"/>
  <c r="O27" i="7" s="1"/>
  <c r="D27" i="7"/>
  <c r="C27" i="7"/>
  <c r="B27" i="7"/>
  <c r="O26" i="7"/>
  <c r="I26" i="7"/>
  <c r="J26" i="7" s="1"/>
  <c r="K26" i="7" s="1"/>
  <c r="D26" i="7"/>
  <c r="C26" i="7"/>
  <c r="B26" i="7"/>
  <c r="I25" i="7"/>
  <c r="J25" i="7" s="1"/>
  <c r="K25" i="7" s="1"/>
  <c r="O25" i="7" s="1"/>
  <c r="D25" i="7"/>
  <c r="C25" i="7"/>
  <c r="B25" i="7"/>
  <c r="I24" i="7"/>
  <c r="J24" i="7" s="1"/>
  <c r="K24" i="7" s="1"/>
  <c r="O24" i="7" s="1"/>
  <c r="D24" i="7"/>
  <c r="C24" i="7"/>
  <c r="B24" i="7"/>
  <c r="I23" i="7"/>
  <c r="J23" i="7" s="1"/>
  <c r="K23" i="7" s="1"/>
  <c r="O23" i="7" s="1"/>
  <c r="D23" i="7"/>
  <c r="C23" i="7"/>
  <c r="B23" i="7"/>
  <c r="I22" i="7"/>
  <c r="J22" i="7" s="1"/>
  <c r="K22" i="7" s="1"/>
  <c r="O22" i="7" s="1"/>
  <c r="D22" i="7"/>
  <c r="C22" i="7"/>
  <c r="B22" i="7"/>
  <c r="I21" i="7"/>
  <c r="J21" i="7" s="1"/>
  <c r="K21" i="7" s="1"/>
  <c r="O21" i="7" s="1"/>
  <c r="D21" i="7"/>
  <c r="C21" i="7"/>
  <c r="B21" i="7"/>
  <c r="I20" i="7"/>
  <c r="J20" i="7" s="1"/>
  <c r="K20" i="7" s="1"/>
  <c r="O20" i="7" s="1"/>
  <c r="D20" i="7"/>
  <c r="C20" i="7"/>
  <c r="B20" i="7"/>
  <c r="I19" i="7"/>
  <c r="J19" i="7" s="1"/>
  <c r="K19" i="7" s="1"/>
  <c r="O19" i="7" s="1"/>
  <c r="D19" i="7"/>
  <c r="C19" i="7"/>
  <c r="B19" i="7"/>
  <c r="O18" i="7"/>
  <c r="I18" i="7"/>
  <c r="J18" i="7" s="1"/>
  <c r="K18" i="7" s="1"/>
  <c r="D18" i="7"/>
  <c r="C18" i="7"/>
  <c r="B18" i="7"/>
  <c r="I17" i="7"/>
  <c r="J17" i="7" s="1"/>
  <c r="K17" i="7" s="1"/>
  <c r="O17" i="7" s="1"/>
  <c r="D17" i="7"/>
  <c r="C17" i="7"/>
  <c r="B17" i="7"/>
  <c r="I16" i="7"/>
  <c r="J16" i="7" s="1"/>
  <c r="K16" i="7" s="1"/>
  <c r="O16" i="7" s="1"/>
  <c r="D16" i="7"/>
  <c r="C16" i="7"/>
  <c r="B16" i="7"/>
  <c r="I15" i="7"/>
  <c r="J15" i="7" s="1"/>
  <c r="K15" i="7" s="1"/>
  <c r="O15" i="7" s="1"/>
  <c r="D15" i="7"/>
  <c r="C15" i="7"/>
  <c r="B15" i="7"/>
  <c r="I14" i="7"/>
  <c r="J14" i="7" s="1"/>
  <c r="K14" i="7" s="1"/>
  <c r="O14" i="7" s="1"/>
  <c r="D14" i="7"/>
  <c r="C14" i="7"/>
  <c r="B14" i="7"/>
  <c r="I13" i="7"/>
  <c r="J13" i="7" s="1"/>
  <c r="K13" i="7" s="1"/>
  <c r="O13" i="7" s="1"/>
  <c r="D13" i="7"/>
  <c r="C13" i="7"/>
  <c r="B13" i="7"/>
  <c r="I12" i="7"/>
  <c r="J12" i="7" s="1"/>
  <c r="K12" i="7" s="1"/>
  <c r="O12" i="7" s="1"/>
  <c r="D12" i="7"/>
  <c r="C12" i="7"/>
  <c r="B12" i="7"/>
  <c r="I11" i="7"/>
  <c r="J11" i="7" s="1"/>
  <c r="K11" i="7" s="1"/>
  <c r="O11" i="7" s="1"/>
  <c r="D11" i="7"/>
  <c r="C11" i="7"/>
  <c r="B11" i="7"/>
  <c r="I10" i="7"/>
  <c r="J10" i="7" s="1"/>
  <c r="K10" i="7" s="1"/>
  <c r="O10" i="7" s="1"/>
  <c r="D10" i="7"/>
  <c r="C10" i="7"/>
  <c r="B10" i="7"/>
  <c r="I9" i="7"/>
  <c r="J9" i="7" s="1"/>
  <c r="K9" i="7" s="1"/>
  <c r="O9" i="7" s="1"/>
  <c r="D9" i="7"/>
  <c r="C9" i="7"/>
  <c r="B9" i="7"/>
  <c r="O8" i="7"/>
  <c r="I8" i="7"/>
  <c r="J8" i="7" s="1"/>
  <c r="K8" i="7" s="1"/>
  <c r="D8" i="7"/>
  <c r="C8" i="7"/>
  <c r="B8" i="7"/>
  <c r="O7" i="7"/>
  <c r="I7" i="7"/>
  <c r="J7" i="7" s="1"/>
  <c r="K7" i="7" s="1"/>
  <c r="D7" i="7"/>
  <c r="C7" i="7"/>
  <c r="B7" i="7"/>
  <c r="I6" i="7"/>
  <c r="J6" i="7" s="1"/>
  <c r="K6" i="7" s="1"/>
  <c r="O6" i="7" s="1"/>
  <c r="D6" i="7"/>
  <c r="C6" i="7"/>
  <c r="B6" i="7"/>
  <c r="I5" i="7"/>
  <c r="J5" i="7" s="1"/>
  <c r="K5" i="7" s="1"/>
  <c r="O5" i="7" s="1"/>
  <c r="D5" i="7"/>
  <c r="C5" i="7"/>
  <c r="B5" i="7"/>
  <c r="I4" i="7"/>
  <c r="J4" i="7" s="1"/>
  <c r="K4" i="7" s="1"/>
  <c r="O4" i="7" s="1"/>
  <c r="D4" i="7"/>
  <c r="C4" i="7"/>
  <c r="B4" i="7"/>
  <c r="I3" i="7"/>
  <c r="J3" i="7" s="1"/>
  <c r="K3" i="7" s="1"/>
  <c r="O3" i="7" s="1"/>
  <c r="D3" i="7"/>
  <c r="C3" i="7"/>
  <c r="B3" i="7"/>
  <c r="I2" i="7"/>
  <c r="J2" i="7" s="1"/>
  <c r="K2" i="7" s="1"/>
  <c r="O2" i="7" s="1"/>
  <c r="D2" i="7"/>
  <c r="C2" i="7"/>
  <c r="B2" i="7"/>
  <c r="L501" i="6"/>
  <c r="D501" i="6"/>
  <c r="C501" i="6"/>
  <c r="B501" i="6"/>
  <c r="L500" i="6"/>
  <c r="D500" i="6"/>
  <c r="C500" i="6"/>
  <c r="B500" i="6"/>
  <c r="L499" i="6"/>
  <c r="D499" i="6"/>
  <c r="C499" i="6"/>
  <c r="B499" i="6"/>
  <c r="L498" i="6"/>
  <c r="D498" i="6"/>
  <c r="C498" i="6"/>
  <c r="B498" i="6"/>
  <c r="L497" i="6"/>
  <c r="D497" i="6"/>
  <c r="C497" i="6"/>
  <c r="B497" i="6"/>
  <c r="L496" i="6"/>
  <c r="D496" i="6"/>
  <c r="C496" i="6"/>
  <c r="B496" i="6"/>
  <c r="L495" i="6"/>
  <c r="D495" i="6"/>
  <c r="C495" i="6"/>
  <c r="B495" i="6"/>
  <c r="L494" i="6"/>
  <c r="D494" i="6"/>
  <c r="C494" i="6"/>
  <c r="B494" i="6"/>
  <c r="L493" i="6"/>
  <c r="D493" i="6"/>
  <c r="C493" i="6"/>
  <c r="B493" i="6"/>
  <c r="L492" i="6"/>
  <c r="D492" i="6"/>
  <c r="C492" i="6"/>
  <c r="B492" i="6"/>
  <c r="L491" i="6"/>
  <c r="D491" i="6"/>
  <c r="C491" i="6"/>
  <c r="B491" i="6"/>
  <c r="L490" i="6"/>
  <c r="D490" i="6"/>
  <c r="C490" i="6"/>
  <c r="B490" i="6"/>
  <c r="L489" i="6"/>
  <c r="D489" i="6"/>
  <c r="C489" i="6"/>
  <c r="B489" i="6"/>
  <c r="L488" i="6"/>
  <c r="D488" i="6"/>
  <c r="C488" i="6"/>
  <c r="B488" i="6"/>
  <c r="L487" i="6"/>
  <c r="D487" i="6"/>
  <c r="C487" i="6"/>
  <c r="B487" i="6"/>
  <c r="L486" i="6"/>
  <c r="D486" i="6"/>
  <c r="C486" i="6"/>
  <c r="B486" i="6"/>
  <c r="L485" i="6"/>
  <c r="D485" i="6"/>
  <c r="C485" i="6"/>
  <c r="B485" i="6"/>
  <c r="L484" i="6"/>
  <c r="D484" i="6"/>
  <c r="C484" i="6"/>
  <c r="B484" i="6"/>
  <c r="L483" i="6"/>
  <c r="E483" i="6"/>
  <c r="D483" i="6"/>
  <c r="C483" i="6"/>
  <c r="B483" i="6"/>
  <c r="L482" i="6"/>
  <c r="E482" i="6"/>
  <c r="D482" i="6"/>
  <c r="C482" i="6"/>
  <c r="B482" i="6"/>
  <c r="L481" i="6"/>
  <c r="E481" i="6"/>
  <c r="D481" i="6"/>
  <c r="C481" i="6"/>
  <c r="B481" i="6"/>
  <c r="L480" i="6"/>
  <c r="E480" i="6"/>
  <c r="D480" i="6"/>
  <c r="C480" i="6"/>
  <c r="B480" i="6"/>
  <c r="L479" i="6"/>
  <c r="E479" i="6"/>
  <c r="D479" i="6"/>
  <c r="C479" i="6"/>
  <c r="B479" i="6"/>
  <c r="L478" i="6"/>
  <c r="E478" i="6"/>
  <c r="D478" i="6"/>
  <c r="C478" i="6"/>
  <c r="B478" i="6"/>
  <c r="L477" i="6"/>
  <c r="E477" i="6"/>
  <c r="D477" i="6"/>
  <c r="C477" i="6"/>
  <c r="B477" i="6"/>
  <c r="L476" i="6"/>
  <c r="E476" i="6"/>
  <c r="D476" i="6"/>
  <c r="C476" i="6"/>
  <c r="B476" i="6"/>
  <c r="L475" i="6"/>
  <c r="E475" i="6"/>
  <c r="D475" i="6"/>
  <c r="C475" i="6"/>
  <c r="B475" i="6"/>
  <c r="L474" i="6"/>
  <c r="E474" i="6"/>
  <c r="D474" i="6"/>
  <c r="C474" i="6"/>
  <c r="B474" i="6"/>
  <c r="L473" i="6"/>
  <c r="E473" i="6"/>
  <c r="D473" i="6"/>
  <c r="C473" i="6"/>
  <c r="B473" i="6"/>
  <c r="L472" i="6"/>
  <c r="E472" i="6"/>
  <c r="D472" i="6"/>
  <c r="C472" i="6"/>
  <c r="B472" i="6"/>
  <c r="L471" i="6"/>
  <c r="E471" i="6"/>
  <c r="D471" i="6"/>
  <c r="C471" i="6"/>
  <c r="B471" i="6"/>
  <c r="L470" i="6"/>
  <c r="E470" i="6"/>
  <c r="D470" i="6"/>
  <c r="C470" i="6"/>
  <c r="B470" i="6"/>
  <c r="L469" i="6"/>
  <c r="D469" i="6"/>
  <c r="C469" i="6"/>
  <c r="B469" i="6"/>
  <c r="L468" i="6"/>
  <c r="D468" i="6"/>
  <c r="C468" i="6"/>
  <c r="B468" i="6"/>
  <c r="L467" i="6"/>
  <c r="D467" i="6"/>
  <c r="C467" i="6"/>
  <c r="B467" i="6"/>
  <c r="L466" i="6"/>
  <c r="D466" i="6"/>
  <c r="C466" i="6"/>
  <c r="B466" i="6"/>
  <c r="L465" i="6"/>
  <c r="D465" i="6"/>
  <c r="C465" i="6"/>
  <c r="B465" i="6"/>
  <c r="L464" i="6"/>
  <c r="D464" i="6"/>
  <c r="C464" i="6"/>
  <c r="B464" i="6"/>
  <c r="L463" i="6"/>
  <c r="D463" i="6"/>
  <c r="C463" i="6"/>
  <c r="B463" i="6"/>
  <c r="L462" i="6"/>
  <c r="D462" i="6"/>
  <c r="C462" i="6"/>
  <c r="B462" i="6"/>
  <c r="L461" i="6"/>
  <c r="D461" i="6"/>
  <c r="C461" i="6"/>
  <c r="B461" i="6"/>
  <c r="L460" i="6"/>
  <c r="D460" i="6"/>
  <c r="C460" i="6"/>
  <c r="B460" i="6"/>
  <c r="L459" i="6"/>
  <c r="D459" i="6"/>
  <c r="C459" i="6"/>
  <c r="B459" i="6"/>
  <c r="L458" i="6"/>
  <c r="D458" i="6"/>
  <c r="C458" i="6"/>
  <c r="B458" i="6"/>
  <c r="L457" i="6"/>
  <c r="D457" i="6"/>
  <c r="C457" i="6"/>
  <c r="B457" i="6"/>
  <c r="L456" i="6"/>
  <c r="D456" i="6"/>
  <c r="C456" i="6"/>
  <c r="B456" i="6"/>
  <c r="L455" i="6"/>
  <c r="D455" i="6"/>
  <c r="C455" i="6"/>
  <c r="B455" i="6"/>
  <c r="L454" i="6"/>
  <c r="D454" i="6"/>
  <c r="C454" i="6"/>
  <c r="B454" i="6"/>
  <c r="L453" i="6"/>
  <c r="D453" i="6"/>
  <c r="C453" i="6"/>
  <c r="B453" i="6"/>
  <c r="L452" i="6"/>
  <c r="D452" i="6"/>
  <c r="C452" i="6"/>
  <c r="B452" i="6"/>
  <c r="L451" i="6"/>
  <c r="E451" i="6"/>
  <c r="D451" i="6"/>
  <c r="C451" i="6"/>
  <c r="B451" i="6"/>
  <c r="L450" i="6"/>
  <c r="E450" i="6"/>
  <c r="D450" i="6"/>
  <c r="C450" i="6"/>
  <c r="B450" i="6"/>
  <c r="L449" i="6"/>
  <c r="E449" i="6"/>
  <c r="D449" i="6"/>
  <c r="C449" i="6"/>
  <c r="B449" i="6"/>
  <c r="L448" i="6"/>
  <c r="E448" i="6"/>
  <c r="D448" i="6"/>
  <c r="C448" i="6"/>
  <c r="B448" i="6"/>
  <c r="L447" i="6"/>
  <c r="E447" i="6"/>
  <c r="D447" i="6"/>
  <c r="C447" i="6"/>
  <c r="B447" i="6"/>
  <c r="L446" i="6"/>
  <c r="E446" i="6"/>
  <c r="D446" i="6"/>
  <c r="C446" i="6"/>
  <c r="B446" i="6"/>
  <c r="L445" i="6"/>
  <c r="D445" i="6"/>
  <c r="C445" i="6"/>
  <c r="B445" i="6"/>
  <c r="L444" i="6"/>
  <c r="D444" i="6"/>
  <c r="C444" i="6"/>
  <c r="B444" i="6"/>
  <c r="L443" i="6"/>
  <c r="D443" i="6"/>
  <c r="C443" i="6"/>
  <c r="B443" i="6"/>
  <c r="L442" i="6"/>
  <c r="D442" i="6"/>
  <c r="C442" i="6"/>
  <c r="B442" i="6"/>
  <c r="L441" i="6"/>
  <c r="D441" i="6"/>
  <c r="C441" i="6"/>
  <c r="B441" i="6"/>
  <c r="L440" i="6"/>
  <c r="D440" i="6"/>
  <c r="C440" i="6"/>
  <c r="B440" i="6"/>
  <c r="L439" i="6"/>
  <c r="D439" i="6"/>
  <c r="C439" i="6"/>
  <c r="B439" i="6"/>
  <c r="L438" i="6"/>
  <c r="D438" i="6"/>
  <c r="C438" i="6"/>
  <c r="B438" i="6"/>
  <c r="L437" i="6"/>
  <c r="D437" i="6"/>
  <c r="C437" i="6"/>
  <c r="B437" i="6"/>
  <c r="L436" i="6"/>
  <c r="D436" i="6"/>
  <c r="C436" i="6"/>
  <c r="B436" i="6"/>
  <c r="L435" i="6"/>
  <c r="D435" i="6"/>
  <c r="C435" i="6"/>
  <c r="B435" i="6"/>
  <c r="L434" i="6"/>
  <c r="D434" i="6"/>
  <c r="C434" i="6"/>
  <c r="B434" i="6"/>
  <c r="L433" i="6"/>
  <c r="D433" i="6"/>
  <c r="C433" i="6"/>
  <c r="B433" i="6"/>
  <c r="L432" i="6"/>
  <c r="D432" i="6"/>
  <c r="C432" i="6"/>
  <c r="B432" i="6"/>
  <c r="L431" i="6"/>
  <c r="D431" i="6"/>
  <c r="C431" i="6"/>
  <c r="B431" i="6"/>
  <c r="L430" i="6"/>
  <c r="D430" i="6"/>
  <c r="C430" i="6"/>
  <c r="B430" i="6"/>
  <c r="L429" i="6"/>
  <c r="D429" i="6"/>
  <c r="C429" i="6"/>
  <c r="B429" i="6"/>
  <c r="L428" i="6"/>
  <c r="D428" i="6"/>
  <c r="C428" i="6"/>
  <c r="B428" i="6"/>
  <c r="L427" i="6"/>
  <c r="D427" i="6"/>
  <c r="C427" i="6"/>
  <c r="B427" i="6"/>
  <c r="L426" i="6"/>
  <c r="D426" i="6"/>
  <c r="C426" i="6"/>
  <c r="B426" i="6"/>
  <c r="L425" i="6"/>
  <c r="D425" i="6"/>
  <c r="C425" i="6"/>
  <c r="B425" i="6"/>
  <c r="L424" i="6"/>
  <c r="D424" i="6"/>
  <c r="C424" i="6"/>
  <c r="B424" i="6"/>
  <c r="L423" i="6"/>
  <c r="D423" i="6"/>
  <c r="C423" i="6"/>
  <c r="B423" i="6"/>
  <c r="L422" i="6"/>
  <c r="E422" i="6"/>
  <c r="D422" i="6"/>
  <c r="C422" i="6"/>
  <c r="B422" i="6"/>
  <c r="L421" i="6"/>
  <c r="E421" i="6"/>
  <c r="D421" i="6"/>
  <c r="C421" i="6"/>
  <c r="B421" i="6"/>
  <c r="L420" i="6"/>
  <c r="E420" i="6"/>
  <c r="D420" i="6"/>
  <c r="C420" i="6"/>
  <c r="B420" i="6"/>
  <c r="L419" i="6"/>
  <c r="E419" i="6"/>
  <c r="D419" i="6"/>
  <c r="C419" i="6"/>
  <c r="B419" i="6"/>
  <c r="L418" i="6"/>
  <c r="E418" i="6"/>
  <c r="D418" i="6"/>
  <c r="C418" i="6"/>
  <c r="B418" i="6"/>
  <c r="L417" i="6"/>
  <c r="E417" i="6"/>
  <c r="D417" i="6"/>
  <c r="C417" i="6"/>
  <c r="B417" i="6"/>
  <c r="L416" i="6"/>
  <c r="E416" i="6"/>
  <c r="D416" i="6"/>
  <c r="C416" i="6"/>
  <c r="B416" i="6"/>
  <c r="L415" i="6"/>
  <c r="E415" i="6"/>
  <c r="D415" i="6"/>
  <c r="C415" i="6"/>
  <c r="B415" i="6"/>
  <c r="L414" i="6"/>
  <c r="E414" i="6"/>
  <c r="D414" i="6"/>
  <c r="C414" i="6"/>
  <c r="B414" i="6"/>
  <c r="L413" i="6"/>
  <c r="E413" i="6"/>
  <c r="D413" i="6"/>
  <c r="C413" i="6"/>
  <c r="B413" i="6"/>
  <c r="L412" i="6"/>
  <c r="E412" i="6"/>
  <c r="D412" i="6"/>
  <c r="C412" i="6"/>
  <c r="B412" i="6"/>
  <c r="L411" i="6"/>
  <c r="E411" i="6"/>
  <c r="D411" i="6"/>
  <c r="C411" i="6"/>
  <c r="B411" i="6"/>
  <c r="L410" i="6"/>
  <c r="E410" i="6"/>
  <c r="D410" i="6"/>
  <c r="C410" i="6"/>
  <c r="B410" i="6"/>
  <c r="L409" i="6"/>
  <c r="E409" i="6"/>
  <c r="D409" i="6"/>
  <c r="C409" i="6"/>
  <c r="B409" i="6"/>
  <c r="L408" i="6"/>
  <c r="E408" i="6"/>
  <c r="D408" i="6"/>
  <c r="C408" i="6"/>
  <c r="B408" i="6"/>
  <c r="L407" i="6"/>
  <c r="E407" i="6"/>
  <c r="D407" i="6"/>
  <c r="C407" i="6"/>
  <c r="B407" i="6"/>
  <c r="L406" i="6"/>
  <c r="E406" i="6"/>
  <c r="D406" i="6"/>
  <c r="C406" i="6"/>
  <c r="B406" i="6"/>
  <c r="L405" i="6"/>
  <c r="E405" i="6"/>
  <c r="D405" i="6"/>
  <c r="C405" i="6"/>
  <c r="B405" i="6"/>
  <c r="L404" i="6"/>
  <c r="E404" i="6"/>
  <c r="D404" i="6"/>
  <c r="C404" i="6"/>
  <c r="B404" i="6"/>
  <c r="L403" i="6"/>
  <c r="E403" i="6"/>
  <c r="D403" i="6"/>
  <c r="C403" i="6"/>
  <c r="B403" i="6"/>
  <c r="L402" i="6"/>
  <c r="E402" i="6"/>
  <c r="D402" i="6"/>
  <c r="C402" i="6"/>
  <c r="B402" i="6"/>
  <c r="L401" i="6"/>
  <c r="E401" i="6"/>
  <c r="D401" i="6"/>
  <c r="C401" i="6"/>
  <c r="B401" i="6"/>
  <c r="L400" i="6"/>
  <c r="E400" i="6"/>
  <c r="D400" i="6"/>
  <c r="C400" i="6"/>
  <c r="B400" i="6"/>
  <c r="L399" i="6"/>
  <c r="E399" i="6"/>
  <c r="D399" i="6"/>
  <c r="C399" i="6"/>
  <c r="B399" i="6"/>
  <c r="L398" i="6"/>
  <c r="E398" i="6"/>
  <c r="D398" i="6"/>
  <c r="C398" i="6"/>
  <c r="B398" i="6"/>
  <c r="L397" i="6"/>
  <c r="E397" i="6"/>
  <c r="D397" i="6"/>
  <c r="C397" i="6"/>
  <c r="B397" i="6"/>
  <c r="L396" i="6"/>
  <c r="E396" i="6"/>
  <c r="D396" i="6"/>
  <c r="C396" i="6"/>
  <c r="B396" i="6"/>
  <c r="L395" i="6"/>
  <c r="E395" i="6"/>
  <c r="D395" i="6"/>
  <c r="C395" i="6"/>
  <c r="B395" i="6"/>
  <c r="L394" i="6"/>
  <c r="E394" i="6"/>
  <c r="D394" i="6"/>
  <c r="C394" i="6"/>
  <c r="B394" i="6"/>
  <c r="L393" i="6"/>
  <c r="E393" i="6"/>
  <c r="D393" i="6"/>
  <c r="C393" i="6"/>
  <c r="B393" i="6"/>
  <c r="L392" i="6"/>
  <c r="E392" i="6"/>
  <c r="D392" i="6"/>
  <c r="C392" i="6"/>
  <c r="B392" i="6"/>
  <c r="L391" i="6"/>
  <c r="E391" i="6"/>
  <c r="D391" i="6"/>
  <c r="C391" i="6"/>
  <c r="B391" i="6"/>
  <c r="L390" i="6"/>
  <c r="E390" i="6"/>
  <c r="D390" i="6"/>
  <c r="C390" i="6"/>
  <c r="B390" i="6"/>
  <c r="L389" i="6"/>
  <c r="E389" i="6"/>
  <c r="D389" i="6"/>
  <c r="C389" i="6"/>
  <c r="B389" i="6"/>
  <c r="L388" i="6"/>
  <c r="E388" i="6"/>
  <c r="D388" i="6"/>
  <c r="C388" i="6"/>
  <c r="B388" i="6"/>
  <c r="L387" i="6"/>
  <c r="E387" i="6"/>
  <c r="D387" i="6"/>
  <c r="C387" i="6"/>
  <c r="B387" i="6"/>
  <c r="L386" i="6"/>
  <c r="E386" i="6"/>
  <c r="D386" i="6"/>
  <c r="C386" i="6"/>
  <c r="B386" i="6"/>
  <c r="L385" i="6"/>
  <c r="E385" i="6"/>
  <c r="D385" i="6"/>
  <c r="C385" i="6"/>
  <c r="B385" i="6"/>
  <c r="L384" i="6"/>
  <c r="E384" i="6"/>
  <c r="D384" i="6"/>
  <c r="C384" i="6"/>
  <c r="B384" i="6"/>
  <c r="L383" i="6"/>
  <c r="E383" i="6"/>
  <c r="D383" i="6"/>
  <c r="C383" i="6"/>
  <c r="B383" i="6"/>
  <c r="L382" i="6"/>
  <c r="E382" i="6"/>
  <c r="D382" i="6"/>
  <c r="C382" i="6"/>
  <c r="B382" i="6"/>
  <c r="L381" i="6"/>
  <c r="E381" i="6"/>
  <c r="D381" i="6"/>
  <c r="C381" i="6"/>
  <c r="B381" i="6"/>
  <c r="L380" i="6"/>
  <c r="E380" i="6"/>
  <c r="D380" i="6"/>
  <c r="C380" i="6"/>
  <c r="B380" i="6"/>
  <c r="L379" i="6"/>
  <c r="E379" i="6"/>
  <c r="D379" i="6"/>
  <c r="C379" i="6"/>
  <c r="B379" i="6"/>
  <c r="L378" i="6"/>
  <c r="E378" i="6"/>
  <c r="D378" i="6"/>
  <c r="C378" i="6"/>
  <c r="B378" i="6"/>
  <c r="L377" i="6"/>
  <c r="E377" i="6"/>
  <c r="D377" i="6"/>
  <c r="C377" i="6"/>
  <c r="B377" i="6"/>
  <c r="L376" i="6"/>
  <c r="E376" i="6"/>
  <c r="D376" i="6"/>
  <c r="C376" i="6"/>
  <c r="B376" i="6"/>
  <c r="L375" i="6"/>
  <c r="E375" i="6"/>
  <c r="D375" i="6"/>
  <c r="C375" i="6"/>
  <c r="B375" i="6"/>
  <c r="L374" i="6"/>
  <c r="E374" i="6"/>
  <c r="D374" i="6"/>
  <c r="C374" i="6"/>
  <c r="B374" i="6"/>
  <c r="L373" i="6"/>
  <c r="E373" i="6"/>
  <c r="D373" i="6"/>
  <c r="C373" i="6"/>
  <c r="B373" i="6"/>
  <c r="L372" i="6"/>
  <c r="E372" i="6"/>
  <c r="D372" i="6"/>
  <c r="C372" i="6"/>
  <c r="B372" i="6"/>
  <c r="L371" i="6"/>
  <c r="E371" i="6"/>
  <c r="D371" i="6"/>
  <c r="C371" i="6"/>
  <c r="B371" i="6"/>
  <c r="L370" i="6"/>
  <c r="E370" i="6"/>
  <c r="D370" i="6"/>
  <c r="C370" i="6"/>
  <c r="B370" i="6"/>
  <c r="L369" i="6"/>
  <c r="E369" i="6"/>
  <c r="D369" i="6"/>
  <c r="C369" i="6"/>
  <c r="B369" i="6"/>
  <c r="L368" i="6"/>
  <c r="E368" i="6"/>
  <c r="D368" i="6"/>
  <c r="C368" i="6"/>
  <c r="B368" i="6"/>
  <c r="L367" i="6"/>
  <c r="E367" i="6"/>
  <c r="D367" i="6"/>
  <c r="C367" i="6"/>
  <c r="B367" i="6"/>
  <c r="L366" i="6"/>
  <c r="E366" i="6"/>
  <c r="D366" i="6"/>
  <c r="C366" i="6"/>
  <c r="B366" i="6"/>
  <c r="L365" i="6"/>
  <c r="E365" i="6"/>
  <c r="D365" i="6"/>
  <c r="C365" i="6"/>
  <c r="B365" i="6"/>
  <c r="L364" i="6"/>
  <c r="E364" i="6"/>
  <c r="D364" i="6"/>
  <c r="C364" i="6"/>
  <c r="B364" i="6"/>
  <c r="L363" i="6"/>
  <c r="E363" i="6"/>
  <c r="D363" i="6"/>
  <c r="C363" i="6"/>
  <c r="B363" i="6"/>
  <c r="L362" i="6"/>
  <c r="E362" i="6"/>
  <c r="D362" i="6"/>
  <c r="C362" i="6"/>
  <c r="B362" i="6"/>
  <c r="L361" i="6"/>
  <c r="E361" i="6"/>
  <c r="D361" i="6"/>
  <c r="C361" i="6"/>
  <c r="B361" i="6"/>
  <c r="L360" i="6"/>
  <c r="E360" i="6"/>
  <c r="D360" i="6"/>
  <c r="C360" i="6"/>
  <c r="B360" i="6"/>
  <c r="L359" i="6"/>
  <c r="E359" i="6"/>
  <c r="D359" i="6"/>
  <c r="C359" i="6"/>
  <c r="B359" i="6"/>
  <c r="L358" i="6"/>
  <c r="E358" i="6"/>
  <c r="D358" i="6"/>
  <c r="C358" i="6"/>
  <c r="B358" i="6"/>
  <c r="L357" i="6"/>
  <c r="E357" i="6"/>
  <c r="D357" i="6"/>
  <c r="C357" i="6"/>
  <c r="B357" i="6"/>
  <c r="L356" i="6"/>
  <c r="E356" i="6"/>
  <c r="D356" i="6"/>
  <c r="C356" i="6"/>
  <c r="B356" i="6"/>
  <c r="L355" i="6"/>
  <c r="E355" i="6"/>
  <c r="D355" i="6"/>
  <c r="C355" i="6"/>
  <c r="B355" i="6"/>
  <c r="L354" i="6"/>
  <c r="E354" i="6"/>
  <c r="D354" i="6"/>
  <c r="C354" i="6"/>
  <c r="B354" i="6"/>
  <c r="L353" i="6"/>
  <c r="E353" i="6"/>
  <c r="D353" i="6"/>
  <c r="C353" i="6"/>
  <c r="B353" i="6"/>
  <c r="L352" i="6"/>
  <c r="E352" i="6"/>
  <c r="D352" i="6"/>
  <c r="C352" i="6"/>
  <c r="B352" i="6"/>
  <c r="L351" i="6"/>
  <c r="E351" i="6"/>
  <c r="D351" i="6"/>
  <c r="C351" i="6"/>
  <c r="B351" i="6"/>
  <c r="L350" i="6"/>
  <c r="E350" i="6"/>
  <c r="D350" i="6"/>
  <c r="C350" i="6"/>
  <c r="B350" i="6"/>
  <c r="L349" i="6"/>
  <c r="E349" i="6"/>
  <c r="D349" i="6"/>
  <c r="C349" i="6"/>
  <c r="B349" i="6"/>
  <c r="L348" i="6"/>
  <c r="E348" i="6"/>
  <c r="D348" i="6"/>
  <c r="C348" i="6"/>
  <c r="B348" i="6"/>
  <c r="L347" i="6"/>
  <c r="E347" i="6"/>
  <c r="D347" i="6"/>
  <c r="C347" i="6"/>
  <c r="B347" i="6"/>
  <c r="L346" i="6"/>
  <c r="E346" i="6"/>
  <c r="D346" i="6"/>
  <c r="C346" i="6"/>
  <c r="B346" i="6"/>
  <c r="L345" i="6"/>
  <c r="E345" i="6"/>
  <c r="D345" i="6"/>
  <c r="C345" i="6"/>
  <c r="B345" i="6"/>
  <c r="L344" i="6"/>
  <c r="E344" i="6"/>
  <c r="D344" i="6"/>
  <c r="C344" i="6"/>
  <c r="B344" i="6"/>
  <c r="L343" i="6"/>
  <c r="E343" i="6"/>
  <c r="D343" i="6"/>
  <c r="C343" i="6"/>
  <c r="B343" i="6"/>
  <c r="L342" i="6"/>
  <c r="E342" i="6"/>
  <c r="D342" i="6"/>
  <c r="C342" i="6"/>
  <c r="B342" i="6"/>
  <c r="L341" i="6"/>
  <c r="E341" i="6"/>
  <c r="D341" i="6"/>
  <c r="C341" i="6"/>
  <c r="B341" i="6"/>
  <c r="L340" i="6"/>
  <c r="E340" i="6"/>
  <c r="D340" i="6"/>
  <c r="C340" i="6"/>
  <c r="B340" i="6"/>
  <c r="L339" i="6"/>
  <c r="E339" i="6"/>
  <c r="D339" i="6"/>
  <c r="C339" i="6"/>
  <c r="B339" i="6"/>
  <c r="L338" i="6"/>
  <c r="E338" i="6"/>
  <c r="D338" i="6"/>
  <c r="C338" i="6"/>
  <c r="B338" i="6"/>
  <c r="L337" i="6"/>
  <c r="E337" i="6"/>
  <c r="D337" i="6"/>
  <c r="C337" i="6"/>
  <c r="B337" i="6"/>
  <c r="L336" i="6"/>
  <c r="E336" i="6"/>
  <c r="D336" i="6"/>
  <c r="C336" i="6"/>
  <c r="B336" i="6"/>
  <c r="L335" i="6"/>
  <c r="E335" i="6"/>
  <c r="D335" i="6"/>
  <c r="C335" i="6"/>
  <c r="B335" i="6"/>
  <c r="L334" i="6"/>
  <c r="E334" i="6"/>
  <c r="D334" i="6"/>
  <c r="C334" i="6"/>
  <c r="B334" i="6"/>
  <c r="L333" i="6"/>
  <c r="E333" i="6"/>
  <c r="D333" i="6"/>
  <c r="C333" i="6"/>
  <c r="B333" i="6"/>
  <c r="L332" i="6"/>
  <c r="E332" i="6"/>
  <c r="D332" i="6"/>
  <c r="C332" i="6"/>
  <c r="B332" i="6"/>
  <c r="L331" i="6"/>
  <c r="E331" i="6"/>
  <c r="D331" i="6"/>
  <c r="C331" i="6"/>
  <c r="B331" i="6"/>
  <c r="L330" i="6"/>
  <c r="E330" i="6"/>
  <c r="D330" i="6"/>
  <c r="C330" i="6"/>
  <c r="B330" i="6"/>
  <c r="L329" i="6"/>
  <c r="E329" i="6"/>
  <c r="D329" i="6"/>
  <c r="C329" i="6"/>
  <c r="B329" i="6"/>
  <c r="L328" i="6"/>
  <c r="E328" i="6"/>
  <c r="D328" i="6"/>
  <c r="C328" i="6"/>
  <c r="B328" i="6"/>
  <c r="L327" i="6"/>
  <c r="E327" i="6"/>
  <c r="D327" i="6"/>
  <c r="C327" i="6"/>
  <c r="B327" i="6"/>
  <c r="L326" i="6"/>
  <c r="E326" i="6"/>
  <c r="D326" i="6"/>
  <c r="C326" i="6"/>
  <c r="B326" i="6"/>
  <c r="L325" i="6"/>
  <c r="E325" i="6"/>
  <c r="D325" i="6"/>
  <c r="C325" i="6"/>
  <c r="B325" i="6"/>
  <c r="L324" i="6"/>
  <c r="E324" i="6"/>
  <c r="D324" i="6"/>
  <c r="C324" i="6"/>
  <c r="B324" i="6"/>
  <c r="L323" i="6"/>
  <c r="E323" i="6"/>
  <c r="D323" i="6"/>
  <c r="C323" i="6"/>
  <c r="B323" i="6"/>
  <c r="L322" i="6"/>
  <c r="E322" i="6"/>
  <c r="D322" i="6"/>
  <c r="C322" i="6"/>
  <c r="B322" i="6"/>
  <c r="L321" i="6"/>
  <c r="E321" i="6"/>
  <c r="D321" i="6"/>
  <c r="C321" i="6"/>
  <c r="B321" i="6"/>
  <c r="L320" i="6"/>
  <c r="E320" i="6"/>
  <c r="D320" i="6"/>
  <c r="C320" i="6"/>
  <c r="B320" i="6"/>
  <c r="L319" i="6"/>
  <c r="E319" i="6"/>
  <c r="D319" i="6"/>
  <c r="C319" i="6"/>
  <c r="B319" i="6"/>
  <c r="L318" i="6"/>
  <c r="E318" i="6"/>
  <c r="D318" i="6"/>
  <c r="C318" i="6"/>
  <c r="B318" i="6"/>
  <c r="L317" i="6"/>
  <c r="E317" i="6"/>
  <c r="D317" i="6"/>
  <c r="C317" i="6"/>
  <c r="B317" i="6"/>
  <c r="L316" i="6"/>
  <c r="E316" i="6"/>
  <c r="D316" i="6"/>
  <c r="C316" i="6"/>
  <c r="B316" i="6"/>
  <c r="L315" i="6"/>
  <c r="E315" i="6"/>
  <c r="D315" i="6"/>
  <c r="C315" i="6"/>
  <c r="B315" i="6"/>
  <c r="L314" i="6"/>
  <c r="E314" i="6"/>
  <c r="D314" i="6"/>
  <c r="C314" i="6"/>
  <c r="B314" i="6"/>
  <c r="L313" i="6"/>
  <c r="E313" i="6"/>
  <c r="D313" i="6"/>
  <c r="C313" i="6"/>
  <c r="B313" i="6"/>
  <c r="L312" i="6"/>
  <c r="E312" i="6"/>
  <c r="D312" i="6"/>
  <c r="C312" i="6"/>
  <c r="B312" i="6"/>
  <c r="L311" i="6"/>
  <c r="E311" i="6"/>
  <c r="D311" i="6"/>
  <c r="C311" i="6"/>
  <c r="B311" i="6"/>
  <c r="L310" i="6"/>
  <c r="E310" i="6"/>
  <c r="D310" i="6"/>
  <c r="C310" i="6"/>
  <c r="B310" i="6"/>
  <c r="L309" i="6"/>
  <c r="E309" i="6"/>
  <c r="D309" i="6"/>
  <c r="C309" i="6"/>
  <c r="B309" i="6"/>
  <c r="L308" i="6"/>
  <c r="E308" i="6"/>
  <c r="D308" i="6"/>
  <c r="C308" i="6"/>
  <c r="B308" i="6"/>
  <c r="L307" i="6"/>
  <c r="E307" i="6"/>
  <c r="D307" i="6"/>
  <c r="C307" i="6"/>
  <c r="B307" i="6"/>
  <c r="L306" i="6"/>
  <c r="E306" i="6"/>
  <c r="D306" i="6"/>
  <c r="C306" i="6"/>
  <c r="B306" i="6"/>
  <c r="L305" i="6"/>
  <c r="E305" i="6"/>
  <c r="D305" i="6"/>
  <c r="C305" i="6"/>
  <c r="B305" i="6"/>
  <c r="L304" i="6"/>
  <c r="E304" i="6"/>
  <c r="D304" i="6"/>
  <c r="C304" i="6"/>
  <c r="B304" i="6"/>
  <c r="L303" i="6"/>
  <c r="E303" i="6"/>
  <c r="D303" i="6"/>
  <c r="C303" i="6"/>
  <c r="B303" i="6"/>
  <c r="L302" i="6"/>
  <c r="E302" i="6"/>
  <c r="D302" i="6"/>
  <c r="C302" i="6"/>
  <c r="B302" i="6"/>
  <c r="L301" i="6"/>
  <c r="E301" i="6"/>
  <c r="D301" i="6"/>
  <c r="C301" i="6"/>
  <c r="B301" i="6"/>
  <c r="L300" i="6"/>
  <c r="E300" i="6"/>
  <c r="D300" i="6"/>
  <c r="C300" i="6"/>
  <c r="B300" i="6"/>
  <c r="L299" i="6"/>
  <c r="E299" i="6"/>
  <c r="D299" i="6"/>
  <c r="C299" i="6"/>
  <c r="B299" i="6"/>
  <c r="L298" i="6"/>
  <c r="E298" i="6"/>
  <c r="D298" i="6"/>
  <c r="C298" i="6"/>
  <c r="B298" i="6"/>
  <c r="L297" i="6"/>
  <c r="E297" i="6"/>
  <c r="D297" i="6"/>
  <c r="C297" i="6"/>
  <c r="B297" i="6"/>
  <c r="L296" i="6"/>
  <c r="E296" i="6"/>
  <c r="D296" i="6"/>
  <c r="C296" i="6"/>
  <c r="B296" i="6"/>
  <c r="L295" i="6"/>
  <c r="E295" i="6"/>
  <c r="D295" i="6"/>
  <c r="C295" i="6"/>
  <c r="B295" i="6"/>
  <c r="L294" i="6"/>
  <c r="E294" i="6"/>
  <c r="D294" i="6"/>
  <c r="C294" i="6"/>
  <c r="B294" i="6"/>
  <c r="L293" i="6"/>
  <c r="E293" i="6"/>
  <c r="D293" i="6"/>
  <c r="C293" i="6"/>
  <c r="B293" i="6"/>
  <c r="L292" i="6"/>
  <c r="E292" i="6"/>
  <c r="D292" i="6"/>
  <c r="C292" i="6"/>
  <c r="B292" i="6"/>
  <c r="L291" i="6"/>
  <c r="E291" i="6"/>
  <c r="D291" i="6"/>
  <c r="C291" i="6"/>
  <c r="B291" i="6"/>
  <c r="L290" i="6"/>
  <c r="E290" i="6"/>
  <c r="D290" i="6"/>
  <c r="C290" i="6"/>
  <c r="B290" i="6"/>
  <c r="L289" i="6"/>
  <c r="E289" i="6"/>
  <c r="D289" i="6"/>
  <c r="C289" i="6"/>
  <c r="B289" i="6"/>
  <c r="L288" i="6"/>
  <c r="E288" i="6"/>
  <c r="D288" i="6"/>
  <c r="C288" i="6"/>
  <c r="B288" i="6"/>
  <c r="L287" i="6"/>
  <c r="E287" i="6"/>
  <c r="D287" i="6"/>
  <c r="C287" i="6"/>
  <c r="B287" i="6"/>
  <c r="L286" i="6"/>
  <c r="E286" i="6"/>
  <c r="D286" i="6"/>
  <c r="C286" i="6"/>
  <c r="B286" i="6"/>
  <c r="L285" i="6"/>
  <c r="E285" i="6"/>
  <c r="D285" i="6"/>
  <c r="C285" i="6"/>
  <c r="B285" i="6"/>
  <c r="L284" i="6"/>
  <c r="E284" i="6"/>
  <c r="D284" i="6"/>
  <c r="C284" i="6"/>
  <c r="B284" i="6"/>
  <c r="L283" i="6"/>
  <c r="E283" i="6"/>
  <c r="D283" i="6"/>
  <c r="C283" i="6"/>
  <c r="B283" i="6"/>
  <c r="L282" i="6"/>
  <c r="E282" i="6"/>
  <c r="D282" i="6"/>
  <c r="C282" i="6"/>
  <c r="B282" i="6"/>
  <c r="L281" i="6"/>
  <c r="E281" i="6"/>
  <c r="D281" i="6"/>
  <c r="C281" i="6"/>
  <c r="B281" i="6"/>
  <c r="L280" i="6"/>
  <c r="E280" i="6"/>
  <c r="D280" i="6"/>
  <c r="C280" i="6"/>
  <c r="B280" i="6"/>
  <c r="L279" i="6"/>
  <c r="E279" i="6"/>
  <c r="D279" i="6"/>
  <c r="C279" i="6"/>
  <c r="B279" i="6"/>
  <c r="L278" i="6"/>
  <c r="E278" i="6"/>
  <c r="D278" i="6"/>
  <c r="C278" i="6"/>
  <c r="B278" i="6"/>
  <c r="L277" i="6"/>
  <c r="E277" i="6"/>
  <c r="D277" i="6"/>
  <c r="C277" i="6"/>
  <c r="B277" i="6"/>
  <c r="L276" i="6"/>
  <c r="E276" i="6"/>
  <c r="D276" i="6"/>
  <c r="C276" i="6"/>
  <c r="B276" i="6"/>
  <c r="L275" i="6"/>
  <c r="E275" i="6"/>
  <c r="D275" i="6"/>
  <c r="C275" i="6"/>
  <c r="B275" i="6"/>
  <c r="L274" i="6"/>
  <c r="E274" i="6"/>
  <c r="D274" i="6"/>
  <c r="C274" i="6"/>
  <c r="B274" i="6"/>
  <c r="L273" i="6"/>
  <c r="E273" i="6"/>
  <c r="D273" i="6"/>
  <c r="C273" i="6"/>
  <c r="B273" i="6"/>
  <c r="L272" i="6"/>
  <c r="E272" i="6"/>
  <c r="D272" i="6"/>
  <c r="C272" i="6"/>
  <c r="B272" i="6"/>
  <c r="L271" i="6"/>
  <c r="E271" i="6"/>
  <c r="D271" i="6"/>
  <c r="C271" i="6"/>
  <c r="B271" i="6"/>
  <c r="L270" i="6"/>
  <c r="E270" i="6"/>
  <c r="D270" i="6"/>
  <c r="C270" i="6"/>
  <c r="B270" i="6"/>
  <c r="L269" i="6"/>
  <c r="E269" i="6"/>
  <c r="D269" i="6"/>
  <c r="C269" i="6"/>
  <c r="B269" i="6"/>
  <c r="L268" i="6"/>
  <c r="E268" i="6"/>
  <c r="D268" i="6"/>
  <c r="C268" i="6"/>
  <c r="B268" i="6"/>
  <c r="L267" i="6"/>
  <c r="E267" i="6"/>
  <c r="D267" i="6"/>
  <c r="C267" i="6"/>
  <c r="B267" i="6"/>
  <c r="L266" i="6"/>
  <c r="E266" i="6"/>
  <c r="D266" i="6"/>
  <c r="C266" i="6"/>
  <c r="B266" i="6"/>
  <c r="L265" i="6"/>
  <c r="E265" i="6"/>
  <c r="D265" i="6"/>
  <c r="C265" i="6"/>
  <c r="B265" i="6"/>
  <c r="L264" i="6"/>
  <c r="E264" i="6"/>
  <c r="D264" i="6"/>
  <c r="C264" i="6"/>
  <c r="B264" i="6"/>
  <c r="L263" i="6"/>
  <c r="E263" i="6"/>
  <c r="D263" i="6"/>
  <c r="C263" i="6"/>
  <c r="B263" i="6"/>
  <c r="L262" i="6"/>
  <c r="E262" i="6"/>
  <c r="D262" i="6"/>
  <c r="C262" i="6"/>
  <c r="B262" i="6"/>
  <c r="L261" i="6"/>
  <c r="E261" i="6"/>
  <c r="D261" i="6"/>
  <c r="C261" i="6"/>
  <c r="B261" i="6"/>
  <c r="L260" i="6"/>
  <c r="E260" i="6"/>
  <c r="D260" i="6"/>
  <c r="C260" i="6"/>
  <c r="B260" i="6"/>
  <c r="L259" i="6"/>
  <c r="E259" i="6"/>
  <c r="D259" i="6"/>
  <c r="C259" i="6"/>
  <c r="B259" i="6"/>
  <c r="L258" i="6"/>
  <c r="E258" i="6"/>
  <c r="D258" i="6"/>
  <c r="C258" i="6"/>
  <c r="B258" i="6"/>
  <c r="L257" i="6"/>
  <c r="E257" i="6"/>
  <c r="D257" i="6"/>
  <c r="C257" i="6"/>
  <c r="B257" i="6"/>
  <c r="L256" i="6"/>
  <c r="E256" i="6"/>
  <c r="D256" i="6"/>
  <c r="C256" i="6"/>
  <c r="B256" i="6"/>
  <c r="L255" i="6"/>
  <c r="E255" i="6"/>
  <c r="D255" i="6"/>
  <c r="C255" i="6"/>
  <c r="B255" i="6"/>
  <c r="L254" i="6"/>
  <c r="E254" i="6"/>
  <c r="D254" i="6"/>
  <c r="C254" i="6"/>
  <c r="B254" i="6"/>
  <c r="L253" i="6"/>
  <c r="E253" i="6"/>
  <c r="D253" i="6"/>
  <c r="C253" i="6"/>
  <c r="B253" i="6"/>
  <c r="L252" i="6"/>
  <c r="E252" i="6"/>
  <c r="D252" i="6"/>
  <c r="C252" i="6"/>
  <c r="B252" i="6"/>
  <c r="L251" i="6"/>
  <c r="E251" i="6"/>
  <c r="D251" i="6"/>
  <c r="C251" i="6"/>
  <c r="B251" i="6"/>
  <c r="L250" i="6"/>
  <c r="E250" i="6"/>
  <c r="D250" i="6"/>
  <c r="C250" i="6"/>
  <c r="B250" i="6"/>
  <c r="L249" i="6"/>
  <c r="I249" i="6"/>
  <c r="H249" i="6"/>
  <c r="J249" i="6" s="1"/>
  <c r="Q249" i="9" s="1"/>
  <c r="G249" i="6"/>
  <c r="K249" i="6" s="1"/>
  <c r="D249" i="6"/>
  <c r="C249" i="6"/>
  <c r="B249" i="6"/>
  <c r="L248" i="6"/>
  <c r="D248" i="6"/>
  <c r="C248" i="6"/>
  <c r="B248" i="6"/>
  <c r="L247" i="6"/>
  <c r="D247" i="6"/>
  <c r="C247" i="6"/>
  <c r="B247" i="6"/>
  <c r="L246" i="6"/>
  <c r="D246" i="6"/>
  <c r="C246" i="6"/>
  <c r="B246" i="6"/>
  <c r="L245" i="6"/>
  <c r="D245" i="6"/>
  <c r="C245" i="6"/>
  <c r="B245" i="6"/>
  <c r="L244" i="6"/>
  <c r="D244" i="6"/>
  <c r="C244" i="6"/>
  <c r="B244" i="6"/>
  <c r="L243" i="6"/>
  <c r="D243" i="6"/>
  <c r="C243" i="6"/>
  <c r="B243" i="6"/>
  <c r="L242" i="6"/>
  <c r="D242" i="6"/>
  <c r="C242" i="6"/>
  <c r="B242" i="6"/>
  <c r="L241" i="6"/>
  <c r="D241" i="6"/>
  <c r="C241" i="6"/>
  <c r="B241" i="6"/>
  <c r="L240" i="6"/>
  <c r="D240" i="6"/>
  <c r="C240" i="6"/>
  <c r="B240" i="6"/>
  <c r="L239" i="6"/>
  <c r="D239" i="6"/>
  <c r="C239" i="6"/>
  <c r="B239" i="6"/>
  <c r="L238" i="6"/>
  <c r="D238" i="6"/>
  <c r="C238" i="6"/>
  <c r="B238" i="6"/>
  <c r="L237" i="6"/>
  <c r="D237" i="6"/>
  <c r="C237" i="6"/>
  <c r="B237" i="6"/>
  <c r="L236" i="6"/>
  <c r="D236" i="6"/>
  <c r="C236" i="6"/>
  <c r="B236" i="6"/>
  <c r="L235" i="6"/>
  <c r="D235" i="6"/>
  <c r="C235" i="6"/>
  <c r="B235" i="6"/>
  <c r="L234" i="6"/>
  <c r="D234" i="6"/>
  <c r="C234" i="6"/>
  <c r="B234" i="6"/>
  <c r="L233" i="6"/>
  <c r="D233" i="6"/>
  <c r="C233" i="6"/>
  <c r="B233" i="6"/>
  <c r="L232" i="6"/>
  <c r="D232" i="6"/>
  <c r="C232" i="6"/>
  <c r="B232" i="6"/>
  <c r="L231" i="6"/>
  <c r="D231" i="6"/>
  <c r="C231" i="6"/>
  <c r="B231" i="6"/>
  <c r="L230" i="6"/>
  <c r="D230" i="6"/>
  <c r="C230" i="6"/>
  <c r="B230" i="6"/>
  <c r="L229" i="6"/>
  <c r="D229" i="6"/>
  <c r="C229" i="6"/>
  <c r="B229" i="6"/>
  <c r="L228" i="6"/>
  <c r="D228" i="6"/>
  <c r="C228" i="6"/>
  <c r="B228" i="6"/>
  <c r="L227" i="6"/>
  <c r="D227" i="6"/>
  <c r="C227" i="6"/>
  <c r="B227" i="6"/>
  <c r="L226" i="6"/>
  <c r="D226" i="6"/>
  <c r="C226" i="6"/>
  <c r="B226" i="6"/>
  <c r="L225" i="6"/>
  <c r="D225" i="6"/>
  <c r="C225" i="6"/>
  <c r="B225" i="6"/>
  <c r="L224" i="6"/>
  <c r="D224" i="6"/>
  <c r="C224" i="6"/>
  <c r="B224" i="6"/>
  <c r="L223" i="6"/>
  <c r="D223" i="6"/>
  <c r="C223" i="6"/>
  <c r="B223" i="6"/>
  <c r="L222" i="6"/>
  <c r="D222" i="6"/>
  <c r="C222" i="6"/>
  <c r="B222" i="6"/>
  <c r="L221" i="6"/>
  <c r="D221" i="6"/>
  <c r="C221" i="6"/>
  <c r="B221" i="6"/>
  <c r="L220" i="6"/>
  <c r="D220" i="6"/>
  <c r="C220" i="6"/>
  <c r="B220" i="6"/>
  <c r="L219" i="6"/>
  <c r="D219" i="6"/>
  <c r="C219" i="6"/>
  <c r="B219" i="6"/>
  <c r="L218" i="6"/>
  <c r="D218" i="6"/>
  <c r="C218" i="6"/>
  <c r="B218" i="6"/>
  <c r="L217" i="6"/>
  <c r="D217" i="6"/>
  <c r="C217" i="6"/>
  <c r="B217" i="6"/>
  <c r="L216" i="6"/>
  <c r="D216" i="6"/>
  <c r="C216" i="6"/>
  <c r="B216" i="6"/>
  <c r="L215" i="6"/>
  <c r="D215" i="6"/>
  <c r="C215" i="6"/>
  <c r="B215" i="6"/>
  <c r="L214" i="6"/>
  <c r="D214" i="6"/>
  <c r="C214" i="6"/>
  <c r="B214" i="6"/>
  <c r="L213" i="6"/>
  <c r="D213" i="6"/>
  <c r="C213" i="6"/>
  <c r="B213" i="6"/>
  <c r="L212" i="6"/>
  <c r="D212" i="6"/>
  <c r="C212" i="6"/>
  <c r="B212" i="6"/>
  <c r="L211" i="6"/>
  <c r="D211" i="6"/>
  <c r="C211" i="6"/>
  <c r="B211" i="6"/>
  <c r="L210" i="6"/>
  <c r="D210" i="6"/>
  <c r="C210" i="6"/>
  <c r="B210" i="6"/>
  <c r="L209" i="6"/>
  <c r="D209" i="6"/>
  <c r="C209" i="6"/>
  <c r="B209" i="6"/>
  <c r="L208" i="6"/>
  <c r="D208" i="6"/>
  <c r="C208" i="6"/>
  <c r="B208" i="6"/>
  <c r="L207" i="6"/>
  <c r="D207" i="6"/>
  <c r="C207" i="6"/>
  <c r="B207" i="6"/>
  <c r="L206" i="6"/>
  <c r="D206" i="6"/>
  <c r="C206" i="6"/>
  <c r="B206" i="6"/>
  <c r="L205" i="6"/>
  <c r="D205" i="6"/>
  <c r="C205" i="6"/>
  <c r="B205" i="6"/>
  <c r="L204" i="6"/>
  <c r="D204" i="6"/>
  <c r="C204" i="6"/>
  <c r="B204" i="6"/>
  <c r="L203" i="6"/>
  <c r="D203" i="6"/>
  <c r="C203" i="6"/>
  <c r="B203" i="6"/>
  <c r="L202" i="6"/>
  <c r="D202" i="6"/>
  <c r="C202" i="6"/>
  <c r="B202" i="6"/>
  <c r="L201" i="6"/>
  <c r="D201" i="6"/>
  <c r="C201" i="6"/>
  <c r="B201" i="6"/>
  <c r="L200" i="6"/>
  <c r="D200" i="6"/>
  <c r="C200" i="6"/>
  <c r="B200" i="6"/>
  <c r="L199" i="6"/>
  <c r="D199" i="6"/>
  <c r="C199" i="6"/>
  <c r="B199" i="6"/>
  <c r="L198" i="6"/>
  <c r="D198" i="6"/>
  <c r="C198" i="6"/>
  <c r="B198" i="6"/>
  <c r="L197" i="6"/>
  <c r="D197" i="6"/>
  <c r="C197" i="6"/>
  <c r="B197" i="6"/>
  <c r="L196" i="6"/>
  <c r="D196" i="6"/>
  <c r="C196" i="6"/>
  <c r="B196" i="6"/>
  <c r="L195" i="6"/>
  <c r="D195" i="6"/>
  <c r="C195" i="6"/>
  <c r="B195" i="6"/>
  <c r="L194" i="6"/>
  <c r="D194" i="6"/>
  <c r="C194" i="6"/>
  <c r="B194" i="6"/>
  <c r="L193" i="6"/>
  <c r="D193" i="6"/>
  <c r="C193" i="6"/>
  <c r="B193" i="6"/>
  <c r="L192" i="6"/>
  <c r="D192" i="6"/>
  <c r="C192" i="6"/>
  <c r="B192" i="6"/>
  <c r="L191" i="6"/>
  <c r="D191" i="6"/>
  <c r="C191" i="6"/>
  <c r="B191" i="6"/>
  <c r="L190" i="6"/>
  <c r="D190" i="6"/>
  <c r="C190" i="6"/>
  <c r="B190" i="6"/>
  <c r="L189" i="6"/>
  <c r="D189" i="6"/>
  <c r="C189" i="6"/>
  <c r="B189" i="6"/>
  <c r="L188" i="6"/>
  <c r="D188" i="6"/>
  <c r="C188" i="6"/>
  <c r="B188" i="6"/>
  <c r="L187" i="6"/>
  <c r="D187" i="6"/>
  <c r="C187" i="6"/>
  <c r="B187" i="6"/>
  <c r="L186" i="6"/>
  <c r="D186" i="6"/>
  <c r="C186" i="6"/>
  <c r="B186" i="6"/>
  <c r="L185" i="6"/>
  <c r="D185" i="6"/>
  <c r="C185" i="6"/>
  <c r="B185" i="6"/>
  <c r="L184" i="6"/>
  <c r="D184" i="6"/>
  <c r="C184" i="6"/>
  <c r="B184" i="6"/>
  <c r="L183" i="6"/>
  <c r="D183" i="6"/>
  <c r="C183" i="6"/>
  <c r="B183" i="6"/>
  <c r="L182" i="6"/>
  <c r="D182" i="6"/>
  <c r="C182" i="6"/>
  <c r="B182" i="6"/>
  <c r="L181" i="6"/>
  <c r="D181" i="6"/>
  <c r="C181" i="6"/>
  <c r="B181" i="6"/>
  <c r="L180" i="6"/>
  <c r="D180" i="6"/>
  <c r="C180" i="6"/>
  <c r="B180" i="6"/>
  <c r="L179" i="6"/>
  <c r="D179" i="6"/>
  <c r="C179" i="6"/>
  <c r="B179" i="6"/>
  <c r="L178" i="6"/>
  <c r="D178" i="6"/>
  <c r="C178" i="6"/>
  <c r="B178" i="6"/>
  <c r="L177" i="6"/>
  <c r="D177" i="6"/>
  <c r="C177" i="6"/>
  <c r="B177" i="6"/>
  <c r="L176" i="6"/>
  <c r="D176" i="6"/>
  <c r="C176" i="6"/>
  <c r="B176" i="6"/>
  <c r="L175" i="6"/>
  <c r="D175" i="6"/>
  <c r="C175" i="6"/>
  <c r="B175" i="6"/>
  <c r="L174" i="6"/>
  <c r="D174" i="6"/>
  <c r="C174" i="6"/>
  <c r="B174" i="6"/>
  <c r="L173" i="6"/>
  <c r="D173" i="6"/>
  <c r="C173" i="6"/>
  <c r="B173" i="6"/>
  <c r="L172" i="6"/>
  <c r="D172" i="6"/>
  <c r="C172" i="6"/>
  <c r="B172" i="6"/>
  <c r="L171" i="6"/>
  <c r="D171" i="6"/>
  <c r="C171" i="6"/>
  <c r="B171" i="6"/>
  <c r="L170" i="6"/>
  <c r="D170" i="6"/>
  <c r="C170" i="6"/>
  <c r="B170" i="6"/>
  <c r="L169" i="6"/>
  <c r="D169" i="6"/>
  <c r="C169" i="6"/>
  <c r="B169" i="6"/>
  <c r="L168" i="6"/>
  <c r="D168" i="6"/>
  <c r="C168" i="6"/>
  <c r="B168" i="6"/>
  <c r="L167" i="6"/>
  <c r="D167" i="6"/>
  <c r="C167" i="6"/>
  <c r="B167" i="6"/>
  <c r="L166" i="6"/>
  <c r="D166" i="6"/>
  <c r="C166" i="6"/>
  <c r="B166" i="6"/>
  <c r="L165" i="6"/>
  <c r="D165" i="6"/>
  <c r="C165" i="6"/>
  <c r="B165" i="6"/>
  <c r="L164" i="6"/>
  <c r="D164" i="6"/>
  <c r="C164" i="6"/>
  <c r="B164" i="6"/>
  <c r="L163" i="6"/>
  <c r="D163" i="6"/>
  <c r="C163" i="6"/>
  <c r="B163" i="6"/>
  <c r="L162" i="6"/>
  <c r="D162" i="6"/>
  <c r="C162" i="6"/>
  <c r="B162" i="6"/>
  <c r="L161" i="6"/>
  <c r="D161" i="6"/>
  <c r="C161" i="6"/>
  <c r="B161" i="6"/>
  <c r="L160" i="6"/>
  <c r="D160" i="6"/>
  <c r="C160" i="6"/>
  <c r="B160" i="6"/>
  <c r="L159" i="6"/>
  <c r="D159" i="6"/>
  <c r="C159" i="6"/>
  <c r="B159" i="6"/>
  <c r="L158" i="6"/>
  <c r="D158" i="6"/>
  <c r="C158" i="6"/>
  <c r="B158" i="6"/>
  <c r="L157" i="6"/>
  <c r="D157" i="6"/>
  <c r="C157" i="6"/>
  <c r="B157" i="6"/>
  <c r="L156" i="6"/>
  <c r="D156" i="6"/>
  <c r="C156" i="6"/>
  <c r="B156" i="6"/>
  <c r="L155" i="6"/>
  <c r="D155" i="6"/>
  <c r="C155" i="6"/>
  <c r="B155" i="6"/>
  <c r="L154" i="6"/>
  <c r="D154" i="6"/>
  <c r="C154" i="6"/>
  <c r="B154" i="6"/>
  <c r="L153" i="6"/>
  <c r="D153" i="6"/>
  <c r="C153" i="6"/>
  <c r="B153" i="6"/>
  <c r="L152" i="6"/>
  <c r="D152" i="6"/>
  <c r="C152" i="6"/>
  <c r="B152" i="6"/>
  <c r="L151" i="6"/>
  <c r="D151" i="6"/>
  <c r="C151" i="6"/>
  <c r="B151" i="6"/>
  <c r="L150" i="6"/>
  <c r="D150" i="6"/>
  <c r="C150" i="6"/>
  <c r="B150" i="6"/>
  <c r="L149" i="6"/>
  <c r="D149" i="6"/>
  <c r="C149" i="6"/>
  <c r="B149" i="6"/>
  <c r="L148" i="6"/>
  <c r="D148" i="6"/>
  <c r="C148" i="6"/>
  <c r="B148" i="6"/>
  <c r="L147" i="6"/>
  <c r="D147" i="6"/>
  <c r="C147" i="6"/>
  <c r="B147" i="6"/>
  <c r="L146" i="6"/>
  <c r="D146" i="6"/>
  <c r="C146" i="6"/>
  <c r="B146" i="6"/>
  <c r="L145" i="6"/>
  <c r="D145" i="6"/>
  <c r="C145" i="6"/>
  <c r="B145" i="6"/>
  <c r="L144" i="6"/>
  <c r="D144" i="6"/>
  <c r="C144" i="6"/>
  <c r="B144" i="6"/>
  <c r="L143" i="6"/>
  <c r="D143" i="6"/>
  <c r="C143" i="6"/>
  <c r="B143" i="6"/>
  <c r="L142" i="6"/>
  <c r="D142" i="6"/>
  <c r="C142" i="6"/>
  <c r="B142" i="6"/>
  <c r="L141" i="6"/>
  <c r="D141" i="6"/>
  <c r="C141" i="6"/>
  <c r="B141" i="6"/>
  <c r="L140" i="6"/>
  <c r="D140" i="6"/>
  <c r="C140" i="6"/>
  <c r="B140" i="6"/>
  <c r="L139" i="6"/>
  <c r="D139" i="6"/>
  <c r="C139" i="6"/>
  <c r="B139" i="6"/>
  <c r="L138" i="6"/>
  <c r="D138" i="6"/>
  <c r="C138" i="6"/>
  <c r="B138" i="6"/>
  <c r="L137" i="6"/>
  <c r="D137" i="6"/>
  <c r="C137" i="6"/>
  <c r="B137" i="6"/>
  <c r="L136" i="6"/>
  <c r="D136" i="6"/>
  <c r="C136" i="6"/>
  <c r="B136" i="6"/>
  <c r="L135" i="6"/>
  <c r="D135" i="6"/>
  <c r="C135" i="6"/>
  <c r="B135" i="6"/>
  <c r="L134" i="6"/>
  <c r="D134" i="6"/>
  <c r="C134" i="6"/>
  <c r="B134" i="6"/>
  <c r="L133" i="6"/>
  <c r="D133" i="6"/>
  <c r="C133" i="6"/>
  <c r="B133" i="6"/>
  <c r="L132" i="6"/>
  <c r="D132" i="6"/>
  <c r="C132" i="6"/>
  <c r="B132" i="6"/>
  <c r="L131" i="6"/>
  <c r="D131" i="6"/>
  <c r="C131" i="6"/>
  <c r="B131" i="6"/>
  <c r="L130" i="6"/>
  <c r="D130" i="6"/>
  <c r="C130" i="6"/>
  <c r="B130" i="6"/>
  <c r="L129" i="6"/>
  <c r="D129" i="6"/>
  <c r="C129" i="6"/>
  <c r="B129" i="6"/>
  <c r="L128" i="6"/>
  <c r="D128" i="6"/>
  <c r="C128" i="6"/>
  <c r="B128" i="6"/>
  <c r="L127" i="6"/>
  <c r="D127" i="6"/>
  <c r="C127" i="6"/>
  <c r="B127" i="6"/>
  <c r="L126" i="6"/>
  <c r="D126" i="6"/>
  <c r="C126" i="6"/>
  <c r="B126" i="6"/>
  <c r="L125" i="6"/>
  <c r="D125" i="6"/>
  <c r="C125" i="6"/>
  <c r="B125" i="6"/>
  <c r="L124" i="6"/>
  <c r="D124" i="6"/>
  <c r="C124" i="6"/>
  <c r="B124" i="6"/>
  <c r="L123" i="6"/>
  <c r="D123" i="6"/>
  <c r="C123" i="6"/>
  <c r="B123" i="6"/>
  <c r="L122" i="6"/>
  <c r="D122" i="6"/>
  <c r="C122" i="6"/>
  <c r="B122" i="6"/>
  <c r="L121" i="6"/>
  <c r="D121" i="6"/>
  <c r="C121" i="6"/>
  <c r="B121" i="6"/>
  <c r="L120" i="6"/>
  <c r="D120" i="6"/>
  <c r="C120" i="6"/>
  <c r="B120" i="6"/>
  <c r="L119" i="6"/>
  <c r="D119" i="6"/>
  <c r="C119" i="6"/>
  <c r="B119" i="6"/>
  <c r="L118" i="6"/>
  <c r="D118" i="6"/>
  <c r="C118" i="6"/>
  <c r="B118" i="6"/>
  <c r="L117" i="6"/>
  <c r="D117" i="6"/>
  <c r="C117" i="6"/>
  <c r="B117" i="6"/>
  <c r="L116" i="6"/>
  <c r="D116" i="6"/>
  <c r="C116" i="6"/>
  <c r="B116" i="6"/>
  <c r="L115" i="6"/>
  <c r="D115" i="6"/>
  <c r="C115" i="6"/>
  <c r="B115" i="6"/>
  <c r="L114" i="6"/>
  <c r="D114" i="6"/>
  <c r="C114" i="6"/>
  <c r="B114" i="6"/>
  <c r="L113" i="6"/>
  <c r="D113" i="6"/>
  <c r="C113" i="6"/>
  <c r="B113" i="6"/>
  <c r="L112" i="6"/>
  <c r="D112" i="6"/>
  <c r="C112" i="6"/>
  <c r="B112" i="6"/>
  <c r="L111" i="6"/>
  <c r="D111" i="6"/>
  <c r="C111" i="6"/>
  <c r="B111" i="6"/>
  <c r="L110" i="6"/>
  <c r="D110" i="6"/>
  <c r="C110" i="6"/>
  <c r="B110" i="6"/>
  <c r="L109" i="6"/>
  <c r="D109" i="6"/>
  <c r="C109" i="6"/>
  <c r="B109" i="6"/>
  <c r="L108" i="6"/>
  <c r="D108" i="6"/>
  <c r="C108" i="6"/>
  <c r="B108" i="6"/>
  <c r="L107" i="6"/>
  <c r="D107" i="6"/>
  <c r="C107" i="6"/>
  <c r="B107" i="6"/>
  <c r="L106" i="6"/>
  <c r="D106" i="6"/>
  <c r="C106" i="6"/>
  <c r="B106" i="6"/>
  <c r="L105" i="6"/>
  <c r="D105" i="6"/>
  <c r="C105" i="6"/>
  <c r="B105" i="6"/>
  <c r="L104" i="6"/>
  <c r="D104" i="6"/>
  <c r="C104" i="6"/>
  <c r="B104" i="6"/>
  <c r="L103" i="6"/>
  <c r="D103" i="6"/>
  <c r="C103" i="6"/>
  <c r="B103" i="6"/>
  <c r="L102" i="6"/>
  <c r="D102" i="6"/>
  <c r="C102" i="6"/>
  <c r="B102" i="6"/>
  <c r="L101" i="6"/>
  <c r="D101" i="6"/>
  <c r="C101" i="6"/>
  <c r="B101" i="6"/>
  <c r="L100" i="6"/>
  <c r="D100" i="6"/>
  <c r="C100" i="6"/>
  <c r="B100" i="6"/>
  <c r="L99" i="6"/>
  <c r="D99" i="6"/>
  <c r="C99" i="6"/>
  <c r="B99" i="6"/>
  <c r="L98" i="6"/>
  <c r="D98" i="6"/>
  <c r="C98" i="6"/>
  <c r="B98" i="6"/>
  <c r="L97" i="6"/>
  <c r="D97" i="6"/>
  <c r="C97" i="6"/>
  <c r="B97" i="6"/>
  <c r="L96" i="6"/>
  <c r="D96" i="6"/>
  <c r="C96" i="6"/>
  <c r="B96" i="6"/>
  <c r="L95" i="6"/>
  <c r="D95" i="6"/>
  <c r="C95" i="6"/>
  <c r="B95" i="6"/>
  <c r="L94" i="6"/>
  <c r="D94" i="6"/>
  <c r="C94" i="6"/>
  <c r="B94" i="6"/>
  <c r="L93" i="6"/>
  <c r="D93" i="6"/>
  <c r="C93" i="6"/>
  <c r="B93" i="6"/>
  <c r="L92" i="6"/>
  <c r="D92" i="6"/>
  <c r="C92" i="6"/>
  <c r="B92" i="6"/>
  <c r="L91" i="6"/>
  <c r="D91" i="6"/>
  <c r="C91" i="6"/>
  <c r="B91" i="6"/>
  <c r="L90" i="6"/>
  <c r="D90" i="6"/>
  <c r="C90" i="6"/>
  <c r="B90" i="6"/>
  <c r="L89" i="6"/>
  <c r="D89" i="6"/>
  <c r="C89" i="6"/>
  <c r="B89" i="6"/>
  <c r="L88" i="6"/>
  <c r="D88" i="6"/>
  <c r="C88" i="6"/>
  <c r="B88" i="6"/>
  <c r="L87" i="6"/>
  <c r="D87" i="6"/>
  <c r="C87" i="6"/>
  <c r="B87" i="6"/>
  <c r="L86" i="6"/>
  <c r="D86" i="6"/>
  <c r="C86" i="6"/>
  <c r="B86" i="6"/>
  <c r="L85" i="6"/>
  <c r="D85" i="6"/>
  <c r="C85" i="6"/>
  <c r="B85" i="6"/>
  <c r="L84" i="6"/>
  <c r="D84" i="6"/>
  <c r="C84" i="6"/>
  <c r="B84" i="6"/>
  <c r="L83" i="6"/>
  <c r="D83" i="6"/>
  <c r="C83" i="6"/>
  <c r="B83" i="6"/>
  <c r="L82" i="6"/>
  <c r="D82" i="6"/>
  <c r="C82" i="6"/>
  <c r="B82" i="6"/>
  <c r="L81" i="6"/>
  <c r="D81" i="6"/>
  <c r="C81" i="6"/>
  <c r="B81" i="6"/>
  <c r="L80" i="6"/>
  <c r="D80" i="6"/>
  <c r="C80" i="6"/>
  <c r="B80" i="6"/>
  <c r="L79" i="6"/>
  <c r="D79" i="6"/>
  <c r="C79" i="6"/>
  <c r="B79" i="6"/>
  <c r="L78" i="6"/>
  <c r="D78" i="6"/>
  <c r="C78" i="6"/>
  <c r="B78" i="6"/>
  <c r="L77" i="6"/>
  <c r="D77" i="6"/>
  <c r="C77" i="6"/>
  <c r="B77" i="6"/>
  <c r="L76" i="6"/>
  <c r="D76" i="6"/>
  <c r="C76" i="6"/>
  <c r="B76" i="6"/>
  <c r="L75" i="6"/>
  <c r="D75" i="6"/>
  <c r="C75" i="6"/>
  <c r="B75" i="6"/>
  <c r="L74" i="6"/>
  <c r="D74" i="6"/>
  <c r="C74" i="6"/>
  <c r="B74" i="6"/>
  <c r="L73" i="6"/>
  <c r="D73" i="6"/>
  <c r="C73" i="6"/>
  <c r="B73" i="6"/>
  <c r="L72" i="6"/>
  <c r="D72" i="6"/>
  <c r="C72" i="6"/>
  <c r="B72" i="6"/>
  <c r="L71" i="6"/>
  <c r="D71" i="6"/>
  <c r="C71" i="6"/>
  <c r="B71" i="6"/>
  <c r="L70" i="6"/>
  <c r="D70" i="6"/>
  <c r="C70" i="6"/>
  <c r="B70" i="6"/>
  <c r="L69" i="6"/>
  <c r="D69" i="6"/>
  <c r="C69" i="6"/>
  <c r="B69" i="6"/>
  <c r="L68" i="6"/>
  <c r="D68" i="6"/>
  <c r="C68" i="6"/>
  <c r="B68" i="6"/>
  <c r="L67" i="6"/>
  <c r="D67" i="6"/>
  <c r="C67" i="6"/>
  <c r="B67" i="6"/>
  <c r="L66" i="6"/>
  <c r="D66" i="6"/>
  <c r="C66" i="6"/>
  <c r="B66" i="6"/>
  <c r="L65" i="6"/>
  <c r="D65" i="6"/>
  <c r="C65" i="6"/>
  <c r="B65" i="6"/>
  <c r="L64" i="6"/>
  <c r="D64" i="6"/>
  <c r="C64" i="6"/>
  <c r="B64" i="6"/>
  <c r="L63" i="6"/>
  <c r="D63" i="6"/>
  <c r="C63" i="6"/>
  <c r="B63" i="6"/>
  <c r="L62" i="6"/>
  <c r="D62" i="6"/>
  <c r="C62" i="6"/>
  <c r="B62" i="6"/>
  <c r="L61" i="6"/>
  <c r="D61" i="6"/>
  <c r="C61" i="6"/>
  <c r="B61" i="6"/>
  <c r="L60" i="6"/>
  <c r="D60" i="6"/>
  <c r="C60" i="6"/>
  <c r="B60" i="6"/>
  <c r="L59" i="6"/>
  <c r="D59" i="6"/>
  <c r="C59" i="6"/>
  <c r="B59" i="6"/>
  <c r="L58" i="6"/>
  <c r="D58" i="6"/>
  <c r="C58" i="6"/>
  <c r="B58" i="6"/>
  <c r="L57" i="6"/>
  <c r="D57" i="6"/>
  <c r="C57" i="6"/>
  <c r="B57" i="6"/>
  <c r="L56" i="6"/>
  <c r="D56" i="6"/>
  <c r="C56" i="6"/>
  <c r="B56" i="6"/>
  <c r="L55" i="6"/>
  <c r="D55" i="6"/>
  <c r="C55" i="6"/>
  <c r="B55" i="6"/>
  <c r="L54" i="6"/>
  <c r="D54" i="6"/>
  <c r="C54" i="6"/>
  <c r="B54" i="6"/>
  <c r="L53" i="6"/>
  <c r="D53" i="6"/>
  <c r="C53" i="6"/>
  <c r="B53" i="6"/>
  <c r="L52" i="6"/>
  <c r="D52" i="6"/>
  <c r="C52" i="6"/>
  <c r="B52" i="6"/>
  <c r="L51" i="6"/>
  <c r="D51" i="6"/>
  <c r="C51" i="6"/>
  <c r="B51" i="6"/>
  <c r="L50" i="6"/>
  <c r="D50" i="6"/>
  <c r="C50" i="6"/>
  <c r="B50" i="6"/>
  <c r="L49" i="6"/>
  <c r="D49" i="6"/>
  <c r="C49" i="6"/>
  <c r="B49" i="6"/>
  <c r="L48" i="6"/>
  <c r="D48" i="6"/>
  <c r="C48" i="6"/>
  <c r="B48" i="6"/>
  <c r="L47" i="6"/>
  <c r="D47" i="6"/>
  <c r="C47" i="6"/>
  <c r="B47" i="6"/>
  <c r="L46" i="6"/>
  <c r="D46" i="6"/>
  <c r="C46" i="6"/>
  <c r="B46" i="6"/>
  <c r="L45" i="6"/>
  <c r="D45" i="6"/>
  <c r="C45" i="6"/>
  <c r="B45" i="6"/>
  <c r="L44" i="6"/>
  <c r="D44" i="6"/>
  <c r="C44" i="6"/>
  <c r="B44" i="6"/>
  <c r="L43" i="6"/>
  <c r="D43" i="6"/>
  <c r="C43" i="6"/>
  <c r="B43" i="6"/>
  <c r="L42" i="6"/>
  <c r="D42" i="6"/>
  <c r="C42" i="6"/>
  <c r="B42" i="6"/>
  <c r="L41" i="6"/>
  <c r="D41" i="6"/>
  <c r="C41" i="6"/>
  <c r="B41" i="6"/>
  <c r="L40" i="6"/>
  <c r="D40" i="6"/>
  <c r="C40" i="6"/>
  <c r="B40" i="6"/>
  <c r="L39" i="6"/>
  <c r="D39" i="6"/>
  <c r="C39" i="6"/>
  <c r="B39" i="6"/>
  <c r="L38" i="6"/>
  <c r="D38" i="6"/>
  <c r="C38" i="6"/>
  <c r="B38" i="6"/>
  <c r="L37" i="6"/>
  <c r="D37" i="6"/>
  <c r="C37" i="6"/>
  <c r="B37" i="6"/>
  <c r="L36" i="6"/>
  <c r="D36" i="6"/>
  <c r="C36" i="6"/>
  <c r="B36" i="6"/>
  <c r="L35" i="6"/>
  <c r="D35" i="6"/>
  <c r="C35" i="6"/>
  <c r="B35" i="6"/>
  <c r="L34" i="6"/>
  <c r="D34" i="6"/>
  <c r="C34" i="6"/>
  <c r="B34" i="6"/>
  <c r="L33" i="6"/>
  <c r="D33" i="6"/>
  <c r="C33" i="6"/>
  <c r="B33" i="6"/>
  <c r="L32" i="6"/>
  <c r="D32" i="6"/>
  <c r="C32" i="6"/>
  <c r="B32" i="6"/>
  <c r="L31" i="6"/>
  <c r="D31" i="6"/>
  <c r="C31" i="6"/>
  <c r="B31" i="6"/>
  <c r="L30" i="6"/>
  <c r="D30" i="6"/>
  <c r="C30" i="6"/>
  <c r="B30" i="6"/>
  <c r="L29" i="6"/>
  <c r="E29" i="6"/>
  <c r="D29" i="6"/>
  <c r="C29" i="6"/>
  <c r="B29" i="6"/>
  <c r="L28" i="6"/>
  <c r="E28" i="6"/>
  <c r="D28" i="6"/>
  <c r="C28" i="6"/>
  <c r="B28" i="6"/>
  <c r="L27" i="6"/>
  <c r="E27" i="6"/>
  <c r="D27" i="6"/>
  <c r="C27" i="6"/>
  <c r="B27" i="6"/>
  <c r="L26" i="6"/>
  <c r="E26" i="6"/>
  <c r="D26" i="6"/>
  <c r="C26" i="6"/>
  <c r="B26" i="6"/>
  <c r="L25" i="6"/>
  <c r="E25" i="6"/>
  <c r="D25" i="6"/>
  <c r="C25" i="6"/>
  <c r="B25" i="6"/>
  <c r="L24" i="6"/>
  <c r="E24" i="6"/>
  <c r="D24" i="6"/>
  <c r="C24" i="6"/>
  <c r="B24" i="6"/>
  <c r="L23" i="6"/>
  <c r="E23" i="6"/>
  <c r="D23" i="6"/>
  <c r="C23" i="6"/>
  <c r="B23" i="6"/>
  <c r="L22" i="6"/>
  <c r="E22" i="6"/>
  <c r="D22" i="6"/>
  <c r="C22" i="6"/>
  <c r="B22" i="6"/>
  <c r="L21" i="6"/>
  <c r="E21" i="6"/>
  <c r="D21" i="6"/>
  <c r="C21" i="6"/>
  <c r="B21" i="6"/>
  <c r="L20" i="6"/>
  <c r="E20" i="6"/>
  <c r="D20" i="6"/>
  <c r="C20" i="6"/>
  <c r="B20" i="6"/>
  <c r="L19" i="6"/>
  <c r="E19" i="6"/>
  <c r="D19" i="6"/>
  <c r="C19" i="6"/>
  <c r="B19" i="6"/>
  <c r="L18" i="6"/>
  <c r="E18" i="6"/>
  <c r="D18" i="6"/>
  <c r="C18" i="6"/>
  <c r="B18" i="6"/>
  <c r="L17" i="6"/>
  <c r="E17" i="6"/>
  <c r="D17" i="6"/>
  <c r="C17" i="6"/>
  <c r="B17" i="6"/>
  <c r="L16" i="6"/>
  <c r="E16" i="6"/>
  <c r="D16" i="6"/>
  <c r="C16" i="6"/>
  <c r="B16" i="6"/>
  <c r="L15" i="6"/>
  <c r="E15" i="6"/>
  <c r="D15" i="6"/>
  <c r="C15" i="6"/>
  <c r="B15" i="6"/>
  <c r="L14" i="6"/>
  <c r="E14" i="6"/>
  <c r="D14" i="6"/>
  <c r="C14" i="6"/>
  <c r="B14" i="6"/>
  <c r="L13" i="6"/>
  <c r="E13" i="6"/>
  <c r="D13" i="6"/>
  <c r="C13" i="6"/>
  <c r="B13" i="6"/>
  <c r="L12" i="6"/>
  <c r="E12" i="6"/>
  <c r="D12" i="6"/>
  <c r="C12" i="6"/>
  <c r="B12" i="6"/>
  <c r="L11" i="6"/>
  <c r="E11" i="6"/>
  <c r="D11" i="6"/>
  <c r="C11" i="6"/>
  <c r="B11" i="6"/>
  <c r="L10" i="6"/>
  <c r="E10" i="6"/>
  <c r="D10" i="6"/>
  <c r="C10" i="6"/>
  <c r="B10" i="6"/>
  <c r="L9" i="6"/>
  <c r="D9" i="6"/>
  <c r="C9" i="6"/>
  <c r="B9" i="6"/>
  <c r="L8" i="6"/>
  <c r="D8" i="6"/>
  <c r="C8" i="6"/>
  <c r="B8" i="6"/>
  <c r="L7" i="6"/>
  <c r="D7" i="6"/>
  <c r="C7" i="6"/>
  <c r="B7" i="6"/>
  <c r="L6" i="6"/>
  <c r="D6" i="6"/>
  <c r="C6" i="6"/>
  <c r="B6" i="6"/>
  <c r="L5" i="6"/>
  <c r="D5" i="6"/>
  <c r="C5" i="6"/>
  <c r="B5" i="6"/>
  <c r="L4" i="6"/>
  <c r="D4" i="6"/>
  <c r="C4" i="6"/>
  <c r="B4" i="6"/>
  <c r="L3" i="6"/>
  <c r="D3" i="6"/>
  <c r="C3" i="6"/>
  <c r="B3" i="6"/>
  <c r="L2" i="6"/>
  <c r="D2" i="6"/>
  <c r="C2" i="6"/>
  <c r="B2" i="6"/>
  <c r="Q501" i="5"/>
  <c r="N501" i="5"/>
  <c r="O501" i="5" s="1"/>
  <c r="J501" i="5"/>
  <c r="H501" i="5"/>
  <c r="E501" i="5"/>
  <c r="D501" i="5"/>
  <c r="C501" i="5"/>
  <c r="B501" i="5"/>
  <c r="Q500" i="5"/>
  <c r="N500" i="5"/>
  <c r="O500" i="5" s="1"/>
  <c r="J500" i="5"/>
  <c r="H500" i="5"/>
  <c r="E500" i="5"/>
  <c r="D500" i="5"/>
  <c r="C500" i="5"/>
  <c r="B500" i="5"/>
  <c r="Q499" i="5"/>
  <c r="N499" i="5"/>
  <c r="O499" i="5" s="1"/>
  <c r="J499" i="5"/>
  <c r="H499" i="5"/>
  <c r="E499" i="5"/>
  <c r="D499" i="5"/>
  <c r="C499" i="5"/>
  <c r="B499" i="5"/>
  <c r="Q498" i="5"/>
  <c r="N498" i="5"/>
  <c r="O498" i="5" s="1"/>
  <c r="J498" i="5"/>
  <c r="H498" i="5"/>
  <c r="E498" i="5"/>
  <c r="D498" i="5"/>
  <c r="C498" i="5"/>
  <c r="B498" i="5"/>
  <c r="Q497" i="5"/>
  <c r="N497" i="5"/>
  <c r="O497" i="5" s="1"/>
  <c r="J497" i="5"/>
  <c r="H497" i="5"/>
  <c r="E497" i="5"/>
  <c r="D497" i="5"/>
  <c r="C497" i="5"/>
  <c r="B497" i="5"/>
  <c r="Q496" i="5"/>
  <c r="N496" i="5"/>
  <c r="O496" i="5" s="1"/>
  <c r="J496" i="5"/>
  <c r="H496" i="5"/>
  <c r="E496" i="5"/>
  <c r="D496" i="5"/>
  <c r="C496" i="5"/>
  <c r="B496" i="5"/>
  <c r="Q495" i="5"/>
  <c r="N495" i="5"/>
  <c r="O495" i="5" s="1"/>
  <c r="J495" i="5"/>
  <c r="H495" i="5"/>
  <c r="E495" i="5"/>
  <c r="D495" i="5"/>
  <c r="C495" i="5"/>
  <c r="B495" i="5"/>
  <c r="Q494" i="5"/>
  <c r="N494" i="5"/>
  <c r="O494" i="5" s="1"/>
  <c r="J494" i="5"/>
  <c r="H494" i="5"/>
  <c r="E494" i="5"/>
  <c r="D494" i="5"/>
  <c r="C494" i="5"/>
  <c r="B494" i="5"/>
  <c r="Q493" i="5"/>
  <c r="N493" i="5"/>
  <c r="O493" i="5" s="1"/>
  <c r="J493" i="5"/>
  <c r="H493" i="5"/>
  <c r="E493" i="5"/>
  <c r="D493" i="5"/>
  <c r="C493" i="5"/>
  <c r="B493" i="5"/>
  <c r="Q492" i="5"/>
  <c r="N492" i="5"/>
  <c r="O492" i="5" s="1"/>
  <c r="J492" i="5"/>
  <c r="H492" i="5"/>
  <c r="E492" i="5"/>
  <c r="D492" i="5"/>
  <c r="C492" i="5"/>
  <c r="B492" i="5"/>
  <c r="Q491" i="5"/>
  <c r="N491" i="5"/>
  <c r="O491" i="5" s="1"/>
  <c r="J491" i="5"/>
  <c r="H491" i="5"/>
  <c r="E491" i="5"/>
  <c r="D491" i="5"/>
  <c r="C491" i="5"/>
  <c r="B491" i="5"/>
  <c r="Q490" i="5"/>
  <c r="N490" i="5"/>
  <c r="O490" i="5" s="1"/>
  <c r="J490" i="5"/>
  <c r="H490" i="5"/>
  <c r="E490" i="5"/>
  <c r="D490" i="5"/>
  <c r="C490" i="5"/>
  <c r="B490" i="5"/>
  <c r="Q489" i="5"/>
  <c r="N489" i="5"/>
  <c r="O489" i="5" s="1"/>
  <c r="J489" i="5"/>
  <c r="H489" i="5"/>
  <c r="E489" i="5"/>
  <c r="D489" i="5"/>
  <c r="C489" i="5"/>
  <c r="B489" i="5"/>
  <c r="Q488" i="5"/>
  <c r="N488" i="5"/>
  <c r="O488" i="5" s="1"/>
  <c r="J488" i="5"/>
  <c r="H488" i="5"/>
  <c r="E488" i="5"/>
  <c r="D488" i="5"/>
  <c r="C488" i="5"/>
  <c r="B488" i="5"/>
  <c r="Q487" i="5"/>
  <c r="N487" i="5"/>
  <c r="O487" i="5" s="1"/>
  <c r="J487" i="5"/>
  <c r="H487" i="5"/>
  <c r="E487" i="5"/>
  <c r="D487" i="5"/>
  <c r="C487" i="5"/>
  <c r="B487" i="5"/>
  <c r="Q486" i="5"/>
  <c r="N486" i="5"/>
  <c r="O486" i="5" s="1"/>
  <c r="J486" i="5"/>
  <c r="H486" i="5"/>
  <c r="E486" i="5"/>
  <c r="D486" i="5"/>
  <c r="C486" i="5"/>
  <c r="B486" i="5"/>
  <c r="Q485" i="5"/>
  <c r="N485" i="5"/>
  <c r="O485" i="5" s="1"/>
  <c r="J485" i="5"/>
  <c r="H485" i="5"/>
  <c r="E485" i="5"/>
  <c r="D485" i="5"/>
  <c r="C485" i="5"/>
  <c r="B485" i="5"/>
  <c r="Q484" i="5"/>
  <c r="N484" i="5"/>
  <c r="O484" i="5" s="1"/>
  <c r="J484" i="5"/>
  <c r="H484" i="5"/>
  <c r="E484" i="5"/>
  <c r="D484" i="5"/>
  <c r="C484" i="5"/>
  <c r="B484" i="5"/>
  <c r="Q483" i="5"/>
  <c r="N483" i="5"/>
  <c r="O483" i="5" s="1"/>
  <c r="J483" i="5"/>
  <c r="H483" i="5"/>
  <c r="E483" i="5"/>
  <c r="D483" i="5"/>
  <c r="C483" i="5"/>
  <c r="B483" i="5"/>
  <c r="Q482" i="5"/>
  <c r="N482" i="5"/>
  <c r="O482" i="5" s="1"/>
  <c r="J482" i="5"/>
  <c r="H482" i="5"/>
  <c r="E482" i="5"/>
  <c r="D482" i="5"/>
  <c r="C482" i="5"/>
  <c r="B482" i="5"/>
  <c r="Q481" i="5"/>
  <c r="N481" i="5"/>
  <c r="O481" i="5" s="1"/>
  <c r="J481" i="5"/>
  <c r="H481" i="5"/>
  <c r="E481" i="5"/>
  <c r="D481" i="5"/>
  <c r="C481" i="5"/>
  <c r="B481" i="5"/>
  <c r="Q480" i="5"/>
  <c r="N480" i="5"/>
  <c r="O480" i="5" s="1"/>
  <c r="J480" i="5"/>
  <c r="H480" i="5"/>
  <c r="E480" i="5"/>
  <c r="D480" i="5"/>
  <c r="C480" i="5"/>
  <c r="B480" i="5"/>
  <c r="Q479" i="5"/>
  <c r="N479" i="5"/>
  <c r="O479" i="5" s="1"/>
  <c r="J479" i="5"/>
  <c r="H479" i="5"/>
  <c r="E479" i="5"/>
  <c r="D479" i="5"/>
  <c r="C479" i="5"/>
  <c r="B479" i="5"/>
  <c r="Q478" i="5"/>
  <c r="N478" i="5"/>
  <c r="O478" i="5" s="1"/>
  <c r="J478" i="5"/>
  <c r="H478" i="5"/>
  <c r="E478" i="5"/>
  <c r="D478" i="5"/>
  <c r="C478" i="5"/>
  <c r="B478" i="5"/>
  <c r="Q477" i="5"/>
  <c r="N477" i="5"/>
  <c r="O477" i="5" s="1"/>
  <c r="J477" i="5"/>
  <c r="H477" i="5"/>
  <c r="E477" i="5"/>
  <c r="D477" i="5"/>
  <c r="C477" i="5"/>
  <c r="B477" i="5"/>
  <c r="Q476" i="5"/>
  <c r="N476" i="5"/>
  <c r="O476" i="5" s="1"/>
  <c r="J476" i="5"/>
  <c r="H476" i="5"/>
  <c r="E476" i="5"/>
  <c r="D476" i="5"/>
  <c r="C476" i="5"/>
  <c r="B476" i="5"/>
  <c r="Q475" i="5"/>
  <c r="N475" i="5"/>
  <c r="O475" i="5" s="1"/>
  <c r="J475" i="5"/>
  <c r="H475" i="5"/>
  <c r="E475" i="5"/>
  <c r="D475" i="5"/>
  <c r="C475" i="5"/>
  <c r="B475" i="5"/>
  <c r="Q474" i="5"/>
  <c r="N474" i="5"/>
  <c r="O474" i="5" s="1"/>
  <c r="J474" i="5"/>
  <c r="H474" i="5"/>
  <c r="E474" i="5"/>
  <c r="D474" i="5"/>
  <c r="C474" i="5"/>
  <c r="B474" i="5"/>
  <c r="Q473" i="5"/>
  <c r="N473" i="5"/>
  <c r="O473" i="5" s="1"/>
  <c r="J473" i="5"/>
  <c r="H473" i="5"/>
  <c r="E473" i="5"/>
  <c r="D473" i="5"/>
  <c r="C473" i="5"/>
  <c r="B473" i="5"/>
  <c r="Q472" i="5"/>
  <c r="N472" i="5"/>
  <c r="O472" i="5" s="1"/>
  <c r="J472" i="5"/>
  <c r="H472" i="5"/>
  <c r="E472" i="5"/>
  <c r="D472" i="5"/>
  <c r="C472" i="5"/>
  <c r="B472" i="5"/>
  <c r="Q471" i="5"/>
  <c r="N471" i="5"/>
  <c r="O471" i="5" s="1"/>
  <c r="J471" i="5"/>
  <c r="H471" i="5"/>
  <c r="E471" i="5"/>
  <c r="D471" i="5"/>
  <c r="C471" i="5"/>
  <c r="B471" i="5"/>
  <c r="Q470" i="5"/>
  <c r="N470" i="5"/>
  <c r="O470" i="5" s="1"/>
  <c r="J470" i="5"/>
  <c r="H470" i="5"/>
  <c r="E470" i="5"/>
  <c r="D470" i="5"/>
  <c r="C470" i="5"/>
  <c r="B470" i="5"/>
  <c r="Q469" i="5"/>
  <c r="N469" i="5"/>
  <c r="O469" i="5" s="1"/>
  <c r="J469" i="5"/>
  <c r="H469" i="5"/>
  <c r="E469" i="5"/>
  <c r="D469" i="5"/>
  <c r="C469" i="5"/>
  <c r="B469" i="5"/>
  <c r="Q468" i="5"/>
  <c r="N468" i="5"/>
  <c r="O468" i="5" s="1"/>
  <c r="J468" i="5"/>
  <c r="H468" i="5"/>
  <c r="E468" i="5"/>
  <c r="D468" i="5"/>
  <c r="C468" i="5"/>
  <c r="B468" i="5"/>
  <c r="Q467" i="5"/>
  <c r="N467" i="5"/>
  <c r="O467" i="5" s="1"/>
  <c r="J467" i="5"/>
  <c r="H467" i="5"/>
  <c r="E467" i="5"/>
  <c r="D467" i="5"/>
  <c r="C467" i="5"/>
  <c r="B467" i="5"/>
  <c r="Q466" i="5"/>
  <c r="N466" i="5"/>
  <c r="O466" i="5" s="1"/>
  <c r="J466" i="5"/>
  <c r="H466" i="5"/>
  <c r="E466" i="5"/>
  <c r="D466" i="5"/>
  <c r="C466" i="5"/>
  <c r="B466" i="5"/>
  <c r="Q465" i="5"/>
  <c r="N465" i="5"/>
  <c r="O465" i="5" s="1"/>
  <c r="J465" i="5"/>
  <c r="H465" i="5"/>
  <c r="E465" i="5"/>
  <c r="D465" i="5"/>
  <c r="C465" i="5"/>
  <c r="B465" i="5"/>
  <c r="Q464" i="5"/>
  <c r="N464" i="5"/>
  <c r="O464" i="5" s="1"/>
  <c r="J464" i="5"/>
  <c r="H464" i="5"/>
  <c r="E464" i="5"/>
  <c r="D464" i="5"/>
  <c r="C464" i="5"/>
  <c r="B464" i="5"/>
  <c r="Q463" i="5"/>
  <c r="N463" i="5"/>
  <c r="O463" i="5" s="1"/>
  <c r="J463" i="5"/>
  <c r="H463" i="5"/>
  <c r="E463" i="5"/>
  <c r="D463" i="5"/>
  <c r="C463" i="5"/>
  <c r="B463" i="5"/>
  <c r="Q462" i="5"/>
  <c r="N462" i="5"/>
  <c r="O462" i="5" s="1"/>
  <c r="J462" i="5"/>
  <c r="H462" i="5"/>
  <c r="E462" i="5"/>
  <c r="D462" i="5"/>
  <c r="C462" i="5"/>
  <c r="B462" i="5"/>
  <c r="Q461" i="5"/>
  <c r="N461" i="5"/>
  <c r="O461" i="5" s="1"/>
  <c r="J461" i="5"/>
  <c r="H461" i="5"/>
  <c r="E461" i="5"/>
  <c r="D461" i="5"/>
  <c r="C461" i="5"/>
  <c r="B461" i="5"/>
  <c r="Q460" i="5"/>
  <c r="N460" i="5"/>
  <c r="O460" i="5" s="1"/>
  <c r="J460" i="5"/>
  <c r="H460" i="5"/>
  <c r="E460" i="5"/>
  <c r="D460" i="5"/>
  <c r="C460" i="5"/>
  <c r="B460" i="5"/>
  <c r="Q459" i="5"/>
  <c r="N459" i="5"/>
  <c r="O459" i="5" s="1"/>
  <c r="J459" i="5"/>
  <c r="H459" i="5"/>
  <c r="E459" i="5"/>
  <c r="D459" i="5"/>
  <c r="C459" i="5"/>
  <c r="B459" i="5"/>
  <c r="Q458" i="5"/>
  <c r="N458" i="5"/>
  <c r="O458" i="5" s="1"/>
  <c r="J458" i="5"/>
  <c r="H458" i="5"/>
  <c r="E458" i="5"/>
  <c r="D458" i="5"/>
  <c r="C458" i="5"/>
  <c r="B458" i="5"/>
  <c r="Q457" i="5"/>
  <c r="N457" i="5"/>
  <c r="O457" i="5" s="1"/>
  <c r="J457" i="5"/>
  <c r="H457" i="5"/>
  <c r="E457" i="5"/>
  <c r="D457" i="5"/>
  <c r="C457" i="5"/>
  <c r="B457" i="5"/>
  <c r="Q456" i="5"/>
  <c r="N456" i="5"/>
  <c r="O456" i="5" s="1"/>
  <c r="J456" i="5"/>
  <c r="H456" i="5"/>
  <c r="E456" i="5"/>
  <c r="D456" i="5"/>
  <c r="C456" i="5"/>
  <c r="B456" i="5"/>
  <c r="Q455" i="5"/>
  <c r="N455" i="5"/>
  <c r="O455" i="5" s="1"/>
  <c r="J455" i="5"/>
  <c r="H455" i="5"/>
  <c r="E455" i="5"/>
  <c r="D455" i="5"/>
  <c r="C455" i="5"/>
  <c r="B455" i="5"/>
  <c r="Q454" i="5"/>
  <c r="N454" i="5"/>
  <c r="O454" i="5" s="1"/>
  <c r="J454" i="5"/>
  <c r="H454" i="5"/>
  <c r="E454" i="5"/>
  <c r="D454" i="5"/>
  <c r="C454" i="5"/>
  <c r="B454" i="5"/>
  <c r="Q453" i="5"/>
  <c r="N453" i="5"/>
  <c r="O453" i="5" s="1"/>
  <c r="J453" i="5"/>
  <c r="H453" i="5"/>
  <c r="E453" i="5"/>
  <c r="D453" i="5"/>
  <c r="C453" i="5"/>
  <c r="B453" i="5"/>
  <c r="Q452" i="5"/>
  <c r="N452" i="5"/>
  <c r="O452" i="5" s="1"/>
  <c r="J452" i="5"/>
  <c r="H452" i="5"/>
  <c r="E452" i="5"/>
  <c r="D452" i="5"/>
  <c r="C452" i="5"/>
  <c r="B452" i="5"/>
  <c r="Q451" i="5"/>
  <c r="N451" i="5"/>
  <c r="O451" i="5" s="1"/>
  <c r="J451" i="5"/>
  <c r="H451" i="5"/>
  <c r="E451" i="5"/>
  <c r="D451" i="5"/>
  <c r="C451" i="5"/>
  <c r="B451" i="5"/>
  <c r="Q450" i="5"/>
  <c r="N450" i="5"/>
  <c r="O450" i="5" s="1"/>
  <c r="J450" i="5"/>
  <c r="H450" i="5"/>
  <c r="E450" i="5"/>
  <c r="D450" i="5"/>
  <c r="C450" i="5"/>
  <c r="B450" i="5"/>
  <c r="Q449" i="5"/>
  <c r="N449" i="5"/>
  <c r="O449" i="5" s="1"/>
  <c r="J449" i="5"/>
  <c r="H449" i="5"/>
  <c r="E449" i="5"/>
  <c r="D449" i="5"/>
  <c r="C449" i="5"/>
  <c r="B449" i="5"/>
  <c r="Q448" i="5"/>
  <c r="N448" i="5"/>
  <c r="O448" i="5" s="1"/>
  <c r="J448" i="5"/>
  <c r="H448" i="5"/>
  <c r="E448" i="5"/>
  <c r="D448" i="5"/>
  <c r="C448" i="5"/>
  <c r="B448" i="5"/>
  <c r="Q447" i="5"/>
  <c r="N447" i="5"/>
  <c r="O447" i="5" s="1"/>
  <c r="J447" i="5"/>
  <c r="H447" i="5"/>
  <c r="E447" i="5"/>
  <c r="D447" i="5"/>
  <c r="C447" i="5"/>
  <c r="B447" i="5"/>
  <c r="Q446" i="5"/>
  <c r="N446" i="5"/>
  <c r="O446" i="5" s="1"/>
  <c r="J446" i="5"/>
  <c r="H446" i="5"/>
  <c r="E446" i="5"/>
  <c r="D446" i="5"/>
  <c r="C446" i="5"/>
  <c r="B446" i="5"/>
  <c r="Q445" i="5"/>
  <c r="N445" i="5"/>
  <c r="O445" i="5" s="1"/>
  <c r="J445" i="5"/>
  <c r="H445" i="5"/>
  <c r="E445" i="5"/>
  <c r="D445" i="5"/>
  <c r="C445" i="5"/>
  <c r="B445" i="5"/>
  <c r="Q444" i="5"/>
  <c r="N444" i="5"/>
  <c r="O444" i="5" s="1"/>
  <c r="J444" i="5"/>
  <c r="H444" i="5"/>
  <c r="E444" i="5"/>
  <c r="D444" i="5"/>
  <c r="C444" i="5"/>
  <c r="B444" i="5"/>
  <c r="Q443" i="5"/>
  <c r="N443" i="5"/>
  <c r="O443" i="5" s="1"/>
  <c r="J443" i="5"/>
  <c r="H443" i="5"/>
  <c r="E443" i="5"/>
  <c r="D443" i="5"/>
  <c r="C443" i="5"/>
  <c r="B443" i="5"/>
  <c r="Q442" i="5"/>
  <c r="N442" i="5"/>
  <c r="O442" i="5" s="1"/>
  <c r="J442" i="5"/>
  <c r="H442" i="5"/>
  <c r="E442" i="5"/>
  <c r="D442" i="5"/>
  <c r="C442" i="5"/>
  <c r="B442" i="5"/>
  <c r="Q441" i="5"/>
  <c r="N441" i="5"/>
  <c r="O441" i="5" s="1"/>
  <c r="J441" i="5"/>
  <c r="H441" i="5"/>
  <c r="E441" i="5"/>
  <c r="D441" i="5"/>
  <c r="C441" i="5"/>
  <c r="B441" i="5"/>
  <c r="Q440" i="5"/>
  <c r="N440" i="5"/>
  <c r="O440" i="5" s="1"/>
  <c r="J440" i="5"/>
  <c r="H440" i="5"/>
  <c r="E440" i="5"/>
  <c r="D440" i="5"/>
  <c r="C440" i="5"/>
  <c r="B440" i="5"/>
  <c r="Q439" i="5"/>
  <c r="N439" i="5"/>
  <c r="O439" i="5" s="1"/>
  <c r="J439" i="5"/>
  <c r="H439" i="5"/>
  <c r="E439" i="5"/>
  <c r="D439" i="5"/>
  <c r="C439" i="5"/>
  <c r="B439" i="5"/>
  <c r="Q438" i="5"/>
  <c r="N438" i="5"/>
  <c r="O438" i="5" s="1"/>
  <c r="J438" i="5"/>
  <c r="H438" i="5"/>
  <c r="E438" i="5"/>
  <c r="D438" i="5"/>
  <c r="C438" i="5"/>
  <c r="B438" i="5"/>
  <c r="Q437" i="5"/>
  <c r="N437" i="5"/>
  <c r="O437" i="5" s="1"/>
  <c r="J437" i="5"/>
  <c r="H437" i="5"/>
  <c r="E437" i="5"/>
  <c r="D437" i="5"/>
  <c r="C437" i="5"/>
  <c r="B437" i="5"/>
  <c r="Q436" i="5"/>
  <c r="N436" i="5"/>
  <c r="O436" i="5" s="1"/>
  <c r="J436" i="5"/>
  <c r="H436" i="5"/>
  <c r="E436" i="5"/>
  <c r="D436" i="5"/>
  <c r="C436" i="5"/>
  <c r="B436" i="5"/>
  <c r="Q435" i="5"/>
  <c r="N435" i="5"/>
  <c r="O435" i="5" s="1"/>
  <c r="J435" i="5"/>
  <c r="H435" i="5"/>
  <c r="E435" i="5"/>
  <c r="D435" i="5"/>
  <c r="C435" i="5"/>
  <c r="B435" i="5"/>
  <c r="Q434" i="5"/>
  <c r="N434" i="5"/>
  <c r="O434" i="5" s="1"/>
  <c r="J434" i="5"/>
  <c r="H434" i="5"/>
  <c r="E434" i="5"/>
  <c r="D434" i="5"/>
  <c r="C434" i="5"/>
  <c r="B434" i="5"/>
  <c r="Q433" i="5"/>
  <c r="N433" i="5"/>
  <c r="O433" i="5" s="1"/>
  <c r="J433" i="5"/>
  <c r="H433" i="5"/>
  <c r="E433" i="5"/>
  <c r="D433" i="5"/>
  <c r="C433" i="5"/>
  <c r="B433" i="5"/>
  <c r="Q432" i="5"/>
  <c r="N432" i="5"/>
  <c r="O432" i="5" s="1"/>
  <c r="J432" i="5"/>
  <c r="H432" i="5"/>
  <c r="E432" i="5"/>
  <c r="D432" i="5"/>
  <c r="C432" i="5"/>
  <c r="B432" i="5"/>
  <c r="Q431" i="5"/>
  <c r="N431" i="5"/>
  <c r="O431" i="5" s="1"/>
  <c r="J431" i="5"/>
  <c r="H431" i="5"/>
  <c r="E431" i="5"/>
  <c r="D431" i="5"/>
  <c r="C431" i="5"/>
  <c r="B431" i="5"/>
  <c r="Q430" i="5"/>
  <c r="N430" i="5"/>
  <c r="O430" i="5" s="1"/>
  <c r="J430" i="5"/>
  <c r="H430" i="5"/>
  <c r="E430" i="5"/>
  <c r="D430" i="5"/>
  <c r="C430" i="5"/>
  <c r="B430" i="5"/>
  <c r="Q429" i="5"/>
  <c r="N429" i="5"/>
  <c r="O429" i="5" s="1"/>
  <c r="J429" i="5"/>
  <c r="H429" i="5"/>
  <c r="E429" i="5"/>
  <c r="D429" i="5"/>
  <c r="C429" i="5"/>
  <c r="B429" i="5"/>
  <c r="Q428" i="5"/>
  <c r="N428" i="5"/>
  <c r="O428" i="5" s="1"/>
  <c r="J428" i="5"/>
  <c r="H428" i="5"/>
  <c r="E428" i="5"/>
  <c r="D428" i="5"/>
  <c r="C428" i="5"/>
  <c r="B428" i="5"/>
  <c r="Q427" i="5"/>
  <c r="N427" i="5"/>
  <c r="O427" i="5" s="1"/>
  <c r="J427" i="5"/>
  <c r="H427" i="5"/>
  <c r="E427" i="5"/>
  <c r="D427" i="5"/>
  <c r="C427" i="5"/>
  <c r="B427" i="5"/>
  <c r="Q426" i="5"/>
  <c r="N426" i="5"/>
  <c r="O426" i="5" s="1"/>
  <c r="J426" i="5"/>
  <c r="H426" i="5"/>
  <c r="E426" i="5"/>
  <c r="D426" i="5"/>
  <c r="C426" i="5"/>
  <c r="B426" i="5"/>
  <c r="Q425" i="5"/>
  <c r="N425" i="5"/>
  <c r="O425" i="5" s="1"/>
  <c r="J425" i="5"/>
  <c r="H425" i="5"/>
  <c r="E425" i="5"/>
  <c r="D425" i="5"/>
  <c r="C425" i="5"/>
  <c r="B425" i="5"/>
  <c r="Q424" i="5"/>
  <c r="N424" i="5"/>
  <c r="O424" i="5" s="1"/>
  <c r="J424" i="5"/>
  <c r="H424" i="5"/>
  <c r="E424" i="5"/>
  <c r="D424" i="5"/>
  <c r="C424" i="5"/>
  <c r="B424" i="5"/>
  <c r="Q423" i="5"/>
  <c r="N423" i="5"/>
  <c r="O423" i="5" s="1"/>
  <c r="J423" i="5"/>
  <c r="H423" i="5"/>
  <c r="E423" i="5"/>
  <c r="D423" i="5"/>
  <c r="C423" i="5"/>
  <c r="B423" i="5"/>
  <c r="Q422" i="5"/>
  <c r="N422" i="5"/>
  <c r="O422" i="5" s="1"/>
  <c r="J422" i="5"/>
  <c r="H422" i="5"/>
  <c r="F422" i="5"/>
  <c r="E422" i="5"/>
  <c r="D422" i="5"/>
  <c r="C422" i="5"/>
  <c r="B422" i="5"/>
  <c r="Q421" i="5"/>
  <c r="N421" i="5"/>
  <c r="O421" i="5" s="1"/>
  <c r="J421" i="5"/>
  <c r="H421" i="5"/>
  <c r="F421" i="5"/>
  <c r="E421" i="5"/>
  <c r="D421" i="5"/>
  <c r="C421" i="5"/>
  <c r="B421" i="5"/>
  <c r="Q420" i="5"/>
  <c r="N420" i="5"/>
  <c r="O420" i="5" s="1"/>
  <c r="J420" i="5"/>
  <c r="H420" i="5"/>
  <c r="F420" i="5"/>
  <c r="E420" i="5"/>
  <c r="D420" i="5"/>
  <c r="C420" i="5"/>
  <c r="B420" i="5"/>
  <c r="Q419" i="5"/>
  <c r="N419" i="5"/>
  <c r="O419" i="5" s="1"/>
  <c r="J419" i="5"/>
  <c r="H419" i="5"/>
  <c r="F419" i="5"/>
  <c r="E419" i="5"/>
  <c r="D419" i="5"/>
  <c r="C419" i="5"/>
  <c r="B419" i="5"/>
  <c r="Q418" i="5"/>
  <c r="N418" i="5"/>
  <c r="O418" i="5" s="1"/>
  <c r="J418" i="5"/>
  <c r="H418" i="5"/>
  <c r="F418" i="5"/>
  <c r="E418" i="5"/>
  <c r="D418" i="5"/>
  <c r="C418" i="5"/>
  <c r="B418" i="5"/>
  <c r="Q417" i="5"/>
  <c r="N417" i="5"/>
  <c r="O417" i="5" s="1"/>
  <c r="J417" i="5"/>
  <c r="H417" i="5"/>
  <c r="F417" i="5"/>
  <c r="E417" i="5"/>
  <c r="D417" i="5"/>
  <c r="C417" i="5"/>
  <c r="B417" i="5"/>
  <c r="Q416" i="5"/>
  <c r="N416" i="5"/>
  <c r="O416" i="5" s="1"/>
  <c r="J416" i="5"/>
  <c r="H416" i="5"/>
  <c r="F416" i="5"/>
  <c r="E416" i="5"/>
  <c r="D416" i="5"/>
  <c r="C416" i="5"/>
  <c r="B416" i="5"/>
  <c r="Q415" i="5"/>
  <c r="N415" i="5"/>
  <c r="O415" i="5" s="1"/>
  <c r="J415" i="5"/>
  <c r="H415" i="5"/>
  <c r="F415" i="5"/>
  <c r="E415" i="5"/>
  <c r="D415" i="5"/>
  <c r="C415" i="5"/>
  <c r="B415" i="5"/>
  <c r="Q414" i="5"/>
  <c r="N414" i="5"/>
  <c r="O414" i="5" s="1"/>
  <c r="J414" i="5"/>
  <c r="H414" i="5"/>
  <c r="F414" i="5"/>
  <c r="E414" i="5"/>
  <c r="D414" i="5"/>
  <c r="C414" i="5"/>
  <c r="B414" i="5"/>
  <c r="Q413" i="5"/>
  <c r="N413" i="5"/>
  <c r="O413" i="5" s="1"/>
  <c r="J413" i="5"/>
  <c r="H413" i="5"/>
  <c r="F413" i="5"/>
  <c r="E413" i="5"/>
  <c r="D413" i="5"/>
  <c r="C413" i="5"/>
  <c r="B413" i="5"/>
  <c r="Q412" i="5"/>
  <c r="N412" i="5"/>
  <c r="O412" i="5" s="1"/>
  <c r="J412" i="5"/>
  <c r="H412" i="5"/>
  <c r="F412" i="5"/>
  <c r="E412" i="5"/>
  <c r="D412" i="5"/>
  <c r="C412" i="5"/>
  <c r="B412" i="5"/>
  <c r="Q411" i="5"/>
  <c r="N411" i="5"/>
  <c r="O411" i="5" s="1"/>
  <c r="J411" i="5"/>
  <c r="H411" i="5"/>
  <c r="F411" i="5"/>
  <c r="E411" i="5"/>
  <c r="D411" i="5"/>
  <c r="C411" i="5"/>
  <c r="B411" i="5"/>
  <c r="Q410" i="5"/>
  <c r="N410" i="5"/>
  <c r="O410" i="5" s="1"/>
  <c r="J410" i="5"/>
  <c r="H410" i="5"/>
  <c r="F410" i="5"/>
  <c r="E410" i="5"/>
  <c r="D410" i="5"/>
  <c r="C410" i="5"/>
  <c r="B410" i="5"/>
  <c r="Q409" i="5"/>
  <c r="N409" i="5"/>
  <c r="O409" i="5" s="1"/>
  <c r="J409" i="5"/>
  <c r="H409" i="5"/>
  <c r="F409" i="5"/>
  <c r="E409" i="5"/>
  <c r="D409" i="5"/>
  <c r="C409" i="5"/>
  <c r="B409" i="5"/>
  <c r="Q408" i="5"/>
  <c r="N408" i="5"/>
  <c r="O408" i="5" s="1"/>
  <c r="J408" i="5"/>
  <c r="H408" i="5"/>
  <c r="F408" i="5"/>
  <c r="E408" i="5"/>
  <c r="D408" i="5"/>
  <c r="C408" i="5"/>
  <c r="B408" i="5"/>
  <c r="Q407" i="5"/>
  <c r="N407" i="5"/>
  <c r="O407" i="5" s="1"/>
  <c r="J407" i="5"/>
  <c r="H407" i="5"/>
  <c r="F407" i="5"/>
  <c r="E407" i="5"/>
  <c r="D407" i="5"/>
  <c r="C407" i="5"/>
  <c r="B407" i="5"/>
  <c r="Q406" i="5"/>
  <c r="N406" i="5"/>
  <c r="O406" i="5" s="1"/>
  <c r="J406" i="5"/>
  <c r="H406" i="5"/>
  <c r="F406" i="5"/>
  <c r="E406" i="5"/>
  <c r="D406" i="5"/>
  <c r="C406" i="5"/>
  <c r="B406" i="5"/>
  <c r="Q405" i="5"/>
  <c r="N405" i="5"/>
  <c r="O405" i="5" s="1"/>
  <c r="J405" i="5"/>
  <c r="H405" i="5"/>
  <c r="F405" i="5"/>
  <c r="E405" i="5"/>
  <c r="D405" i="5"/>
  <c r="C405" i="5"/>
  <c r="B405" i="5"/>
  <c r="Q404" i="5"/>
  <c r="N404" i="5"/>
  <c r="O404" i="5" s="1"/>
  <c r="J404" i="5"/>
  <c r="H404" i="5"/>
  <c r="F404" i="5"/>
  <c r="E404" i="5"/>
  <c r="D404" i="5"/>
  <c r="C404" i="5"/>
  <c r="B404" i="5"/>
  <c r="Q403" i="5"/>
  <c r="N403" i="5"/>
  <c r="O403" i="5" s="1"/>
  <c r="J403" i="5"/>
  <c r="H403" i="5"/>
  <c r="F403" i="5"/>
  <c r="E403" i="5"/>
  <c r="D403" i="5"/>
  <c r="C403" i="5"/>
  <c r="B403" i="5"/>
  <c r="Q402" i="5"/>
  <c r="N402" i="5"/>
  <c r="O402" i="5" s="1"/>
  <c r="J402" i="5"/>
  <c r="H402" i="5"/>
  <c r="F402" i="5"/>
  <c r="E402" i="5"/>
  <c r="D402" i="5"/>
  <c r="C402" i="5"/>
  <c r="B402" i="5"/>
  <c r="Q401" i="5"/>
  <c r="N401" i="5"/>
  <c r="O401" i="5" s="1"/>
  <c r="J401" i="5"/>
  <c r="H401" i="5"/>
  <c r="F401" i="5"/>
  <c r="E401" i="5"/>
  <c r="D401" i="5"/>
  <c r="C401" i="5"/>
  <c r="B401" i="5"/>
  <c r="Q400" i="5"/>
  <c r="N400" i="5"/>
  <c r="O400" i="5" s="1"/>
  <c r="J400" i="5"/>
  <c r="H400" i="5"/>
  <c r="F400" i="5"/>
  <c r="E400" i="5"/>
  <c r="D400" i="5"/>
  <c r="C400" i="5"/>
  <c r="B400" i="5"/>
  <c r="Q399" i="5"/>
  <c r="N399" i="5"/>
  <c r="O399" i="5" s="1"/>
  <c r="J399" i="5"/>
  <c r="H399" i="5"/>
  <c r="F399" i="5"/>
  <c r="E399" i="5"/>
  <c r="D399" i="5"/>
  <c r="C399" i="5"/>
  <c r="B399" i="5"/>
  <c r="Q398" i="5"/>
  <c r="N398" i="5"/>
  <c r="O398" i="5" s="1"/>
  <c r="J398" i="5"/>
  <c r="H398" i="5"/>
  <c r="F398" i="5"/>
  <c r="E398" i="5"/>
  <c r="D398" i="5"/>
  <c r="C398" i="5"/>
  <c r="B398" i="5"/>
  <c r="Q397" i="5"/>
  <c r="N397" i="5"/>
  <c r="O397" i="5" s="1"/>
  <c r="J397" i="5"/>
  <c r="H397" i="5"/>
  <c r="F397" i="5"/>
  <c r="E397" i="5"/>
  <c r="D397" i="5"/>
  <c r="C397" i="5"/>
  <c r="B397" i="5"/>
  <c r="Q396" i="5"/>
  <c r="N396" i="5"/>
  <c r="O396" i="5" s="1"/>
  <c r="J396" i="5"/>
  <c r="H396" i="5"/>
  <c r="F396" i="5"/>
  <c r="E396" i="5"/>
  <c r="D396" i="5"/>
  <c r="C396" i="5"/>
  <c r="B396" i="5"/>
  <c r="Q395" i="5"/>
  <c r="N395" i="5"/>
  <c r="O395" i="5" s="1"/>
  <c r="J395" i="5"/>
  <c r="H395" i="5"/>
  <c r="F395" i="5"/>
  <c r="E395" i="5"/>
  <c r="D395" i="5"/>
  <c r="C395" i="5"/>
  <c r="B395" i="5"/>
  <c r="Q394" i="5"/>
  <c r="N394" i="5"/>
  <c r="O394" i="5" s="1"/>
  <c r="J394" i="5"/>
  <c r="H394" i="5"/>
  <c r="F394" i="5"/>
  <c r="E394" i="5"/>
  <c r="D394" i="5"/>
  <c r="C394" i="5"/>
  <c r="B394" i="5"/>
  <c r="Q393" i="5"/>
  <c r="N393" i="5"/>
  <c r="O393" i="5" s="1"/>
  <c r="J393" i="5"/>
  <c r="H393" i="5"/>
  <c r="F393" i="5"/>
  <c r="E393" i="5"/>
  <c r="D393" i="5"/>
  <c r="C393" i="5"/>
  <c r="B393" i="5"/>
  <c r="Q392" i="5"/>
  <c r="N392" i="5"/>
  <c r="O392" i="5" s="1"/>
  <c r="J392" i="5"/>
  <c r="H392" i="5"/>
  <c r="F392" i="5"/>
  <c r="E392" i="5"/>
  <c r="D392" i="5"/>
  <c r="C392" i="5"/>
  <c r="B392" i="5"/>
  <c r="Q391" i="5"/>
  <c r="N391" i="5"/>
  <c r="O391" i="5" s="1"/>
  <c r="J391" i="5"/>
  <c r="H391" i="5"/>
  <c r="F391" i="5"/>
  <c r="E391" i="5"/>
  <c r="D391" i="5"/>
  <c r="C391" i="5"/>
  <c r="B391" i="5"/>
  <c r="Q390" i="5"/>
  <c r="N390" i="5"/>
  <c r="O390" i="5" s="1"/>
  <c r="J390" i="5"/>
  <c r="H390" i="5"/>
  <c r="F390" i="5"/>
  <c r="E390" i="5"/>
  <c r="D390" i="5"/>
  <c r="C390" i="5"/>
  <c r="B390" i="5"/>
  <c r="Q389" i="5"/>
  <c r="N389" i="5"/>
  <c r="O389" i="5" s="1"/>
  <c r="J389" i="5"/>
  <c r="H389" i="5"/>
  <c r="F389" i="5"/>
  <c r="E389" i="5"/>
  <c r="D389" i="5"/>
  <c r="C389" i="5"/>
  <c r="B389" i="5"/>
  <c r="Q388" i="5"/>
  <c r="N388" i="5"/>
  <c r="O388" i="5" s="1"/>
  <c r="J388" i="5"/>
  <c r="H388" i="5"/>
  <c r="F388" i="5"/>
  <c r="E388" i="5"/>
  <c r="D388" i="5"/>
  <c r="C388" i="5"/>
  <c r="B388" i="5"/>
  <c r="Q387" i="5"/>
  <c r="N387" i="5"/>
  <c r="O387" i="5" s="1"/>
  <c r="J387" i="5"/>
  <c r="H387" i="5"/>
  <c r="F387" i="5"/>
  <c r="E387" i="5"/>
  <c r="D387" i="5"/>
  <c r="C387" i="5"/>
  <c r="B387" i="5"/>
  <c r="Q386" i="5"/>
  <c r="N386" i="5"/>
  <c r="O386" i="5" s="1"/>
  <c r="J386" i="5"/>
  <c r="H386" i="5"/>
  <c r="F386" i="5"/>
  <c r="E386" i="5"/>
  <c r="D386" i="5"/>
  <c r="C386" i="5"/>
  <c r="B386" i="5"/>
  <c r="Q385" i="5"/>
  <c r="N385" i="5"/>
  <c r="O385" i="5" s="1"/>
  <c r="J385" i="5"/>
  <c r="H385" i="5"/>
  <c r="F385" i="5"/>
  <c r="E385" i="5"/>
  <c r="D385" i="5"/>
  <c r="C385" i="5"/>
  <c r="B385" i="5"/>
  <c r="Q384" i="5"/>
  <c r="N384" i="5"/>
  <c r="O384" i="5" s="1"/>
  <c r="J384" i="5"/>
  <c r="H384" i="5"/>
  <c r="F384" i="5"/>
  <c r="E384" i="5"/>
  <c r="D384" i="5"/>
  <c r="C384" i="5"/>
  <c r="B384" i="5"/>
  <c r="Q383" i="5"/>
  <c r="N383" i="5"/>
  <c r="O383" i="5" s="1"/>
  <c r="J383" i="5"/>
  <c r="H383" i="5"/>
  <c r="F383" i="5"/>
  <c r="E383" i="5"/>
  <c r="D383" i="5"/>
  <c r="C383" i="5"/>
  <c r="B383" i="5"/>
  <c r="Q382" i="5"/>
  <c r="N382" i="5"/>
  <c r="O382" i="5" s="1"/>
  <c r="J382" i="5"/>
  <c r="H382" i="5"/>
  <c r="F382" i="5"/>
  <c r="E382" i="5"/>
  <c r="D382" i="5"/>
  <c r="C382" i="5"/>
  <c r="B382" i="5"/>
  <c r="Q381" i="5"/>
  <c r="N381" i="5"/>
  <c r="O381" i="5" s="1"/>
  <c r="J381" i="5"/>
  <c r="H381" i="5"/>
  <c r="F381" i="5"/>
  <c r="E381" i="5"/>
  <c r="D381" i="5"/>
  <c r="C381" i="5"/>
  <c r="B381" i="5"/>
  <c r="Q380" i="5"/>
  <c r="N380" i="5"/>
  <c r="O380" i="5" s="1"/>
  <c r="J380" i="5"/>
  <c r="H380" i="5"/>
  <c r="F380" i="5"/>
  <c r="E380" i="5"/>
  <c r="D380" i="5"/>
  <c r="C380" i="5"/>
  <c r="B380" i="5"/>
  <c r="Q379" i="5"/>
  <c r="N379" i="5"/>
  <c r="O379" i="5" s="1"/>
  <c r="J379" i="5"/>
  <c r="H379" i="5"/>
  <c r="F379" i="5"/>
  <c r="E379" i="5"/>
  <c r="D379" i="5"/>
  <c r="C379" i="5"/>
  <c r="B379" i="5"/>
  <c r="Q378" i="5"/>
  <c r="N378" i="5"/>
  <c r="O378" i="5" s="1"/>
  <c r="J378" i="5"/>
  <c r="H378" i="5"/>
  <c r="F378" i="5"/>
  <c r="E378" i="5"/>
  <c r="D378" i="5"/>
  <c r="C378" i="5"/>
  <c r="B378" i="5"/>
  <c r="Q377" i="5"/>
  <c r="N377" i="5"/>
  <c r="O377" i="5" s="1"/>
  <c r="J377" i="5"/>
  <c r="H377" i="5"/>
  <c r="F377" i="5"/>
  <c r="E377" i="5"/>
  <c r="D377" i="5"/>
  <c r="C377" i="5"/>
  <c r="B377" i="5"/>
  <c r="Q376" i="5"/>
  <c r="N376" i="5"/>
  <c r="O376" i="5" s="1"/>
  <c r="J376" i="5"/>
  <c r="H376" i="5"/>
  <c r="F376" i="5"/>
  <c r="E376" i="5"/>
  <c r="D376" i="5"/>
  <c r="C376" i="5"/>
  <c r="B376" i="5"/>
  <c r="Q375" i="5"/>
  <c r="N375" i="5"/>
  <c r="O375" i="5" s="1"/>
  <c r="J375" i="5"/>
  <c r="H375" i="5"/>
  <c r="F375" i="5"/>
  <c r="E375" i="5"/>
  <c r="D375" i="5"/>
  <c r="C375" i="5"/>
  <c r="B375" i="5"/>
  <c r="Q374" i="5"/>
  <c r="N374" i="5"/>
  <c r="O374" i="5" s="1"/>
  <c r="J374" i="5"/>
  <c r="H374" i="5"/>
  <c r="F374" i="5"/>
  <c r="E374" i="5"/>
  <c r="D374" i="5"/>
  <c r="C374" i="5"/>
  <c r="B374" i="5"/>
  <c r="Q373" i="5"/>
  <c r="N373" i="5"/>
  <c r="O373" i="5" s="1"/>
  <c r="J373" i="5"/>
  <c r="H373" i="5"/>
  <c r="F373" i="5"/>
  <c r="E373" i="5"/>
  <c r="D373" i="5"/>
  <c r="C373" i="5"/>
  <c r="B373" i="5"/>
  <c r="Q372" i="5"/>
  <c r="N372" i="5"/>
  <c r="O372" i="5" s="1"/>
  <c r="J372" i="5"/>
  <c r="H372" i="5"/>
  <c r="F372" i="5"/>
  <c r="E372" i="5"/>
  <c r="D372" i="5"/>
  <c r="C372" i="5"/>
  <c r="B372" i="5"/>
  <c r="Q371" i="5"/>
  <c r="N371" i="5"/>
  <c r="O371" i="5" s="1"/>
  <c r="J371" i="5"/>
  <c r="H371" i="5"/>
  <c r="F371" i="5"/>
  <c r="E371" i="5"/>
  <c r="D371" i="5"/>
  <c r="C371" i="5"/>
  <c r="B371" i="5"/>
  <c r="Q370" i="5"/>
  <c r="N370" i="5"/>
  <c r="O370" i="5" s="1"/>
  <c r="J370" i="5"/>
  <c r="H370" i="5"/>
  <c r="F370" i="5"/>
  <c r="E370" i="5"/>
  <c r="D370" i="5"/>
  <c r="C370" i="5"/>
  <c r="B370" i="5"/>
  <c r="Q369" i="5"/>
  <c r="N369" i="5"/>
  <c r="O369" i="5" s="1"/>
  <c r="J369" i="5"/>
  <c r="H369" i="5"/>
  <c r="F369" i="5"/>
  <c r="E369" i="5"/>
  <c r="D369" i="5"/>
  <c r="C369" i="5"/>
  <c r="B369" i="5"/>
  <c r="Q368" i="5"/>
  <c r="N368" i="5"/>
  <c r="O368" i="5" s="1"/>
  <c r="J368" i="5"/>
  <c r="H368" i="5"/>
  <c r="F368" i="5"/>
  <c r="E368" i="5"/>
  <c r="D368" i="5"/>
  <c r="C368" i="5"/>
  <c r="B368" i="5"/>
  <c r="Q367" i="5"/>
  <c r="N367" i="5"/>
  <c r="O367" i="5" s="1"/>
  <c r="J367" i="5"/>
  <c r="H367" i="5"/>
  <c r="F367" i="5"/>
  <c r="E367" i="5"/>
  <c r="D367" i="5"/>
  <c r="C367" i="5"/>
  <c r="B367" i="5"/>
  <c r="Q366" i="5"/>
  <c r="N366" i="5"/>
  <c r="O366" i="5" s="1"/>
  <c r="J366" i="5"/>
  <c r="H366" i="5"/>
  <c r="F366" i="5"/>
  <c r="E366" i="5"/>
  <c r="D366" i="5"/>
  <c r="C366" i="5"/>
  <c r="B366" i="5"/>
  <c r="Q365" i="5"/>
  <c r="N365" i="5"/>
  <c r="O365" i="5" s="1"/>
  <c r="J365" i="5"/>
  <c r="H365" i="5"/>
  <c r="F365" i="5"/>
  <c r="E365" i="5"/>
  <c r="D365" i="5"/>
  <c r="C365" i="5"/>
  <c r="B365" i="5"/>
  <c r="Q364" i="5"/>
  <c r="N364" i="5"/>
  <c r="O364" i="5" s="1"/>
  <c r="J364" i="5"/>
  <c r="H364" i="5"/>
  <c r="F364" i="5"/>
  <c r="E364" i="5"/>
  <c r="D364" i="5"/>
  <c r="C364" i="5"/>
  <c r="B364" i="5"/>
  <c r="Q363" i="5"/>
  <c r="N363" i="5"/>
  <c r="O363" i="5" s="1"/>
  <c r="J363" i="5"/>
  <c r="H363" i="5"/>
  <c r="F363" i="5"/>
  <c r="E363" i="5"/>
  <c r="D363" i="5"/>
  <c r="C363" i="5"/>
  <c r="B363" i="5"/>
  <c r="Q362" i="5"/>
  <c r="N362" i="5"/>
  <c r="O362" i="5" s="1"/>
  <c r="J362" i="5"/>
  <c r="H362" i="5"/>
  <c r="F362" i="5"/>
  <c r="E362" i="5"/>
  <c r="D362" i="5"/>
  <c r="C362" i="5"/>
  <c r="B362" i="5"/>
  <c r="Q361" i="5"/>
  <c r="N361" i="5"/>
  <c r="O361" i="5" s="1"/>
  <c r="J361" i="5"/>
  <c r="H361" i="5"/>
  <c r="F361" i="5"/>
  <c r="E361" i="5"/>
  <c r="D361" i="5"/>
  <c r="C361" i="5"/>
  <c r="B361" i="5"/>
  <c r="Q360" i="5"/>
  <c r="N360" i="5"/>
  <c r="O360" i="5" s="1"/>
  <c r="J360" i="5"/>
  <c r="H360" i="5"/>
  <c r="F360" i="5"/>
  <c r="E360" i="5"/>
  <c r="D360" i="5"/>
  <c r="C360" i="5"/>
  <c r="B360" i="5"/>
  <c r="Q359" i="5"/>
  <c r="N359" i="5"/>
  <c r="O359" i="5" s="1"/>
  <c r="J359" i="5"/>
  <c r="H359" i="5"/>
  <c r="F359" i="5"/>
  <c r="E359" i="5"/>
  <c r="D359" i="5"/>
  <c r="C359" i="5"/>
  <c r="B359" i="5"/>
  <c r="Q358" i="5"/>
  <c r="N358" i="5"/>
  <c r="O358" i="5" s="1"/>
  <c r="J358" i="5"/>
  <c r="H358" i="5"/>
  <c r="F358" i="5"/>
  <c r="E358" i="5"/>
  <c r="D358" i="5"/>
  <c r="C358" i="5"/>
  <c r="B358" i="5"/>
  <c r="Q357" i="5"/>
  <c r="N357" i="5"/>
  <c r="O357" i="5" s="1"/>
  <c r="J357" i="5"/>
  <c r="H357" i="5"/>
  <c r="F357" i="5"/>
  <c r="E357" i="5"/>
  <c r="D357" i="5"/>
  <c r="C357" i="5"/>
  <c r="B357" i="5"/>
  <c r="Q356" i="5"/>
  <c r="N356" i="5"/>
  <c r="O356" i="5" s="1"/>
  <c r="J356" i="5"/>
  <c r="H356" i="5"/>
  <c r="F356" i="5"/>
  <c r="E356" i="5"/>
  <c r="D356" i="5"/>
  <c r="C356" i="5"/>
  <c r="B356" i="5"/>
  <c r="Q355" i="5"/>
  <c r="N355" i="5"/>
  <c r="O355" i="5" s="1"/>
  <c r="J355" i="5"/>
  <c r="H355" i="5"/>
  <c r="E355" i="5"/>
  <c r="D355" i="5"/>
  <c r="C355" i="5"/>
  <c r="B355" i="5"/>
  <c r="Q354" i="5"/>
  <c r="N354" i="5"/>
  <c r="O354" i="5" s="1"/>
  <c r="J354" i="5"/>
  <c r="H354" i="5"/>
  <c r="E354" i="5"/>
  <c r="D354" i="5"/>
  <c r="C354" i="5"/>
  <c r="B354" i="5"/>
  <c r="Q353" i="5"/>
  <c r="N353" i="5"/>
  <c r="O353" i="5" s="1"/>
  <c r="J353" i="5"/>
  <c r="H353" i="5"/>
  <c r="E353" i="5"/>
  <c r="D353" i="5"/>
  <c r="C353" i="5"/>
  <c r="B353" i="5"/>
  <c r="Q352" i="5"/>
  <c r="N352" i="5"/>
  <c r="O352" i="5" s="1"/>
  <c r="J352" i="5"/>
  <c r="H352" i="5"/>
  <c r="E352" i="5"/>
  <c r="D352" i="5"/>
  <c r="C352" i="5"/>
  <c r="B352" i="5"/>
  <c r="Q351" i="5"/>
  <c r="N351" i="5"/>
  <c r="O351" i="5" s="1"/>
  <c r="J351" i="5"/>
  <c r="H351" i="5"/>
  <c r="E351" i="5"/>
  <c r="D351" i="5"/>
  <c r="C351" i="5"/>
  <c r="B351" i="5"/>
  <c r="Q350" i="5"/>
  <c r="N350" i="5"/>
  <c r="O350" i="5" s="1"/>
  <c r="J350" i="5"/>
  <c r="H350" i="5"/>
  <c r="E350" i="5"/>
  <c r="D350" i="5"/>
  <c r="C350" i="5"/>
  <c r="B350" i="5"/>
  <c r="Q349" i="5"/>
  <c r="N349" i="5"/>
  <c r="O349" i="5" s="1"/>
  <c r="J349" i="5"/>
  <c r="H349" i="5"/>
  <c r="E349" i="5"/>
  <c r="D349" i="5"/>
  <c r="C349" i="5"/>
  <c r="B349" i="5"/>
  <c r="Q348" i="5"/>
  <c r="N348" i="5"/>
  <c r="O348" i="5" s="1"/>
  <c r="J348" i="5"/>
  <c r="H348" i="5"/>
  <c r="E348" i="5"/>
  <c r="D348" i="5"/>
  <c r="C348" i="5"/>
  <c r="B348" i="5"/>
  <c r="Q347" i="5"/>
  <c r="N347" i="5"/>
  <c r="O347" i="5" s="1"/>
  <c r="J347" i="5"/>
  <c r="H347" i="5"/>
  <c r="E347" i="5"/>
  <c r="D347" i="5"/>
  <c r="C347" i="5"/>
  <c r="B347" i="5"/>
  <c r="Q346" i="5"/>
  <c r="N346" i="5"/>
  <c r="O346" i="5" s="1"/>
  <c r="J346" i="5"/>
  <c r="H346" i="5"/>
  <c r="E346" i="5"/>
  <c r="D346" i="5"/>
  <c r="C346" i="5"/>
  <c r="B346" i="5"/>
  <c r="Q345" i="5"/>
  <c r="N345" i="5"/>
  <c r="O345" i="5" s="1"/>
  <c r="J345" i="5"/>
  <c r="H345" i="5"/>
  <c r="E345" i="5"/>
  <c r="D345" i="5"/>
  <c r="C345" i="5"/>
  <c r="B345" i="5"/>
  <c r="Q344" i="5"/>
  <c r="N344" i="5"/>
  <c r="O344" i="5" s="1"/>
  <c r="J344" i="5"/>
  <c r="H344" i="5"/>
  <c r="E344" i="5"/>
  <c r="D344" i="5"/>
  <c r="C344" i="5"/>
  <c r="B344" i="5"/>
  <c r="Q343" i="5"/>
  <c r="N343" i="5"/>
  <c r="O343" i="5" s="1"/>
  <c r="J343" i="5"/>
  <c r="H343" i="5"/>
  <c r="E343" i="5"/>
  <c r="D343" i="5"/>
  <c r="C343" i="5"/>
  <c r="B343" i="5"/>
  <c r="Q342" i="5"/>
  <c r="N342" i="5"/>
  <c r="O342" i="5" s="1"/>
  <c r="J342" i="5"/>
  <c r="H342" i="5"/>
  <c r="E342" i="5"/>
  <c r="D342" i="5"/>
  <c r="C342" i="5"/>
  <c r="B342" i="5"/>
  <c r="Q341" i="5"/>
  <c r="N341" i="5"/>
  <c r="O341" i="5" s="1"/>
  <c r="J341" i="5"/>
  <c r="H341" i="5"/>
  <c r="E341" i="5"/>
  <c r="D341" i="5"/>
  <c r="C341" i="5"/>
  <c r="B341" i="5"/>
  <c r="Q340" i="5"/>
  <c r="N340" i="5"/>
  <c r="O340" i="5" s="1"/>
  <c r="J340" i="5"/>
  <c r="H340" i="5"/>
  <c r="E340" i="5"/>
  <c r="D340" i="5"/>
  <c r="C340" i="5"/>
  <c r="B340" i="5"/>
  <c r="Q339" i="5"/>
  <c r="N339" i="5"/>
  <c r="O339" i="5" s="1"/>
  <c r="J339" i="5"/>
  <c r="H339" i="5"/>
  <c r="E339" i="5"/>
  <c r="D339" i="5"/>
  <c r="C339" i="5"/>
  <c r="B339" i="5"/>
  <c r="Q338" i="5"/>
  <c r="N338" i="5"/>
  <c r="O338" i="5" s="1"/>
  <c r="J338" i="5"/>
  <c r="H338" i="5"/>
  <c r="E338" i="5"/>
  <c r="D338" i="5"/>
  <c r="C338" i="5"/>
  <c r="B338" i="5"/>
  <c r="Q337" i="5"/>
  <c r="N337" i="5"/>
  <c r="O337" i="5" s="1"/>
  <c r="J337" i="5"/>
  <c r="H337" i="5"/>
  <c r="E337" i="5"/>
  <c r="D337" i="5"/>
  <c r="C337" i="5"/>
  <c r="B337" i="5"/>
  <c r="Q336" i="5"/>
  <c r="N336" i="5"/>
  <c r="O336" i="5" s="1"/>
  <c r="J336" i="5"/>
  <c r="H336" i="5"/>
  <c r="E336" i="5"/>
  <c r="D336" i="5"/>
  <c r="C336" i="5"/>
  <c r="B336" i="5"/>
  <c r="Q335" i="5"/>
  <c r="N335" i="5"/>
  <c r="O335" i="5" s="1"/>
  <c r="J335" i="5"/>
  <c r="H335" i="5"/>
  <c r="E335" i="5"/>
  <c r="D335" i="5"/>
  <c r="C335" i="5"/>
  <c r="B335" i="5"/>
  <c r="Q334" i="5"/>
  <c r="N334" i="5"/>
  <c r="O334" i="5" s="1"/>
  <c r="J334" i="5"/>
  <c r="H334" i="5"/>
  <c r="E334" i="5"/>
  <c r="D334" i="5"/>
  <c r="C334" i="5"/>
  <c r="B334" i="5"/>
  <c r="Q333" i="5"/>
  <c r="N333" i="5"/>
  <c r="O333" i="5" s="1"/>
  <c r="J333" i="5"/>
  <c r="H333" i="5"/>
  <c r="E333" i="5"/>
  <c r="D333" i="5"/>
  <c r="C333" i="5"/>
  <c r="B333" i="5"/>
  <c r="Q332" i="5"/>
  <c r="N332" i="5"/>
  <c r="O332" i="5" s="1"/>
  <c r="J332" i="5"/>
  <c r="H332" i="5"/>
  <c r="E332" i="5"/>
  <c r="D332" i="5"/>
  <c r="C332" i="5"/>
  <c r="B332" i="5"/>
  <c r="Q331" i="5"/>
  <c r="N331" i="5"/>
  <c r="O331" i="5" s="1"/>
  <c r="J331" i="5"/>
  <c r="H331" i="5"/>
  <c r="E331" i="5"/>
  <c r="D331" i="5"/>
  <c r="C331" i="5"/>
  <c r="B331" i="5"/>
  <c r="Q330" i="5"/>
  <c r="N330" i="5"/>
  <c r="O330" i="5" s="1"/>
  <c r="J330" i="5"/>
  <c r="H330" i="5"/>
  <c r="E330" i="5"/>
  <c r="D330" i="5"/>
  <c r="C330" i="5"/>
  <c r="B330" i="5"/>
  <c r="Q329" i="5"/>
  <c r="N329" i="5"/>
  <c r="O329" i="5" s="1"/>
  <c r="J329" i="5"/>
  <c r="H329" i="5"/>
  <c r="E329" i="5"/>
  <c r="D329" i="5"/>
  <c r="C329" i="5"/>
  <c r="B329" i="5"/>
  <c r="Q328" i="5"/>
  <c r="N328" i="5"/>
  <c r="O328" i="5" s="1"/>
  <c r="J328" i="5"/>
  <c r="H328" i="5"/>
  <c r="E328" i="5"/>
  <c r="D328" i="5"/>
  <c r="C328" i="5"/>
  <c r="B328" i="5"/>
  <c r="Q327" i="5"/>
  <c r="N327" i="5"/>
  <c r="O327" i="5" s="1"/>
  <c r="J327" i="5"/>
  <c r="H327" i="5"/>
  <c r="E327" i="5"/>
  <c r="D327" i="5"/>
  <c r="C327" i="5"/>
  <c r="B327" i="5"/>
  <c r="Q326" i="5"/>
  <c r="N326" i="5"/>
  <c r="O326" i="5" s="1"/>
  <c r="J326" i="5"/>
  <c r="H326" i="5"/>
  <c r="E326" i="5"/>
  <c r="D326" i="5"/>
  <c r="C326" i="5"/>
  <c r="B326" i="5"/>
  <c r="Q325" i="5"/>
  <c r="N325" i="5"/>
  <c r="O325" i="5" s="1"/>
  <c r="J325" i="5"/>
  <c r="H325" i="5"/>
  <c r="E325" i="5"/>
  <c r="D325" i="5"/>
  <c r="C325" i="5"/>
  <c r="B325" i="5"/>
  <c r="Q324" i="5"/>
  <c r="N324" i="5"/>
  <c r="O324" i="5" s="1"/>
  <c r="J324" i="5"/>
  <c r="H324" i="5"/>
  <c r="E324" i="5"/>
  <c r="D324" i="5"/>
  <c r="C324" i="5"/>
  <c r="B324" i="5"/>
  <c r="Q323" i="5"/>
  <c r="N323" i="5"/>
  <c r="O323" i="5" s="1"/>
  <c r="J323" i="5"/>
  <c r="H323" i="5"/>
  <c r="E323" i="5"/>
  <c r="D323" i="5"/>
  <c r="C323" i="5"/>
  <c r="B323" i="5"/>
  <c r="Q322" i="5"/>
  <c r="N322" i="5"/>
  <c r="O322" i="5" s="1"/>
  <c r="J322" i="5"/>
  <c r="H322" i="5"/>
  <c r="E322" i="5"/>
  <c r="D322" i="5"/>
  <c r="C322" i="5"/>
  <c r="B322" i="5"/>
  <c r="Q321" i="5"/>
  <c r="N321" i="5"/>
  <c r="O321" i="5" s="1"/>
  <c r="J321" i="5"/>
  <c r="H321" i="5"/>
  <c r="E321" i="5"/>
  <c r="D321" i="5"/>
  <c r="C321" i="5"/>
  <c r="B321" i="5"/>
  <c r="Q320" i="5"/>
  <c r="N320" i="5"/>
  <c r="O320" i="5" s="1"/>
  <c r="J320" i="5"/>
  <c r="H320" i="5"/>
  <c r="E320" i="5"/>
  <c r="D320" i="5"/>
  <c r="C320" i="5"/>
  <c r="B320" i="5"/>
  <c r="Q319" i="5"/>
  <c r="N319" i="5"/>
  <c r="O319" i="5" s="1"/>
  <c r="J319" i="5"/>
  <c r="H319" i="5"/>
  <c r="E319" i="5"/>
  <c r="D319" i="5"/>
  <c r="C319" i="5"/>
  <c r="B319" i="5"/>
  <c r="Q318" i="5"/>
  <c r="N318" i="5"/>
  <c r="O318" i="5" s="1"/>
  <c r="J318" i="5"/>
  <c r="H318" i="5"/>
  <c r="E318" i="5"/>
  <c r="D318" i="5"/>
  <c r="C318" i="5"/>
  <c r="B318" i="5"/>
  <c r="Q317" i="5"/>
  <c r="N317" i="5"/>
  <c r="O317" i="5" s="1"/>
  <c r="J317" i="5"/>
  <c r="H317" i="5"/>
  <c r="E317" i="5"/>
  <c r="D317" i="5"/>
  <c r="C317" i="5"/>
  <c r="B317" i="5"/>
  <c r="Q316" i="5"/>
  <c r="N316" i="5"/>
  <c r="O316" i="5" s="1"/>
  <c r="J316" i="5"/>
  <c r="H316" i="5"/>
  <c r="E316" i="5"/>
  <c r="D316" i="5"/>
  <c r="C316" i="5"/>
  <c r="B316" i="5"/>
  <c r="Q315" i="5"/>
  <c r="N315" i="5"/>
  <c r="O315" i="5" s="1"/>
  <c r="J315" i="5"/>
  <c r="H315" i="5"/>
  <c r="E315" i="5"/>
  <c r="D315" i="5"/>
  <c r="C315" i="5"/>
  <c r="B315" i="5"/>
  <c r="Q314" i="5"/>
  <c r="N314" i="5"/>
  <c r="O314" i="5" s="1"/>
  <c r="J314" i="5"/>
  <c r="H314" i="5"/>
  <c r="E314" i="5"/>
  <c r="D314" i="5"/>
  <c r="C314" i="5"/>
  <c r="B314" i="5"/>
  <c r="Q313" i="5"/>
  <c r="N313" i="5"/>
  <c r="O313" i="5" s="1"/>
  <c r="J313" i="5"/>
  <c r="H313" i="5"/>
  <c r="E313" i="5"/>
  <c r="D313" i="5"/>
  <c r="C313" i="5"/>
  <c r="B313" i="5"/>
  <c r="Q312" i="5"/>
  <c r="N312" i="5"/>
  <c r="O312" i="5" s="1"/>
  <c r="J312" i="5"/>
  <c r="H312" i="5"/>
  <c r="E312" i="5"/>
  <c r="D312" i="5"/>
  <c r="C312" i="5"/>
  <c r="B312" i="5"/>
  <c r="Q311" i="5"/>
  <c r="N311" i="5"/>
  <c r="O311" i="5" s="1"/>
  <c r="J311" i="5"/>
  <c r="H311" i="5"/>
  <c r="E311" i="5"/>
  <c r="D311" i="5"/>
  <c r="C311" i="5"/>
  <c r="B311" i="5"/>
  <c r="Q310" i="5"/>
  <c r="N310" i="5"/>
  <c r="O310" i="5" s="1"/>
  <c r="J310" i="5"/>
  <c r="H310" i="5"/>
  <c r="E310" i="5"/>
  <c r="D310" i="5"/>
  <c r="C310" i="5"/>
  <c r="B310" i="5"/>
  <c r="Q309" i="5"/>
  <c r="N309" i="5"/>
  <c r="O309" i="5" s="1"/>
  <c r="J309" i="5"/>
  <c r="H309" i="5"/>
  <c r="E309" i="5"/>
  <c r="D309" i="5"/>
  <c r="C309" i="5"/>
  <c r="B309" i="5"/>
  <c r="Q308" i="5"/>
  <c r="N308" i="5"/>
  <c r="O308" i="5" s="1"/>
  <c r="J308" i="5"/>
  <c r="H308" i="5"/>
  <c r="E308" i="5"/>
  <c r="D308" i="5"/>
  <c r="C308" i="5"/>
  <c r="B308" i="5"/>
  <c r="Q307" i="5"/>
  <c r="N307" i="5"/>
  <c r="O307" i="5" s="1"/>
  <c r="J307" i="5"/>
  <c r="H307" i="5"/>
  <c r="E307" i="5"/>
  <c r="D307" i="5"/>
  <c r="C307" i="5"/>
  <c r="B307" i="5"/>
  <c r="Q306" i="5"/>
  <c r="N306" i="5"/>
  <c r="O306" i="5" s="1"/>
  <c r="J306" i="5"/>
  <c r="H306" i="5"/>
  <c r="E306" i="5"/>
  <c r="D306" i="5"/>
  <c r="C306" i="5"/>
  <c r="B306" i="5"/>
  <c r="Q305" i="5"/>
  <c r="N305" i="5"/>
  <c r="O305" i="5" s="1"/>
  <c r="J305" i="5"/>
  <c r="H305" i="5"/>
  <c r="E305" i="5"/>
  <c r="D305" i="5"/>
  <c r="C305" i="5"/>
  <c r="B305" i="5"/>
  <c r="Q304" i="5"/>
  <c r="N304" i="5"/>
  <c r="O304" i="5" s="1"/>
  <c r="J304" i="5"/>
  <c r="H304" i="5"/>
  <c r="E304" i="5"/>
  <c r="D304" i="5"/>
  <c r="C304" i="5"/>
  <c r="B304" i="5"/>
  <c r="Q303" i="5"/>
  <c r="N303" i="5"/>
  <c r="O303" i="5" s="1"/>
  <c r="J303" i="5"/>
  <c r="H303" i="5"/>
  <c r="E303" i="5"/>
  <c r="D303" i="5"/>
  <c r="C303" i="5"/>
  <c r="B303" i="5"/>
  <c r="Q302" i="5"/>
  <c r="N302" i="5"/>
  <c r="O302" i="5" s="1"/>
  <c r="J302" i="5"/>
  <c r="H302" i="5"/>
  <c r="E302" i="5"/>
  <c r="D302" i="5"/>
  <c r="C302" i="5"/>
  <c r="B302" i="5"/>
  <c r="Q301" i="5"/>
  <c r="N301" i="5"/>
  <c r="O301" i="5" s="1"/>
  <c r="J301" i="5"/>
  <c r="H301" i="5"/>
  <c r="F301" i="5"/>
  <c r="E301" i="5"/>
  <c r="D301" i="5"/>
  <c r="C301" i="5"/>
  <c r="B301" i="5"/>
  <c r="Q300" i="5"/>
  <c r="N300" i="5"/>
  <c r="O300" i="5" s="1"/>
  <c r="J300" i="5"/>
  <c r="H300" i="5"/>
  <c r="F300" i="5"/>
  <c r="E300" i="5"/>
  <c r="D300" i="5"/>
  <c r="C300" i="5"/>
  <c r="B300" i="5"/>
  <c r="Q299" i="5"/>
  <c r="N299" i="5"/>
  <c r="O299" i="5" s="1"/>
  <c r="J299" i="5"/>
  <c r="H299" i="5"/>
  <c r="F299" i="5"/>
  <c r="E299" i="5"/>
  <c r="D299" i="5"/>
  <c r="C299" i="5"/>
  <c r="B299" i="5"/>
  <c r="Q298" i="5"/>
  <c r="N298" i="5"/>
  <c r="O298" i="5" s="1"/>
  <c r="J298" i="5"/>
  <c r="H298" i="5"/>
  <c r="F298" i="5"/>
  <c r="E298" i="5"/>
  <c r="D298" i="5"/>
  <c r="C298" i="5"/>
  <c r="B298" i="5"/>
  <c r="Q297" i="5"/>
  <c r="N297" i="5"/>
  <c r="O297" i="5" s="1"/>
  <c r="J297" i="5"/>
  <c r="H297" i="5"/>
  <c r="F297" i="5"/>
  <c r="E297" i="5"/>
  <c r="D297" i="5"/>
  <c r="C297" i="5"/>
  <c r="B297" i="5"/>
  <c r="Q296" i="5"/>
  <c r="N296" i="5"/>
  <c r="O296" i="5" s="1"/>
  <c r="J296" i="5"/>
  <c r="H296" i="5"/>
  <c r="F296" i="5"/>
  <c r="E296" i="5"/>
  <c r="D296" i="5"/>
  <c r="C296" i="5"/>
  <c r="B296" i="5"/>
  <c r="Q295" i="5"/>
  <c r="N295" i="5"/>
  <c r="O295" i="5" s="1"/>
  <c r="J295" i="5"/>
  <c r="H295" i="5"/>
  <c r="F295" i="5"/>
  <c r="E295" i="5"/>
  <c r="D295" i="5"/>
  <c r="C295" i="5"/>
  <c r="B295" i="5"/>
  <c r="Q294" i="5"/>
  <c r="N294" i="5"/>
  <c r="O294" i="5" s="1"/>
  <c r="J294" i="5"/>
  <c r="H294" i="5"/>
  <c r="F294" i="5"/>
  <c r="E294" i="5"/>
  <c r="D294" i="5"/>
  <c r="C294" i="5"/>
  <c r="B294" i="5"/>
  <c r="Q293" i="5"/>
  <c r="N293" i="5"/>
  <c r="O293" i="5" s="1"/>
  <c r="J293" i="5"/>
  <c r="H293" i="5"/>
  <c r="F293" i="5"/>
  <c r="E293" i="5"/>
  <c r="D293" i="5"/>
  <c r="C293" i="5"/>
  <c r="B293" i="5"/>
  <c r="Q292" i="5"/>
  <c r="N292" i="5"/>
  <c r="O292" i="5" s="1"/>
  <c r="J292" i="5"/>
  <c r="H292" i="5"/>
  <c r="F292" i="5"/>
  <c r="E292" i="5"/>
  <c r="D292" i="5"/>
  <c r="C292" i="5"/>
  <c r="B292" i="5"/>
  <c r="Q291" i="5"/>
  <c r="N291" i="5"/>
  <c r="O291" i="5" s="1"/>
  <c r="J291" i="5"/>
  <c r="H291" i="5"/>
  <c r="F291" i="5"/>
  <c r="E291" i="5"/>
  <c r="D291" i="5"/>
  <c r="C291" i="5"/>
  <c r="B291" i="5"/>
  <c r="Q290" i="5"/>
  <c r="N290" i="5"/>
  <c r="O290" i="5" s="1"/>
  <c r="J290" i="5"/>
  <c r="H290" i="5"/>
  <c r="F290" i="5"/>
  <c r="E290" i="5"/>
  <c r="D290" i="5"/>
  <c r="C290" i="5"/>
  <c r="B290" i="5"/>
  <c r="Q289" i="5"/>
  <c r="N289" i="5"/>
  <c r="O289" i="5" s="1"/>
  <c r="J289" i="5"/>
  <c r="H289" i="5"/>
  <c r="F289" i="5"/>
  <c r="E289" i="5"/>
  <c r="D289" i="5"/>
  <c r="C289" i="5"/>
  <c r="B289" i="5"/>
  <c r="Q288" i="5"/>
  <c r="N288" i="5"/>
  <c r="O288" i="5" s="1"/>
  <c r="J288" i="5"/>
  <c r="H288" i="5"/>
  <c r="F288" i="5"/>
  <c r="E288" i="5"/>
  <c r="D288" i="5"/>
  <c r="C288" i="5"/>
  <c r="B288" i="5"/>
  <c r="Q287" i="5"/>
  <c r="N287" i="5"/>
  <c r="O287" i="5" s="1"/>
  <c r="J287" i="5"/>
  <c r="H287" i="5"/>
  <c r="F287" i="5"/>
  <c r="E287" i="5"/>
  <c r="D287" i="5"/>
  <c r="C287" i="5"/>
  <c r="B287" i="5"/>
  <c r="Q286" i="5"/>
  <c r="N286" i="5"/>
  <c r="O286" i="5" s="1"/>
  <c r="J286" i="5"/>
  <c r="H286" i="5"/>
  <c r="F286" i="5"/>
  <c r="E286" i="5"/>
  <c r="D286" i="5"/>
  <c r="C286" i="5"/>
  <c r="B286" i="5"/>
  <c r="Q285" i="5"/>
  <c r="N285" i="5"/>
  <c r="O285" i="5" s="1"/>
  <c r="J285" i="5"/>
  <c r="H285" i="5"/>
  <c r="F285" i="5"/>
  <c r="E285" i="5"/>
  <c r="D285" i="5"/>
  <c r="C285" i="5"/>
  <c r="B285" i="5"/>
  <c r="Q284" i="5"/>
  <c r="N284" i="5"/>
  <c r="O284" i="5" s="1"/>
  <c r="J284" i="5"/>
  <c r="H284" i="5"/>
  <c r="F284" i="5"/>
  <c r="E284" i="5"/>
  <c r="D284" i="5"/>
  <c r="C284" i="5"/>
  <c r="B284" i="5"/>
  <c r="Q283" i="5"/>
  <c r="N283" i="5"/>
  <c r="O283" i="5" s="1"/>
  <c r="J283" i="5"/>
  <c r="H283" i="5"/>
  <c r="F283" i="5"/>
  <c r="E283" i="5"/>
  <c r="D283" i="5"/>
  <c r="C283" i="5"/>
  <c r="B283" i="5"/>
  <c r="Q282" i="5"/>
  <c r="N282" i="5"/>
  <c r="O282" i="5" s="1"/>
  <c r="J282" i="5"/>
  <c r="H282" i="5"/>
  <c r="F282" i="5"/>
  <c r="E282" i="5"/>
  <c r="D282" i="5"/>
  <c r="C282" i="5"/>
  <c r="B282" i="5"/>
  <c r="Q281" i="5"/>
  <c r="N281" i="5"/>
  <c r="O281" i="5" s="1"/>
  <c r="J281" i="5"/>
  <c r="H281" i="5"/>
  <c r="F281" i="5"/>
  <c r="E281" i="5"/>
  <c r="D281" i="5"/>
  <c r="C281" i="5"/>
  <c r="B281" i="5"/>
  <c r="Q280" i="5"/>
  <c r="N280" i="5"/>
  <c r="O280" i="5" s="1"/>
  <c r="J280" i="5"/>
  <c r="H280" i="5"/>
  <c r="F280" i="5"/>
  <c r="E280" i="5"/>
  <c r="D280" i="5"/>
  <c r="C280" i="5"/>
  <c r="B280" i="5"/>
  <c r="Q279" i="5"/>
  <c r="N279" i="5"/>
  <c r="O279" i="5" s="1"/>
  <c r="J279" i="5"/>
  <c r="H279" i="5"/>
  <c r="F279" i="5"/>
  <c r="E279" i="5"/>
  <c r="D279" i="5"/>
  <c r="C279" i="5"/>
  <c r="B279" i="5"/>
  <c r="Q278" i="5"/>
  <c r="N278" i="5"/>
  <c r="O278" i="5" s="1"/>
  <c r="J278" i="5"/>
  <c r="H278" i="5"/>
  <c r="F278" i="5"/>
  <c r="E278" i="5"/>
  <c r="D278" i="5"/>
  <c r="C278" i="5"/>
  <c r="B278" i="5"/>
  <c r="Q277" i="5"/>
  <c r="N277" i="5"/>
  <c r="O277" i="5" s="1"/>
  <c r="J277" i="5"/>
  <c r="H277" i="5"/>
  <c r="F277" i="5"/>
  <c r="E277" i="5"/>
  <c r="D277" i="5"/>
  <c r="C277" i="5"/>
  <c r="B277" i="5"/>
  <c r="Q276" i="5"/>
  <c r="N276" i="5"/>
  <c r="O276" i="5" s="1"/>
  <c r="J276" i="5"/>
  <c r="H276" i="5"/>
  <c r="F276" i="5"/>
  <c r="E276" i="5"/>
  <c r="D276" i="5"/>
  <c r="C276" i="5"/>
  <c r="B276" i="5"/>
  <c r="Q275" i="5"/>
  <c r="N275" i="5"/>
  <c r="O275" i="5" s="1"/>
  <c r="J275" i="5"/>
  <c r="H275" i="5"/>
  <c r="F275" i="5"/>
  <c r="E275" i="5"/>
  <c r="D275" i="5"/>
  <c r="C275" i="5"/>
  <c r="B275" i="5"/>
  <c r="Q274" i="5"/>
  <c r="N274" i="5"/>
  <c r="O274" i="5" s="1"/>
  <c r="J274" i="5"/>
  <c r="H274" i="5"/>
  <c r="F274" i="5"/>
  <c r="E274" i="5"/>
  <c r="D274" i="5"/>
  <c r="C274" i="5"/>
  <c r="B274" i="5"/>
  <c r="Q273" i="5"/>
  <c r="N273" i="5"/>
  <c r="O273" i="5" s="1"/>
  <c r="J273" i="5"/>
  <c r="H273" i="5"/>
  <c r="F273" i="5"/>
  <c r="E273" i="5"/>
  <c r="D273" i="5"/>
  <c r="C273" i="5"/>
  <c r="B273" i="5"/>
  <c r="Q272" i="5"/>
  <c r="N272" i="5"/>
  <c r="O272" i="5" s="1"/>
  <c r="J272" i="5"/>
  <c r="H272" i="5"/>
  <c r="F272" i="5"/>
  <c r="E272" i="5"/>
  <c r="D272" i="5"/>
  <c r="C272" i="5"/>
  <c r="B272" i="5"/>
  <c r="Q271" i="5"/>
  <c r="N271" i="5"/>
  <c r="O271" i="5" s="1"/>
  <c r="J271" i="5"/>
  <c r="H271" i="5"/>
  <c r="F271" i="5"/>
  <c r="E271" i="5"/>
  <c r="D271" i="5"/>
  <c r="C271" i="5"/>
  <c r="B271" i="5"/>
  <c r="Q270" i="5"/>
  <c r="N270" i="5"/>
  <c r="O270" i="5" s="1"/>
  <c r="J270" i="5"/>
  <c r="H270" i="5"/>
  <c r="F270" i="5"/>
  <c r="E270" i="5"/>
  <c r="D270" i="5"/>
  <c r="C270" i="5"/>
  <c r="B270" i="5"/>
  <c r="Q269" i="5"/>
  <c r="N269" i="5"/>
  <c r="O269" i="5" s="1"/>
  <c r="J269" i="5"/>
  <c r="H269" i="5"/>
  <c r="F269" i="5"/>
  <c r="E269" i="5"/>
  <c r="D269" i="5"/>
  <c r="C269" i="5"/>
  <c r="B269" i="5"/>
  <c r="Q268" i="5"/>
  <c r="N268" i="5"/>
  <c r="O268" i="5" s="1"/>
  <c r="J268" i="5"/>
  <c r="H268" i="5"/>
  <c r="F268" i="5"/>
  <c r="E268" i="5"/>
  <c r="D268" i="5"/>
  <c r="C268" i="5"/>
  <c r="B268" i="5"/>
  <c r="Q267" i="5"/>
  <c r="N267" i="5"/>
  <c r="O267" i="5" s="1"/>
  <c r="J267" i="5"/>
  <c r="H267" i="5"/>
  <c r="F267" i="5"/>
  <c r="E267" i="5"/>
  <c r="D267" i="5"/>
  <c r="C267" i="5"/>
  <c r="B267" i="5"/>
  <c r="Q266" i="5"/>
  <c r="N266" i="5"/>
  <c r="O266" i="5" s="1"/>
  <c r="J266" i="5"/>
  <c r="H266" i="5"/>
  <c r="F266" i="5"/>
  <c r="E266" i="5"/>
  <c r="D266" i="5"/>
  <c r="C266" i="5"/>
  <c r="B266" i="5"/>
  <c r="Q265" i="5"/>
  <c r="N265" i="5"/>
  <c r="O265" i="5" s="1"/>
  <c r="J265" i="5"/>
  <c r="H265" i="5"/>
  <c r="F265" i="5"/>
  <c r="E265" i="5"/>
  <c r="D265" i="5"/>
  <c r="C265" i="5"/>
  <c r="B265" i="5"/>
  <c r="Q264" i="5"/>
  <c r="N264" i="5"/>
  <c r="O264" i="5" s="1"/>
  <c r="J264" i="5"/>
  <c r="H264" i="5"/>
  <c r="F264" i="5"/>
  <c r="E264" i="5"/>
  <c r="D264" i="5"/>
  <c r="C264" i="5"/>
  <c r="B264" i="5"/>
  <c r="Q263" i="5"/>
  <c r="N263" i="5"/>
  <c r="O263" i="5" s="1"/>
  <c r="J263" i="5"/>
  <c r="H263" i="5"/>
  <c r="F263" i="5"/>
  <c r="E263" i="5"/>
  <c r="D263" i="5"/>
  <c r="C263" i="5"/>
  <c r="B263" i="5"/>
  <c r="Q262" i="5"/>
  <c r="N262" i="5"/>
  <c r="O262" i="5" s="1"/>
  <c r="J262" i="5"/>
  <c r="H262" i="5"/>
  <c r="F262" i="5"/>
  <c r="E262" i="5"/>
  <c r="D262" i="5"/>
  <c r="C262" i="5"/>
  <c r="B262" i="5"/>
  <c r="Q261" i="5"/>
  <c r="N261" i="5"/>
  <c r="O261" i="5" s="1"/>
  <c r="J261" i="5"/>
  <c r="H261" i="5"/>
  <c r="F261" i="5"/>
  <c r="E261" i="5"/>
  <c r="D261" i="5"/>
  <c r="C261" i="5"/>
  <c r="B261" i="5"/>
  <c r="Q260" i="5"/>
  <c r="N260" i="5"/>
  <c r="O260" i="5" s="1"/>
  <c r="J260" i="5"/>
  <c r="H260" i="5"/>
  <c r="F260" i="5"/>
  <c r="E260" i="5"/>
  <c r="D260" i="5"/>
  <c r="C260" i="5"/>
  <c r="B260" i="5"/>
  <c r="Q259" i="5"/>
  <c r="N259" i="5"/>
  <c r="O259" i="5" s="1"/>
  <c r="J259" i="5"/>
  <c r="H259" i="5"/>
  <c r="F259" i="5"/>
  <c r="E259" i="5"/>
  <c r="D259" i="5"/>
  <c r="C259" i="5"/>
  <c r="B259" i="5"/>
  <c r="Q258" i="5"/>
  <c r="N258" i="5"/>
  <c r="O258" i="5" s="1"/>
  <c r="J258" i="5"/>
  <c r="H258" i="5"/>
  <c r="F258" i="5"/>
  <c r="E258" i="5"/>
  <c r="D258" i="5"/>
  <c r="C258" i="5"/>
  <c r="B258" i="5"/>
  <c r="Q257" i="5"/>
  <c r="N257" i="5"/>
  <c r="O257" i="5" s="1"/>
  <c r="J257" i="5"/>
  <c r="H257" i="5"/>
  <c r="F257" i="5"/>
  <c r="E257" i="5"/>
  <c r="D257" i="5"/>
  <c r="C257" i="5"/>
  <c r="B257" i="5"/>
  <c r="Q256" i="5"/>
  <c r="N256" i="5"/>
  <c r="O256" i="5" s="1"/>
  <c r="J256" i="5"/>
  <c r="H256" i="5"/>
  <c r="F256" i="5"/>
  <c r="E256" i="5"/>
  <c r="D256" i="5"/>
  <c r="C256" i="5"/>
  <c r="B256" i="5"/>
  <c r="Q255" i="5"/>
  <c r="N255" i="5"/>
  <c r="O255" i="5" s="1"/>
  <c r="J255" i="5"/>
  <c r="H255" i="5"/>
  <c r="F255" i="5"/>
  <c r="E255" i="5"/>
  <c r="D255" i="5"/>
  <c r="C255" i="5"/>
  <c r="B255" i="5"/>
  <c r="Q254" i="5"/>
  <c r="N254" i="5"/>
  <c r="O254" i="5" s="1"/>
  <c r="J254" i="5"/>
  <c r="H254" i="5"/>
  <c r="F254" i="5"/>
  <c r="E254" i="5"/>
  <c r="D254" i="5"/>
  <c r="C254" i="5"/>
  <c r="B254" i="5"/>
  <c r="Q253" i="5"/>
  <c r="N253" i="5"/>
  <c r="O253" i="5" s="1"/>
  <c r="J253" i="5"/>
  <c r="H253" i="5"/>
  <c r="F253" i="5"/>
  <c r="E253" i="5"/>
  <c r="D253" i="5"/>
  <c r="C253" i="5"/>
  <c r="B253" i="5"/>
  <c r="Q252" i="5"/>
  <c r="N252" i="5"/>
  <c r="O252" i="5" s="1"/>
  <c r="J252" i="5"/>
  <c r="H252" i="5"/>
  <c r="F252" i="5"/>
  <c r="E252" i="5"/>
  <c r="D252" i="5"/>
  <c r="C252" i="5"/>
  <c r="B252" i="5"/>
  <c r="Q251" i="5"/>
  <c r="N251" i="5"/>
  <c r="O251" i="5" s="1"/>
  <c r="J251" i="5"/>
  <c r="H251" i="5"/>
  <c r="F251" i="5"/>
  <c r="E251" i="5"/>
  <c r="D251" i="5"/>
  <c r="C251" i="5"/>
  <c r="B251" i="5"/>
  <c r="Q250" i="5"/>
  <c r="N250" i="5"/>
  <c r="O250" i="5" s="1"/>
  <c r="J250" i="5"/>
  <c r="H250" i="5"/>
  <c r="F250" i="5"/>
  <c r="E250" i="5"/>
  <c r="D250" i="5"/>
  <c r="C250" i="5"/>
  <c r="B250" i="5"/>
  <c r="Q249" i="5"/>
  <c r="N249" i="5"/>
  <c r="O249" i="5" s="1"/>
  <c r="J249" i="5"/>
  <c r="H249" i="5"/>
  <c r="F249" i="5"/>
  <c r="E249" i="5"/>
  <c r="D249" i="5"/>
  <c r="C249" i="5"/>
  <c r="B249" i="5"/>
  <c r="Q248" i="5"/>
  <c r="N248" i="5"/>
  <c r="O248" i="5" s="1"/>
  <c r="J248" i="5"/>
  <c r="H248" i="5"/>
  <c r="F248" i="5"/>
  <c r="E248" i="5"/>
  <c r="D248" i="5"/>
  <c r="C248" i="5"/>
  <c r="B248" i="5"/>
  <c r="Q247" i="5"/>
  <c r="N247" i="5"/>
  <c r="O247" i="5" s="1"/>
  <c r="J247" i="5"/>
  <c r="H247" i="5"/>
  <c r="F247" i="5"/>
  <c r="E247" i="5"/>
  <c r="D247" i="5"/>
  <c r="C247" i="5"/>
  <c r="B247" i="5"/>
  <c r="Q246" i="5"/>
  <c r="N246" i="5"/>
  <c r="O246" i="5" s="1"/>
  <c r="J246" i="5"/>
  <c r="H246" i="5"/>
  <c r="F246" i="5"/>
  <c r="E246" i="5"/>
  <c r="D246" i="5"/>
  <c r="C246" i="5"/>
  <c r="B246" i="5"/>
  <c r="Q245" i="5"/>
  <c r="N245" i="5"/>
  <c r="O245" i="5" s="1"/>
  <c r="J245" i="5"/>
  <c r="H245" i="5"/>
  <c r="F245" i="5"/>
  <c r="E245" i="5"/>
  <c r="D245" i="5"/>
  <c r="C245" i="5"/>
  <c r="B245" i="5"/>
  <c r="Q244" i="5"/>
  <c r="N244" i="5"/>
  <c r="O244" i="5" s="1"/>
  <c r="J244" i="5"/>
  <c r="H244" i="5"/>
  <c r="F244" i="5"/>
  <c r="E244" i="5"/>
  <c r="D244" i="5"/>
  <c r="C244" i="5"/>
  <c r="B244" i="5"/>
  <c r="Q243" i="5"/>
  <c r="N243" i="5"/>
  <c r="O243" i="5" s="1"/>
  <c r="J243" i="5"/>
  <c r="H243" i="5"/>
  <c r="F243" i="5"/>
  <c r="E243" i="5"/>
  <c r="D243" i="5"/>
  <c r="C243" i="5"/>
  <c r="B243" i="5"/>
  <c r="Q242" i="5"/>
  <c r="N242" i="5"/>
  <c r="O242" i="5" s="1"/>
  <c r="J242" i="5"/>
  <c r="H242" i="5"/>
  <c r="F242" i="5"/>
  <c r="E242" i="5"/>
  <c r="D242" i="5"/>
  <c r="C242" i="5"/>
  <c r="B242" i="5"/>
  <c r="Q241" i="5"/>
  <c r="N241" i="5"/>
  <c r="O241" i="5" s="1"/>
  <c r="J241" i="5"/>
  <c r="H241" i="5"/>
  <c r="F241" i="5"/>
  <c r="E241" i="5"/>
  <c r="D241" i="5"/>
  <c r="C241" i="5"/>
  <c r="B241" i="5"/>
  <c r="Q240" i="5"/>
  <c r="N240" i="5"/>
  <c r="O240" i="5" s="1"/>
  <c r="J240" i="5"/>
  <c r="H240" i="5"/>
  <c r="F240" i="5"/>
  <c r="E240" i="5"/>
  <c r="D240" i="5"/>
  <c r="C240" i="5"/>
  <c r="B240" i="5"/>
  <c r="Q239" i="5"/>
  <c r="N239" i="5"/>
  <c r="O239" i="5" s="1"/>
  <c r="J239" i="5"/>
  <c r="H239" i="5"/>
  <c r="F239" i="5"/>
  <c r="E239" i="5"/>
  <c r="D239" i="5"/>
  <c r="C239" i="5"/>
  <c r="B239" i="5"/>
  <c r="Q238" i="5"/>
  <c r="N238" i="5"/>
  <c r="O238" i="5" s="1"/>
  <c r="J238" i="5"/>
  <c r="H238" i="5"/>
  <c r="F238" i="5"/>
  <c r="E238" i="5"/>
  <c r="D238" i="5"/>
  <c r="C238" i="5"/>
  <c r="B238" i="5"/>
  <c r="Q237" i="5"/>
  <c r="N237" i="5"/>
  <c r="O237" i="5" s="1"/>
  <c r="J237" i="5"/>
  <c r="H237" i="5"/>
  <c r="F237" i="5"/>
  <c r="E237" i="5"/>
  <c r="D237" i="5"/>
  <c r="C237" i="5"/>
  <c r="B237" i="5"/>
  <c r="Q236" i="5"/>
  <c r="N236" i="5"/>
  <c r="O236" i="5" s="1"/>
  <c r="J236" i="5"/>
  <c r="H236" i="5"/>
  <c r="F236" i="5"/>
  <c r="E236" i="5"/>
  <c r="D236" i="5"/>
  <c r="C236" i="5"/>
  <c r="B236" i="5"/>
  <c r="Q235" i="5"/>
  <c r="N235" i="5"/>
  <c r="O235" i="5" s="1"/>
  <c r="J235" i="5"/>
  <c r="H235" i="5"/>
  <c r="F235" i="5"/>
  <c r="E235" i="5"/>
  <c r="D235" i="5"/>
  <c r="C235" i="5"/>
  <c r="B235" i="5"/>
  <c r="Q234" i="5"/>
  <c r="N234" i="5"/>
  <c r="O234" i="5" s="1"/>
  <c r="J234" i="5"/>
  <c r="H234" i="5"/>
  <c r="F234" i="5"/>
  <c r="E234" i="5"/>
  <c r="D234" i="5"/>
  <c r="C234" i="5"/>
  <c r="B234" i="5"/>
  <c r="Q233" i="5"/>
  <c r="N233" i="5"/>
  <c r="O233" i="5" s="1"/>
  <c r="J233" i="5"/>
  <c r="H233" i="5"/>
  <c r="F233" i="5"/>
  <c r="E233" i="5"/>
  <c r="D233" i="5"/>
  <c r="C233" i="5"/>
  <c r="B233" i="5"/>
  <c r="Q232" i="5"/>
  <c r="N232" i="5"/>
  <c r="O232" i="5" s="1"/>
  <c r="J232" i="5"/>
  <c r="H232" i="5"/>
  <c r="F232" i="5"/>
  <c r="E232" i="5"/>
  <c r="D232" i="5"/>
  <c r="C232" i="5"/>
  <c r="B232" i="5"/>
  <c r="Q231" i="5"/>
  <c r="N231" i="5"/>
  <c r="O231" i="5" s="1"/>
  <c r="J231" i="5"/>
  <c r="H231" i="5"/>
  <c r="F231" i="5"/>
  <c r="E231" i="5"/>
  <c r="D231" i="5"/>
  <c r="C231" i="5"/>
  <c r="B231" i="5"/>
  <c r="Q230" i="5"/>
  <c r="N230" i="5"/>
  <c r="O230" i="5" s="1"/>
  <c r="J230" i="5"/>
  <c r="H230" i="5"/>
  <c r="F230" i="5"/>
  <c r="E230" i="5"/>
  <c r="D230" i="5"/>
  <c r="C230" i="5"/>
  <c r="B230" i="5"/>
  <c r="Q229" i="5"/>
  <c r="N229" i="5"/>
  <c r="O229" i="5" s="1"/>
  <c r="J229" i="5"/>
  <c r="H229" i="5"/>
  <c r="F229" i="5"/>
  <c r="E229" i="5"/>
  <c r="D229" i="5"/>
  <c r="C229" i="5"/>
  <c r="B229" i="5"/>
  <c r="Q228" i="5"/>
  <c r="N228" i="5"/>
  <c r="O228" i="5" s="1"/>
  <c r="J228" i="5"/>
  <c r="H228" i="5"/>
  <c r="F228" i="5"/>
  <c r="E228" i="5"/>
  <c r="D228" i="5"/>
  <c r="C228" i="5"/>
  <c r="B228" i="5"/>
  <c r="Q227" i="5"/>
  <c r="N227" i="5"/>
  <c r="O227" i="5" s="1"/>
  <c r="J227" i="5"/>
  <c r="H227" i="5"/>
  <c r="F227" i="5"/>
  <c r="E227" i="5"/>
  <c r="D227" i="5"/>
  <c r="C227" i="5"/>
  <c r="B227" i="5"/>
  <c r="Q226" i="5"/>
  <c r="N226" i="5"/>
  <c r="O226" i="5" s="1"/>
  <c r="J226" i="5"/>
  <c r="H226" i="5"/>
  <c r="F226" i="5"/>
  <c r="E226" i="5"/>
  <c r="D226" i="5"/>
  <c r="C226" i="5"/>
  <c r="B226" i="5"/>
  <c r="Q225" i="5"/>
  <c r="N225" i="5"/>
  <c r="O225" i="5" s="1"/>
  <c r="J225" i="5"/>
  <c r="H225" i="5"/>
  <c r="F225" i="5"/>
  <c r="E225" i="5"/>
  <c r="D225" i="5"/>
  <c r="C225" i="5"/>
  <c r="B225" i="5"/>
  <c r="Q224" i="5"/>
  <c r="N224" i="5"/>
  <c r="O224" i="5" s="1"/>
  <c r="J224" i="5"/>
  <c r="H224" i="5"/>
  <c r="F224" i="5"/>
  <c r="E224" i="5"/>
  <c r="D224" i="5"/>
  <c r="C224" i="5"/>
  <c r="B224" i="5"/>
  <c r="Q223" i="5"/>
  <c r="N223" i="5"/>
  <c r="O223" i="5" s="1"/>
  <c r="J223" i="5"/>
  <c r="H223" i="5"/>
  <c r="F223" i="5"/>
  <c r="E223" i="5"/>
  <c r="D223" i="5"/>
  <c r="C223" i="5"/>
  <c r="B223" i="5"/>
  <c r="Q222" i="5"/>
  <c r="N222" i="5"/>
  <c r="O222" i="5" s="1"/>
  <c r="J222" i="5"/>
  <c r="H222" i="5"/>
  <c r="F222" i="5"/>
  <c r="E222" i="5"/>
  <c r="D222" i="5"/>
  <c r="C222" i="5"/>
  <c r="B222" i="5"/>
  <c r="Q221" i="5"/>
  <c r="N221" i="5"/>
  <c r="O221" i="5" s="1"/>
  <c r="J221" i="5"/>
  <c r="H221" i="5"/>
  <c r="F221" i="5"/>
  <c r="E221" i="5"/>
  <c r="D221" i="5"/>
  <c r="C221" i="5"/>
  <c r="B221" i="5"/>
  <c r="Q220" i="5"/>
  <c r="N220" i="5"/>
  <c r="O220" i="5" s="1"/>
  <c r="J220" i="5"/>
  <c r="H220" i="5"/>
  <c r="F220" i="5"/>
  <c r="E220" i="5"/>
  <c r="D220" i="5"/>
  <c r="C220" i="5"/>
  <c r="B220" i="5"/>
  <c r="Q219" i="5"/>
  <c r="N219" i="5"/>
  <c r="O219" i="5" s="1"/>
  <c r="J219" i="5"/>
  <c r="H219" i="5"/>
  <c r="F219" i="5"/>
  <c r="E219" i="5"/>
  <c r="D219" i="5"/>
  <c r="C219" i="5"/>
  <c r="B219" i="5"/>
  <c r="Q218" i="5"/>
  <c r="N218" i="5"/>
  <c r="O218" i="5" s="1"/>
  <c r="J218" i="5"/>
  <c r="H218" i="5"/>
  <c r="F218" i="5"/>
  <c r="E218" i="5"/>
  <c r="D218" i="5"/>
  <c r="C218" i="5"/>
  <c r="B218" i="5"/>
  <c r="Q217" i="5"/>
  <c r="N217" i="5"/>
  <c r="O217" i="5" s="1"/>
  <c r="J217" i="5"/>
  <c r="H217" i="5"/>
  <c r="F217" i="5"/>
  <c r="E217" i="5"/>
  <c r="D217" i="5"/>
  <c r="C217" i="5"/>
  <c r="B217" i="5"/>
  <c r="Q216" i="5"/>
  <c r="N216" i="5"/>
  <c r="O216" i="5" s="1"/>
  <c r="J216" i="5"/>
  <c r="H216" i="5"/>
  <c r="F216" i="5"/>
  <c r="E216" i="5"/>
  <c r="D216" i="5"/>
  <c r="C216" i="5"/>
  <c r="B216" i="5"/>
  <c r="Q215" i="5"/>
  <c r="N215" i="5"/>
  <c r="O215" i="5" s="1"/>
  <c r="J215" i="5"/>
  <c r="H215" i="5"/>
  <c r="F215" i="5"/>
  <c r="E215" i="5"/>
  <c r="D215" i="5"/>
  <c r="C215" i="5"/>
  <c r="B215" i="5"/>
  <c r="Q214" i="5"/>
  <c r="N214" i="5"/>
  <c r="O214" i="5" s="1"/>
  <c r="J214" i="5"/>
  <c r="H214" i="5"/>
  <c r="F214" i="5"/>
  <c r="E214" i="5"/>
  <c r="D214" i="5"/>
  <c r="C214" i="5"/>
  <c r="B214" i="5"/>
  <c r="Q213" i="5"/>
  <c r="N213" i="5"/>
  <c r="O213" i="5" s="1"/>
  <c r="J213" i="5"/>
  <c r="H213" i="5"/>
  <c r="F213" i="5"/>
  <c r="E213" i="5"/>
  <c r="D213" i="5"/>
  <c r="C213" i="5"/>
  <c r="B213" i="5"/>
  <c r="Q212" i="5"/>
  <c r="N212" i="5"/>
  <c r="O212" i="5" s="1"/>
  <c r="J212" i="5"/>
  <c r="H212" i="5"/>
  <c r="F212" i="5"/>
  <c r="E212" i="5"/>
  <c r="D212" i="5"/>
  <c r="C212" i="5"/>
  <c r="B212" i="5"/>
  <c r="Q211" i="5"/>
  <c r="N211" i="5"/>
  <c r="O211" i="5" s="1"/>
  <c r="J211" i="5"/>
  <c r="H211" i="5"/>
  <c r="F211" i="5"/>
  <c r="E211" i="5"/>
  <c r="D211" i="5"/>
  <c r="C211" i="5"/>
  <c r="B211" i="5"/>
  <c r="Q210" i="5"/>
  <c r="N210" i="5"/>
  <c r="O210" i="5" s="1"/>
  <c r="J210" i="5"/>
  <c r="H210" i="5"/>
  <c r="F210" i="5"/>
  <c r="E210" i="5"/>
  <c r="D210" i="5"/>
  <c r="C210" i="5"/>
  <c r="B210" i="5"/>
  <c r="Q209" i="5"/>
  <c r="N209" i="5"/>
  <c r="O209" i="5" s="1"/>
  <c r="J209" i="5"/>
  <c r="H209" i="5"/>
  <c r="F209" i="5"/>
  <c r="E209" i="5"/>
  <c r="D209" i="5"/>
  <c r="C209" i="5"/>
  <c r="B209" i="5"/>
  <c r="Q208" i="5"/>
  <c r="N208" i="5"/>
  <c r="O208" i="5" s="1"/>
  <c r="J208" i="5"/>
  <c r="H208" i="5"/>
  <c r="F208" i="5"/>
  <c r="E208" i="5"/>
  <c r="D208" i="5"/>
  <c r="C208" i="5"/>
  <c r="B208" i="5"/>
  <c r="Q207" i="5"/>
  <c r="N207" i="5"/>
  <c r="O207" i="5" s="1"/>
  <c r="J207" i="5"/>
  <c r="H207" i="5"/>
  <c r="F207" i="5"/>
  <c r="E207" i="5"/>
  <c r="D207" i="5"/>
  <c r="C207" i="5"/>
  <c r="B207" i="5"/>
  <c r="Q206" i="5"/>
  <c r="N206" i="5"/>
  <c r="O206" i="5" s="1"/>
  <c r="J206" i="5"/>
  <c r="H206" i="5"/>
  <c r="F206" i="5"/>
  <c r="E206" i="5"/>
  <c r="D206" i="5"/>
  <c r="C206" i="5"/>
  <c r="B206" i="5"/>
  <c r="Q205" i="5"/>
  <c r="N205" i="5"/>
  <c r="O205" i="5" s="1"/>
  <c r="J205" i="5"/>
  <c r="H205" i="5"/>
  <c r="F205" i="5"/>
  <c r="E205" i="5"/>
  <c r="D205" i="5"/>
  <c r="C205" i="5"/>
  <c r="B205" i="5"/>
  <c r="Q204" i="5"/>
  <c r="N204" i="5"/>
  <c r="O204" i="5" s="1"/>
  <c r="J204" i="5"/>
  <c r="H204" i="5"/>
  <c r="F204" i="5"/>
  <c r="E204" i="5"/>
  <c r="D204" i="5"/>
  <c r="C204" i="5"/>
  <c r="B204" i="5"/>
  <c r="Q203" i="5"/>
  <c r="N203" i="5"/>
  <c r="O203" i="5" s="1"/>
  <c r="J203" i="5"/>
  <c r="H203" i="5"/>
  <c r="F203" i="5"/>
  <c r="E203" i="5"/>
  <c r="D203" i="5"/>
  <c r="C203" i="5"/>
  <c r="B203" i="5"/>
  <c r="Q202" i="5"/>
  <c r="N202" i="5"/>
  <c r="O202" i="5" s="1"/>
  <c r="J202" i="5"/>
  <c r="H202" i="5"/>
  <c r="F202" i="5"/>
  <c r="E202" i="5"/>
  <c r="D202" i="5"/>
  <c r="C202" i="5"/>
  <c r="B202" i="5"/>
  <c r="Q201" i="5"/>
  <c r="N201" i="5"/>
  <c r="O201" i="5" s="1"/>
  <c r="J201" i="5"/>
  <c r="H201" i="5"/>
  <c r="F201" i="5"/>
  <c r="E201" i="5"/>
  <c r="D201" i="5"/>
  <c r="C201" i="5"/>
  <c r="B201" i="5"/>
  <c r="Q200" i="5"/>
  <c r="N200" i="5"/>
  <c r="O200" i="5" s="1"/>
  <c r="J200" i="5"/>
  <c r="H200" i="5"/>
  <c r="F200" i="5"/>
  <c r="E200" i="5"/>
  <c r="D200" i="5"/>
  <c r="C200" i="5"/>
  <c r="B200" i="5"/>
  <c r="Q199" i="5"/>
  <c r="N199" i="5"/>
  <c r="O199" i="5" s="1"/>
  <c r="J199" i="5"/>
  <c r="H199" i="5"/>
  <c r="F199" i="5"/>
  <c r="E199" i="5"/>
  <c r="D199" i="5"/>
  <c r="C199" i="5"/>
  <c r="B199" i="5"/>
  <c r="Q198" i="5"/>
  <c r="N198" i="5"/>
  <c r="O198" i="5" s="1"/>
  <c r="J198" i="5"/>
  <c r="H198" i="5"/>
  <c r="F198" i="5"/>
  <c r="E198" i="5"/>
  <c r="D198" i="5"/>
  <c r="C198" i="5"/>
  <c r="B198" i="5"/>
  <c r="Q197" i="5"/>
  <c r="N197" i="5"/>
  <c r="O197" i="5" s="1"/>
  <c r="J197" i="5"/>
  <c r="H197" i="5"/>
  <c r="F197" i="5"/>
  <c r="E197" i="5"/>
  <c r="D197" i="5"/>
  <c r="C197" i="5"/>
  <c r="B197" i="5"/>
  <c r="Q196" i="5"/>
  <c r="N196" i="5"/>
  <c r="O196" i="5" s="1"/>
  <c r="J196" i="5"/>
  <c r="H196" i="5"/>
  <c r="F196" i="5"/>
  <c r="E196" i="5"/>
  <c r="D196" i="5"/>
  <c r="C196" i="5"/>
  <c r="B196" i="5"/>
  <c r="Q195" i="5"/>
  <c r="N195" i="5"/>
  <c r="O195" i="5" s="1"/>
  <c r="J195" i="5"/>
  <c r="H195" i="5"/>
  <c r="F195" i="5"/>
  <c r="E195" i="5"/>
  <c r="D195" i="5"/>
  <c r="C195" i="5"/>
  <c r="B195" i="5"/>
  <c r="Q194" i="5"/>
  <c r="N194" i="5"/>
  <c r="O194" i="5" s="1"/>
  <c r="J194" i="5"/>
  <c r="H194" i="5"/>
  <c r="F194" i="5"/>
  <c r="E194" i="5"/>
  <c r="D194" i="5"/>
  <c r="C194" i="5"/>
  <c r="B194" i="5"/>
  <c r="Q193" i="5"/>
  <c r="N193" i="5"/>
  <c r="O193" i="5" s="1"/>
  <c r="J193" i="5"/>
  <c r="H193" i="5"/>
  <c r="F193" i="5"/>
  <c r="E193" i="5"/>
  <c r="D193" i="5"/>
  <c r="C193" i="5"/>
  <c r="B193" i="5"/>
  <c r="Q192" i="5"/>
  <c r="N192" i="5"/>
  <c r="O192" i="5" s="1"/>
  <c r="J192" i="5"/>
  <c r="H192" i="5"/>
  <c r="F192" i="5"/>
  <c r="E192" i="5"/>
  <c r="D192" i="5"/>
  <c r="C192" i="5"/>
  <c r="B192" i="5"/>
  <c r="Q191" i="5"/>
  <c r="N191" i="5"/>
  <c r="O191" i="5" s="1"/>
  <c r="J191" i="5"/>
  <c r="H191" i="5"/>
  <c r="F191" i="5"/>
  <c r="E191" i="5"/>
  <c r="D191" i="5"/>
  <c r="C191" i="5"/>
  <c r="B191" i="5"/>
  <c r="Q190" i="5"/>
  <c r="N190" i="5"/>
  <c r="O190" i="5" s="1"/>
  <c r="J190" i="5"/>
  <c r="H190" i="5"/>
  <c r="F190" i="5"/>
  <c r="E190" i="5"/>
  <c r="D190" i="5"/>
  <c r="C190" i="5"/>
  <c r="B190" i="5"/>
  <c r="Q189" i="5"/>
  <c r="N189" i="5"/>
  <c r="O189" i="5" s="1"/>
  <c r="J189" i="5"/>
  <c r="H189" i="5"/>
  <c r="F189" i="5"/>
  <c r="E189" i="5"/>
  <c r="D189" i="5"/>
  <c r="C189" i="5"/>
  <c r="B189" i="5"/>
  <c r="Q188" i="5"/>
  <c r="N188" i="5"/>
  <c r="O188" i="5" s="1"/>
  <c r="J188" i="5"/>
  <c r="H188" i="5"/>
  <c r="F188" i="5"/>
  <c r="E188" i="5"/>
  <c r="D188" i="5"/>
  <c r="C188" i="5"/>
  <c r="B188" i="5"/>
  <c r="Q187" i="5"/>
  <c r="N187" i="5"/>
  <c r="O187" i="5" s="1"/>
  <c r="J187" i="5"/>
  <c r="H187" i="5"/>
  <c r="F187" i="5"/>
  <c r="E187" i="5"/>
  <c r="D187" i="5"/>
  <c r="C187" i="5"/>
  <c r="B187" i="5"/>
  <c r="Q186" i="5"/>
  <c r="N186" i="5"/>
  <c r="O186" i="5" s="1"/>
  <c r="J186" i="5"/>
  <c r="H186" i="5"/>
  <c r="F186" i="5"/>
  <c r="E186" i="5"/>
  <c r="D186" i="5"/>
  <c r="C186" i="5"/>
  <c r="B186" i="5"/>
  <c r="Q185" i="5"/>
  <c r="N185" i="5"/>
  <c r="O185" i="5" s="1"/>
  <c r="J185" i="5"/>
  <c r="H185" i="5"/>
  <c r="F185" i="5"/>
  <c r="E185" i="5"/>
  <c r="D185" i="5"/>
  <c r="C185" i="5"/>
  <c r="B185" i="5"/>
  <c r="Q184" i="5"/>
  <c r="N184" i="5"/>
  <c r="O184" i="5" s="1"/>
  <c r="J184" i="5"/>
  <c r="H184" i="5"/>
  <c r="F184" i="5"/>
  <c r="E184" i="5"/>
  <c r="D184" i="5"/>
  <c r="C184" i="5"/>
  <c r="B184" i="5"/>
  <c r="Q183" i="5"/>
  <c r="N183" i="5"/>
  <c r="O183" i="5" s="1"/>
  <c r="J183" i="5"/>
  <c r="H183" i="5"/>
  <c r="F183" i="5"/>
  <c r="E183" i="5"/>
  <c r="D183" i="5"/>
  <c r="C183" i="5"/>
  <c r="B183" i="5"/>
  <c r="Q182" i="5"/>
  <c r="N182" i="5"/>
  <c r="O182" i="5" s="1"/>
  <c r="J182" i="5"/>
  <c r="H182" i="5"/>
  <c r="F182" i="5"/>
  <c r="E182" i="5"/>
  <c r="D182" i="5"/>
  <c r="C182" i="5"/>
  <c r="B182" i="5"/>
  <c r="Q181" i="5"/>
  <c r="N181" i="5"/>
  <c r="O181" i="5" s="1"/>
  <c r="J181" i="5"/>
  <c r="H181" i="5"/>
  <c r="F181" i="5"/>
  <c r="E181" i="5"/>
  <c r="D181" i="5"/>
  <c r="C181" i="5"/>
  <c r="B181" i="5"/>
  <c r="Q180" i="5"/>
  <c r="N180" i="5"/>
  <c r="O180" i="5" s="1"/>
  <c r="J180" i="5"/>
  <c r="H180" i="5"/>
  <c r="F180" i="5"/>
  <c r="E180" i="5"/>
  <c r="D180" i="5"/>
  <c r="C180" i="5"/>
  <c r="B180" i="5"/>
  <c r="Q179" i="5"/>
  <c r="N179" i="5"/>
  <c r="O179" i="5" s="1"/>
  <c r="J179" i="5"/>
  <c r="H179" i="5"/>
  <c r="F179" i="5"/>
  <c r="E179" i="5"/>
  <c r="D179" i="5"/>
  <c r="C179" i="5"/>
  <c r="B179" i="5"/>
  <c r="Q178" i="5"/>
  <c r="N178" i="5"/>
  <c r="O178" i="5" s="1"/>
  <c r="J178" i="5"/>
  <c r="H178" i="5"/>
  <c r="F178" i="5"/>
  <c r="E178" i="5"/>
  <c r="D178" i="5"/>
  <c r="C178" i="5"/>
  <c r="B178" i="5"/>
  <c r="Q177" i="5"/>
  <c r="N177" i="5"/>
  <c r="O177" i="5" s="1"/>
  <c r="J177" i="5"/>
  <c r="H177" i="5"/>
  <c r="F177" i="5"/>
  <c r="E177" i="5"/>
  <c r="D177" i="5"/>
  <c r="C177" i="5"/>
  <c r="B177" i="5"/>
  <c r="Q176" i="5"/>
  <c r="N176" i="5"/>
  <c r="O176" i="5" s="1"/>
  <c r="J176" i="5"/>
  <c r="H176" i="5"/>
  <c r="F176" i="5"/>
  <c r="E176" i="5"/>
  <c r="D176" i="5"/>
  <c r="C176" i="5"/>
  <c r="B176" i="5"/>
  <c r="Q175" i="5"/>
  <c r="N175" i="5"/>
  <c r="O175" i="5" s="1"/>
  <c r="J175" i="5"/>
  <c r="H175" i="5"/>
  <c r="F175" i="5"/>
  <c r="E175" i="5"/>
  <c r="D175" i="5"/>
  <c r="C175" i="5"/>
  <c r="B175" i="5"/>
  <c r="Q174" i="5"/>
  <c r="N174" i="5"/>
  <c r="O174" i="5" s="1"/>
  <c r="J174" i="5"/>
  <c r="H174" i="5"/>
  <c r="F174" i="5"/>
  <c r="E174" i="5"/>
  <c r="D174" i="5"/>
  <c r="C174" i="5"/>
  <c r="B174" i="5"/>
  <c r="Q173" i="5"/>
  <c r="N173" i="5"/>
  <c r="O173" i="5" s="1"/>
  <c r="J173" i="5"/>
  <c r="H173" i="5"/>
  <c r="F173" i="5"/>
  <c r="E173" i="5"/>
  <c r="D173" i="5"/>
  <c r="C173" i="5"/>
  <c r="B173" i="5"/>
  <c r="Q172" i="5"/>
  <c r="N172" i="5"/>
  <c r="O172" i="5" s="1"/>
  <c r="J172" i="5"/>
  <c r="H172" i="5"/>
  <c r="F172" i="5"/>
  <c r="E172" i="5"/>
  <c r="D172" i="5"/>
  <c r="C172" i="5"/>
  <c r="B172" i="5"/>
  <c r="Q171" i="5"/>
  <c r="N171" i="5"/>
  <c r="O171" i="5" s="1"/>
  <c r="J171" i="5"/>
  <c r="H171" i="5"/>
  <c r="F171" i="5"/>
  <c r="E171" i="5"/>
  <c r="D171" i="5"/>
  <c r="C171" i="5"/>
  <c r="B171" i="5"/>
  <c r="Q170" i="5"/>
  <c r="N170" i="5"/>
  <c r="O170" i="5" s="1"/>
  <c r="J170" i="5"/>
  <c r="H170" i="5"/>
  <c r="F170" i="5"/>
  <c r="E170" i="5"/>
  <c r="D170" i="5"/>
  <c r="C170" i="5"/>
  <c r="B170" i="5"/>
  <c r="Q169" i="5"/>
  <c r="N169" i="5"/>
  <c r="O169" i="5" s="1"/>
  <c r="J169" i="5"/>
  <c r="H169" i="5"/>
  <c r="F169" i="5"/>
  <c r="E169" i="5"/>
  <c r="D169" i="5"/>
  <c r="C169" i="5"/>
  <c r="B169" i="5"/>
  <c r="Q168" i="5"/>
  <c r="N168" i="5"/>
  <c r="O168" i="5" s="1"/>
  <c r="J168" i="5"/>
  <c r="H168" i="5"/>
  <c r="F168" i="5"/>
  <c r="E168" i="5"/>
  <c r="D168" i="5"/>
  <c r="C168" i="5"/>
  <c r="B168" i="5"/>
  <c r="Q167" i="5"/>
  <c r="N167" i="5"/>
  <c r="O167" i="5" s="1"/>
  <c r="J167" i="5"/>
  <c r="H167" i="5"/>
  <c r="F167" i="5"/>
  <c r="E167" i="5"/>
  <c r="D167" i="5"/>
  <c r="C167" i="5"/>
  <c r="B167" i="5"/>
  <c r="Q166" i="5"/>
  <c r="N166" i="5"/>
  <c r="O166" i="5" s="1"/>
  <c r="J166" i="5"/>
  <c r="H166" i="5"/>
  <c r="F166" i="5"/>
  <c r="E166" i="5"/>
  <c r="D166" i="5"/>
  <c r="C166" i="5"/>
  <c r="B166" i="5"/>
  <c r="Q165" i="5"/>
  <c r="N165" i="5"/>
  <c r="O165" i="5" s="1"/>
  <c r="J165" i="5"/>
  <c r="H165" i="5"/>
  <c r="F165" i="5"/>
  <c r="E165" i="5"/>
  <c r="D165" i="5"/>
  <c r="C165" i="5"/>
  <c r="B165" i="5"/>
  <c r="Q164" i="5"/>
  <c r="N164" i="5"/>
  <c r="O164" i="5" s="1"/>
  <c r="J164" i="5"/>
  <c r="H164" i="5"/>
  <c r="F164" i="5"/>
  <c r="E164" i="5"/>
  <c r="D164" i="5"/>
  <c r="C164" i="5"/>
  <c r="B164" i="5"/>
  <c r="Q163" i="5"/>
  <c r="N163" i="5"/>
  <c r="O163" i="5" s="1"/>
  <c r="J163" i="5"/>
  <c r="H163" i="5"/>
  <c r="F163" i="5"/>
  <c r="E163" i="5"/>
  <c r="D163" i="5"/>
  <c r="C163" i="5"/>
  <c r="B163" i="5"/>
  <c r="Q162" i="5"/>
  <c r="N162" i="5"/>
  <c r="O162" i="5" s="1"/>
  <c r="J162" i="5"/>
  <c r="H162" i="5"/>
  <c r="F162" i="5"/>
  <c r="E162" i="5"/>
  <c r="D162" i="5"/>
  <c r="C162" i="5"/>
  <c r="B162" i="5"/>
  <c r="Q161" i="5"/>
  <c r="N161" i="5"/>
  <c r="O161" i="5" s="1"/>
  <c r="J161" i="5"/>
  <c r="H161" i="5"/>
  <c r="F161" i="5"/>
  <c r="E161" i="5"/>
  <c r="D161" i="5"/>
  <c r="C161" i="5"/>
  <c r="B161" i="5"/>
  <c r="Q160" i="5"/>
  <c r="N160" i="5"/>
  <c r="O160" i="5" s="1"/>
  <c r="J160" i="5"/>
  <c r="H160" i="5"/>
  <c r="F160" i="5"/>
  <c r="E160" i="5"/>
  <c r="D160" i="5"/>
  <c r="C160" i="5"/>
  <c r="B160" i="5"/>
  <c r="Q159" i="5"/>
  <c r="N159" i="5"/>
  <c r="O159" i="5" s="1"/>
  <c r="J159" i="5"/>
  <c r="H159" i="5"/>
  <c r="F159" i="5"/>
  <c r="E159" i="5"/>
  <c r="D159" i="5"/>
  <c r="C159" i="5"/>
  <c r="B159" i="5"/>
  <c r="Q158" i="5"/>
  <c r="N158" i="5"/>
  <c r="O158" i="5" s="1"/>
  <c r="J158" i="5"/>
  <c r="H158" i="5"/>
  <c r="E158" i="5"/>
  <c r="D158" i="5"/>
  <c r="C158" i="5"/>
  <c r="B158" i="5"/>
  <c r="Q157" i="5"/>
  <c r="N157" i="5"/>
  <c r="O157" i="5" s="1"/>
  <c r="J157" i="5"/>
  <c r="H157" i="5"/>
  <c r="E157" i="5"/>
  <c r="D157" i="5"/>
  <c r="C157" i="5"/>
  <c r="B157" i="5"/>
  <c r="Q156" i="5"/>
  <c r="N156" i="5"/>
  <c r="O156" i="5" s="1"/>
  <c r="J156" i="5"/>
  <c r="H156" i="5"/>
  <c r="E156" i="5"/>
  <c r="D156" i="5"/>
  <c r="C156" i="5"/>
  <c r="B156" i="5"/>
  <c r="Q155" i="5"/>
  <c r="N155" i="5"/>
  <c r="O155" i="5" s="1"/>
  <c r="J155" i="5"/>
  <c r="H155" i="5"/>
  <c r="E155" i="5"/>
  <c r="D155" i="5"/>
  <c r="C155" i="5"/>
  <c r="B155" i="5"/>
  <c r="Q154" i="5"/>
  <c r="N154" i="5"/>
  <c r="O154" i="5" s="1"/>
  <c r="J154" i="5"/>
  <c r="H154" i="5"/>
  <c r="E154" i="5"/>
  <c r="D154" i="5"/>
  <c r="C154" i="5"/>
  <c r="B154" i="5"/>
  <c r="Q153" i="5"/>
  <c r="N153" i="5"/>
  <c r="O153" i="5" s="1"/>
  <c r="J153" i="5"/>
  <c r="H153" i="5"/>
  <c r="E153" i="5"/>
  <c r="D153" i="5"/>
  <c r="C153" i="5"/>
  <c r="B153" i="5"/>
  <c r="Q152" i="5"/>
  <c r="N152" i="5"/>
  <c r="O152" i="5" s="1"/>
  <c r="J152" i="5"/>
  <c r="H152" i="5"/>
  <c r="E152" i="5"/>
  <c r="D152" i="5"/>
  <c r="C152" i="5"/>
  <c r="B152" i="5"/>
  <c r="Q151" i="5"/>
  <c r="N151" i="5"/>
  <c r="O151" i="5" s="1"/>
  <c r="J151" i="5"/>
  <c r="H151" i="5"/>
  <c r="E151" i="5"/>
  <c r="D151" i="5"/>
  <c r="C151" i="5"/>
  <c r="B151" i="5"/>
  <c r="Q150" i="5"/>
  <c r="N150" i="5"/>
  <c r="O150" i="5" s="1"/>
  <c r="J150" i="5"/>
  <c r="H150" i="5"/>
  <c r="E150" i="5"/>
  <c r="D150" i="5"/>
  <c r="C150" i="5"/>
  <c r="B150" i="5"/>
  <c r="Q149" i="5"/>
  <c r="N149" i="5"/>
  <c r="O149" i="5" s="1"/>
  <c r="J149" i="5"/>
  <c r="H149" i="5"/>
  <c r="E149" i="5"/>
  <c r="D149" i="5"/>
  <c r="C149" i="5"/>
  <c r="B149" i="5"/>
  <c r="Q148" i="5"/>
  <c r="N148" i="5"/>
  <c r="O148" i="5" s="1"/>
  <c r="J148" i="5"/>
  <c r="H148" i="5"/>
  <c r="E148" i="5"/>
  <c r="D148" i="5"/>
  <c r="C148" i="5"/>
  <c r="B148" i="5"/>
  <c r="Q147" i="5"/>
  <c r="N147" i="5"/>
  <c r="O147" i="5" s="1"/>
  <c r="J147" i="5"/>
  <c r="H147" i="5"/>
  <c r="E147" i="5"/>
  <c r="D147" i="5"/>
  <c r="C147" i="5"/>
  <c r="B147" i="5"/>
  <c r="Q146" i="5"/>
  <c r="N146" i="5"/>
  <c r="O146" i="5" s="1"/>
  <c r="J146" i="5"/>
  <c r="H146" i="5"/>
  <c r="E146" i="5"/>
  <c r="D146" i="5"/>
  <c r="C146" i="5"/>
  <c r="B146" i="5"/>
  <c r="Q145" i="5"/>
  <c r="N145" i="5"/>
  <c r="O145" i="5" s="1"/>
  <c r="J145" i="5"/>
  <c r="H145" i="5"/>
  <c r="E145" i="5"/>
  <c r="D145" i="5"/>
  <c r="C145" i="5"/>
  <c r="B145" i="5"/>
  <c r="Q144" i="5"/>
  <c r="N144" i="5"/>
  <c r="O144" i="5" s="1"/>
  <c r="J144" i="5"/>
  <c r="H144" i="5"/>
  <c r="E144" i="5"/>
  <c r="D144" i="5"/>
  <c r="C144" i="5"/>
  <c r="B144" i="5"/>
  <c r="Q143" i="5"/>
  <c r="N143" i="5"/>
  <c r="O143" i="5" s="1"/>
  <c r="J143" i="5"/>
  <c r="H143" i="5"/>
  <c r="E143" i="5"/>
  <c r="D143" i="5"/>
  <c r="C143" i="5"/>
  <c r="B143" i="5"/>
  <c r="Q142" i="5"/>
  <c r="N142" i="5"/>
  <c r="O142" i="5" s="1"/>
  <c r="J142" i="5"/>
  <c r="H142" i="5"/>
  <c r="E142" i="5"/>
  <c r="D142" i="5"/>
  <c r="C142" i="5"/>
  <c r="B142" i="5"/>
  <c r="Q141" i="5"/>
  <c r="N141" i="5"/>
  <c r="O141" i="5" s="1"/>
  <c r="J141" i="5"/>
  <c r="H141" i="5"/>
  <c r="E141" i="5"/>
  <c r="D141" i="5"/>
  <c r="C141" i="5"/>
  <c r="B141" i="5"/>
  <c r="Q140" i="5"/>
  <c r="N140" i="5"/>
  <c r="O140" i="5" s="1"/>
  <c r="J140" i="5"/>
  <c r="H140" i="5"/>
  <c r="E140" i="5"/>
  <c r="D140" i="5"/>
  <c r="C140" i="5"/>
  <c r="B140" i="5"/>
  <c r="Q139" i="5"/>
  <c r="N139" i="5"/>
  <c r="O139" i="5" s="1"/>
  <c r="J139" i="5"/>
  <c r="H139" i="5"/>
  <c r="E139" i="5"/>
  <c r="D139" i="5"/>
  <c r="C139" i="5"/>
  <c r="B139" i="5"/>
  <c r="Q138" i="5"/>
  <c r="N138" i="5"/>
  <c r="O138" i="5" s="1"/>
  <c r="J138" i="5"/>
  <c r="H138" i="5"/>
  <c r="E138" i="5"/>
  <c r="D138" i="5"/>
  <c r="C138" i="5"/>
  <c r="B138" i="5"/>
  <c r="Q137" i="5"/>
  <c r="N137" i="5"/>
  <c r="O137" i="5" s="1"/>
  <c r="J137" i="5"/>
  <c r="H137" i="5"/>
  <c r="E137" i="5"/>
  <c r="D137" i="5"/>
  <c r="C137" i="5"/>
  <c r="B137" i="5"/>
  <c r="Q136" i="5"/>
  <c r="N136" i="5"/>
  <c r="O136" i="5" s="1"/>
  <c r="J136" i="5"/>
  <c r="H136" i="5"/>
  <c r="E136" i="5"/>
  <c r="D136" i="5"/>
  <c r="C136" i="5"/>
  <c r="B136" i="5"/>
  <c r="Q135" i="5"/>
  <c r="N135" i="5"/>
  <c r="O135" i="5" s="1"/>
  <c r="J135" i="5"/>
  <c r="H135" i="5"/>
  <c r="E135" i="5"/>
  <c r="D135" i="5"/>
  <c r="C135" i="5"/>
  <c r="B135" i="5"/>
  <c r="Q134" i="5"/>
  <c r="N134" i="5"/>
  <c r="O134" i="5" s="1"/>
  <c r="J134" i="5"/>
  <c r="H134" i="5"/>
  <c r="E134" i="5"/>
  <c r="D134" i="5"/>
  <c r="C134" i="5"/>
  <c r="B134" i="5"/>
  <c r="Q133" i="5"/>
  <c r="N133" i="5"/>
  <c r="O133" i="5" s="1"/>
  <c r="J133" i="5"/>
  <c r="H133" i="5"/>
  <c r="E133" i="5"/>
  <c r="D133" i="5"/>
  <c r="C133" i="5"/>
  <c r="B133" i="5"/>
  <c r="Q132" i="5"/>
  <c r="N132" i="5"/>
  <c r="O132" i="5" s="1"/>
  <c r="J132" i="5"/>
  <c r="H132" i="5"/>
  <c r="E132" i="5"/>
  <c r="D132" i="5"/>
  <c r="C132" i="5"/>
  <c r="B132" i="5"/>
  <c r="Q131" i="5"/>
  <c r="N131" i="5"/>
  <c r="O131" i="5" s="1"/>
  <c r="J131" i="5"/>
  <c r="H131" i="5"/>
  <c r="E131" i="5"/>
  <c r="D131" i="5"/>
  <c r="C131" i="5"/>
  <c r="B131" i="5"/>
  <c r="Q130" i="5"/>
  <c r="N130" i="5"/>
  <c r="O130" i="5" s="1"/>
  <c r="J130" i="5"/>
  <c r="H130" i="5"/>
  <c r="E130" i="5"/>
  <c r="D130" i="5"/>
  <c r="C130" i="5"/>
  <c r="B130" i="5"/>
  <c r="Q129" i="5"/>
  <c r="N129" i="5"/>
  <c r="O129" i="5" s="1"/>
  <c r="J129" i="5"/>
  <c r="H129" i="5"/>
  <c r="E129" i="5"/>
  <c r="D129" i="5"/>
  <c r="C129" i="5"/>
  <c r="B129" i="5"/>
  <c r="Q128" i="5"/>
  <c r="N128" i="5"/>
  <c r="O128" i="5" s="1"/>
  <c r="J128" i="5"/>
  <c r="H128" i="5"/>
  <c r="E128" i="5"/>
  <c r="D128" i="5"/>
  <c r="C128" i="5"/>
  <c r="B128" i="5"/>
  <c r="Q127" i="5"/>
  <c r="N127" i="5"/>
  <c r="O127" i="5" s="1"/>
  <c r="J127" i="5"/>
  <c r="H127" i="5"/>
  <c r="E127" i="5"/>
  <c r="D127" i="5"/>
  <c r="C127" i="5"/>
  <c r="B127" i="5"/>
  <c r="Q126" i="5"/>
  <c r="N126" i="5"/>
  <c r="O126" i="5" s="1"/>
  <c r="J126" i="5"/>
  <c r="H126" i="5"/>
  <c r="E126" i="5"/>
  <c r="D126" i="5"/>
  <c r="C126" i="5"/>
  <c r="B126" i="5"/>
  <c r="Q125" i="5"/>
  <c r="N125" i="5"/>
  <c r="O125" i="5" s="1"/>
  <c r="J125" i="5"/>
  <c r="H125" i="5"/>
  <c r="E125" i="5"/>
  <c r="D125" i="5"/>
  <c r="C125" i="5"/>
  <c r="B125" i="5"/>
  <c r="Q124" i="5"/>
  <c r="N124" i="5"/>
  <c r="O124" i="5" s="1"/>
  <c r="J124" i="5"/>
  <c r="H124" i="5"/>
  <c r="E124" i="5"/>
  <c r="D124" i="5"/>
  <c r="C124" i="5"/>
  <c r="B124" i="5"/>
  <c r="Q123" i="5"/>
  <c r="N123" i="5"/>
  <c r="O123" i="5" s="1"/>
  <c r="J123" i="5"/>
  <c r="H123" i="5"/>
  <c r="E123" i="5"/>
  <c r="D123" i="5"/>
  <c r="C123" i="5"/>
  <c r="B123" i="5"/>
  <c r="Q122" i="5"/>
  <c r="N122" i="5"/>
  <c r="O122" i="5" s="1"/>
  <c r="J122" i="5"/>
  <c r="H122" i="5"/>
  <c r="E122" i="5"/>
  <c r="D122" i="5"/>
  <c r="C122" i="5"/>
  <c r="B122" i="5"/>
  <c r="Q121" i="5"/>
  <c r="N121" i="5"/>
  <c r="O121" i="5" s="1"/>
  <c r="J121" i="5"/>
  <c r="H121" i="5"/>
  <c r="E121" i="5"/>
  <c r="D121" i="5"/>
  <c r="C121" i="5"/>
  <c r="B121" i="5"/>
  <c r="Q120" i="5"/>
  <c r="N120" i="5"/>
  <c r="O120" i="5" s="1"/>
  <c r="J120" i="5"/>
  <c r="H120" i="5"/>
  <c r="E120" i="5"/>
  <c r="D120" i="5"/>
  <c r="C120" i="5"/>
  <c r="B120" i="5"/>
  <c r="Q119" i="5"/>
  <c r="N119" i="5"/>
  <c r="O119" i="5" s="1"/>
  <c r="J119" i="5"/>
  <c r="H119" i="5"/>
  <c r="E119" i="5"/>
  <c r="D119" i="5"/>
  <c r="C119" i="5"/>
  <c r="B119" i="5"/>
  <c r="Q118" i="5"/>
  <c r="N118" i="5"/>
  <c r="O118" i="5" s="1"/>
  <c r="J118" i="5"/>
  <c r="H118" i="5"/>
  <c r="E118" i="5"/>
  <c r="D118" i="5"/>
  <c r="C118" i="5"/>
  <c r="B118" i="5"/>
  <c r="Q117" i="5"/>
  <c r="N117" i="5"/>
  <c r="O117" i="5" s="1"/>
  <c r="J117" i="5"/>
  <c r="H117" i="5"/>
  <c r="E117" i="5"/>
  <c r="D117" i="5"/>
  <c r="C117" i="5"/>
  <c r="B117" i="5"/>
  <c r="Q116" i="5"/>
  <c r="N116" i="5"/>
  <c r="O116" i="5" s="1"/>
  <c r="J116" i="5"/>
  <c r="H116" i="5"/>
  <c r="E116" i="5"/>
  <c r="D116" i="5"/>
  <c r="C116" i="5"/>
  <c r="B116" i="5"/>
  <c r="Q115" i="5"/>
  <c r="N115" i="5"/>
  <c r="O115" i="5" s="1"/>
  <c r="J115" i="5"/>
  <c r="H115" i="5"/>
  <c r="E115" i="5"/>
  <c r="D115" i="5"/>
  <c r="C115" i="5"/>
  <c r="B115" i="5"/>
  <c r="Q114" i="5"/>
  <c r="N114" i="5"/>
  <c r="O114" i="5" s="1"/>
  <c r="J114" i="5"/>
  <c r="H114" i="5"/>
  <c r="E114" i="5"/>
  <c r="D114" i="5"/>
  <c r="C114" i="5"/>
  <c r="B114" i="5"/>
  <c r="Q113" i="5"/>
  <c r="N113" i="5"/>
  <c r="O113" i="5" s="1"/>
  <c r="J113" i="5"/>
  <c r="H113" i="5"/>
  <c r="E113" i="5"/>
  <c r="D113" i="5"/>
  <c r="C113" i="5"/>
  <c r="B113" i="5"/>
  <c r="Q112" i="5"/>
  <c r="N112" i="5"/>
  <c r="O112" i="5" s="1"/>
  <c r="J112" i="5"/>
  <c r="H112" i="5"/>
  <c r="E112" i="5"/>
  <c r="D112" i="5"/>
  <c r="C112" i="5"/>
  <c r="B112" i="5"/>
  <c r="Q111" i="5"/>
  <c r="N111" i="5"/>
  <c r="O111" i="5" s="1"/>
  <c r="J111" i="5"/>
  <c r="H111" i="5"/>
  <c r="E111" i="5"/>
  <c r="D111" i="5"/>
  <c r="C111" i="5"/>
  <c r="B111" i="5"/>
  <c r="Q110" i="5"/>
  <c r="N110" i="5"/>
  <c r="O110" i="5" s="1"/>
  <c r="J110" i="5"/>
  <c r="H110" i="5"/>
  <c r="E110" i="5"/>
  <c r="D110" i="5"/>
  <c r="C110" i="5"/>
  <c r="B110" i="5"/>
  <c r="Q109" i="5"/>
  <c r="N109" i="5"/>
  <c r="O109" i="5" s="1"/>
  <c r="J109" i="5"/>
  <c r="H109" i="5"/>
  <c r="E109" i="5"/>
  <c r="D109" i="5"/>
  <c r="C109" i="5"/>
  <c r="B109" i="5"/>
  <c r="Q108" i="5"/>
  <c r="N108" i="5"/>
  <c r="O108" i="5" s="1"/>
  <c r="J108" i="5"/>
  <c r="H108" i="5"/>
  <c r="E108" i="5"/>
  <c r="D108" i="5"/>
  <c r="C108" i="5"/>
  <c r="B108" i="5"/>
  <c r="Q107" i="5"/>
  <c r="N107" i="5"/>
  <c r="O107" i="5" s="1"/>
  <c r="J107" i="5"/>
  <c r="H107" i="5"/>
  <c r="E107" i="5"/>
  <c r="D107" i="5"/>
  <c r="C107" i="5"/>
  <c r="B107" i="5"/>
  <c r="Q106" i="5"/>
  <c r="N106" i="5"/>
  <c r="O106" i="5" s="1"/>
  <c r="J106" i="5"/>
  <c r="H106" i="5"/>
  <c r="E106" i="5"/>
  <c r="D106" i="5"/>
  <c r="C106" i="5"/>
  <c r="B106" i="5"/>
  <c r="Q105" i="5"/>
  <c r="N105" i="5"/>
  <c r="O105" i="5" s="1"/>
  <c r="J105" i="5"/>
  <c r="H105" i="5"/>
  <c r="E105" i="5"/>
  <c r="D105" i="5"/>
  <c r="C105" i="5"/>
  <c r="B105" i="5"/>
  <c r="Q104" i="5"/>
  <c r="N104" i="5"/>
  <c r="O104" i="5" s="1"/>
  <c r="J104" i="5"/>
  <c r="H104" i="5"/>
  <c r="E104" i="5"/>
  <c r="D104" i="5"/>
  <c r="C104" i="5"/>
  <c r="B104" i="5"/>
  <c r="Q103" i="5"/>
  <c r="N103" i="5"/>
  <c r="O103" i="5" s="1"/>
  <c r="J103" i="5"/>
  <c r="H103" i="5"/>
  <c r="E103" i="5"/>
  <c r="D103" i="5"/>
  <c r="C103" i="5"/>
  <c r="B103" i="5"/>
  <c r="Q102" i="5"/>
  <c r="N102" i="5"/>
  <c r="O102" i="5" s="1"/>
  <c r="J102" i="5"/>
  <c r="H102" i="5"/>
  <c r="E102" i="5"/>
  <c r="D102" i="5"/>
  <c r="C102" i="5"/>
  <c r="B102" i="5"/>
  <c r="Q101" i="5"/>
  <c r="N101" i="5"/>
  <c r="O101" i="5" s="1"/>
  <c r="J101" i="5"/>
  <c r="H101" i="5"/>
  <c r="E101" i="5"/>
  <c r="D101" i="5"/>
  <c r="C101" i="5"/>
  <c r="B101" i="5"/>
  <c r="Q100" i="5"/>
  <c r="N100" i="5"/>
  <c r="O100" i="5" s="1"/>
  <c r="J100" i="5"/>
  <c r="H100" i="5"/>
  <c r="E100" i="5"/>
  <c r="D100" i="5"/>
  <c r="C100" i="5"/>
  <c r="B100" i="5"/>
  <c r="Q99" i="5"/>
  <c r="N99" i="5"/>
  <c r="O99" i="5" s="1"/>
  <c r="J99" i="5"/>
  <c r="H99" i="5"/>
  <c r="E99" i="5"/>
  <c r="D99" i="5"/>
  <c r="C99" i="5"/>
  <c r="B99" i="5"/>
  <c r="Q98" i="5"/>
  <c r="N98" i="5"/>
  <c r="O98" i="5" s="1"/>
  <c r="J98" i="5"/>
  <c r="H98" i="5"/>
  <c r="E98" i="5"/>
  <c r="D98" i="5"/>
  <c r="C98" i="5"/>
  <c r="B98" i="5"/>
  <c r="Q97" i="5"/>
  <c r="N97" i="5"/>
  <c r="O97" i="5" s="1"/>
  <c r="J97" i="5"/>
  <c r="H97" i="5"/>
  <c r="E97" i="5"/>
  <c r="D97" i="5"/>
  <c r="C97" i="5"/>
  <c r="B97" i="5"/>
  <c r="Q96" i="5"/>
  <c r="N96" i="5"/>
  <c r="O96" i="5" s="1"/>
  <c r="J96" i="5"/>
  <c r="H96" i="5"/>
  <c r="E96" i="5"/>
  <c r="D96" i="5"/>
  <c r="C96" i="5"/>
  <c r="B96" i="5"/>
  <c r="Q95" i="5"/>
  <c r="N95" i="5"/>
  <c r="O95" i="5" s="1"/>
  <c r="J95" i="5"/>
  <c r="H95" i="5"/>
  <c r="E95" i="5"/>
  <c r="D95" i="5"/>
  <c r="C95" i="5"/>
  <c r="B95" i="5"/>
  <c r="Q94" i="5"/>
  <c r="N94" i="5"/>
  <c r="O94" i="5" s="1"/>
  <c r="J94" i="5"/>
  <c r="H94" i="5"/>
  <c r="E94" i="5"/>
  <c r="D94" i="5"/>
  <c r="C94" i="5"/>
  <c r="B94" i="5"/>
  <c r="Q93" i="5"/>
  <c r="N93" i="5"/>
  <c r="O93" i="5" s="1"/>
  <c r="J93" i="5"/>
  <c r="H93" i="5"/>
  <c r="E93" i="5"/>
  <c r="D93" i="5"/>
  <c r="C93" i="5"/>
  <c r="B93" i="5"/>
  <c r="Q92" i="5"/>
  <c r="N92" i="5"/>
  <c r="O92" i="5" s="1"/>
  <c r="J92" i="5"/>
  <c r="H92" i="5"/>
  <c r="E92" i="5"/>
  <c r="D92" i="5"/>
  <c r="C92" i="5"/>
  <c r="B92" i="5"/>
  <c r="Q91" i="5"/>
  <c r="N91" i="5"/>
  <c r="O91" i="5" s="1"/>
  <c r="J91" i="5"/>
  <c r="H91" i="5"/>
  <c r="E91" i="5"/>
  <c r="D91" i="5"/>
  <c r="C91" i="5"/>
  <c r="B91" i="5"/>
  <c r="Q90" i="5"/>
  <c r="N90" i="5"/>
  <c r="O90" i="5" s="1"/>
  <c r="J90" i="5"/>
  <c r="H90" i="5"/>
  <c r="E90" i="5"/>
  <c r="D90" i="5"/>
  <c r="C90" i="5"/>
  <c r="B90" i="5"/>
  <c r="Q89" i="5"/>
  <c r="N89" i="5"/>
  <c r="O89" i="5" s="1"/>
  <c r="J89" i="5"/>
  <c r="H89" i="5"/>
  <c r="E89" i="5"/>
  <c r="D89" i="5"/>
  <c r="C89" i="5"/>
  <c r="B89" i="5"/>
  <c r="Q88" i="5"/>
  <c r="N88" i="5"/>
  <c r="O88" i="5" s="1"/>
  <c r="J88" i="5"/>
  <c r="H88" i="5"/>
  <c r="E88" i="5"/>
  <c r="D88" i="5"/>
  <c r="C88" i="5"/>
  <c r="B88" i="5"/>
  <c r="Q87" i="5"/>
  <c r="N87" i="5"/>
  <c r="O87" i="5" s="1"/>
  <c r="J87" i="5"/>
  <c r="H87" i="5"/>
  <c r="E87" i="5"/>
  <c r="D87" i="5"/>
  <c r="C87" i="5"/>
  <c r="B87" i="5"/>
  <c r="Q86" i="5"/>
  <c r="N86" i="5"/>
  <c r="O86" i="5" s="1"/>
  <c r="J86" i="5"/>
  <c r="H86" i="5"/>
  <c r="E86" i="5"/>
  <c r="D86" i="5"/>
  <c r="C86" i="5"/>
  <c r="B86" i="5"/>
  <c r="Q85" i="5"/>
  <c r="N85" i="5"/>
  <c r="O85" i="5" s="1"/>
  <c r="J85" i="5"/>
  <c r="H85" i="5"/>
  <c r="E85" i="5"/>
  <c r="D85" i="5"/>
  <c r="C85" i="5"/>
  <c r="B85" i="5"/>
  <c r="Q84" i="5"/>
  <c r="N84" i="5"/>
  <c r="O84" i="5" s="1"/>
  <c r="J84" i="5"/>
  <c r="H84" i="5"/>
  <c r="E84" i="5"/>
  <c r="D84" i="5"/>
  <c r="C84" i="5"/>
  <c r="B84" i="5"/>
  <c r="Q83" i="5"/>
  <c r="N83" i="5"/>
  <c r="O83" i="5" s="1"/>
  <c r="J83" i="5"/>
  <c r="H83" i="5"/>
  <c r="E83" i="5"/>
  <c r="D83" i="5"/>
  <c r="C83" i="5"/>
  <c r="B83" i="5"/>
  <c r="Q82" i="5"/>
  <c r="N82" i="5"/>
  <c r="O82" i="5" s="1"/>
  <c r="J82" i="5"/>
  <c r="H82" i="5"/>
  <c r="E82" i="5"/>
  <c r="D82" i="5"/>
  <c r="C82" i="5"/>
  <c r="B82" i="5"/>
  <c r="Q81" i="5"/>
  <c r="N81" i="5"/>
  <c r="O81" i="5" s="1"/>
  <c r="J81" i="5"/>
  <c r="H81" i="5"/>
  <c r="E81" i="5"/>
  <c r="D81" i="5"/>
  <c r="C81" i="5"/>
  <c r="B81" i="5"/>
  <c r="Q80" i="5"/>
  <c r="N80" i="5"/>
  <c r="O80" i="5" s="1"/>
  <c r="J80" i="5"/>
  <c r="H80" i="5"/>
  <c r="E80" i="5"/>
  <c r="D80" i="5"/>
  <c r="C80" i="5"/>
  <c r="B80" i="5"/>
  <c r="Q79" i="5"/>
  <c r="N79" i="5"/>
  <c r="O79" i="5" s="1"/>
  <c r="J79" i="5"/>
  <c r="H79" i="5"/>
  <c r="E79" i="5"/>
  <c r="D79" i="5"/>
  <c r="C79" i="5"/>
  <c r="B79" i="5"/>
  <c r="Q78" i="5"/>
  <c r="N78" i="5"/>
  <c r="O78" i="5" s="1"/>
  <c r="J78" i="5"/>
  <c r="H78" i="5"/>
  <c r="E78" i="5"/>
  <c r="D78" i="5"/>
  <c r="C78" i="5"/>
  <c r="B78" i="5"/>
  <c r="Q77" i="5"/>
  <c r="N77" i="5"/>
  <c r="O77" i="5" s="1"/>
  <c r="J77" i="5"/>
  <c r="H77" i="5"/>
  <c r="E77" i="5"/>
  <c r="D77" i="5"/>
  <c r="C77" i="5"/>
  <c r="B77" i="5"/>
  <c r="Q76" i="5"/>
  <c r="N76" i="5"/>
  <c r="O76" i="5" s="1"/>
  <c r="J76" i="5"/>
  <c r="H76" i="5"/>
  <c r="E76" i="5"/>
  <c r="D76" i="5"/>
  <c r="C76" i="5"/>
  <c r="B76" i="5"/>
  <c r="Q75" i="5"/>
  <c r="N75" i="5"/>
  <c r="O75" i="5" s="1"/>
  <c r="J75" i="5"/>
  <c r="H75" i="5"/>
  <c r="E75" i="5"/>
  <c r="D75" i="5"/>
  <c r="C75" i="5"/>
  <c r="B75" i="5"/>
  <c r="Q74" i="5"/>
  <c r="N74" i="5"/>
  <c r="O74" i="5" s="1"/>
  <c r="J74" i="5"/>
  <c r="H74" i="5"/>
  <c r="E74" i="5"/>
  <c r="D74" i="5"/>
  <c r="C74" i="5"/>
  <c r="B74" i="5"/>
  <c r="Q73" i="5"/>
  <c r="N73" i="5"/>
  <c r="O73" i="5" s="1"/>
  <c r="J73" i="5"/>
  <c r="H73" i="5"/>
  <c r="E73" i="5"/>
  <c r="D73" i="5"/>
  <c r="C73" i="5"/>
  <c r="B73" i="5"/>
  <c r="Q72" i="5"/>
  <c r="N72" i="5"/>
  <c r="O72" i="5" s="1"/>
  <c r="J72" i="5"/>
  <c r="H72" i="5"/>
  <c r="E72" i="5"/>
  <c r="D72" i="5"/>
  <c r="C72" i="5"/>
  <c r="B72" i="5"/>
  <c r="Q71" i="5"/>
  <c r="N71" i="5"/>
  <c r="O71" i="5" s="1"/>
  <c r="J71" i="5"/>
  <c r="H71" i="5"/>
  <c r="E71" i="5"/>
  <c r="D71" i="5"/>
  <c r="C71" i="5"/>
  <c r="B71" i="5"/>
  <c r="Q70" i="5"/>
  <c r="N70" i="5"/>
  <c r="O70" i="5" s="1"/>
  <c r="J70" i="5"/>
  <c r="H70" i="5"/>
  <c r="E70" i="5"/>
  <c r="D70" i="5"/>
  <c r="C70" i="5"/>
  <c r="B70" i="5"/>
  <c r="Q69" i="5"/>
  <c r="N69" i="5"/>
  <c r="O69" i="5" s="1"/>
  <c r="J69" i="5"/>
  <c r="H69" i="5"/>
  <c r="E69" i="5"/>
  <c r="D69" i="5"/>
  <c r="C69" i="5"/>
  <c r="B69" i="5"/>
  <c r="Q68" i="5"/>
  <c r="N68" i="5"/>
  <c r="O68" i="5" s="1"/>
  <c r="J68" i="5"/>
  <c r="H68" i="5"/>
  <c r="E68" i="5"/>
  <c r="D68" i="5"/>
  <c r="C68" i="5"/>
  <c r="B68" i="5"/>
  <c r="Q67" i="5"/>
  <c r="N67" i="5"/>
  <c r="O67" i="5" s="1"/>
  <c r="J67" i="5"/>
  <c r="H67" i="5"/>
  <c r="E67" i="5"/>
  <c r="D67" i="5"/>
  <c r="C67" i="5"/>
  <c r="B67" i="5"/>
  <c r="Q66" i="5"/>
  <c r="N66" i="5"/>
  <c r="O66" i="5" s="1"/>
  <c r="J66" i="5"/>
  <c r="H66" i="5"/>
  <c r="E66" i="5"/>
  <c r="D66" i="5"/>
  <c r="C66" i="5"/>
  <c r="B66" i="5"/>
  <c r="Q65" i="5"/>
  <c r="N65" i="5"/>
  <c r="O65" i="5" s="1"/>
  <c r="J65" i="5"/>
  <c r="H65" i="5"/>
  <c r="E65" i="5"/>
  <c r="D65" i="5"/>
  <c r="C65" i="5"/>
  <c r="B65" i="5"/>
  <c r="Q64" i="5"/>
  <c r="N64" i="5"/>
  <c r="O64" i="5" s="1"/>
  <c r="J64" i="5"/>
  <c r="H64" i="5"/>
  <c r="E64" i="5"/>
  <c r="D64" i="5"/>
  <c r="C64" i="5"/>
  <c r="B64" i="5"/>
  <c r="Q63" i="5"/>
  <c r="N63" i="5"/>
  <c r="O63" i="5" s="1"/>
  <c r="J63" i="5"/>
  <c r="H63" i="5"/>
  <c r="E63" i="5"/>
  <c r="D63" i="5"/>
  <c r="C63" i="5"/>
  <c r="B63" i="5"/>
  <c r="Q62" i="5"/>
  <c r="N62" i="5"/>
  <c r="O62" i="5" s="1"/>
  <c r="J62" i="5"/>
  <c r="H62" i="5"/>
  <c r="E62" i="5"/>
  <c r="D62" i="5"/>
  <c r="C62" i="5"/>
  <c r="B62" i="5"/>
  <c r="Q61" i="5"/>
  <c r="N61" i="5"/>
  <c r="O61" i="5" s="1"/>
  <c r="J61" i="5"/>
  <c r="H61" i="5"/>
  <c r="E61" i="5"/>
  <c r="D61" i="5"/>
  <c r="C61" i="5"/>
  <c r="B61" i="5"/>
  <c r="Q60" i="5"/>
  <c r="N60" i="5"/>
  <c r="O60" i="5" s="1"/>
  <c r="J60" i="5"/>
  <c r="H60" i="5"/>
  <c r="E60" i="5"/>
  <c r="D60" i="5"/>
  <c r="C60" i="5"/>
  <c r="B60" i="5"/>
  <c r="Q59" i="5"/>
  <c r="N59" i="5"/>
  <c r="O59" i="5" s="1"/>
  <c r="J59" i="5"/>
  <c r="H59" i="5"/>
  <c r="E59" i="5"/>
  <c r="D59" i="5"/>
  <c r="C59" i="5"/>
  <c r="B59" i="5"/>
  <c r="Q58" i="5"/>
  <c r="N58" i="5"/>
  <c r="O58" i="5" s="1"/>
  <c r="J58" i="5"/>
  <c r="H58" i="5"/>
  <c r="E58" i="5"/>
  <c r="D58" i="5"/>
  <c r="C58" i="5"/>
  <c r="B58" i="5"/>
  <c r="Q57" i="5"/>
  <c r="N57" i="5"/>
  <c r="O57" i="5" s="1"/>
  <c r="J57" i="5"/>
  <c r="H57" i="5"/>
  <c r="E57" i="5"/>
  <c r="D57" i="5"/>
  <c r="C57" i="5"/>
  <c r="B57" i="5"/>
  <c r="Q56" i="5"/>
  <c r="N56" i="5"/>
  <c r="O56" i="5" s="1"/>
  <c r="J56" i="5"/>
  <c r="H56" i="5"/>
  <c r="E56" i="5"/>
  <c r="D56" i="5"/>
  <c r="C56" i="5"/>
  <c r="B56" i="5"/>
  <c r="Q55" i="5"/>
  <c r="N55" i="5"/>
  <c r="O55" i="5" s="1"/>
  <c r="J55" i="5"/>
  <c r="H55" i="5"/>
  <c r="E55" i="5"/>
  <c r="D55" i="5"/>
  <c r="C55" i="5"/>
  <c r="B55" i="5"/>
  <c r="Q54" i="5"/>
  <c r="N54" i="5"/>
  <c r="O54" i="5" s="1"/>
  <c r="J54" i="5"/>
  <c r="H54" i="5"/>
  <c r="E54" i="5"/>
  <c r="D54" i="5"/>
  <c r="C54" i="5"/>
  <c r="B54" i="5"/>
  <c r="Q53" i="5"/>
  <c r="N53" i="5"/>
  <c r="O53" i="5" s="1"/>
  <c r="J53" i="5"/>
  <c r="H53" i="5"/>
  <c r="E53" i="5"/>
  <c r="D53" i="5"/>
  <c r="C53" i="5"/>
  <c r="B53" i="5"/>
  <c r="Q52" i="5"/>
  <c r="N52" i="5"/>
  <c r="O52" i="5" s="1"/>
  <c r="J52" i="5"/>
  <c r="H52" i="5"/>
  <c r="E52" i="5"/>
  <c r="D52" i="5"/>
  <c r="C52" i="5"/>
  <c r="B52" i="5"/>
  <c r="Q51" i="5"/>
  <c r="N51" i="5"/>
  <c r="O51" i="5" s="1"/>
  <c r="J51" i="5"/>
  <c r="H51" i="5"/>
  <c r="E51" i="5"/>
  <c r="D51" i="5"/>
  <c r="C51" i="5"/>
  <c r="B51" i="5"/>
  <c r="Q50" i="5"/>
  <c r="N50" i="5"/>
  <c r="O50" i="5" s="1"/>
  <c r="J50" i="5"/>
  <c r="H50" i="5"/>
  <c r="E50" i="5"/>
  <c r="D50" i="5"/>
  <c r="C50" i="5"/>
  <c r="B50" i="5"/>
  <c r="Q49" i="5"/>
  <c r="N49" i="5"/>
  <c r="O49" i="5" s="1"/>
  <c r="J49" i="5"/>
  <c r="H49" i="5"/>
  <c r="E49" i="5"/>
  <c r="D49" i="5"/>
  <c r="C49" i="5"/>
  <c r="B49" i="5"/>
  <c r="Q48" i="5"/>
  <c r="N48" i="5"/>
  <c r="O48" i="5" s="1"/>
  <c r="J48" i="5"/>
  <c r="H48" i="5"/>
  <c r="E48" i="5"/>
  <c r="D48" i="5"/>
  <c r="C48" i="5"/>
  <c r="B48" i="5"/>
  <c r="Q47" i="5"/>
  <c r="N47" i="5"/>
  <c r="O47" i="5" s="1"/>
  <c r="J47" i="5"/>
  <c r="H47" i="5"/>
  <c r="E47" i="5"/>
  <c r="D47" i="5"/>
  <c r="C47" i="5"/>
  <c r="B47" i="5"/>
  <c r="Q46" i="5"/>
  <c r="N46" i="5"/>
  <c r="O46" i="5" s="1"/>
  <c r="J46" i="5"/>
  <c r="H46" i="5"/>
  <c r="E46" i="5"/>
  <c r="D46" i="5"/>
  <c r="C46" i="5"/>
  <c r="B46" i="5"/>
  <c r="Q45" i="5"/>
  <c r="N45" i="5"/>
  <c r="O45" i="5" s="1"/>
  <c r="J45" i="5"/>
  <c r="H45" i="5"/>
  <c r="E45" i="5"/>
  <c r="D45" i="5"/>
  <c r="C45" i="5"/>
  <c r="B45" i="5"/>
  <c r="Q44" i="5"/>
  <c r="N44" i="5"/>
  <c r="O44" i="5" s="1"/>
  <c r="J44" i="5"/>
  <c r="H44" i="5"/>
  <c r="E44" i="5"/>
  <c r="D44" i="5"/>
  <c r="C44" i="5"/>
  <c r="B44" i="5"/>
  <c r="Q43" i="5"/>
  <c r="N43" i="5"/>
  <c r="O43" i="5" s="1"/>
  <c r="J43" i="5"/>
  <c r="H43" i="5"/>
  <c r="E43" i="5"/>
  <c r="D43" i="5"/>
  <c r="C43" i="5"/>
  <c r="B43" i="5"/>
  <c r="Q42" i="5"/>
  <c r="N42" i="5"/>
  <c r="O42" i="5" s="1"/>
  <c r="J42" i="5"/>
  <c r="H42" i="5"/>
  <c r="E42" i="5"/>
  <c r="D42" i="5"/>
  <c r="C42" i="5"/>
  <c r="B42" i="5"/>
  <c r="Q41" i="5"/>
  <c r="N41" i="5"/>
  <c r="O41" i="5" s="1"/>
  <c r="J41" i="5"/>
  <c r="H41" i="5"/>
  <c r="E41" i="5"/>
  <c r="D41" i="5"/>
  <c r="C41" i="5"/>
  <c r="B41" i="5"/>
  <c r="Q40" i="5"/>
  <c r="N40" i="5"/>
  <c r="O40" i="5" s="1"/>
  <c r="J40" i="5"/>
  <c r="H40" i="5"/>
  <c r="E40" i="5"/>
  <c r="D40" i="5"/>
  <c r="C40" i="5"/>
  <c r="B40" i="5"/>
  <c r="Q39" i="5"/>
  <c r="N39" i="5"/>
  <c r="O39" i="5" s="1"/>
  <c r="J39" i="5"/>
  <c r="H39" i="5"/>
  <c r="E39" i="5"/>
  <c r="D39" i="5"/>
  <c r="C39" i="5"/>
  <c r="B39" i="5"/>
  <c r="Q38" i="5"/>
  <c r="N38" i="5"/>
  <c r="O38" i="5" s="1"/>
  <c r="J38" i="5"/>
  <c r="H38" i="5"/>
  <c r="E38" i="5"/>
  <c r="D38" i="5"/>
  <c r="C38" i="5"/>
  <c r="B38" i="5"/>
  <c r="Q37" i="5"/>
  <c r="N37" i="5"/>
  <c r="O37" i="5" s="1"/>
  <c r="J37" i="5"/>
  <c r="H37" i="5"/>
  <c r="E37" i="5"/>
  <c r="D37" i="5"/>
  <c r="C37" i="5"/>
  <c r="B37" i="5"/>
  <c r="Q36" i="5"/>
  <c r="N36" i="5"/>
  <c r="O36" i="5" s="1"/>
  <c r="J36" i="5"/>
  <c r="H36" i="5"/>
  <c r="E36" i="5"/>
  <c r="D36" i="5"/>
  <c r="C36" i="5"/>
  <c r="B36" i="5"/>
  <c r="Q35" i="5"/>
  <c r="N35" i="5"/>
  <c r="O35" i="5" s="1"/>
  <c r="J35" i="5"/>
  <c r="H35" i="5"/>
  <c r="E35" i="5"/>
  <c r="D35" i="5"/>
  <c r="C35" i="5"/>
  <c r="B35" i="5"/>
  <c r="Q34" i="5"/>
  <c r="N34" i="5"/>
  <c r="O34" i="5" s="1"/>
  <c r="J34" i="5"/>
  <c r="H34" i="5"/>
  <c r="E34" i="5"/>
  <c r="D34" i="5"/>
  <c r="C34" i="5"/>
  <c r="B34" i="5"/>
  <c r="Q33" i="5"/>
  <c r="N33" i="5"/>
  <c r="O33" i="5" s="1"/>
  <c r="J33" i="5"/>
  <c r="H33" i="5"/>
  <c r="E33" i="5"/>
  <c r="D33" i="5"/>
  <c r="C33" i="5"/>
  <c r="B33" i="5"/>
  <c r="Q32" i="5"/>
  <c r="N32" i="5"/>
  <c r="O32" i="5" s="1"/>
  <c r="J32" i="5"/>
  <c r="H32" i="5"/>
  <c r="E32" i="5"/>
  <c r="D32" i="5"/>
  <c r="C32" i="5"/>
  <c r="B32" i="5"/>
  <c r="Q31" i="5"/>
  <c r="N31" i="5"/>
  <c r="O31" i="5" s="1"/>
  <c r="J31" i="5"/>
  <c r="H31" i="5"/>
  <c r="E31" i="5"/>
  <c r="D31" i="5"/>
  <c r="C31" i="5"/>
  <c r="B31" i="5"/>
  <c r="Q30" i="5"/>
  <c r="N30" i="5"/>
  <c r="O30" i="5" s="1"/>
  <c r="J30" i="5"/>
  <c r="H30" i="5"/>
  <c r="E30" i="5"/>
  <c r="D30" i="5"/>
  <c r="C30" i="5"/>
  <c r="B30" i="5"/>
  <c r="Q29" i="5"/>
  <c r="N29" i="5"/>
  <c r="O29" i="5" s="1"/>
  <c r="J29" i="5"/>
  <c r="H29" i="5"/>
  <c r="F29" i="5"/>
  <c r="E29" i="5"/>
  <c r="D29" i="5"/>
  <c r="C29" i="5"/>
  <c r="B29" i="5"/>
  <c r="Q28" i="5"/>
  <c r="N28" i="5"/>
  <c r="O28" i="5" s="1"/>
  <c r="J28" i="5"/>
  <c r="H28" i="5"/>
  <c r="F28" i="5"/>
  <c r="E28" i="5"/>
  <c r="D28" i="5"/>
  <c r="C28" i="5"/>
  <c r="B28" i="5"/>
  <c r="Q27" i="5"/>
  <c r="N27" i="5"/>
  <c r="O27" i="5" s="1"/>
  <c r="J27" i="5"/>
  <c r="H27" i="5"/>
  <c r="F27" i="5"/>
  <c r="E27" i="5"/>
  <c r="D27" i="5"/>
  <c r="C27" i="5"/>
  <c r="B27" i="5"/>
  <c r="Q26" i="5"/>
  <c r="N26" i="5"/>
  <c r="O26" i="5" s="1"/>
  <c r="J26" i="5"/>
  <c r="H26" i="5"/>
  <c r="F26" i="5"/>
  <c r="E26" i="5"/>
  <c r="D26" i="5"/>
  <c r="C26" i="5"/>
  <c r="B26" i="5"/>
  <c r="Q25" i="5"/>
  <c r="N25" i="5"/>
  <c r="O25" i="5" s="1"/>
  <c r="J25" i="5"/>
  <c r="H25" i="5"/>
  <c r="F25" i="5"/>
  <c r="E25" i="5"/>
  <c r="D25" i="5"/>
  <c r="C25" i="5"/>
  <c r="B25" i="5"/>
  <c r="Q24" i="5"/>
  <c r="N24" i="5"/>
  <c r="O24" i="5" s="1"/>
  <c r="J24" i="5"/>
  <c r="H24" i="5"/>
  <c r="F24" i="5"/>
  <c r="E24" i="5"/>
  <c r="D24" i="5"/>
  <c r="C24" i="5"/>
  <c r="B24" i="5"/>
  <c r="Q23" i="5"/>
  <c r="N23" i="5"/>
  <c r="O23" i="5" s="1"/>
  <c r="J23" i="5"/>
  <c r="H23" i="5"/>
  <c r="F23" i="5"/>
  <c r="E23" i="5"/>
  <c r="D23" i="5"/>
  <c r="C23" i="5"/>
  <c r="B23" i="5"/>
  <c r="Q22" i="5"/>
  <c r="N22" i="5"/>
  <c r="O22" i="5" s="1"/>
  <c r="J22" i="5"/>
  <c r="H22" i="5"/>
  <c r="F22" i="5"/>
  <c r="E22" i="5"/>
  <c r="D22" i="5"/>
  <c r="C22" i="5"/>
  <c r="B22" i="5"/>
  <c r="Q21" i="5"/>
  <c r="N21" i="5"/>
  <c r="O21" i="5" s="1"/>
  <c r="J21" i="5"/>
  <c r="H21" i="5"/>
  <c r="F21" i="5"/>
  <c r="E21" i="5"/>
  <c r="D21" i="5"/>
  <c r="C21" i="5"/>
  <c r="B21" i="5"/>
  <c r="Q20" i="5"/>
  <c r="N20" i="5"/>
  <c r="O20" i="5" s="1"/>
  <c r="J20" i="5"/>
  <c r="H20" i="5"/>
  <c r="F20" i="5"/>
  <c r="E20" i="5"/>
  <c r="D20" i="5"/>
  <c r="C20" i="5"/>
  <c r="B20" i="5"/>
  <c r="Q19" i="5"/>
  <c r="N19" i="5"/>
  <c r="O19" i="5" s="1"/>
  <c r="J19" i="5"/>
  <c r="H19" i="5"/>
  <c r="F19" i="5"/>
  <c r="E19" i="5"/>
  <c r="D19" i="5"/>
  <c r="C19" i="5"/>
  <c r="B19" i="5"/>
  <c r="Q18" i="5"/>
  <c r="N18" i="5"/>
  <c r="O18" i="5" s="1"/>
  <c r="J18" i="5"/>
  <c r="H18" i="5"/>
  <c r="F18" i="5"/>
  <c r="E18" i="5"/>
  <c r="D18" i="5"/>
  <c r="C18" i="5"/>
  <c r="B18" i="5"/>
  <c r="Q17" i="5"/>
  <c r="N17" i="5"/>
  <c r="O17" i="5" s="1"/>
  <c r="J17" i="5"/>
  <c r="H17" i="5"/>
  <c r="F17" i="5"/>
  <c r="E17" i="5"/>
  <c r="D17" i="5"/>
  <c r="C17" i="5"/>
  <c r="B17" i="5"/>
  <c r="Q16" i="5"/>
  <c r="N16" i="5"/>
  <c r="O16" i="5" s="1"/>
  <c r="J16" i="5"/>
  <c r="H16" i="5"/>
  <c r="F16" i="5"/>
  <c r="E16" i="5"/>
  <c r="D16" i="5"/>
  <c r="C16" i="5"/>
  <c r="B16" i="5"/>
  <c r="Q15" i="5"/>
  <c r="N15" i="5"/>
  <c r="O15" i="5" s="1"/>
  <c r="J15" i="5"/>
  <c r="H15" i="5"/>
  <c r="F15" i="5"/>
  <c r="E15" i="5"/>
  <c r="D15" i="5"/>
  <c r="C15" i="5"/>
  <c r="B15" i="5"/>
  <c r="Q14" i="5"/>
  <c r="N14" i="5"/>
  <c r="O14" i="5" s="1"/>
  <c r="J14" i="5"/>
  <c r="H14" i="5"/>
  <c r="F14" i="5"/>
  <c r="E14" i="5"/>
  <c r="D14" i="5"/>
  <c r="C14" i="5"/>
  <c r="B14" i="5"/>
  <c r="Q13" i="5"/>
  <c r="N13" i="5"/>
  <c r="O13" i="5" s="1"/>
  <c r="J13" i="5"/>
  <c r="H13" i="5"/>
  <c r="F13" i="5"/>
  <c r="E13" i="5"/>
  <c r="D13" i="5"/>
  <c r="C13" i="5"/>
  <c r="B13" i="5"/>
  <c r="Q12" i="5"/>
  <c r="N12" i="5"/>
  <c r="O12" i="5" s="1"/>
  <c r="J12" i="5"/>
  <c r="H12" i="5"/>
  <c r="F12" i="5"/>
  <c r="E12" i="5"/>
  <c r="D12" i="5"/>
  <c r="C12" i="5"/>
  <c r="B12" i="5"/>
  <c r="Q11" i="5"/>
  <c r="N11" i="5"/>
  <c r="O11" i="5" s="1"/>
  <c r="J11" i="5"/>
  <c r="H11" i="5"/>
  <c r="F11" i="5"/>
  <c r="E11" i="5"/>
  <c r="D11" i="5"/>
  <c r="C11" i="5"/>
  <c r="B11" i="5"/>
  <c r="Q10" i="5"/>
  <c r="N10" i="5"/>
  <c r="O10" i="5" s="1"/>
  <c r="J10" i="5"/>
  <c r="H10" i="5"/>
  <c r="F10" i="5"/>
  <c r="E10" i="5"/>
  <c r="D10" i="5"/>
  <c r="C10" i="5"/>
  <c r="B10" i="5"/>
  <c r="Q9" i="5"/>
  <c r="N9" i="5"/>
  <c r="O9" i="5" s="1"/>
  <c r="J9" i="5"/>
  <c r="H9" i="5"/>
  <c r="F9" i="5"/>
  <c r="E9" i="5"/>
  <c r="D9" i="5"/>
  <c r="C9" i="5"/>
  <c r="B9" i="5"/>
  <c r="Q8" i="5"/>
  <c r="N8" i="5"/>
  <c r="O8" i="5" s="1"/>
  <c r="J8" i="5"/>
  <c r="H8" i="5"/>
  <c r="F8" i="5"/>
  <c r="E8" i="5"/>
  <c r="D8" i="5"/>
  <c r="C8" i="5"/>
  <c r="B8" i="5"/>
  <c r="Q7" i="5"/>
  <c r="N7" i="5"/>
  <c r="O7" i="5" s="1"/>
  <c r="J7" i="5"/>
  <c r="H7" i="5"/>
  <c r="F7" i="5"/>
  <c r="E7" i="5"/>
  <c r="D7" i="5"/>
  <c r="C7" i="5"/>
  <c r="B7" i="5"/>
  <c r="Q6" i="5"/>
  <c r="N6" i="5"/>
  <c r="O6" i="5" s="1"/>
  <c r="J6" i="5"/>
  <c r="H6" i="5"/>
  <c r="F6" i="5"/>
  <c r="E6" i="5"/>
  <c r="D6" i="5"/>
  <c r="C6" i="5"/>
  <c r="B6" i="5"/>
  <c r="Q5" i="5"/>
  <c r="N5" i="5"/>
  <c r="O5" i="5" s="1"/>
  <c r="J5" i="5"/>
  <c r="H5" i="5"/>
  <c r="F5" i="5"/>
  <c r="E5" i="5"/>
  <c r="D5" i="5"/>
  <c r="C5" i="5"/>
  <c r="B5" i="5"/>
  <c r="Q4" i="5"/>
  <c r="N4" i="5"/>
  <c r="O4" i="5" s="1"/>
  <c r="J4" i="5"/>
  <c r="H4" i="5"/>
  <c r="F4" i="5"/>
  <c r="E4" i="5"/>
  <c r="D4" i="5"/>
  <c r="C4" i="5"/>
  <c r="B4" i="5"/>
  <c r="Q3" i="5"/>
  <c r="N3" i="5"/>
  <c r="O3" i="5" s="1"/>
  <c r="J3" i="5"/>
  <c r="H3" i="5"/>
  <c r="F3" i="5"/>
  <c r="E3" i="5"/>
  <c r="D3" i="5"/>
  <c r="C3" i="5"/>
  <c r="B3" i="5"/>
  <c r="Q2" i="5"/>
  <c r="N2" i="5"/>
  <c r="O2" i="5" s="1"/>
  <c r="J2" i="5"/>
  <c r="H2" i="5"/>
  <c r="F2" i="5"/>
  <c r="E2" i="5"/>
  <c r="D2" i="5"/>
  <c r="C2" i="5"/>
  <c r="B2" i="5"/>
  <c r="S501" i="4"/>
  <c r="P501" i="4"/>
  <c r="Q501" i="4" s="1"/>
  <c r="R501" i="4" s="1"/>
  <c r="O501" i="4"/>
  <c r="H501" i="4"/>
  <c r="S500" i="4"/>
  <c r="P500" i="4"/>
  <c r="Q500" i="4" s="1"/>
  <c r="R500" i="4" s="1"/>
  <c r="O500" i="4"/>
  <c r="H500" i="4"/>
  <c r="S499" i="4"/>
  <c r="P499" i="4"/>
  <c r="Q499" i="4" s="1"/>
  <c r="R499" i="4" s="1"/>
  <c r="O499" i="4"/>
  <c r="H499" i="4"/>
  <c r="S498" i="4"/>
  <c r="P498" i="4"/>
  <c r="Q498" i="4" s="1"/>
  <c r="R498" i="4" s="1"/>
  <c r="O498" i="4"/>
  <c r="H498" i="4"/>
  <c r="S497" i="4"/>
  <c r="P497" i="4"/>
  <c r="Q497" i="4" s="1"/>
  <c r="R497" i="4" s="1"/>
  <c r="O497" i="4"/>
  <c r="H497" i="4"/>
  <c r="S496" i="4"/>
  <c r="P496" i="4"/>
  <c r="Q496" i="4" s="1"/>
  <c r="R496" i="4" s="1"/>
  <c r="O496" i="4"/>
  <c r="H496" i="4"/>
  <c r="S495" i="4"/>
  <c r="P495" i="4"/>
  <c r="Q495" i="4" s="1"/>
  <c r="R495" i="4" s="1"/>
  <c r="O495" i="4"/>
  <c r="H495" i="4"/>
  <c r="S494" i="4"/>
  <c r="P494" i="4"/>
  <c r="Q494" i="4" s="1"/>
  <c r="R494" i="4" s="1"/>
  <c r="O494" i="4"/>
  <c r="H494" i="4"/>
  <c r="S493" i="4"/>
  <c r="P493" i="4"/>
  <c r="Q493" i="4" s="1"/>
  <c r="R493" i="4" s="1"/>
  <c r="O493" i="4"/>
  <c r="H493" i="4"/>
  <c r="S492" i="4"/>
  <c r="P492" i="4"/>
  <c r="Q492" i="4" s="1"/>
  <c r="R492" i="4" s="1"/>
  <c r="O492" i="4"/>
  <c r="H492" i="4"/>
  <c r="S491" i="4"/>
  <c r="P491" i="4"/>
  <c r="Q491" i="4" s="1"/>
  <c r="R491" i="4" s="1"/>
  <c r="O491" i="4"/>
  <c r="H491" i="4"/>
  <c r="S490" i="4"/>
  <c r="P490" i="4"/>
  <c r="Q490" i="4" s="1"/>
  <c r="R490" i="4" s="1"/>
  <c r="O490" i="4"/>
  <c r="H490" i="4"/>
  <c r="S489" i="4"/>
  <c r="P489" i="4"/>
  <c r="Q489" i="4" s="1"/>
  <c r="R489" i="4" s="1"/>
  <c r="O489" i="4"/>
  <c r="H489" i="4"/>
  <c r="S488" i="4"/>
  <c r="P488" i="4"/>
  <c r="Q488" i="4" s="1"/>
  <c r="R488" i="4" s="1"/>
  <c r="O488" i="4"/>
  <c r="H488" i="4"/>
  <c r="S487" i="4"/>
  <c r="P487" i="4"/>
  <c r="Q487" i="4" s="1"/>
  <c r="R487" i="4" s="1"/>
  <c r="O487" i="4"/>
  <c r="H487" i="4"/>
  <c r="S486" i="4"/>
  <c r="P486" i="4"/>
  <c r="Q486" i="4" s="1"/>
  <c r="R486" i="4" s="1"/>
  <c r="O486" i="4"/>
  <c r="H486" i="4"/>
  <c r="S485" i="4"/>
  <c r="P485" i="4"/>
  <c r="Q485" i="4" s="1"/>
  <c r="R485" i="4" s="1"/>
  <c r="O485" i="4"/>
  <c r="H485" i="4"/>
  <c r="S484" i="4"/>
  <c r="P484" i="4"/>
  <c r="Q484" i="4" s="1"/>
  <c r="R484" i="4" s="1"/>
  <c r="O484" i="4"/>
  <c r="H484" i="4"/>
  <c r="S483" i="4"/>
  <c r="P483" i="4"/>
  <c r="Q483" i="4" s="1"/>
  <c r="R483" i="4" s="1"/>
  <c r="O483" i="4"/>
  <c r="H483" i="4"/>
  <c r="S482" i="4"/>
  <c r="P482" i="4"/>
  <c r="Q482" i="4" s="1"/>
  <c r="R482" i="4" s="1"/>
  <c r="O482" i="4"/>
  <c r="H482" i="4"/>
  <c r="S481" i="4"/>
  <c r="P481" i="4"/>
  <c r="Q481" i="4" s="1"/>
  <c r="R481" i="4" s="1"/>
  <c r="O481" i="4"/>
  <c r="H481" i="4"/>
  <c r="S480" i="4"/>
  <c r="P480" i="4"/>
  <c r="Q480" i="4" s="1"/>
  <c r="R480" i="4" s="1"/>
  <c r="O480" i="4"/>
  <c r="H480" i="4"/>
  <c r="S479" i="4"/>
  <c r="P479" i="4"/>
  <c r="Q479" i="4" s="1"/>
  <c r="R479" i="4" s="1"/>
  <c r="O479" i="4"/>
  <c r="H479" i="4"/>
  <c r="S478" i="4"/>
  <c r="P478" i="4"/>
  <c r="Q478" i="4" s="1"/>
  <c r="R478" i="4" s="1"/>
  <c r="O478" i="4"/>
  <c r="H478" i="4"/>
  <c r="S477" i="4"/>
  <c r="P477" i="4"/>
  <c r="Q477" i="4" s="1"/>
  <c r="R477" i="4" s="1"/>
  <c r="O477" i="4"/>
  <c r="H477" i="4"/>
  <c r="S476" i="4"/>
  <c r="P476" i="4"/>
  <c r="Q476" i="4" s="1"/>
  <c r="R476" i="4" s="1"/>
  <c r="O476" i="4"/>
  <c r="H476" i="4"/>
  <c r="S475" i="4"/>
  <c r="P475" i="4"/>
  <c r="Q475" i="4" s="1"/>
  <c r="R475" i="4" s="1"/>
  <c r="O475" i="4"/>
  <c r="H475" i="4"/>
  <c r="S474" i="4"/>
  <c r="P474" i="4"/>
  <c r="Q474" i="4" s="1"/>
  <c r="R474" i="4" s="1"/>
  <c r="O474" i="4"/>
  <c r="H474" i="4"/>
  <c r="S473" i="4"/>
  <c r="P473" i="4"/>
  <c r="Q473" i="4" s="1"/>
  <c r="R473" i="4" s="1"/>
  <c r="O473" i="4"/>
  <c r="H473" i="4"/>
  <c r="S472" i="4"/>
  <c r="P472" i="4"/>
  <c r="Q472" i="4" s="1"/>
  <c r="R472" i="4" s="1"/>
  <c r="O472" i="4"/>
  <c r="H472" i="4"/>
  <c r="S471" i="4"/>
  <c r="P471" i="4"/>
  <c r="Q471" i="4" s="1"/>
  <c r="R471" i="4" s="1"/>
  <c r="O471" i="4"/>
  <c r="H471" i="4"/>
  <c r="S470" i="4"/>
  <c r="P470" i="4"/>
  <c r="Q470" i="4" s="1"/>
  <c r="R470" i="4" s="1"/>
  <c r="O470" i="4"/>
  <c r="H470" i="4"/>
  <c r="S469" i="4"/>
  <c r="P469" i="4"/>
  <c r="Q469" i="4" s="1"/>
  <c r="R469" i="4" s="1"/>
  <c r="O469" i="4"/>
  <c r="H469" i="4"/>
  <c r="S468" i="4"/>
  <c r="P468" i="4"/>
  <c r="Q468" i="4" s="1"/>
  <c r="R468" i="4" s="1"/>
  <c r="O468" i="4"/>
  <c r="H468" i="4"/>
  <c r="S467" i="4"/>
  <c r="P467" i="4"/>
  <c r="Q467" i="4" s="1"/>
  <c r="R467" i="4" s="1"/>
  <c r="O467" i="4"/>
  <c r="H467" i="4"/>
  <c r="S466" i="4"/>
  <c r="P466" i="4"/>
  <c r="Q466" i="4" s="1"/>
  <c r="R466" i="4" s="1"/>
  <c r="O466" i="4"/>
  <c r="H466" i="4"/>
  <c r="S465" i="4"/>
  <c r="P465" i="4"/>
  <c r="Q465" i="4" s="1"/>
  <c r="R465" i="4" s="1"/>
  <c r="O465" i="4"/>
  <c r="H465" i="4"/>
  <c r="S464" i="4"/>
  <c r="P464" i="4"/>
  <c r="Q464" i="4" s="1"/>
  <c r="R464" i="4" s="1"/>
  <c r="O464" i="4"/>
  <c r="H464" i="4"/>
  <c r="S463" i="4"/>
  <c r="P463" i="4"/>
  <c r="Q463" i="4" s="1"/>
  <c r="R463" i="4" s="1"/>
  <c r="O463" i="4"/>
  <c r="H463" i="4"/>
  <c r="S462" i="4"/>
  <c r="P462" i="4"/>
  <c r="Q462" i="4" s="1"/>
  <c r="R462" i="4" s="1"/>
  <c r="O462" i="4"/>
  <c r="H462" i="4"/>
  <c r="S461" i="4"/>
  <c r="P461" i="4"/>
  <c r="Q461" i="4" s="1"/>
  <c r="R461" i="4" s="1"/>
  <c r="O461" i="4"/>
  <c r="H461" i="4"/>
  <c r="S460" i="4"/>
  <c r="P460" i="4"/>
  <c r="Q460" i="4" s="1"/>
  <c r="R460" i="4" s="1"/>
  <c r="O460" i="4"/>
  <c r="H460" i="4"/>
  <c r="S459" i="4"/>
  <c r="P459" i="4"/>
  <c r="Q459" i="4" s="1"/>
  <c r="R459" i="4" s="1"/>
  <c r="O459" i="4"/>
  <c r="H459" i="4"/>
  <c r="S458" i="4"/>
  <c r="P458" i="4"/>
  <c r="Q458" i="4" s="1"/>
  <c r="R458" i="4" s="1"/>
  <c r="O458" i="4"/>
  <c r="H458" i="4"/>
  <c r="S457" i="4"/>
  <c r="P457" i="4"/>
  <c r="Q457" i="4" s="1"/>
  <c r="R457" i="4" s="1"/>
  <c r="O457" i="4"/>
  <c r="H457" i="4"/>
  <c r="S456" i="4"/>
  <c r="P456" i="4"/>
  <c r="Q456" i="4" s="1"/>
  <c r="R456" i="4" s="1"/>
  <c r="O456" i="4"/>
  <c r="H456" i="4"/>
  <c r="S455" i="4"/>
  <c r="P455" i="4"/>
  <c r="Q455" i="4" s="1"/>
  <c r="R455" i="4" s="1"/>
  <c r="O455" i="4"/>
  <c r="H455" i="4"/>
  <c r="S454" i="4"/>
  <c r="P454" i="4"/>
  <c r="Q454" i="4" s="1"/>
  <c r="R454" i="4" s="1"/>
  <c r="O454" i="4"/>
  <c r="H454" i="4"/>
  <c r="S453" i="4"/>
  <c r="P453" i="4"/>
  <c r="Q453" i="4" s="1"/>
  <c r="R453" i="4" s="1"/>
  <c r="O453" i="4"/>
  <c r="H453" i="4"/>
  <c r="S452" i="4"/>
  <c r="P452" i="4"/>
  <c r="Q452" i="4" s="1"/>
  <c r="R452" i="4" s="1"/>
  <c r="O452" i="4"/>
  <c r="H452" i="4"/>
  <c r="S451" i="4"/>
  <c r="P451" i="4"/>
  <c r="Q451" i="4" s="1"/>
  <c r="R451" i="4" s="1"/>
  <c r="O451" i="4"/>
  <c r="H451" i="4"/>
  <c r="S450" i="4"/>
  <c r="P450" i="4"/>
  <c r="Q450" i="4" s="1"/>
  <c r="R450" i="4" s="1"/>
  <c r="O450" i="4"/>
  <c r="H450" i="4"/>
  <c r="S449" i="4"/>
  <c r="P449" i="4"/>
  <c r="Q449" i="4" s="1"/>
  <c r="R449" i="4" s="1"/>
  <c r="O449" i="4"/>
  <c r="H449" i="4"/>
  <c r="S448" i="4"/>
  <c r="P448" i="4"/>
  <c r="Q448" i="4" s="1"/>
  <c r="R448" i="4" s="1"/>
  <c r="O448" i="4"/>
  <c r="H448" i="4"/>
  <c r="S447" i="4"/>
  <c r="P447" i="4"/>
  <c r="Q447" i="4" s="1"/>
  <c r="R447" i="4" s="1"/>
  <c r="O447" i="4"/>
  <c r="H447" i="4"/>
  <c r="S446" i="4"/>
  <c r="P446" i="4"/>
  <c r="Q446" i="4" s="1"/>
  <c r="R446" i="4" s="1"/>
  <c r="O446" i="4"/>
  <c r="H446" i="4"/>
  <c r="S445" i="4"/>
  <c r="P445" i="4"/>
  <c r="Q445" i="4" s="1"/>
  <c r="R445" i="4" s="1"/>
  <c r="O445" i="4"/>
  <c r="H445" i="4"/>
  <c r="S444" i="4"/>
  <c r="P444" i="4"/>
  <c r="Q444" i="4" s="1"/>
  <c r="R444" i="4" s="1"/>
  <c r="O444" i="4"/>
  <c r="H444" i="4"/>
  <c r="S443" i="4"/>
  <c r="P443" i="4"/>
  <c r="Q443" i="4" s="1"/>
  <c r="R443" i="4" s="1"/>
  <c r="O443" i="4"/>
  <c r="H443" i="4"/>
  <c r="S442" i="4"/>
  <c r="P442" i="4"/>
  <c r="Q442" i="4" s="1"/>
  <c r="R442" i="4" s="1"/>
  <c r="O442" i="4"/>
  <c r="H442" i="4"/>
  <c r="S441" i="4"/>
  <c r="P441" i="4"/>
  <c r="Q441" i="4" s="1"/>
  <c r="R441" i="4" s="1"/>
  <c r="O441" i="4"/>
  <c r="H441" i="4"/>
  <c r="S440" i="4"/>
  <c r="P440" i="4"/>
  <c r="Q440" i="4" s="1"/>
  <c r="R440" i="4" s="1"/>
  <c r="O440" i="4"/>
  <c r="H440" i="4"/>
  <c r="S439" i="4"/>
  <c r="P439" i="4"/>
  <c r="Q439" i="4" s="1"/>
  <c r="R439" i="4" s="1"/>
  <c r="O439" i="4"/>
  <c r="H439" i="4"/>
  <c r="S438" i="4"/>
  <c r="P438" i="4"/>
  <c r="Q438" i="4" s="1"/>
  <c r="R438" i="4" s="1"/>
  <c r="O438" i="4"/>
  <c r="H438" i="4"/>
  <c r="S437" i="4"/>
  <c r="P437" i="4"/>
  <c r="Q437" i="4" s="1"/>
  <c r="R437" i="4" s="1"/>
  <c r="O437" i="4"/>
  <c r="H437" i="4"/>
  <c r="S436" i="4"/>
  <c r="P436" i="4"/>
  <c r="Q436" i="4" s="1"/>
  <c r="R436" i="4" s="1"/>
  <c r="O436" i="4"/>
  <c r="H436" i="4"/>
  <c r="S435" i="4"/>
  <c r="P435" i="4"/>
  <c r="Q435" i="4" s="1"/>
  <c r="R435" i="4" s="1"/>
  <c r="O435" i="4"/>
  <c r="H435" i="4"/>
  <c r="S434" i="4"/>
  <c r="P434" i="4"/>
  <c r="Q434" i="4" s="1"/>
  <c r="R434" i="4" s="1"/>
  <c r="O434" i="4"/>
  <c r="H434" i="4"/>
  <c r="S433" i="4"/>
  <c r="P433" i="4"/>
  <c r="Q433" i="4" s="1"/>
  <c r="R433" i="4" s="1"/>
  <c r="O433" i="4"/>
  <c r="H433" i="4"/>
  <c r="S432" i="4"/>
  <c r="P432" i="4"/>
  <c r="Q432" i="4" s="1"/>
  <c r="R432" i="4" s="1"/>
  <c r="O432" i="4"/>
  <c r="H432" i="4"/>
  <c r="S431" i="4"/>
  <c r="P431" i="4"/>
  <c r="Q431" i="4" s="1"/>
  <c r="R431" i="4" s="1"/>
  <c r="O431" i="4"/>
  <c r="H431" i="4"/>
  <c r="S430" i="4"/>
  <c r="P430" i="4"/>
  <c r="Q430" i="4" s="1"/>
  <c r="R430" i="4" s="1"/>
  <c r="O430" i="4"/>
  <c r="H430" i="4"/>
  <c r="S429" i="4"/>
  <c r="P429" i="4"/>
  <c r="Q429" i="4" s="1"/>
  <c r="R429" i="4" s="1"/>
  <c r="O429" i="4"/>
  <c r="H429" i="4"/>
  <c r="S428" i="4"/>
  <c r="P428" i="4"/>
  <c r="Q428" i="4" s="1"/>
  <c r="R428" i="4" s="1"/>
  <c r="O428" i="4"/>
  <c r="H428" i="4"/>
  <c r="S427" i="4"/>
  <c r="P427" i="4"/>
  <c r="Q427" i="4" s="1"/>
  <c r="R427" i="4" s="1"/>
  <c r="O427" i="4"/>
  <c r="H427" i="4"/>
  <c r="S426" i="4"/>
  <c r="P426" i="4"/>
  <c r="Q426" i="4" s="1"/>
  <c r="R426" i="4" s="1"/>
  <c r="O426" i="4"/>
  <c r="H426" i="4"/>
  <c r="S425" i="4"/>
  <c r="P425" i="4"/>
  <c r="Q425" i="4" s="1"/>
  <c r="R425" i="4" s="1"/>
  <c r="O425" i="4"/>
  <c r="H425" i="4"/>
  <c r="S424" i="4"/>
  <c r="P424" i="4"/>
  <c r="Q424" i="4" s="1"/>
  <c r="R424" i="4" s="1"/>
  <c r="O424" i="4"/>
  <c r="H424" i="4"/>
  <c r="S423" i="4"/>
  <c r="P423" i="4"/>
  <c r="Q423" i="4" s="1"/>
  <c r="R423" i="4" s="1"/>
  <c r="O423" i="4"/>
  <c r="H423" i="4"/>
  <c r="S422" i="4"/>
  <c r="P422" i="4"/>
  <c r="Q422" i="4" s="1"/>
  <c r="R422" i="4" s="1"/>
  <c r="O422" i="4"/>
  <c r="H422" i="4"/>
  <c r="S421" i="4"/>
  <c r="P421" i="4"/>
  <c r="Q421" i="4" s="1"/>
  <c r="R421" i="4" s="1"/>
  <c r="O421" i="4"/>
  <c r="H421" i="4"/>
  <c r="S420" i="4"/>
  <c r="P420" i="4"/>
  <c r="Q420" i="4" s="1"/>
  <c r="R420" i="4" s="1"/>
  <c r="O420" i="4"/>
  <c r="H420" i="4"/>
  <c r="S419" i="4"/>
  <c r="P419" i="4"/>
  <c r="Q419" i="4" s="1"/>
  <c r="R419" i="4" s="1"/>
  <c r="O419" i="4"/>
  <c r="H419" i="4"/>
  <c r="S418" i="4"/>
  <c r="P418" i="4"/>
  <c r="Q418" i="4" s="1"/>
  <c r="R418" i="4" s="1"/>
  <c r="O418" i="4"/>
  <c r="H418" i="4"/>
  <c r="S417" i="4"/>
  <c r="P417" i="4"/>
  <c r="Q417" i="4" s="1"/>
  <c r="R417" i="4" s="1"/>
  <c r="O417" i="4"/>
  <c r="H417" i="4"/>
  <c r="S416" i="4"/>
  <c r="P416" i="4"/>
  <c r="Q416" i="4" s="1"/>
  <c r="R416" i="4" s="1"/>
  <c r="O416" i="4"/>
  <c r="H416" i="4"/>
  <c r="S415" i="4"/>
  <c r="P415" i="4"/>
  <c r="Q415" i="4" s="1"/>
  <c r="R415" i="4" s="1"/>
  <c r="O415" i="4"/>
  <c r="H415" i="4"/>
  <c r="S414" i="4"/>
  <c r="P414" i="4"/>
  <c r="Q414" i="4" s="1"/>
  <c r="R414" i="4" s="1"/>
  <c r="O414" i="4"/>
  <c r="H414" i="4"/>
  <c r="S413" i="4"/>
  <c r="P413" i="4"/>
  <c r="Q413" i="4" s="1"/>
  <c r="R413" i="4" s="1"/>
  <c r="O413" i="4"/>
  <c r="H413" i="4"/>
  <c r="S412" i="4"/>
  <c r="P412" i="4"/>
  <c r="Q412" i="4" s="1"/>
  <c r="R412" i="4" s="1"/>
  <c r="O412" i="4"/>
  <c r="H412" i="4"/>
  <c r="S411" i="4"/>
  <c r="P411" i="4"/>
  <c r="Q411" i="4" s="1"/>
  <c r="R411" i="4" s="1"/>
  <c r="O411" i="4"/>
  <c r="H411" i="4"/>
  <c r="S410" i="4"/>
  <c r="P410" i="4"/>
  <c r="Q410" i="4" s="1"/>
  <c r="R410" i="4" s="1"/>
  <c r="O410" i="4"/>
  <c r="H410" i="4"/>
  <c r="S409" i="4"/>
  <c r="P409" i="4"/>
  <c r="Q409" i="4" s="1"/>
  <c r="R409" i="4" s="1"/>
  <c r="O409" i="4"/>
  <c r="H409" i="4"/>
  <c r="S408" i="4"/>
  <c r="P408" i="4"/>
  <c r="Q408" i="4" s="1"/>
  <c r="R408" i="4" s="1"/>
  <c r="O408" i="4"/>
  <c r="H408" i="4"/>
  <c r="S407" i="4"/>
  <c r="P407" i="4"/>
  <c r="Q407" i="4" s="1"/>
  <c r="R407" i="4" s="1"/>
  <c r="O407" i="4"/>
  <c r="H407" i="4"/>
  <c r="S406" i="4"/>
  <c r="P406" i="4"/>
  <c r="Q406" i="4" s="1"/>
  <c r="R406" i="4" s="1"/>
  <c r="O406" i="4"/>
  <c r="H406" i="4"/>
  <c r="S405" i="4"/>
  <c r="P405" i="4"/>
  <c r="Q405" i="4" s="1"/>
  <c r="R405" i="4" s="1"/>
  <c r="O405" i="4"/>
  <c r="H405" i="4"/>
  <c r="S404" i="4"/>
  <c r="P404" i="4"/>
  <c r="Q404" i="4" s="1"/>
  <c r="R404" i="4" s="1"/>
  <c r="O404" i="4"/>
  <c r="H404" i="4"/>
  <c r="S403" i="4"/>
  <c r="P403" i="4"/>
  <c r="Q403" i="4" s="1"/>
  <c r="R403" i="4" s="1"/>
  <c r="O403" i="4"/>
  <c r="H403" i="4"/>
  <c r="S402" i="4"/>
  <c r="P402" i="4"/>
  <c r="Q402" i="4" s="1"/>
  <c r="R402" i="4" s="1"/>
  <c r="O402" i="4"/>
  <c r="H402" i="4"/>
  <c r="S401" i="4"/>
  <c r="P401" i="4"/>
  <c r="Q401" i="4" s="1"/>
  <c r="R401" i="4" s="1"/>
  <c r="O401" i="4"/>
  <c r="H401" i="4"/>
  <c r="S400" i="4"/>
  <c r="P400" i="4"/>
  <c r="Q400" i="4" s="1"/>
  <c r="R400" i="4" s="1"/>
  <c r="O400" i="4"/>
  <c r="H400" i="4"/>
  <c r="S399" i="4"/>
  <c r="P399" i="4"/>
  <c r="Q399" i="4" s="1"/>
  <c r="R399" i="4" s="1"/>
  <c r="O399" i="4"/>
  <c r="H399" i="4"/>
  <c r="S398" i="4"/>
  <c r="P398" i="4"/>
  <c r="Q398" i="4" s="1"/>
  <c r="R398" i="4" s="1"/>
  <c r="O398" i="4"/>
  <c r="H398" i="4"/>
  <c r="S397" i="4"/>
  <c r="P397" i="4"/>
  <c r="Q397" i="4" s="1"/>
  <c r="R397" i="4" s="1"/>
  <c r="O397" i="4"/>
  <c r="H397" i="4"/>
  <c r="S396" i="4"/>
  <c r="P396" i="4"/>
  <c r="Q396" i="4" s="1"/>
  <c r="R396" i="4" s="1"/>
  <c r="O396" i="4"/>
  <c r="H396" i="4"/>
  <c r="S395" i="4"/>
  <c r="P395" i="4"/>
  <c r="Q395" i="4" s="1"/>
  <c r="R395" i="4" s="1"/>
  <c r="O395" i="4"/>
  <c r="H395" i="4"/>
  <c r="S394" i="4"/>
  <c r="P394" i="4"/>
  <c r="Q394" i="4" s="1"/>
  <c r="R394" i="4" s="1"/>
  <c r="O394" i="4"/>
  <c r="H394" i="4"/>
  <c r="S393" i="4"/>
  <c r="P393" i="4"/>
  <c r="Q393" i="4" s="1"/>
  <c r="R393" i="4" s="1"/>
  <c r="O393" i="4"/>
  <c r="H393" i="4"/>
  <c r="S392" i="4"/>
  <c r="P392" i="4"/>
  <c r="Q392" i="4" s="1"/>
  <c r="R392" i="4" s="1"/>
  <c r="O392" i="4"/>
  <c r="H392" i="4"/>
  <c r="S391" i="4"/>
  <c r="P391" i="4"/>
  <c r="Q391" i="4" s="1"/>
  <c r="R391" i="4" s="1"/>
  <c r="O391" i="4"/>
  <c r="H391" i="4"/>
  <c r="S390" i="4"/>
  <c r="P390" i="4"/>
  <c r="Q390" i="4" s="1"/>
  <c r="R390" i="4" s="1"/>
  <c r="O390" i="4"/>
  <c r="H390" i="4"/>
  <c r="S389" i="4"/>
  <c r="P389" i="4"/>
  <c r="Q389" i="4" s="1"/>
  <c r="R389" i="4" s="1"/>
  <c r="O389" i="4"/>
  <c r="H389" i="4"/>
  <c r="S388" i="4"/>
  <c r="P388" i="4"/>
  <c r="Q388" i="4" s="1"/>
  <c r="R388" i="4" s="1"/>
  <c r="O388" i="4"/>
  <c r="H388" i="4"/>
  <c r="S387" i="4"/>
  <c r="P387" i="4"/>
  <c r="Q387" i="4" s="1"/>
  <c r="R387" i="4" s="1"/>
  <c r="O387" i="4"/>
  <c r="H387" i="4"/>
  <c r="S386" i="4"/>
  <c r="P386" i="4"/>
  <c r="Q386" i="4" s="1"/>
  <c r="R386" i="4" s="1"/>
  <c r="O386" i="4"/>
  <c r="H386" i="4"/>
  <c r="S385" i="4"/>
  <c r="P385" i="4"/>
  <c r="Q385" i="4" s="1"/>
  <c r="R385" i="4" s="1"/>
  <c r="O385" i="4"/>
  <c r="H385" i="4"/>
  <c r="S384" i="4"/>
  <c r="P384" i="4"/>
  <c r="Q384" i="4" s="1"/>
  <c r="R384" i="4" s="1"/>
  <c r="O384" i="4"/>
  <c r="H384" i="4"/>
  <c r="S383" i="4"/>
  <c r="P383" i="4"/>
  <c r="Q383" i="4" s="1"/>
  <c r="R383" i="4" s="1"/>
  <c r="O383" i="4"/>
  <c r="H383" i="4"/>
  <c r="S382" i="4"/>
  <c r="P382" i="4"/>
  <c r="Q382" i="4" s="1"/>
  <c r="R382" i="4" s="1"/>
  <c r="O382" i="4"/>
  <c r="H382" i="4"/>
  <c r="S381" i="4"/>
  <c r="P381" i="4"/>
  <c r="Q381" i="4" s="1"/>
  <c r="R381" i="4" s="1"/>
  <c r="O381" i="4"/>
  <c r="H381" i="4"/>
  <c r="S380" i="4"/>
  <c r="P380" i="4"/>
  <c r="Q380" i="4" s="1"/>
  <c r="R380" i="4" s="1"/>
  <c r="O380" i="4"/>
  <c r="H380" i="4"/>
  <c r="S379" i="4"/>
  <c r="P379" i="4"/>
  <c r="Q379" i="4" s="1"/>
  <c r="R379" i="4" s="1"/>
  <c r="O379" i="4"/>
  <c r="H379" i="4"/>
  <c r="S378" i="4"/>
  <c r="P378" i="4"/>
  <c r="Q378" i="4" s="1"/>
  <c r="R378" i="4" s="1"/>
  <c r="O378" i="4"/>
  <c r="H378" i="4"/>
  <c r="S377" i="4"/>
  <c r="P377" i="4"/>
  <c r="Q377" i="4" s="1"/>
  <c r="R377" i="4" s="1"/>
  <c r="O377" i="4"/>
  <c r="H377" i="4"/>
  <c r="S376" i="4"/>
  <c r="P376" i="4"/>
  <c r="Q376" i="4" s="1"/>
  <c r="R376" i="4" s="1"/>
  <c r="O376" i="4"/>
  <c r="H376" i="4"/>
  <c r="S375" i="4"/>
  <c r="P375" i="4"/>
  <c r="Q375" i="4" s="1"/>
  <c r="R375" i="4" s="1"/>
  <c r="O375" i="4"/>
  <c r="H375" i="4"/>
  <c r="S374" i="4"/>
  <c r="P374" i="4"/>
  <c r="Q374" i="4" s="1"/>
  <c r="R374" i="4" s="1"/>
  <c r="O374" i="4"/>
  <c r="H374" i="4"/>
  <c r="S373" i="4"/>
  <c r="P373" i="4"/>
  <c r="Q373" i="4" s="1"/>
  <c r="R373" i="4" s="1"/>
  <c r="O373" i="4"/>
  <c r="H373" i="4"/>
  <c r="S372" i="4"/>
  <c r="P372" i="4"/>
  <c r="Q372" i="4" s="1"/>
  <c r="R372" i="4" s="1"/>
  <c r="O372" i="4"/>
  <c r="H372" i="4"/>
  <c r="S371" i="4"/>
  <c r="P371" i="4"/>
  <c r="Q371" i="4" s="1"/>
  <c r="R371" i="4" s="1"/>
  <c r="O371" i="4"/>
  <c r="H371" i="4"/>
  <c r="S370" i="4"/>
  <c r="P370" i="4"/>
  <c r="Q370" i="4" s="1"/>
  <c r="R370" i="4" s="1"/>
  <c r="O370" i="4"/>
  <c r="H370" i="4"/>
  <c r="S369" i="4"/>
  <c r="P369" i="4"/>
  <c r="Q369" i="4" s="1"/>
  <c r="R369" i="4" s="1"/>
  <c r="O369" i="4"/>
  <c r="H369" i="4"/>
  <c r="S368" i="4"/>
  <c r="P368" i="4"/>
  <c r="Q368" i="4" s="1"/>
  <c r="R368" i="4" s="1"/>
  <c r="O368" i="4"/>
  <c r="H368" i="4"/>
  <c r="S367" i="4"/>
  <c r="P367" i="4"/>
  <c r="Q367" i="4" s="1"/>
  <c r="R367" i="4" s="1"/>
  <c r="O367" i="4"/>
  <c r="H367" i="4"/>
  <c r="S366" i="4"/>
  <c r="P366" i="4"/>
  <c r="Q366" i="4" s="1"/>
  <c r="R366" i="4" s="1"/>
  <c r="O366" i="4"/>
  <c r="H366" i="4"/>
  <c r="S365" i="4"/>
  <c r="P365" i="4"/>
  <c r="Q365" i="4" s="1"/>
  <c r="R365" i="4" s="1"/>
  <c r="O365" i="4"/>
  <c r="H365" i="4"/>
  <c r="S364" i="4"/>
  <c r="P364" i="4"/>
  <c r="Q364" i="4" s="1"/>
  <c r="R364" i="4" s="1"/>
  <c r="O364" i="4"/>
  <c r="H364" i="4"/>
  <c r="S363" i="4"/>
  <c r="P363" i="4"/>
  <c r="Q363" i="4" s="1"/>
  <c r="R363" i="4" s="1"/>
  <c r="O363" i="4"/>
  <c r="H363" i="4"/>
  <c r="S362" i="4"/>
  <c r="P362" i="4"/>
  <c r="Q362" i="4" s="1"/>
  <c r="R362" i="4" s="1"/>
  <c r="O362" i="4"/>
  <c r="H362" i="4"/>
  <c r="S361" i="4"/>
  <c r="P361" i="4"/>
  <c r="Q361" i="4" s="1"/>
  <c r="R361" i="4" s="1"/>
  <c r="O361" i="4"/>
  <c r="H361" i="4"/>
  <c r="S360" i="4"/>
  <c r="P360" i="4"/>
  <c r="Q360" i="4" s="1"/>
  <c r="R360" i="4" s="1"/>
  <c r="O360" i="4"/>
  <c r="H360" i="4"/>
  <c r="S359" i="4"/>
  <c r="P359" i="4"/>
  <c r="Q359" i="4" s="1"/>
  <c r="R359" i="4" s="1"/>
  <c r="O359" i="4"/>
  <c r="H359" i="4"/>
  <c r="S358" i="4"/>
  <c r="P358" i="4"/>
  <c r="Q358" i="4" s="1"/>
  <c r="R358" i="4" s="1"/>
  <c r="O358" i="4"/>
  <c r="H358" i="4"/>
  <c r="S357" i="4"/>
  <c r="P357" i="4"/>
  <c r="Q357" i="4" s="1"/>
  <c r="R357" i="4" s="1"/>
  <c r="O357" i="4"/>
  <c r="H357" i="4"/>
  <c r="S356" i="4"/>
  <c r="P356" i="4"/>
  <c r="Q356" i="4" s="1"/>
  <c r="R356" i="4" s="1"/>
  <c r="O356" i="4"/>
  <c r="H356" i="4"/>
  <c r="S355" i="4"/>
  <c r="P355" i="4"/>
  <c r="Q355" i="4" s="1"/>
  <c r="R355" i="4" s="1"/>
  <c r="O355" i="4"/>
  <c r="F355" i="5" s="1"/>
  <c r="H355" i="4"/>
  <c r="S354" i="4"/>
  <c r="P354" i="4"/>
  <c r="Q354" i="4" s="1"/>
  <c r="R354" i="4" s="1"/>
  <c r="O354" i="4"/>
  <c r="F354" i="5" s="1"/>
  <c r="H354" i="4"/>
  <c r="S353" i="4"/>
  <c r="P353" i="4"/>
  <c r="Q353" i="4" s="1"/>
  <c r="R353" i="4" s="1"/>
  <c r="O353" i="4"/>
  <c r="F353" i="5" s="1"/>
  <c r="H353" i="4"/>
  <c r="S352" i="4"/>
  <c r="P352" i="4"/>
  <c r="Q352" i="4" s="1"/>
  <c r="R352" i="4" s="1"/>
  <c r="O352" i="4"/>
  <c r="F352" i="5" s="1"/>
  <c r="H352" i="4"/>
  <c r="S351" i="4"/>
  <c r="P351" i="4"/>
  <c r="Q351" i="4" s="1"/>
  <c r="R351" i="4" s="1"/>
  <c r="O351" i="4"/>
  <c r="F351" i="5" s="1"/>
  <c r="H351" i="4"/>
  <c r="S350" i="4"/>
  <c r="P350" i="4"/>
  <c r="Q350" i="4" s="1"/>
  <c r="R350" i="4" s="1"/>
  <c r="O350" i="4"/>
  <c r="F350" i="5" s="1"/>
  <c r="H350" i="4"/>
  <c r="S349" i="4"/>
  <c r="P349" i="4"/>
  <c r="Q349" i="4" s="1"/>
  <c r="R349" i="4" s="1"/>
  <c r="O349" i="4"/>
  <c r="F349" i="5" s="1"/>
  <c r="H349" i="4"/>
  <c r="S348" i="4"/>
  <c r="P348" i="4"/>
  <c r="Q348" i="4" s="1"/>
  <c r="R348" i="4" s="1"/>
  <c r="O348" i="4"/>
  <c r="F348" i="5" s="1"/>
  <c r="H348" i="4"/>
  <c r="S347" i="4"/>
  <c r="P347" i="4"/>
  <c r="Q347" i="4" s="1"/>
  <c r="R347" i="4" s="1"/>
  <c r="O347" i="4"/>
  <c r="F347" i="5" s="1"/>
  <c r="H347" i="4"/>
  <c r="S346" i="4"/>
  <c r="P346" i="4"/>
  <c r="Q346" i="4" s="1"/>
  <c r="R346" i="4" s="1"/>
  <c r="O346" i="4"/>
  <c r="F346" i="5" s="1"/>
  <c r="H346" i="4"/>
  <c r="S345" i="4"/>
  <c r="P345" i="4"/>
  <c r="Q345" i="4" s="1"/>
  <c r="R345" i="4" s="1"/>
  <c r="O345" i="4"/>
  <c r="F345" i="5" s="1"/>
  <c r="H345" i="4"/>
  <c r="S344" i="4"/>
  <c r="P344" i="4"/>
  <c r="Q344" i="4" s="1"/>
  <c r="R344" i="4" s="1"/>
  <c r="O344" i="4"/>
  <c r="F344" i="5" s="1"/>
  <c r="H344" i="4"/>
  <c r="S343" i="4"/>
  <c r="P343" i="4"/>
  <c r="Q343" i="4" s="1"/>
  <c r="R343" i="4" s="1"/>
  <c r="O343" i="4"/>
  <c r="F343" i="5" s="1"/>
  <c r="H343" i="4"/>
  <c r="S342" i="4"/>
  <c r="P342" i="4"/>
  <c r="Q342" i="4" s="1"/>
  <c r="R342" i="4" s="1"/>
  <c r="O342" i="4"/>
  <c r="F342" i="5" s="1"/>
  <c r="H342" i="4"/>
  <c r="S341" i="4"/>
  <c r="P341" i="4"/>
  <c r="Q341" i="4" s="1"/>
  <c r="R341" i="4" s="1"/>
  <c r="O341" i="4"/>
  <c r="F341" i="5" s="1"/>
  <c r="H341" i="4"/>
  <c r="S340" i="4"/>
  <c r="P340" i="4"/>
  <c r="Q340" i="4" s="1"/>
  <c r="R340" i="4" s="1"/>
  <c r="O340" i="4"/>
  <c r="F340" i="5" s="1"/>
  <c r="H340" i="4"/>
  <c r="S339" i="4"/>
  <c r="P339" i="4"/>
  <c r="Q339" i="4" s="1"/>
  <c r="R339" i="4" s="1"/>
  <c r="O339" i="4"/>
  <c r="F339" i="5" s="1"/>
  <c r="H339" i="4"/>
  <c r="S338" i="4"/>
  <c r="P338" i="4"/>
  <c r="Q338" i="4" s="1"/>
  <c r="R338" i="4" s="1"/>
  <c r="O338" i="4"/>
  <c r="F338" i="5" s="1"/>
  <c r="H338" i="4"/>
  <c r="S337" i="4"/>
  <c r="P337" i="4"/>
  <c r="Q337" i="4" s="1"/>
  <c r="R337" i="4" s="1"/>
  <c r="O337" i="4"/>
  <c r="F337" i="5" s="1"/>
  <c r="H337" i="4"/>
  <c r="S336" i="4"/>
  <c r="P336" i="4"/>
  <c r="Q336" i="4" s="1"/>
  <c r="R336" i="4" s="1"/>
  <c r="O336" i="4"/>
  <c r="F336" i="5" s="1"/>
  <c r="H336" i="4"/>
  <c r="S335" i="4"/>
  <c r="P335" i="4"/>
  <c r="Q335" i="4" s="1"/>
  <c r="R335" i="4" s="1"/>
  <c r="O335" i="4"/>
  <c r="F335" i="5" s="1"/>
  <c r="H335" i="4"/>
  <c r="S334" i="4"/>
  <c r="P334" i="4"/>
  <c r="Q334" i="4" s="1"/>
  <c r="R334" i="4" s="1"/>
  <c r="O334" i="4"/>
  <c r="F334" i="5" s="1"/>
  <c r="H334" i="4"/>
  <c r="S333" i="4"/>
  <c r="P333" i="4"/>
  <c r="Q333" i="4" s="1"/>
  <c r="R333" i="4" s="1"/>
  <c r="O333" i="4"/>
  <c r="F333" i="5" s="1"/>
  <c r="H333" i="4"/>
  <c r="S332" i="4"/>
  <c r="P332" i="4"/>
  <c r="Q332" i="4" s="1"/>
  <c r="R332" i="4" s="1"/>
  <c r="O332" i="4"/>
  <c r="F332" i="5" s="1"/>
  <c r="H332" i="4"/>
  <c r="S331" i="4"/>
  <c r="P331" i="4"/>
  <c r="Q331" i="4" s="1"/>
  <c r="R331" i="4" s="1"/>
  <c r="O331" i="4"/>
  <c r="F331" i="5" s="1"/>
  <c r="H331" i="4"/>
  <c r="S330" i="4"/>
  <c r="P330" i="4"/>
  <c r="Q330" i="4" s="1"/>
  <c r="R330" i="4" s="1"/>
  <c r="O330" i="4"/>
  <c r="F330" i="5" s="1"/>
  <c r="H330" i="4"/>
  <c r="S329" i="4"/>
  <c r="P329" i="4"/>
  <c r="Q329" i="4" s="1"/>
  <c r="R329" i="4" s="1"/>
  <c r="O329" i="4"/>
  <c r="F329" i="5" s="1"/>
  <c r="H329" i="4"/>
  <c r="S328" i="4"/>
  <c r="P328" i="4"/>
  <c r="Q328" i="4" s="1"/>
  <c r="R328" i="4" s="1"/>
  <c r="O328" i="4"/>
  <c r="F328" i="5" s="1"/>
  <c r="H328" i="4"/>
  <c r="S327" i="4"/>
  <c r="P327" i="4"/>
  <c r="Q327" i="4" s="1"/>
  <c r="R327" i="4" s="1"/>
  <c r="O327" i="4"/>
  <c r="F327" i="5" s="1"/>
  <c r="H327" i="4"/>
  <c r="S326" i="4"/>
  <c r="P326" i="4"/>
  <c r="Q326" i="4" s="1"/>
  <c r="R326" i="4" s="1"/>
  <c r="O326" i="4"/>
  <c r="F326" i="5" s="1"/>
  <c r="H326" i="4"/>
  <c r="S325" i="4"/>
  <c r="P325" i="4"/>
  <c r="Q325" i="4" s="1"/>
  <c r="R325" i="4" s="1"/>
  <c r="O325" i="4"/>
  <c r="F325" i="5" s="1"/>
  <c r="H325" i="4"/>
  <c r="S324" i="4"/>
  <c r="P324" i="4"/>
  <c r="Q324" i="4" s="1"/>
  <c r="R324" i="4" s="1"/>
  <c r="O324" i="4"/>
  <c r="F324" i="5" s="1"/>
  <c r="H324" i="4"/>
  <c r="S323" i="4"/>
  <c r="P323" i="4"/>
  <c r="Q323" i="4" s="1"/>
  <c r="R323" i="4" s="1"/>
  <c r="O323" i="4"/>
  <c r="F323" i="5" s="1"/>
  <c r="H323" i="4"/>
  <c r="S322" i="4"/>
  <c r="P322" i="4"/>
  <c r="Q322" i="4" s="1"/>
  <c r="R322" i="4" s="1"/>
  <c r="O322" i="4"/>
  <c r="F322" i="5" s="1"/>
  <c r="H322" i="4"/>
  <c r="S321" i="4"/>
  <c r="P321" i="4"/>
  <c r="Q321" i="4" s="1"/>
  <c r="R321" i="4" s="1"/>
  <c r="O321" i="4"/>
  <c r="F321" i="5" s="1"/>
  <c r="H321" i="4"/>
  <c r="S320" i="4"/>
  <c r="P320" i="4"/>
  <c r="Q320" i="4" s="1"/>
  <c r="R320" i="4" s="1"/>
  <c r="O320" i="4"/>
  <c r="F320" i="5" s="1"/>
  <c r="H320" i="4"/>
  <c r="S319" i="4"/>
  <c r="P319" i="4"/>
  <c r="Q319" i="4" s="1"/>
  <c r="R319" i="4" s="1"/>
  <c r="O319" i="4"/>
  <c r="F319" i="5" s="1"/>
  <c r="H319" i="4"/>
  <c r="S318" i="4"/>
  <c r="P318" i="4"/>
  <c r="Q318" i="4" s="1"/>
  <c r="R318" i="4" s="1"/>
  <c r="O318" i="4"/>
  <c r="F318" i="5" s="1"/>
  <c r="H318" i="4"/>
  <c r="S317" i="4"/>
  <c r="P317" i="4"/>
  <c r="Q317" i="4" s="1"/>
  <c r="R317" i="4" s="1"/>
  <c r="O317" i="4"/>
  <c r="F317" i="5" s="1"/>
  <c r="H317" i="4"/>
  <c r="S316" i="4"/>
  <c r="P316" i="4"/>
  <c r="Q316" i="4" s="1"/>
  <c r="R316" i="4" s="1"/>
  <c r="O316" i="4"/>
  <c r="F316" i="5" s="1"/>
  <c r="H316" i="4"/>
  <c r="S315" i="4"/>
  <c r="P315" i="4"/>
  <c r="Q315" i="4" s="1"/>
  <c r="R315" i="4" s="1"/>
  <c r="O315" i="4"/>
  <c r="F315" i="5" s="1"/>
  <c r="H315" i="4"/>
  <c r="S314" i="4"/>
  <c r="P314" i="4"/>
  <c r="Q314" i="4" s="1"/>
  <c r="R314" i="4" s="1"/>
  <c r="O314" i="4"/>
  <c r="F314" i="5" s="1"/>
  <c r="H314" i="4"/>
  <c r="S313" i="4"/>
  <c r="P313" i="4"/>
  <c r="Q313" i="4" s="1"/>
  <c r="R313" i="4" s="1"/>
  <c r="O313" i="4"/>
  <c r="F313" i="5" s="1"/>
  <c r="H313" i="4"/>
  <c r="S312" i="4"/>
  <c r="P312" i="4"/>
  <c r="Q312" i="4" s="1"/>
  <c r="R312" i="4" s="1"/>
  <c r="O312" i="4"/>
  <c r="F312" i="5" s="1"/>
  <c r="H312" i="4"/>
  <c r="S311" i="4"/>
  <c r="P311" i="4"/>
  <c r="Q311" i="4" s="1"/>
  <c r="R311" i="4" s="1"/>
  <c r="O311" i="4"/>
  <c r="F311" i="5" s="1"/>
  <c r="H311" i="4"/>
  <c r="S310" i="4"/>
  <c r="P310" i="4"/>
  <c r="Q310" i="4" s="1"/>
  <c r="R310" i="4" s="1"/>
  <c r="O310" i="4"/>
  <c r="F310" i="5" s="1"/>
  <c r="H310" i="4"/>
  <c r="S309" i="4"/>
  <c r="P309" i="4"/>
  <c r="Q309" i="4" s="1"/>
  <c r="R309" i="4" s="1"/>
  <c r="O309" i="4"/>
  <c r="F309" i="5" s="1"/>
  <c r="H309" i="4"/>
  <c r="S308" i="4"/>
  <c r="P308" i="4"/>
  <c r="Q308" i="4" s="1"/>
  <c r="R308" i="4" s="1"/>
  <c r="O308" i="4"/>
  <c r="F308" i="5" s="1"/>
  <c r="H308" i="4"/>
  <c r="S307" i="4"/>
  <c r="P307" i="4"/>
  <c r="Q307" i="4" s="1"/>
  <c r="R307" i="4" s="1"/>
  <c r="O307" i="4"/>
  <c r="F307" i="5" s="1"/>
  <c r="H307" i="4"/>
  <c r="S306" i="4"/>
  <c r="P306" i="4"/>
  <c r="Q306" i="4" s="1"/>
  <c r="R306" i="4" s="1"/>
  <c r="O306" i="4"/>
  <c r="F306" i="5" s="1"/>
  <c r="H306" i="4"/>
  <c r="S305" i="4"/>
  <c r="P305" i="4"/>
  <c r="Q305" i="4" s="1"/>
  <c r="R305" i="4" s="1"/>
  <c r="O305" i="4"/>
  <c r="F305" i="5" s="1"/>
  <c r="H305" i="4"/>
  <c r="S304" i="4"/>
  <c r="P304" i="4"/>
  <c r="Q304" i="4" s="1"/>
  <c r="R304" i="4" s="1"/>
  <c r="O304" i="4"/>
  <c r="F304" i="5" s="1"/>
  <c r="H304" i="4"/>
  <c r="S303" i="4"/>
  <c r="P303" i="4"/>
  <c r="Q303" i="4" s="1"/>
  <c r="R303" i="4" s="1"/>
  <c r="O303" i="4"/>
  <c r="F303" i="5" s="1"/>
  <c r="H303" i="4"/>
  <c r="S302" i="4"/>
  <c r="P302" i="4"/>
  <c r="Q302" i="4" s="1"/>
  <c r="R302" i="4" s="1"/>
  <c r="O302" i="4"/>
  <c r="F302" i="5" s="1"/>
  <c r="H302" i="4"/>
  <c r="S301" i="4"/>
  <c r="P301" i="4"/>
  <c r="Q301" i="4" s="1"/>
  <c r="R301" i="4" s="1"/>
  <c r="O301" i="4"/>
  <c r="H301" i="4"/>
  <c r="S300" i="4"/>
  <c r="P300" i="4"/>
  <c r="Q300" i="4" s="1"/>
  <c r="R300" i="4" s="1"/>
  <c r="O300" i="4"/>
  <c r="H300" i="4"/>
  <c r="S299" i="4"/>
  <c r="P299" i="4"/>
  <c r="Q299" i="4" s="1"/>
  <c r="R299" i="4" s="1"/>
  <c r="O299" i="4"/>
  <c r="H299" i="4"/>
  <c r="S298" i="4"/>
  <c r="P298" i="4"/>
  <c r="Q298" i="4" s="1"/>
  <c r="R298" i="4" s="1"/>
  <c r="O298" i="4"/>
  <c r="H298" i="4"/>
  <c r="S297" i="4"/>
  <c r="P297" i="4"/>
  <c r="Q297" i="4" s="1"/>
  <c r="R297" i="4" s="1"/>
  <c r="O297" i="4"/>
  <c r="H297" i="4"/>
  <c r="S296" i="4"/>
  <c r="P296" i="4"/>
  <c r="Q296" i="4" s="1"/>
  <c r="R296" i="4" s="1"/>
  <c r="O296" i="4"/>
  <c r="H296" i="4"/>
  <c r="S295" i="4"/>
  <c r="P295" i="4"/>
  <c r="Q295" i="4" s="1"/>
  <c r="R295" i="4" s="1"/>
  <c r="O295" i="4"/>
  <c r="H295" i="4"/>
  <c r="S294" i="4"/>
  <c r="P294" i="4"/>
  <c r="Q294" i="4" s="1"/>
  <c r="R294" i="4" s="1"/>
  <c r="O294" i="4"/>
  <c r="H294" i="4"/>
  <c r="S293" i="4"/>
  <c r="P293" i="4"/>
  <c r="Q293" i="4" s="1"/>
  <c r="R293" i="4" s="1"/>
  <c r="O293" i="4"/>
  <c r="H293" i="4"/>
  <c r="S292" i="4"/>
  <c r="P292" i="4"/>
  <c r="Q292" i="4" s="1"/>
  <c r="R292" i="4" s="1"/>
  <c r="O292" i="4"/>
  <c r="H292" i="4"/>
  <c r="S291" i="4"/>
  <c r="P291" i="4"/>
  <c r="Q291" i="4" s="1"/>
  <c r="R291" i="4" s="1"/>
  <c r="O291" i="4"/>
  <c r="H291" i="4"/>
  <c r="S290" i="4"/>
  <c r="P290" i="4"/>
  <c r="Q290" i="4" s="1"/>
  <c r="R290" i="4" s="1"/>
  <c r="O290" i="4"/>
  <c r="H290" i="4"/>
  <c r="S289" i="4"/>
  <c r="P289" i="4"/>
  <c r="Q289" i="4" s="1"/>
  <c r="R289" i="4" s="1"/>
  <c r="O289" i="4"/>
  <c r="H289" i="4"/>
  <c r="S288" i="4"/>
  <c r="P288" i="4"/>
  <c r="Q288" i="4" s="1"/>
  <c r="R288" i="4" s="1"/>
  <c r="O288" i="4"/>
  <c r="H288" i="4"/>
  <c r="S287" i="4"/>
  <c r="P287" i="4"/>
  <c r="Q287" i="4" s="1"/>
  <c r="R287" i="4" s="1"/>
  <c r="O287" i="4"/>
  <c r="H287" i="4"/>
  <c r="S286" i="4"/>
  <c r="P286" i="4"/>
  <c r="Q286" i="4" s="1"/>
  <c r="R286" i="4" s="1"/>
  <c r="O286" i="4"/>
  <c r="H286" i="4"/>
  <c r="S285" i="4"/>
  <c r="P285" i="4"/>
  <c r="Q285" i="4" s="1"/>
  <c r="R285" i="4" s="1"/>
  <c r="O285" i="4"/>
  <c r="H285" i="4"/>
  <c r="S284" i="4"/>
  <c r="P284" i="4"/>
  <c r="Q284" i="4" s="1"/>
  <c r="R284" i="4" s="1"/>
  <c r="O284" i="4"/>
  <c r="H284" i="4"/>
  <c r="S283" i="4"/>
  <c r="P283" i="4"/>
  <c r="Q283" i="4" s="1"/>
  <c r="R283" i="4" s="1"/>
  <c r="O283" i="4"/>
  <c r="H283" i="4"/>
  <c r="S282" i="4"/>
  <c r="P282" i="4"/>
  <c r="Q282" i="4" s="1"/>
  <c r="R282" i="4" s="1"/>
  <c r="O282" i="4"/>
  <c r="H282" i="4"/>
  <c r="S281" i="4"/>
  <c r="P281" i="4"/>
  <c r="Q281" i="4" s="1"/>
  <c r="R281" i="4" s="1"/>
  <c r="O281" i="4"/>
  <c r="H281" i="4"/>
  <c r="S280" i="4"/>
  <c r="P280" i="4"/>
  <c r="Q280" i="4" s="1"/>
  <c r="R280" i="4" s="1"/>
  <c r="O280" i="4"/>
  <c r="H280" i="4"/>
  <c r="S279" i="4"/>
  <c r="P279" i="4"/>
  <c r="Q279" i="4" s="1"/>
  <c r="R279" i="4" s="1"/>
  <c r="O279" i="4"/>
  <c r="H279" i="4"/>
  <c r="S278" i="4"/>
  <c r="P278" i="4"/>
  <c r="Q278" i="4" s="1"/>
  <c r="R278" i="4" s="1"/>
  <c r="O278" i="4"/>
  <c r="E278" i="9" s="1"/>
  <c r="H278" i="4"/>
  <c r="S277" i="4"/>
  <c r="P277" i="4"/>
  <c r="Q277" i="4" s="1"/>
  <c r="R277" i="4" s="1"/>
  <c r="O277" i="4"/>
  <c r="E277" i="9" s="1"/>
  <c r="H277" i="4"/>
  <c r="S276" i="4"/>
  <c r="P276" i="4"/>
  <c r="Q276" i="4" s="1"/>
  <c r="R276" i="4" s="1"/>
  <c r="O276" i="4"/>
  <c r="E276" i="9" s="1"/>
  <c r="H276" i="4"/>
  <c r="S275" i="4"/>
  <c r="P275" i="4"/>
  <c r="Q275" i="4" s="1"/>
  <c r="R275" i="4" s="1"/>
  <c r="O275" i="4"/>
  <c r="E275" i="9" s="1"/>
  <c r="H275" i="4"/>
  <c r="S274" i="4"/>
  <c r="P274" i="4"/>
  <c r="Q274" i="4" s="1"/>
  <c r="R274" i="4" s="1"/>
  <c r="O274" i="4"/>
  <c r="E274" i="9" s="1"/>
  <c r="H274" i="4"/>
  <c r="S273" i="4"/>
  <c r="P273" i="4"/>
  <c r="Q273" i="4" s="1"/>
  <c r="R273" i="4" s="1"/>
  <c r="O273" i="4"/>
  <c r="E273" i="9" s="1"/>
  <c r="H273" i="4"/>
  <c r="S272" i="4"/>
  <c r="P272" i="4"/>
  <c r="Q272" i="4" s="1"/>
  <c r="R272" i="4" s="1"/>
  <c r="O272" i="4"/>
  <c r="E272" i="9" s="1"/>
  <c r="H272" i="4"/>
  <c r="S271" i="4"/>
  <c r="P271" i="4"/>
  <c r="Q271" i="4" s="1"/>
  <c r="R271" i="4" s="1"/>
  <c r="O271" i="4"/>
  <c r="E271" i="9" s="1"/>
  <c r="H271" i="4"/>
  <c r="S270" i="4"/>
  <c r="P270" i="4"/>
  <c r="Q270" i="4" s="1"/>
  <c r="R270" i="4" s="1"/>
  <c r="O270" i="4"/>
  <c r="E270" i="9" s="1"/>
  <c r="H270" i="4"/>
  <c r="S269" i="4"/>
  <c r="P269" i="4"/>
  <c r="Q269" i="4" s="1"/>
  <c r="R269" i="4" s="1"/>
  <c r="O269" i="4"/>
  <c r="E269" i="9" s="1"/>
  <c r="S269" i="9" s="1"/>
  <c r="H269" i="4"/>
  <c r="S268" i="4"/>
  <c r="P268" i="4"/>
  <c r="Q268" i="4" s="1"/>
  <c r="R268" i="4" s="1"/>
  <c r="O268" i="4"/>
  <c r="E268" i="9" s="1"/>
  <c r="H268" i="4"/>
  <c r="S267" i="4"/>
  <c r="P267" i="4"/>
  <c r="Q267" i="4" s="1"/>
  <c r="R267" i="4" s="1"/>
  <c r="O267" i="4"/>
  <c r="E267" i="9" s="1"/>
  <c r="H267" i="4"/>
  <c r="S266" i="4"/>
  <c r="P266" i="4"/>
  <c r="Q266" i="4" s="1"/>
  <c r="R266" i="4" s="1"/>
  <c r="O266" i="4"/>
  <c r="E266" i="9" s="1"/>
  <c r="H266" i="4"/>
  <c r="S265" i="4"/>
  <c r="P265" i="4"/>
  <c r="Q265" i="4" s="1"/>
  <c r="R265" i="4" s="1"/>
  <c r="O265" i="4"/>
  <c r="E265" i="9" s="1"/>
  <c r="H265" i="4"/>
  <c r="S264" i="4"/>
  <c r="P264" i="4"/>
  <c r="Q264" i="4" s="1"/>
  <c r="R264" i="4" s="1"/>
  <c r="O264" i="4"/>
  <c r="E264" i="9" s="1"/>
  <c r="H264" i="4"/>
  <c r="S263" i="4"/>
  <c r="P263" i="4"/>
  <c r="Q263" i="4" s="1"/>
  <c r="R263" i="4" s="1"/>
  <c r="O263" i="4"/>
  <c r="E263" i="9" s="1"/>
  <c r="H263" i="4"/>
  <c r="S262" i="4"/>
  <c r="P262" i="4"/>
  <c r="Q262" i="4" s="1"/>
  <c r="R262" i="4" s="1"/>
  <c r="O262" i="4"/>
  <c r="E262" i="9" s="1"/>
  <c r="H262" i="4"/>
  <c r="S261" i="4"/>
  <c r="P261" i="4"/>
  <c r="Q261" i="4" s="1"/>
  <c r="R261" i="4" s="1"/>
  <c r="O261" i="4"/>
  <c r="E261" i="9" s="1"/>
  <c r="H261" i="4"/>
  <c r="S260" i="4"/>
  <c r="P260" i="4"/>
  <c r="Q260" i="4" s="1"/>
  <c r="R260" i="4" s="1"/>
  <c r="O260" i="4"/>
  <c r="E260" i="9" s="1"/>
  <c r="H260" i="4"/>
  <c r="S259" i="4"/>
  <c r="P259" i="4"/>
  <c r="Q259" i="4" s="1"/>
  <c r="R259" i="4" s="1"/>
  <c r="O259" i="4"/>
  <c r="E259" i="9" s="1"/>
  <c r="H259" i="4"/>
  <c r="S258" i="4"/>
  <c r="P258" i="4"/>
  <c r="Q258" i="4" s="1"/>
  <c r="R258" i="4" s="1"/>
  <c r="O258" i="4"/>
  <c r="E258" i="9" s="1"/>
  <c r="H258" i="4"/>
  <c r="S257" i="4"/>
  <c r="P257" i="4"/>
  <c r="Q257" i="4" s="1"/>
  <c r="R257" i="4" s="1"/>
  <c r="O257" i="4"/>
  <c r="E257" i="9" s="1"/>
  <c r="H257" i="4"/>
  <c r="S256" i="4"/>
  <c r="P256" i="4"/>
  <c r="Q256" i="4" s="1"/>
  <c r="R256" i="4" s="1"/>
  <c r="O256" i="4"/>
  <c r="E256" i="9" s="1"/>
  <c r="H256" i="4"/>
  <c r="S255" i="4"/>
  <c r="P255" i="4"/>
  <c r="Q255" i="4" s="1"/>
  <c r="R255" i="4" s="1"/>
  <c r="O255" i="4"/>
  <c r="E255" i="9" s="1"/>
  <c r="H255" i="4"/>
  <c r="S254" i="4"/>
  <c r="P254" i="4"/>
  <c r="Q254" i="4" s="1"/>
  <c r="R254" i="4" s="1"/>
  <c r="O254" i="4"/>
  <c r="E254" i="9" s="1"/>
  <c r="S254" i="9" s="1"/>
  <c r="H254" i="4"/>
  <c r="S253" i="4"/>
  <c r="P253" i="4"/>
  <c r="Q253" i="4" s="1"/>
  <c r="R253" i="4" s="1"/>
  <c r="O253" i="4"/>
  <c r="E253" i="9" s="1"/>
  <c r="H253" i="4"/>
  <c r="S252" i="4"/>
  <c r="P252" i="4"/>
  <c r="Q252" i="4" s="1"/>
  <c r="R252" i="4" s="1"/>
  <c r="O252" i="4"/>
  <c r="E252" i="9" s="1"/>
  <c r="H252" i="4"/>
  <c r="S251" i="4"/>
  <c r="P251" i="4"/>
  <c r="Q251" i="4" s="1"/>
  <c r="R251" i="4" s="1"/>
  <c r="O251" i="4"/>
  <c r="E251" i="9" s="1"/>
  <c r="H251" i="4"/>
  <c r="S250" i="4"/>
  <c r="P250" i="4"/>
  <c r="Q250" i="4" s="1"/>
  <c r="R250" i="4" s="1"/>
  <c r="O250" i="4"/>
  <c r="E250" i="9" s="1"/>
  <c r="H250" i="4"/>
  <c r="S249" i="4"/>
  <c r="P249" i="4"/>
  <c r="Q249" i="4" s="1"/>
  <c r="R249" i="4" s="1"/>
  <c r="O249" i="4"/>
  <c r="H249" i="4"/>
  <c r="S248" i="4"/>
  <c r="P248" i="4"/>
  <c r="Q248" i="4" s="1"/>
  <c r="R248" i="4" s="1"/>
  <c r="O248" i="4"/>
  <c r="H248" i="4"/>
  <c r="S247" i="4"/>
  <c r="P247" i="4"/>
  <c r="Q247" i="4" s="1"/>
  <c r="R247" i="4" s="1"/>
  <c r="O247" i="4"/>
  <c r="H247" i="4"/>
  <c r="S246" i="4"/>
  <c r="P246" i="4"/>
  <c r="Q246" i="4" s="1"/>
  <c r="R246" i="4" s="1"/>
  <c r="O246" i="4"/>
  <c r="H246" i="4"/>
  <c r="S245" i="4"/>
  <c r="P245" i="4"/>
  <c r="Q245" i="4" s="1"/>
  <c r="R245" i="4" s="1"/>
  <c r="O245" i="4"/>
  <c r="H245" i="4"/>
  <c r="S244" i="4"/>
  <c r="P244" i="4"/>
  <c r="Q244" i="4" s="1"/>
  <c r="R244" i="4" s="1"/>
  <c r="O244" i="4"/>
  <c r="H244" i="4"/>
  <c r="S243" i="4"/>
  <c r="P243" i="4"/>
  <c r="Q243" i="4" s="1"/>
  <c r="R243" i="4" s="1"/>
  <c r="O243" i="4"/>
  <c r="H243" i="4"/>
  <c r="S242" i="4"/>
  <c r="P242" i="4"/>
  <c r="Q242" i="4" s="1"/>
  <c r="R242" i="4" s="1"/>
  <c r="O242" i="4"/>
  <c r="H242" i="4"/>
  <c r="S241" i="4"/>
  <c r="P241" i="4"/>
  <c r="Q241" i="4" s="1"/>
  <c r="R241" i="4" s="1"/>
  <c r="O241" i="4"/>
  <c r="H241" i="4"/>
  <c r="S240" i="4"/>
  <c r="P240" i="4"/>
  <c r="Q240" i="4" s="1"/>
  <c r="R240" i="4" s="1"/>
  <c r="O240" i="4"/>
  <c r="H240" i="4"/>
  <c r="S239" i="4"/>
  <c r="P239" i="4"/>
  <c r="Q239" i="4" s="1"/>
  <c r="R239" i="4" s="1"/>
  <c r="O239" i="4"/>
  <c r="H239" i="4"/>
  <c r="S238" i="4"/>
  <c r="P238" i="4"/>
  <c r="Q238" i="4" s="1"/>
  <c r="R238" i="4" s="1"/>
  <c r="O238" i="4"/>
  <c r="H238" i="4"/>
  <c r="S237" i="4"/>
  <c r="P237" i="4"/>
  <c r="Q237" i="4" s="1"/>
  <c r="R237" i="4" s="1"/>
  <c r="O237" i="4"/>
  <c r="H237" i="4"/>
  <c r="S236" i="4"/>
  <c r="P236" i="4"/>
  <c r="Q236" i="4" s="1"/>
  <c r="R236" i="4" s="1"/>
  <c r="O236" i="4"/>
  <c r="H236" i="4"/>
  <c r="S235" i="4"/>
  <c r="P235" i="4"/>
  <c r="Q235" i="4" s="1"/>
  <c r="R235" i="4" s="1"/>
  <c r="O235" i="4"/>
  <c r="H235" i="4"/>
  <c r="S234" i="4"/>
  <c r="P234" i="4"/>
  <c r="Q234" i="4" s="1"/>
  <c r="R234" i="4" s="1"/>
  <c r="O234" i="4"/>
  <c r="H234" i="4"/>
  <c r="S233" i="4"/>
  <c r="P233" i="4"/>
  <c r="Q233" i="4" s="1"/>
  <c r="R233" i="4" s="1"/>
  <c r="O233" i="4"/>
  <c r="H233" i="4"/>
  <c r="S232" i="4"/>
  <c r="P232" i="4"/>
  <c r="Q232" i="4" s="1"/>
  <c r="R232" i="4" s="1"/>
  <c r="O232" i="4"/>
  <c r="H232" i="4"/>
  <c r="S231" i="4"/>
  <c r="P231" i="4"/>
  <c r="Q231" i="4" s="1"/>
  <c r="R231" i="4" s="1"/>
  <c r="O231" i="4"/>
  <c r="H231" i="4"/>
  <c r="S230" i="4"/>
  <c r="P230" i="4"/>
  <c r="Q230" i="4" s="1"/>
  <c r="R230" i="4" s="1"/>
  <c r="O230" i="4"/>
  <c r="H230" i="4"/>
  <c r="S229" i="4"/>
  <c r="P229" i="4"/>
  <c r="Q229" i="4" s="1"/>
  <c r="R229" i="4" s="1"/>
  <c r="O229" i="4"/>
  <c r="H229" i="4"/>
  <c r="S228" i="4"/>
  <c r="P228" i="4"/>
  <c r="Q228" i="4" s="1"/>
  <c r="R228" i="4" s="1"/>
  <c r="O228" i="4"/>
  <c r="H228" i="4"/>
  <c r="S227" i="4"/>
  <c r="P227" i="4"/>
  <c r="Q227" i="4" s="1"/>
  <c r="R227" i="4" s="1"/>
  <c r="O227" i="4"/>
  <c r="H227" i="4"/>
  <c r="S226" i="4"/>
  <c r="P226" i="4"/>
  <c r="Q226" i="4" s="1"/>
  <c r="R226" i="4" s="1"/>
  <c r="O226" i="4"/>
  <c r="H226" i="4"/>
  <c r="S225" i="4"/>
  <c r="P225" i="4"/>
  <c r="Q225" i="4" s="1"/>
  <c r="R225" i="4" s="1"/>
  <c r="O225" i="4"/>
  <c r="H225" i="4"/>
  <c r="S224" i="4"/>
  <c r="P224" i="4"/>
  <c r="Q224" i="4" s="1"/>
  <c r="R224" i="4" s="1"/>
  <c r="O224" i="4"/>
  <c r="H224" i="4"/>
  <c r="S223" i="4"/>
  <c r="P223" i="4"/>
  <c r="Q223" i="4" s="1"/>
  <c r="R223" i="4" s="1"/>
  <c r="O223" i="4"/>
  <c r="H223" i="4"/>
  <c r="S222" i="4"/>
  <c r="P222" i="4"/>
  <c r="Q222" i="4" s="1"/>
  <c r="R222" i="4" s="1"/>
  <c r="O222" i="4"/>
  <c r="H222" i="4"/>
  <c r="S221" i="4"/>
  <c r="P221" i="4"/>
  <c r="Q221" i="4" s="1"/>
  <c r="R221" i="4" s="1"/>
  <c r="O221" i="4"/>
  <c r="H221" i="4"/>
  <c r="S220" i="4"/>
  <c r="P220" i="4"/>
  <c r="Q220" i="4" s="1"/>
  <c r="R220" i="4" s="1"/>
  <c r="O220" i="4"/>
  <c r="H220" i="4"/>
  <c r="S219" i="4"/>
  <c r="P219" i="4"/>
  <c r="Q219" i="4" s="1"/>
  <c r="R219" i="4" s="1"/>
  <c r="O219" i="4"/>
  <c r="H219" i="4"/>
  <c r="S218" i="4"/>
  <c r="P218" i="4"/>
  <c r="Q218" i="4" s="1"/>
  <c r="R218" i="4" s="1"/>
  <c r="O218" i="4"/>
  <c r="H218" i="4"/>
  <c r="S217" i="4"/>
  <c r="P217" i="4"/>
  <c r="Q217" i="4" s="1"/>
  <c r="R217" i="4" s="1"/>
  <c r="O217" i="4"/>
  <c r="H217" i="4"/>
  <c r="S216" i="4"/>
  <c r="P216" i="4"/>
  <c r="Q216" i="4" s="1"/>
  <c r="R216" i="4" s="1"/>
  <c r="O216" i="4"/>
  <c r="H216" i="4"/>
  <c r="S215" i="4"/>
  <c r="P215" i="4"/>
  <c r="Q215" i="4" s="1"/>
  <c r="R215" i="4" s="1"/>
  <c r="O215" i="4"/>
  <c r="H215" i="4"/>
  <c r="S214" i="4"/>
  <c r="P214" i="4"/>
  <c r="Q214" i="4" s="1"/>
  <c r="R214" i="4" s="1"/>
  <c r="O214" i="4"/>
  <c r="H214" i="4"/>
  <c r="S213" i="4"/>
  <c r="P213" i="4"/>
  <c r="Q213" i="4" s="1"/>
  <c r="R213" i="4" s="1"/>
  <c r="O213" i="4"/>
  <c r="H213" i="4"/>
  <c r="S212" i="4"/>
  <c r="P212" i="4"/>
  <c r="Q212" i="4" s="1"/>
  <c r="R212" i="4" s="1"/>
  <c r="O212" i="4"/>
  <c r="H212" i="4"/>
  <c r="S211" i="4"/>
  <c r="P211" i="4"/>
  <c r="Q211" i="4" s="1"/>
  <c r="R211" i="4" s="1"/>
  <c r="O211" i="4"/>
  <c r="H211" i="4"/>
  <c r="S210" i="4"/>
  <c r="P210" i="4"/>
  <c r="Q210" i="4" s="1"/>
  <c r="R210" i="4" s="1"/>
  <c r="O210" i="4"/>
  <c r="H210" i="4"/>
  <c r="S209" i="4"/>
  <c r="P209" i="4"/>
  <c r="Q209" i="4" s="1"/>
  <c r="R209" i="4" s="1"/>
  <c r="O209" i="4"/>
  <c r="H209" i="4"/>
  <c r="S208" i="4"/>
  <c r="P208" i="4"/>
  <c r="Q208" i="4" s="1"/>
  <c r="R208" i="4" s="1"/>
  <c r="O208" i="4"/>
  <c r="H208" i="4"/>
  <c r="S207" i="4"/>
  <c r="P207" i="4"/>
  <c r="Q207" i="4" s="1"/>
  <c r="R207" i="4" s="1"/>
  <c r="O207" i="4"/>
  <c r="H207" i="4"/>
  <c r="S206" i="4"/>
  <c r="P206" i="4"/>
  <c r="Q206" i="4" s="1"/>
  <c r="R206" i="4" s="1"/>
  <c r="O206" i="4"/>
  <c r="H206" i="4"/>
  <c r="S205" i="4"/>
  <c r="P205" i="4"/>
  <c r="Q205" i="4" s="1"/>
  <c r="R205" i="4" s="1"/>
  <c r="O205" i="4"/>
  <c r="H205" i="4"/>
  <c r="S204" i="4"/>
  <c r="P204" i="4"/>
  <c r="Q204" i="4" s="1"/>
  <c r="R204" i="4" s="1"/>
  <c r="O204" i="4"/>
  <c r="H204" i="4"/>
  <c r="S203" i="4"/>
  <c r="P203" i="4"/>
  <c r="Q203" i="4" s="1"/>
  <c r="R203" i="4" s="1"/>
  <c r="O203" i="4"/>
  <c r="H203" i="4"/>
  <c r="S202" i="4"/>
  <c r="P202" i="4"/>
  <c r="Q202" i="4" s="1"/>
  <c r="R202" i="4" s="1"/>
  <c r="O202" i="4"/>
  <c r="H202" i="4"/>
  <c r="S201" i="4"/>
  <c r="P201" i="4"/>
  <c r="Q201" i="4" s="1"/>
  <c r="R201" i="4" s="1"/>
  <c r="O201" i="4"/>
  <c r="H201" i="4"/>
  <c r="S200" i="4"/>
  <c r="P200" i="4"/>
  <c r="Q200" i="4" s="1"/>
  <c r="R200" i="4" s="1"/>
  <c r="O200" i="4"/>
  <c r="H200" i="4"/>
  <c r="S199" i="4"/>
  <c r="P199" i="4"/>
  <c r="Q199" i="4" s="1"/>
  <c r="R199" i="4" s="1"/>
  <c r="O199" i="4"/>
  <c r="H199" i="4"/>
  <c r="S198" i="4"/>
  <c r="P198" i="4"/>
  <c r="Q198" i="4" s="1"/>
  <c r="R198" i="4" s="1"/>
  <c r="O198" i="4"/>
  <c r="H198" i="4"/>
  <c r="S197" i="4"/>
  <c r="P197" i="4"/>
  <c r="Q197" i="4" s="1"/>
  <c r="R197" i="4" s="1"/>
  <c r="O197" i="4"/>
  <c r="H197" i="4"/>
  <c r="S196" i="4"/>
  <c r="P196" i="4"/>
  <c r="Q196" i="4" s="1"/>
  <c r="R196" i="4" s="1"/>
  <c r="O196" i="4"/>
  <c r="H196" i="4"/>
  <c r="S195" i="4"/>
  <c r="P195" i="4"/>
  <c r="Q195" i="4" s="1"/>
  <c r="R195" i="4" s="1"/>
  <c r="O195" i="4"/>
  <c r="H195" i="4"/>
  <c r="S194" i="4"/>
  <c r="P194" i="4"/>
  <c r="Q194" i="4" s="1"/>
  <c r="R194" i="4" s="1"/>
  <c r="O194" i="4"/>
  <c r="H194" i="4"/>
  <c r="S193" i="4"/>
  <c r="P193" i="4"/>
  <c r="Q193" i="4" s="1"/>
  <c r="R193" i="4" s="1"/>
  <c r="O193" i="4"/>
  <c r="H193" i="4"/>
  <c r="S192" i="4"/>
  <c r="P192" i="4"/>
  <c r="Q192" i="4" s="1"/>
  <c r="R192" i="4" s="1"/>
  <c r="O192" i="4"/>
  <c r="H192" i="4"/>
  <c r="S191" i="4"/>
  <c r="P191" i="4"/>
  <c r="Q191" i="4" s="1"/>
  <c r="R191" i="4" s="1"/>
  <c r="O191" i="4"/>
  <c r="H191" i="4"/>
  <c r="S190" i="4"/>
  <c r="P190" i="4"/>
  <c r="Q190" i="4" s="1"/>
  <c r="R190" i="4" s="1"/>
  <c r="O190" i="4"/>
  <c r="H190" i="4"/>
  <c r="S189" i="4"/>
  <c r="P189" i="4"/>
  <c r="Q189" i="4" s="1"/>
  <c r="R189" i="4" s="1"/>
  <c r="O189" i="4"/>
  <c r="H189" i="4"/>
  <c r="S188" i="4"/>
  <c r="P188" i="4"/>
  <c r="Q188" i="4" s="1"/>
  <c r="R188" i="4" s="1"/>
  <c r="O188" i="4"/>
  <c r="H188" i="4"/>
  <c r="S187" i="4"/>
  <c r="P187" i="4"/>
  <c r="Q187" i="4" s="1"/>
  <c r="R187" i="4" s="1"/>
  <c r="O187" i="4"/>
  <c r="H187" i="4"/>
  <c r="S186" i="4"/>
  <c r="P186" i="4"/>
  <c r="Q186" i="4" s="1"/>
  <c r="R186" i="4" s="1"/>
  <c r="O186" i="4"/>
  <c r="H186" i="4"/>
  <c r="S185" i="4"/>
  <c r="P185" i="4"/>
  <c r="Q185" i="4" s="1"/>
  <c r="R185" i="4" s="1"/>
  <c r="O185" i="4"/>
  <c r="H185" i="4"/>
  <c r="S184" i="4"/>
  <c r="P184" i="4"/>
  <c r="Q184" i="4" s="1"/>
  <c r="R184" i="4" s="1"/>
  <c r="O184" i="4"/>
  <c r="H184" i="4"/>
  <c r="S183" i="4"/>
  <c r="P183" i="4"/>
  <c r="Q183" i="4" s="1"/>
  <c r="R183" i="4" s="1"/>
  <c r="O183" i="4"/>
  <c r="H183" i="4"/>
  <c r="S182" i="4"/>
  <c r="P182" i="4"/>
  <c r="Q182" i="4" s="1"/>
  <c r="R182" i="4" s="1"/>
  <c r="O182" i="4"/>
  <c r="H182" i="4"/>
  <c r="S181" i="4"/>
  <c r="P181" i="4"/>
  <c r="Q181" i="4" s="1"/>
  <c r="R181" i="4" s="1"/>
  <c r="O181" i="4"/>
  <c r="H181" i="4"/>
  <c r="S180" i="4"/>
  <c r="P180" i="4"/>
  <c r="Q180" i="4" s="1"/>
  <c r="R180" i="4" s="1"/>
  <c r="O180" i="4"/>
  <c r="H180" i="4"/>
  <c r="S179" i="4"/>
  <c r="P179" i="4"/>
  <c r="Q179" i="4" s="1"/>
  <c r="R179" i="4" s="1"/>
  <c r="O179" i="4"/>
  <c r="H179" i="4"/>
  <c r="S178" i="4"/>
  <c r="P178" i="4"/>
  <c r="Q178" i="4" s="1"/>
  <c r="R178" i="4" s="1"/>
  <c r="O178" i="4"/>
  <c r="H178" i="4"/>
  <c r="S177" i="4"/>
  <c r="P177" i="4"/>
  <c r="Q177" i="4" s="1"/>
  <c r="R177" i="4" s="1"/>
  <c r="O177" i="4"/>
  <c r="H177" i="4"/>
  <c r="S176" i="4"/>
  <c r="P176" i="4"/>
  <c r="Q176" i="4" s="1"/>
  <c r="R176" i="4" s="1"/>
  <c r="O176" i="4"/>
  <c r="H176" i="4"/>
  <c r="S175" i="4"/>
  <c r="P175" i="4"/>
  <c r="Q175" i="4" s="1"/>
  <c r="R175" i="4" s="1"/>
  <c r="O175" i="4"/>
  <c r="H175" i="4"/>
  <c r="S174" i="4"/>
  <c r="P174" i="4"/>
  <c r="Q174" i="4" s="1"/>
  <c r="R174" i="4" s="1"/>
  <c r="O174" i="4"/>
  <c r="H174" i="4"/>
  <c r="S173" i="4"/>
  <c r="P173" i="4"/>
  <c r="Q173" i="4" s="1"/>
  <c r="R173" i="4" s="1"/>
  <c r="O173" i="4"/>
  <c r="H173" i="4"/>
  <c r="S172" i="4"/>
  <c r="P172" i="4"/>
  <c r="Q172" i="4" s="1"/>
  <c r="R172" i="4" s="1"/>
  <c r="O172" i="4"/>
  <c r="H172" i="4"/>
  <c r="S171" i="4"/>
  <c r="P171" i="4"/>
  <c r="Q171" i="4" s="1"/>
  <c r="R171" i="4" s="1"/>
  <c r="O171" i="4"/>
  <c r="H171" i="4"/>
  <c r="S170" i="4"/>
  <c r="P170" i="4"/>
  <c r="Q170" i="4" s="1"/>
  <c r="R170" i="4" s="1"/>
  <c r="O170" i="4"/>
  <c r="H170" i="4"/>
  <c r="S169" i="4"/>
  <c r="P169" i="4"/>
  <c r="Q169" i="4" s="1"/>
  <c r="R169" i="4" s="1"/>
  <c r="O169" i="4"/>
  <c r="H169" i="4"/>
  <c r="S168" i="4"/>
  <c r="P168" i="4"/>
  <c r="Q168" i="4" s="1"/>
  <c r="R168" i="4" s="1"/>
  <c r="O168" i="4"/>
  <c r="H168" i="4"/>
  <c r="S167" i="4"/>
  <c r="P167" i="4"/>
  <c r="Q167" i="4" s="1"/>
  <c r="R167" i="4" s="1"/>
  <c r="O167" i="4"/>
  <c r="H167" i="4"/>
  <c r="S166" i="4"/>
  <c r="P166" i="4"/>
  <c r="Q166" i="4" s="1"/>
  <c r="R166" i="4" s="1"/>
  <c r="O166" i="4"/>
  <c r="H166" i="4"/>
  <c r="S165" i="4"/>
  <c r="P165" i="4"/>
  <c r="Q165" i="4" s="1"/>
  <c r="R165" i="4" s="1"/>
  <c r="O165" i="4"/>
  <c r="H165" i="4"/>
  <c r="S164" i="4"/>
  <c r="P164" i="4"/>
  <c r="Q164" i="4" s="1"/>
  <c r="R164" i="4" s="1"/>
  <c r="O164" i="4"/>
  <c r="H164" i="4"/>
  <c r="S163" i="4"/>
  <c r="P163" i="4"/>
  <c r="Q163" i="4" s="1"/>
  <c r="R163" i="4" s="1"/>
  <c r="O163" i="4"/>
  <c r="H163" i="4"/>
  <c r="S162" i="4"/>
  <c r="P162" i="4"/>
  <c r="Q162" i="4" s="1"/>
  <c r="R162" i="4" s="1"/>
  <c r="O162" i="4"/>
  <c r="H162" i="4"/>
  <c r="S161" i="4"/>
  <c r="P161" i="4"/>
  <c r="Q161" i="4" s="1"/>
  <c r="R161" i="4" s="1"/>
  <c r="O161" i="4"/>
  <c r="H161" i="4"/>
  <c r="S160" i="4"/>
  <c r="P160" i="4"/>
  <c r="Q160" i="4" s="1"/>
  <c r="R160" i="4" s="1"/>
  <c r="O160" i="4"/>
  <c r="H160" i="4"/>
  <c r="S159" i="4"/>
  <c r="P159" i="4"/>
  <c r="Q159" i="4" s="1"/>
  <c r="R159" i="4" s="1"/>
  <c r="O159" i="4"/>
  <c r="H159" i="4"/>
  <c r="S158" i="4"/>
  <c r="P158" i="4"/>
  <c r="Q158" i="4" s="1"/>
  <c r="R158" i="4" s="1"/>
  <c r="O158" i="4"/>
  <c r="H158" i="4"/>
  <c r="S157" i="4"/>
  <c r="P157" i="4"/>
  <c r="Q157" i="4" s="1"/>
  <c r="R157" i="4" s="1"/>
  <c r="O157" i="4"/>
  <c r="H157" i="4"/>
  <c r="S156" i="4"/>
  <c r="P156" i="4"/>
  <c r="Q156" i="4" s="1"/>
  <c r="R156" i="4" s="1"/>
  <c r="O156" i="4"/>
  <c r="H156" i="4"/>
  <c r="S155" i="4"/>
  <c r="P155" i="4"/>
  <c r="Q155" i="4" s="1"/>
  <c r="R155" i="4" s="1"/>
  <c r="O155" i="4"/>
  <c r="H155" i="4"/>
  <c r="S154" i="4"/>
  <c r="P154" i="4"/>
  <c r="Q154" i="4" s="1"/>
  <c r="R154" i="4" s="1"/>
  <c r="O154" i="4"/>
  <c r="H154" i="4"/>
  <c r="S153" i="4"/>
  <c r="P153" i="4"/>
  <c r="Q153" i="4" s="1"/>
  <c r="R153" i="4" s="1"/>
  <c r="O153" i="4"/>
  <c r="H153" i="4"/>
  <c r="S152" i="4"/>
  <c r="P152" i="4"/>
  <c r="Q152" i="4" s="1"/>
  <c r="R152" i="4" s="1"/>
  <c r="O152" i="4"/>
  <c r="H152" i="4"/>
  <c r="S151" i="4"/>
  <c r="P151" i="4"/>
  <c r="Q151" i="4" s="1"/>
  <c r="R151" i="4" s="1"/>
  <c r="O151" i="4"/>
  <c r="H151" i="4"/>
  <c r="S150" i="4"/>
  <c r="P150" i="4"/>
  <c r="Q150" i="4" s="1"/>
  <c r="R150" i="4" s="1"/>
  <c r="O150" i="4"/>
  <c r="H150" i="4"/>
  <c r="S149" i="4"/>
  <c r="P149" i="4"/>
  <c r="Q149" i="4" s="1"/>
  <c r="R149" i="4" s="1"/>
  <c r="O149" i="4"/>
  <c r="H149" i="4"/>
  <c r="S148" i="4"/>
  <c r="P148" i="4"/>
  <c r="Q148" i="4" s="1"/>
  <c r="R148" i="4" s="1"/>
  <c r="O148" i="4"/>
  <c r="H148" i="4"/>
  <c r="S147" i="4"/>
  <c r="P147" i="4"/>
  <c r="Q147" i="4" s="1"/>
  <c r="R147" i="4" s="1"/>
  <c r="O147" i="4"/>
  <c r="H147" i="4"/>
  <c r="S146" i="4"/>
  <c r="P146" i="4"/>
  <c r="Q146" i="4" s="1"/>
  <c r="R146" i="4" s="1"/>
  <c r="O146" i="4"/>
  <c r="H146" i="4"/>
  <c r="S145" i="4"/>
  <c r="P145" i="4"/>
  <c r="Q145" i="4" s="1"/>
  <c r="R145" i="4" s="1"/>
  <c r="O145" i="4"/>
  <c r="H145" i="4"/>
  <c r="S144" i="4"/>
  <c r="P144" i="4"/>
  <c r="Q144" i="4" s="1"/>
  <c r="R144" i="4" s="1"/>
  <c r="O144" i="4"/>
  <c r="H144" i="4"/>
  <c r="S143" i="4"/>
  <c r="P143" i="4"/>
  <c r="Q143" i="4" s="1"/>
  <c r="R143" i="4" s="1"/>
  <c r="O143" i="4"/>
  <c r="H143" i="4"/>
  <c r="S142" i="4"/>
  <c r="P142" i="4"/>
  <c r="Q142" i="4" s="1"/>
  <c r="R142" i="4" s="1"/>
  <c r="O142" i="4"/>
  <c r="H142" i="4"/>
  <c r="S141" i="4"/>
  <c r="P141" i="4"/>
  <c r="Q141" i="4" s="1"/>
  <c r="R141" i="4" s="1"/>
  <c r="O141" i="4"/>
  <c r="H141" i="4"/>
  <c r="S140" i="4"/>
  <c r="P140" i="4"/>
  <c r="Q140" i="4" s="1"/>
  <c r="R140" i="4" s="1"/>
  <c r="O140" i="4"/>
  <c r="H140" i="4"/>
  <c r="S139" i="4"/>
  <c r="P139" i="4"/>
  <c r="Q139" i="4" s="1"/>
  <c r="R139" i="4" s="1"/>
  <c r="O139" i="4"/>
  <c r="H139" i="4"/>
  <c r="S138" i="4"/>
  <c r="P138" i="4"/>
  <c r="Q138" i="4" s="1"/>
  <c r="R138" i="4" s="1"/>
  <c r="O138" i="4"/>
  <c r="H138" i="4"/>
  <c r="S137" i="4"/>
  <c r="P137" i="4"/>
  <c r="Q137" i="4" s="1"/>
  <c r="R137" i="4" s="1"/>
  <c r="O137" i="4"/>
  <c r="H137" i="4"/>
  <c r="S136" i="4"/>
  <c r="P136" i="4"/>
  <c r="Q136" i="4" s="1"/>
  <c r="R136" i="4" s="1"/>
  <c r="O136" i="4"/>
  <c r="H136" i="4"/>
  <c r="S135" i="4"/>
  <c r="P135" i="4"/>
  <c r="Q135" i="4" s="1"/>
  <c r="R135" i="4" s="1"/>
  <c r="O135" i="4"/>
  <c r="H135" i="4"/>
  <c r="S134" i="4"/>
  <c r="P134" i="4"/>
  <c r="Q134" i="4" s="1"/>
  <c r="R134" i="4" s="1"/>
  <c r="O134" i="4"/>
  <c r="H134" i="4"/>
  <c r="S133" i="4"/>
  <c r="P133" i="4"/>
  <c r="Q133" i="4" s="1"/>
  <c r="R133" i="4" s="1"/>
  <c r="O133" i="4"/>
  <c r="H133" i="4"/>
  <c r="S132" i="4"/>
  <c r="P132" i="4"/>
  <c r="Q132" i="4" s="1"/>
  <c r="R132" i="4" s="1"/>
  <c r="O132" i="4"/>
  <c r="H132" i="4"/>
  <c r="S131" i="4"/>
  <c r="P131" i="4"/>
  <c r="Q131" i="4" s="1"/>
  <c r="R131" i="4" s="1"/>
  <c r="O131" i="4"/>
  <c r="H131" i="4"/>
  <c r="S130" i="4"/>
  <c r="P130" i="4"/>
  <c r="Q130" i="4" s="1"/>
  <c r="R130" i="4" s="1"/>
  <c r="O130" i="4"/>
  <c r="H130" i="4"/>
  <c r="S129" i="4"/>
  <c r="P129" i="4"/>
  <c r="Q129" i="4" s="1"/>
  <c r="R129" i="4" s="1"/>
  <c r="O129" i="4"/>
  <c r="H129" i="4"/>
  <c r="S128" i="4"/>
  <c r="P128" i="4"/>
  <c r="Q128" i="4" s="1"/>
  <c r="R128" i="4" s="1"/>
  <c r="O128" i="4"/>
  <c r="H128" i="4"/>
  <c r="S127" i="4"/>
  <c r="P127" i="4"/>
  <c r="Q127" i="4" s="1"/>
  <c r="R127" i="4" s="1"/>
  <c r="O127" i="4"/>
  <c r="H127" i="4"/>
  <c r="S126" i="4"/>
  <c r="P126" i="4"/>
  <c r="Q126" i="4" s="1"/>
  <c r="R126" i="4" s="1"/>
  <c r="O126" i="4"/>
  <c r="H126" i="4"/>
  <c r="S125" i="4"/>
  <c r="P125" i="4"/>
  <c r="Q125" i="4" s="1"/>
  <c r="R125" i="4" s="1"/>
  <c r="O125" i="4"/>
  <c r="H125" i="4"/>
  <c r="S124" i="4"/>
  <c r="P124" i="4"/>
  <c r="Q124" i="4" s="1"/>
  <c r="R124" i="4" s="1"/>
  <c r="O124" i="4"/>
  <c r="H124" i="4"/>
  <c r="S123" i="4"/>
  <c r="P123" i="4"/>
  <c r="Q123" i="4" s="1"/>
  <c r="R123" i="4" s="1"/>
  <c r="O123" i="4"/>
  <c r="H123" i="4"/>
  <c r="S122" i="4"/>
  <c r="P122" i="4"/>
  <c r="Q122" i="4" s="1"/>
  <c r="R122" i="4" s="1"/>
  <c r="O122" i="4"/>
  <c r="H122" i="4"/>
  <c r="S121" i="4"/>
  <c r="P121" i="4"/>
  <c r="Q121" i="4" s="1"/>
  <c r="R121" i="4" s="1"/>
  <c r="O121" i="4"/>
  <c r="H121" i="4"/>
  <c r="S120" i="4"/>
  <c r="P120" i="4"/>
  <c r="Q120" i="4" s="1"/>
  <c r="R120" i="4" s="1"/>
  <c r="O120" i="4"/>
  <c r="H120" i="4"/>
  <c r="S119" i="4"/>
  <c r="P119" i="4"/>
  <c r="Q119" i="4" s="1"/>
  <c r="R119" i="4" s="1"/>
  <c r="O119" i="4"/>
  <c r="H119" i="4"/>
  <c r="S118" i="4"/>
  <c r="P118" i="4"/>
  <c r="Q118" i="4" s="1"/>
  <c r="R118" i="4" s="1"/>
  <c r="O118" i="4"/>
  <c r="H118" i="4"/>
  <c r="S117" i="4"/>
  <c r="P117" i="4"/>
  <c r="Q117" i="4" s="1"/>
  <c r="R117" i="4" s="1"/>
  <c r="O117" i="4"/>
  <c r="H117" i="4"/>
  <c r="S116" i="4"/>
  <c r="P116" i="4"/>
  <c r="Q116" i="4" s="1"/>
  <c r="R116" i="4" s="1"/>
  <c r="O116" i="4"/>
  <c r="H116" i="4"/>
  <c r="S115" i="4"/>
  <c r="P115" i="4"/>
  <c r="Q115" i="4" s="1"/>
  <c r="R115" i="4" s="1"/>
  <c r="O115" i="4"/>
  <c r="H115" i="4"/>
  <c r="S114" i="4"/>
  <c r="P114" i="4"/>
  <c r="Q114" i="4" s="1"/>
  <c r="R114" i="4" s="1"/>
  <c r="O114" i="4"/>
  <c r="H114" i="4"/>
  <c r="S113" i="4"/>
  <c r="P113" i="4"/>
  <c r="Q113" i="4" s="1"/>
  <c r="R113" i="4" s="1"/>
  <c r="O113" i="4"/>
  <c r="H113" i="4"/>
  <c r="S112" i="4"/>
  <c r="P112" i="4"/>
  <c r="Q112" i="4" s="1"/>
  <c r="R112" i="4" s="1"/>
  <c r="O112" i="4"/>
  <c r="H112" i="4"/>
  <c r="S111" i="4"/>
  <c r="P111" i="4"/>
  <c r="Q111" i="4" s="1"/>
  <c r="R111" i="4" s="1"/>
  <c r="O111" i="4"/>
  <c r="H111" i="4"/>
  <c r="S110" i="4"/>
  <c r="P110" i="4"/>
  <c r="Q110" i="4" s="1"/>
  <c r="R110" i="4" s="1"/>
  <c r="O110" i="4"/>
  <c r="H110" i="4"/>
  <c r="S109" i="4"/>
  <c r="P109" i="4"/>
  <c r="Q109" i="4" s="1"/>
  <c r="R109" i="4" s="1"/>
  <c r="O109" i="4"/>
  <c r="H109" i="4"/>
  <c r="S108" i="4"/>
  <c r="P108" i="4"/>
  <c r="Q108" i="4" s="1"/>
  <c r="R108" i="4" s="1"/>
  <c r="O108" i="4"/>
  <c r="H108" i="4"/>
  <c r="S107" i="4"/>
  <c r="P107" i="4"/>
  <c r="Q107" i="4" s="1"/>
  <c r="R107" i="4" s="1"/>
  <c r="O107" i="4"/>
  <c r="H107" i="4"/>
  <c r="S106" i="4"/>
  <c r="P106" i="4"/>
  <c r="Q106" i="4" s="1"/>
  <c r="R106" i="4" s="1"/>
  <c r="O106" i="4"/>
  <c r="H106" i="4"/>
  <c r="S105" i="4"/>
  <c r="P105" i="4"/>
  <c r="Q105" i="4" s="1"/>
  <c r="R105" i="4" s="1"/>
  <c r="O105" i="4"/>
  <c r="H105" i="4"/>
  <c r="S104" i="4"/>
  <c r="P104" i="4"/>
  <c r="Q104" i="4" s="1"/>
  <c r="R104" i="4" s="1"/>
  <c r="O104" i="4"/>
  <c r="H104" i="4"/>
  <c r="S103" i="4"/>
  <c r="P103" i="4"/>
  <c r="Q103" i="4" s="1"/>
  <c r="R103" i="4" s="1"/>
  <c r="O103" i="4"/>
  <c r="H103" i="4"/>
  <c r="S102" i="4"/>
  <c r="P102" i="4"/>
  <c r="Q102" i="4" s="1"/>
  <c r="R102" i="4" s="1"/>
  <c r="O102" i="4"/>
  <c r="H102" i="4"/>
  <c r="S101" i="4"/>
  <c r="P101" i="4"/>
  <c r="Q101" i="4" s="1"/>
  <c r="R101" i="4" s="1"/>
  <c r="O101" i="4"/>
  <c r="H101" i="4"/>
  <c r="S100" i="4"/>
  <c r="P100" i="4"/>
  <c r="Q100" i="4" s="1"/>
  <c r="R100" i="4" s="1"/>
  <c r="O100" i="4"/>
  <c r="H100" i="4"/>
  <c r="S99" i="4"/>
  <c r="P99" i="4"/>
  <c r="Q99" i="4" s="1"/>
  <c r="R99" i="4" s="1"/>
  <c r="O99" i="4"/>
  <c r="H99" i="4"/>
  <c r="S98" i="4"/>
  <c r="P98" i="4"/>
  <c r="Q98" i="4" s="1"/>
  <c r="R98" i="4" s="1"/>
  <c r="O98" i="4"/>
  <c r="H98" i="4"/>
  <c r="S97" i="4"/>
  <c r="P97" i="4"/>
  <c r="Q97" i="4" s="1"/>
  <c r="R97" i="4" s="1"/>
  <c r="O97" i="4"/>
  <c r="H97" i="4"/>
  <c r="S96" i="4"/>
  <c r="P96" i="4"/>
  <c r="Q96" i="4" s="1"/>
  <c r="R96" i="4" s="1"/>
  <c r="O96" i="4"/>
  <c r="H96" i="4"/>
  <c r="S95" i="4"/>
  <c r="P95" i="4"/>
  <c r="Q95" i="4" s="1"/>
  <c r="R95" i="4" s="1"/>
  <c r="O95" i="4"/>
  <c r="H95" i="4"/>
  <c r="S94" i="4"/>
  <c r="P94" i="4"/>
  <c r="Q94" i="4" s="1"/>
  <c r="R94" i="4" s="1"/>
  <c r="O94" i="4"/>
  <c r="H94" i="4"/>
  <c r="S93" i="4"/>
  <c r="P93" i="4"/>
  <c r="Q93" i="4" s="1"/>
  <c r="R93" i="4" s="1"/>
  <c r="O93" i="4"/>
  <c r="H93" i="4"/>
  <c r="S92" i="4"/>
  <c r="P92" i="4"/>
  <c r="Q92" i="4" s="1"/>
  <c r="R92" i="4" s="1"/>
  <c r="O92" i="4"/>
  <c r="H92" i="4"/>
  <c r="S91" i="4"/>
  <c r="P91" i="4"/>
  <c r="Q91" i="4" s="1"/>
  <c r="R91" i="4" s="1"/>
  <c r="O91" i="4"/>
  <c r="H91" i="4"/>
  <c r="S90" i="4"/>
  <c r="P90" i="4"/>
  <c r="Q90" i="4" s="1"/>
  <c r="R90" i="4" s="1"/>
  <c r="O90" i="4"/>
  <c r="H90" i="4"/>
  <c r="S89" i="4"/>
  <c r="P89" i="4"/>
  <c r="Q89" i="4" s="1"/>
  <c r="R89" i="4" s="1"/>
  <c r="O89" i="4"/>
  <c r="H89" i="4"/>
  <c r="S88" i="4"/>
  <c r="P88" i="4"/>
  <c r="Q88" i="4" s="1"/>
  <c r="R88" i="4" s="1"/>
  <c r="O88" i="4"/>
  <c r="H88" i="4"/>
  <c r="S87" i="4"/>
  <c r="P87" i="4"/>
  <c r="Q87" i="4" s="1"/>
  <c r="R87" i="4" s="1"/>
  <c r="O87" i="4"/>
  <c r="H87" i="4"/>
  <c r="S86" i="4"/>
  <c r="P86" i="4"/>
  <c r="Q86" i="4" s="1"/>
  <c r="R86" i="4" s="1"/>
  <c r="O86" i="4"/>
  <c r="H86" i="4"/>
  <c r="S85" i="4"/>
  <c r="P85" i="4"/>
  <c r="Q85" i="4" s="1"/>
  <c r="R85" i="4" s="1"/>
  <c r="O85" i="4"/>
  <c r="H85" i="4"/>
  <c r="S84" i="4"/>
  <c r="P84" i="4"/>
  <c r="Q84" i="4" s="1"/>
  <c r="R84" i="4" s="1"/>
  <c r="O84" i="4"/>
  <c r="H84" i="4"/>
  <c r="S83" i="4"/>
  <c r="P83" i="4"/>
  <c r="Q83" i="4" s="1"/>
  <c r="R83" i="4" s="1"/>
  <c r="O83" i="4"/>
  <c r="H83" i="4"/>
  <c r="S82" i="4"/>
  <c r="P82" i="4"/>
  <c r="Q82" i="4" s="1"/>
  <c r="R82" i="4" s="1"/>
  <c r="O82" i="4"/>
  <c r="H82" i="4"/>
  <c r="S81" i="4"/>
  <c r="P81" i="4"/>
  <c r="Q81" i="4" s="1"/>
  <c r="R81" i="4" s="1"/>
  <c r="O81" i="4"/>
  <c r="H81" i="4"/>
  <c r="S80" i="4"/>
  <c r="P80" i="4"/>
  <c r="Q80" i="4" s="1"/>
  <c r="R80" i="4" s="1"/>
  <c r="O80" i="4"/>
  <c r="H80" i="4"/>
  <c r="S79" i="4"/>
  <c r="P79" i="4"/>
  <c r="Q79" i="4" s="1"/>
  <c r="R79" i="4" s="1"/>
  <c r="O79" i="4"/>
  <c r="H79" i="4"/>
  <c r="S78" i="4"/>
  <c r="P78" i="4"/>
  <c r="Q78" i="4" s="1"/>
  <c r="R78" i="4" s="1"/>
  <c r="O78" i="4"/>
  <c r="H78" i="4"/>
  <c r="S77" i="4"/>
  <c r="P77" i="4"/>
  <c r="Q77" i="4" s="1"/>
  <c r="R77" i="4" s="1"/>
  <c r="O77" i="4"/>
  <c r="H77" i="4"/>
  <c r="S76" i="4"/>
  <c r="P76" i="4"/>
  <c r="Q76" i="4" s="1"/>
  <c r="R76" i="4" s="1"/>
  <c r="O76" i="4"/>
  <c r="H76" i="4"/>
  <c r="S75" i="4"/>
  <c r="P75" i="4"/>
  <c r="Q75" i="4" s="1"/>
  <c r="R75" i="4" s="1"/>
  <c r="O75" i="4"/>
  <c r="H75" i="4"/>
  <c r="S74" i="4"/>
  <c r="P74" i="4"/>
  <c r="Q74" i="4" s="1"/>
  <c r="R74" i="4" s="1"/>
  <c r="O74" i="4"/>
  <c r="H74" i="4"/>
  <c r="S73" i="4"/>
  <c r="P73" i="4"/>
  <c r="Q73" i="4" s="1"/>
  <c r="R73" i="4" s="1"/>
  <c r="O73" i="4"/>
  <c r="H73" i="4"/>
  <c r="S72" i="4"/>
  <c r="P72" i="4"/>
  <c r="Q72" i="4" s="1"/>
  <c r="R72" i="4" s="1"/>
  <c r="O72" i="4"/>
  <c r="H72" i="4"/>
  <c r="S71" i="4"/>
  <c r="P71" i="4"/>
  <c r="Q71" i="4" s="1"/>
  <c r="R71" i="4" s="1"/>
  <c r="O71" i="4"/>
  <c r="H71" i="4"/>
  <c r="S70" i="4"/>
  <c r="P70" i="4"/>
  <c r="Q70" i="4" s="1"/>
  <c r="R70" i="4" s="1"/>
  <c r="O70" i="4"/>
  <c r="H70" i="4"/>
  <c r="S69" i="4"/>
  <c r="P69" i="4"/>
  <c r="Q69" i="4" s="1"/>
  <c r="R69" i="4" s="1"/>
  <c r="O69" i="4"/>
  <c r="H69" i="4"/>
  <c r="S68" i="4"/>
  <c r="P68" i="4"/>
  <c r="Q68" i="4" s="1"/>
  <c r="R68" i="4" s="1"/>
  <c r="O68" i="4"/>
  <c r="H68" i="4"/>
  <c r="S67" i="4"/>
  <c r="P67" i="4"/>
  <c r="Q67" i="4" s="1"/>
  <c r="R67" i="4" s="1"/>
  <c r="O67" i="4"/>
  <c r="H67" i="4"/>
  <c r="S66" i="4"/>
  <c r="P66" i="4"/>
  <c r="Q66" i="4" s="1"/>
  <c r="R66" i="4" s="1"/>
  <c r="O66" i="4"/>
  <c r="H66" i="4"/>
  <c r="S65" i="4"/>
  <c r="P65" i="4"/>
  <c r="Q65" i="4" s="1"/>
  <c r="R65" i="4" s="1"/>
  <c r="O65" i="4"/>
  <c r="H65" i="4"/>
  <c r="S64" i="4"/>
  <c r="P64" i="4"/>
  <c r="Q64" i="4" s="1"/>
  <c r="R64" i="4" s="1"/>
  <c r="O64" i="4"/>
  <c r="H64" i="4"/>
  <c r="S63" i="4"/>
  <c r="P63" i="4"/>
  <c r="Q63" i="4" s="1"/>
  <c r="R63" i="4" s="1"/>
  <c r="O63" i="4"/>
  <c r="H63" i="4"/>
  <c r="S62" i="4"/>
  <c r="P62" i="4"/>
  <c r="Q62" i="4" s="1"/>
  <c r="R62" i="4" s="1"/>
  <c r="O62" i="4"/>
  <c r="H62" i="4"/>
  <c r="S61" i="4"/>
  <c r="P61" i="4"/>
  <c r="Q61" i="4" s="1"/>
  <c r="R61" i="4" s="1"/>
  <c r="O61" i="4"/>
  <c r="H61" i="4"/>
  <c r="S60" i="4"/>
  <c r="P60" i="4"/>
  <c r="Q60" i="4" s="1"/>
  <c r="R60" i="4" s="1"/>
  <c r="O60" i="4"/>
  <c r="H60" i="4"/>
  <c r="S59" i="4"/>
  <c r="P59" i="4"/>
  <c r="Q59" i="4" s="1"/>
  <c r="R59" i="4" s="1"/>
  <c r="O59" i="4"/>
  <c r="H59" i="4"/>
  <c r="S58" i="4"/>
  <c r="P58" i="4"/>
  <c r="Q58" i="4" s="1"/>
  <c r="R58" i="4" s="1"/>
  <c r="O58" i="4"/>
  <c r="H58" i="4"/>
  <c r="S57" i="4"/>
  <c r="P57" i="4"/>
  <c r="Q57" i="4" s="1"/>
  <c r="R57" i="4" s="1"/>
  <c r="O57" i="4"/>
  <c r="H57" i="4"/>
  <c r="S56" i="4"/>
  <c r="P56" i="4"/>
  <c r="Q56" i="4" s="1"/>
  <c r="R56" i="4" s="1"/>
  <c r="O56" i="4"/>
  <c r="H56" i="4"/>
  <c r="S55" i="4"/>
  <c r="P55" i="4"/>
  <c r="Q55" i="4" s="1"/>
  <c r="R55" i="4" s="1"/>
  <c r="O55" i="4"/>
  <c r="H55" i="4"/>
  <c r="S54" i="4"/>
  <c r="P54" i="4"/>
  <c r="Q54" i="4" s="1"/>
  <c r="R54" i="4" s="1"/>
  <c r="O54" i="4"/>
  <c r="H54" i="4"/>
  <c r="S53" i="4"/>
  <c r="P53" i="4"/>
  <c r="Q53" i="4" s="1"/>
  <c r="R53" i="4" s="1"/>
  <c r="O53" i="4"/>
  <c r="H53" i="4"/>
  <c r="S52" i="4"/>
  <c r="P52" i="4"/>
  <c r="Q52" i="4" s="1"/>
  <c r="R52" i="4" s="1"/>
  <c r="O52" i="4"/>
  <c r="H52" i="4"/>
  <c r="S51" i="4"/>
  <c r="P51" i="4"/>
  <c r="Q51" i="4" s="1"/>
  <c r="R51" i="4" s="1"/>
  <c r="O51" i="4"/>
  <c r="H51" i="4"/>
  <c r="S50" i="4"/>
  <c r="P50" i="4"/>
  <c r="Q50" i="4" s="1"/>
  <c r="R50" i="4" s="1"/>
  <c r="O50" i="4"/>
  <c r="H50" i="4"/>
  <c r="S49" i="4"/>
  <c r="P49" i="4"/>
  <c r="Q49" i="4" s="1"/>
  <c r="R49" i="4" s="1"/>
  <c r="O49" i="4"/>
  <c r="H49" i="4"/>
  <c r="S48" i="4"/>
  <c r="P48" i="4"/>
  <c r="Q48" i="4" s="1"/>
  <c r="R48" i="4" s="1"/>
  <c r="O48" i="4"/>
  <c r="H48" i="4"/>
  <c r="S47" i="4"/>
  <c r="P47" i="4"/>
  <c r="Q47" i="4" s="1"/>
  <c r="R47" i="4" s="1"/>
  <c r="O47" i="4"/>
  <c r="H47" i="4"/>
  <c r="S46" i="4"/>
  <c r="P46" i="4"/>
  <c r="Q46" i="4" s="1"/>
  <c r="R46" i="4" s="1"/>
  <c r="O46" i="4"/>
  <c r="H46" i="4"/>
  <c r="S45" i="4"/>
  <c r="P45" i="4"/>
  <c r="Q45" i="4" s="1"/>
  <c r="R45" i="4" s="1"/>
  <c r="O45" i="4"/>
  <c r="H45" i="4"/>
  <c r="S44" i="4"/>
  <c r="P44" i="4"/>
  <c r="Q44" i="4" s="1"/>
  <c r="R44" i="4" s="1"/>
  <c r="O44" i="4"/>
  <c r="H44" i="4"/>
  <c r="S43" i="4"/>
  <c r="P43" i="4"/>
  <c r="Q43" i="4" s="1"/>
  <c r="R43" i="4" s="1"/>
  <c r="O43" i="4"/>
  <c r="H43" i="4"/>
  <c r="S42" i="4"/>
  <c r="P42" i="4"/>
  <c r="Q42" i="4" s="1"/>
  <c r="R42" i="4" s="1"/>
  <c r="O42" i="4"/>
  <c r="H42" i="4"/>
  <c r="S41" i="4"/>
  <c r="P41" i="4"/>
  <c r="Q41" i="4" s="1"/>
  <c r="R41" i="4" s="1"/>
  <c r="O41" i="4"/>
  <c r="H41" i="4"/>
  <c r="S40" i="4"/>
  <c r="P40" i="4"/>
  <c r="Q40" i="4" s="1"/>
  <c r="R40" i="4" s="1"/>
  <c r="O40" i="4"/>
  <c r="H40" i="4"/>
  <c r="S39" i="4"/>
  <c r="P39" i="4"/>
  <c r="Q39" i="4" s="1"/>
  <c r="R39" i="4" s="1"/>
  <c r="O39" i="4"/>
  <c r="H39" i="4"/>
  <c r="S38" i="4"/>
  <c r="P38" i="4"/>
  <c r="Q38" i="4" s="1"/>
  <c r="R38" i="4" s="1"/>
  <c r="O38" i="4"/>
  <c r="H38" i="4"/>
  <c r="S37" i="4"/>
  <c r="P37" i="4"/>
  <c r="Q37" i="4" s="1"/>
  <c r="R37" i="4" s="1"/>
  <c r="O37" i="4"/>
  <c r="H37" i="4"/>
  <c r="S36" i="4"/>
  <c r="P36" i="4"/>
  <c r="Q36" i="4" s="1"/>
  <c r="R36" i="4" s="1"/>
  <c r="O36" i="4"/>
  <c r="H36" i="4"/>
  <c r="S35" i="4"/>
  <c r="P35" i="4"/>
  <c r="Q35" i="4" s="1"/>
  <c r="R35" i="4" s="1"/>
  <c r="O35" i="4"/>
  <c r="H35" i="4"/>
  <c r="S34" i="4"/>
  <c r="P34" i="4"/>
  <c r="Q34" i="4" s="1"/>
  <c r="R34" i="4" s="1"/>
  <c r="O34" i="4"/>
  <c r="H34" i="4"/>
  <c r="S33" i="4"/>
  <c r="P33" i="4"/>
  <c r="Q33" i="4" s="1"/>
  <c r="R33" i="4" s="1"/>
  <c r="O33" i="4"/>
  <c r="H33" i="4"/>
  <c r="S32" i="4"/>
  <c r="P32" i="4"/>
  <c r="Q32" i="4" s="1"/>
  <c r="R32" i="4" s="1"/>
  <c r="O32" i="4"/>
  <c r="H32" i="4"/>
  <c r="S31" i="4"/>
  <c r="P31" i="4"/>
  <c r="Q31" i="4" s="1"/>
  <c r="R31" i="4" s="1"/>
  <c r="O31" i="4"/>
  <c r="H31" i="4"/>
  <c r="S30" i="4"/>
  <c r="P30" i="4"/>
  <c r="Q30" i="4" s="1"/>
  <c r="R30" i="4" s="1"/>
  <c r="O30" i="4"/>
  <c r="H30" i="4"/>
  <c r="S29" i="4"/>
  <c r="P29" i="4"/>
  <c r="Q29" i="4" s="1"/>
  <c r="R29" i="4" s="1"/>
  <c r="O29" i="4"/>
  <c r="H29" i="4"/>
  <c r="S28" i="4"/>
  <c r="P28" i="4"/>
  <c r="Q28" i="4" s="1"/>
  <c r="R28" i="4" s="1"/>
  <c r="O28" i="4"/>
  <c r="H28" i="4"/>
  <c r="S27" i="4"/>
  <c r="P27" i="4"/>
  <c r="Q27" i="4" s="1"/>
  <c r="R27" i="4" s="1"/>
  <c r="O27" i="4"/>
  <c r="H27" i="4"/>
  <c r="S26" i="4"/>
  <c r="P26" i="4"/>
  <c r="Q26" i="4" s="1"/>
  <c r="R26" i="4" s="1"/>
  <c r="O26" i="4"/>
  <c r="H26" i="4"/>
  <c r="S25" i="4"/>
  <c r="P25" i="4"/>
  <c r="Q25" i="4" s="1"/>
  <c r="R25" i="4" s="1"/>
  <c r="O25" i="4"/>
  <c r="H25" i="4"/>
  <c r="S24" i="4"/>
  <c r="P24" i="4"/>
  <c r="Q24" i="4" s="1"/>
  <c r="R24" i="4" s="1"/>
  <c r="O24" i="4"/>
  <c r="H24" i="4"/>
  <c r="S23" i="4"/>
  <c r="P23" i="4"/>
  <c r="Q23" i="4" s="1"/>
  <c r="R23" i="4" s="1"/>
  <c r="O23" i="4"/>
  <c r="H23" i="4"/>
  <c r="S22" i="4"/>
  <c r="P22" i="4"/>
  <c r="Q22" i="4" s="1"/>
  <c r="O22" i="4"/>
  <c r="H22" i="4"/>
  <c r="S21" i="4"/>
  <c r="P21" i="4"/>
  <c r="Q21" i="4" s="1"/>
  <c r="R21" i="4" s="1"/>
  <c r="O21" i="4"/>
  <c r="H21" i="4"/>
  <c r="S20" i="4"/>
  <c r="P20" i="4"/>
  <c r="Q20" i="4" s="1"/>
  <c r="O20" i="4"/>
  <c r="H20" i="4"/>
  <c r="S19" i="4"/>
  <c r="P19" i="4"/>
  <c r="Q19" i="4" s="1"/>
  <c r="R19" i="4" s="1"/>
  <c r="O19" i="4"/>
  <c r="H19" i="4"/>
  <c r="S18" i="4"/>
  <c r="P18" i="4"/>
  <c r="Q18" i="4" s="1"/>
  <c r="R18" i="4" s="1"/>
  <c r="O18" i="4"/>
  <c r="H18" i="4"/>
  <c r="S17" i="4"/>
  <c r="P17" i="4"/>
  <c r="Q17" i="4" s="1"/>
  <c r="O17" i="4"/>
  <c r="H17" i="4"/>
  <c r="S16" i="4"/>
  <c r="P16" i="4"/>
  <c r="Q16" i="4" s="1"/>
  <c r="R16" i="4" s="1"/>
  <c r="O16" i="4"/>
  <c r="E16" i="9" s="1"/>
  <c r="H16" i="4"/>
  <c r="S15" i="4"/>
  <c r="P15" i="4"/>
  <c r="Q15" i="4" s="1"/>
  <c r="R15" i="4" s="1"/>
  <c r="O15" i="4"/>
  <c r="E15" i="9" s="1"/>
  <c r="H15" i="4"/>
  <c r="S14" i="4"/>
  <c r="P14" i="4"/>
  <c r="Q14" i="4" s="1"/>
  <c r="O14" i="4"/>
  <c r="E14" i="9" s="1"/>
  <c r="H14" i="4"/>
  <c r="S13" i="4"/>
  <c r="P13" i="4"/>
  <c r="Q13" i="4" s="1"/>
  <c r="R13" i="4" s="1"/>
  <c r="O13" i="4"/>
  <c r="E13" i="9" s="1"/>
  <c r="H13" i="4"/>
  <c r="S12" i="4"/>
  <c r="P12" i="4"/>
  <c r="Q12" i="4" s="1"/>
  <c r="O12" i="4"/>
  <c r="E12" i="9" s="1"/>
  <c r="H12" i="4"/>
  <c r="S11" i="4"/>
  <c r="P11" i="4"/>
  <c r="Q11" i="4" s="1"/>
  <c r="O11" i="4"/>
  <c r="E11" i="9" s="1"/>
  <c r="H11" i="4"/>
  <c r="S10" i="4"/>
  <c r="P10" i="4"/>
  <c r="Q10" i="4" s="1"/>
  <c r="O10" i="4"/>
  <c r="E10" i="9" s="1"/>
  <c r="H10" i="4"/>
  <c r="S9" i="4"/>
  <c r="P9" i="4"/>
  <c r="Q9" i="4" s="1"/>
  <c r="R9" i="4" s="1"/>
  <c r="O9" i="4"/>
  <c r="H9" i="4"/>
  <c r="S8" i="4"/>
  <c r="P8" i="4"/>
  <c r="Q8" i="4" s="1"/>
  <c r="R8" i="4" s="1"/>
  <c r="O8" i="4"/>
  <c r="H8" i="4"/>
  <c r="S7" i="4"/>
  <c r="P7" i="4"/>
  <c r="Q7" i="4" s="1"/>
  <c r="R7" i="4" s="1"/>
  <c r="O7" i="4"/>
  <c r="H7" i="4"/>
  <c r="S6" i="4"/>
  <c r="P6" i="4"/>
  <c r="Q6" i="4" s="1"/>
  <c r="R6" i="4" s="1"/>
  <c r="O6" i="4"/>
  <c r="H6" i="4"/>
  <c r="S5" i="4"/>
  <c r="P5" i="4"/>
  <c r="Q5" i="4" s="1"/>
  <c r="R5" i="4" s="1"/>
  <c r="O5" i="4"/>
  <c r="H5" i="4"/>
  <c r="S4" i="4"/>
  <c r="P4" i="4"/>
  <c r="Q4" i="4" s="1"/>
  <c r="R4" i="4" s="1"/>
  <c r="O4" i="4"/>
  <c r="H4" i="4"/>
  <c r="S3" i="4"/>
  <c r="P3" i="4"/>
  <c r="Q3" i="4" s="1"/>
  <c r="O3" i="4"/>
  <c r="H3" i="4"/>
  <c r="S2" i="4"/>
  <c r="P2" i="4"/>
  <c r="Q2" i="4" s="1"/>
  <c r="R2" i="4" s="1"/>
  <c r="O2" i="4"/>
  <c r="H2" i="4"/>
  <c r="O116" i="2"/>
  <c r="O115" i="2"/>
  <c r="O114" i="2"/>
  <c r="O113" i="2"/>
  <c r="O112" i="2"/>
  <c r="O111" i="2"/>
  <c r="O110" i="2"/>
  <c r="O109" i="2"/>
  <c r="O108" i="2"/>
  <c r="O107" i="2"/>
  <c r="O106" i="2"/>
  <c r="N8" i="2"/>
  <c r="K8" i="2"/>
  <c r="B4" i="13" l="1"/>
  <c r="B7" i="13" s="1"/>
  <c r="B32" i="2" s="1"/>
  <c r="H2" i="13"/>
  <c r="H3" i="13"/>
  <c r="M3" i="13"/>
  <c r="N3" i="13"/>
  <c r="H4" i="13"/>
  <c r="M4" i="13"/>
  <c r="N4" i="13"/>
  <c r="H5" i="13"/>
  <c r="M5" i="13"/>
  <c r="N5" i="13"/>
  <c r="B6" i="13"/>
  <c r="H6" i="13"/>
  <c r="M6" i="13"/>
  <c r="N6" i="13"/>
  <c r="H7" i="13"/>
  <c r="M7" i="13"/>
  <c r="N7" i="13"/>
  <c r="H8" i="13"/>
  <c r="M8" i="13"/>
  <c r="N8" i="13"/>
  <c r="H9" i="13"/>
  <c r="M9" i="13"/>
  <c r="N9" i="13"/>
  <c r="H10" i="13"/>
  <c r="M10" i="13"/>
  <c r="N10" i="13"/>
  <c r="H11" i="13"/>
  <c r="M11" i="13"/>
  <c r="N11" i="13"/>
  <c r="H12" i="13"/>
  <c r="M12" i="13"/>
  <c r="N12" i="13"/>
  <c r="H13" i="13"/>
  <c r="H14" i="13"/>
  <c r="H15" i="13"/>
  <c r="H16" i="13"/>
  <c r="H17" i="13"/>
  <c r="M17" i="13"/>
  <c r="H18" i="13"/>
  <c r="M18" i="13"/>
  <c r="H19" i="13"/>
  <c r="M19" i="13"/>
  <c r="H20" i="13"/>
  <c r="M20" i="13"/>
  <c r="H21" i="13"/>
  <c r="M21" i="13"/>
  <c r="H22" i="13"/>
  <c r="H23" i="13"/>
  <c r="H24" i="13"/>
  <c r="H25" i="13"/>
  <c r="H26" i="13"/>
  <c r="M26" i="13"/>
  <c r="H27" i="13"/>
  <c r="M27" i="13"/>
  <c r="H28" i="13"/>
  <c r="M28" i="13"/>
  <c r="H29" i="13"/>
  <c r="M29" i="13"/>
  <c r="H30" i="13"/>
  <c r="M30" i="13"/>
  <c r="H31" i="13"/>
  <c r="M31" i="13"/>
  <c r="H32" i="13"/>
  <c r="M32" i="13"/>
  <c r="H33" i="13"/>
  <c r="H34" i="13"/>
  <c r="H35" i="13"/>
  <c r="H36" i="13"/>
  <c r="H37" i="13"/>
  <c r="M37" i="13"/>
  <c r="H38" i="13"/>
  <c r="M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M54" i="13"/>
  <c r="H55" i="13"/>
  <c r="M55" i="13"/>
  <c r="H56" i="13"/>
  <c r="M56" i="13"/>
  <c r="H57" i="13"/>
  <c r="H58" i="13" s="1"/>
  <c r="M57" i="13"/>
  <c r="M58" i="13"/>
  <c r="M59" i="13"/>
  <c r="M60" i="13"/>
  <c r="M65" i="13"/>
  <c r="M66" i="13"/>
  <c r="M67" i="13"/>
  <c r="M68" i="13"/>
  <c r="M69" i="13"/>
  <c r="M70" i="13"/>
  <c r="M71" i="13"/>
  <c r="M72" i="13"/>
  <c r="M73" i="13"/>
  <c r="M78" i="13"/>
  <c r="N78" i="13"/>
  <c r="M79" i="13"/>
  <c r="N79" i="13"/>
  <c r="M80" i="13"/>
  <c r="N80" i="13"/>
  <c r="M81" i="13"/>
  <c r="N81" i="13"/>
  <c r="M82" i="13"/>
  <c r="N82" i="13"/>
  <c r="M83" i="13"/>
  <c r="N83" i="13"/>
  <c r="M84" i="13"/>
  <c r="N84" i="13"/>
  <c r="M85" i="13"/>
  <c r="N85" i="13"/>
  <c r="M86" i="13"/>
  <c r="N86" i="13"/>
  <c r="M87" i="13"/>
  <c r="N87" i="13"/>
  <c r="M88" i="13"/>
  <c r="N88" i="13"/>
  <c r="M89" i="13"/>
  <c r="N89" i="13"/>
  <c r="M94" i="13"/>
  <c r="M95" i="13"/>
  <c r="M96" i="13"/>
  <c r="M97" i="13"/>
  <c r="M98" i="13"/>
  <c r="M99" i="13"/>
  <c r="M104" i="13"/>
  <c r="M105" i="13"/>
  <c r="M106" i="13"/>
  <c r="M107" i="13"/>
  <c r="M108" i="13"/>
  <c r="M109" i="13"/>
  <c r="M110" i="13"/>
  <c r="M115" i="13"/>
  <c r="M116" i="13"/>
  <c r="M117" i="13"/>
  <c r="M118" i="13"/>
  <c r="B11" i="2"/>
  <c r="T15" i="2"/>
  <c r="T16" i="2"/>
  <c r="B7" i="2"/>
  <c r="E7" i="2"/>
  <c r="H7" i="2"/>
  <c r="K7" i="2"/>
  <c r="N7" i="2"/>
  <c r="Q7" i="2"/>
  <c r="T7" i="2"/>
  <c r="B8" i="2"/>
  <c r="E8" i="2"/>
  <c r="H8" i="2"/>
  <c r="T8" i="2"/>
  <c r="B12" i="2"/>
  <c r="B15" i="2"/>
  <c r="N15" i="2"/>
  <c r="Q15" i="2"/>
  <c r="B16" i="2"/>
  <c r="N16" i="2"/>
  <c r="Q16" i="2"/>
  <c r="T24" i="2"/>
  <c r="Q27" i="2"/>
  <c r="F110" i="2"/>
  <c r="F108" i="2"/>
  <c r="F111" i="2"/>
  <c r="F113" i="2"/>
  <c r="F114" i="2"/>
  <c r="F112" i="2"/>
  <c r="F107" i="2"/>
  <c r="F115" i="2"/>
  <c r="F116" i="2"/>
  <c r="F109" i="2"/>
  <c r="P108" i="2"/>
  <c r="P116" i="2"/>
  <c r="F106" i="2"/>
  <c r="E113" i="2"/>
  <c r="E115" i="2"/>
  <c r="E110" i="2"/>
  <c r="E116" i="2"/>
  <c r="E111" i="2"/>
  <c r="E112" i="2"/>
  <c r="E114" i="2"/>
  <c r="E106" i="2"/>
  <c r="E109" i="2"/>
  <c r="E108" i="2"/>
  <c r="E107" i="2"/>
  <c r="M115" i="2"/>
  <c r="M111" i="2"/>
  <c r="M112" i="2"/>
  <c r="L112" i="2"/>
  <c r="M109" i="2"/>
  <c r="R110" i="2"/>
  <c r="T116" i="2"/>
  <c r="R107" i="2"/>
  <c r="R112" i="2"/>
  <c r="R108" i="2"/>
  <c r="T107" i="2"/>
  <c r="R109" i="2"/>
  <c r="T115" i="2"/>
  <c r="T108" i="2"/>
  <c r="T113" i="2"/>
  <c r="T114" i="2"/>
  <c r="R106" i="2"/>
  <c r="R116" i="2"/>
  <c r="R114" i="2"/>
  <c r="T106" i="2"/>
  <c r="R113" i="2"/>
  <c r="T112" i="2"/>
  <c r="R115" i="2"/>
  <c r="T111" i="2"/>
  <c r="R111" i="2"/>
  <c r="T109" i="2"/>
  <c r="T110" i="2"/>
  <c r="K112" i="2"/>
  <c r="K111" i="2"/>
  <c r="K110" i="2"/>
  <c r="K109" i="2"/>
  <c r="K107" i="2"/>
  <c r="K106" i="2"/>
  <c r="K116" i="2"/>
  <c r="K115" i="2"/>
  <c r="K108" i="2"/>
  <c r="K114" i="2"/>
  <c r="K113" i="2"/>
  <c r="I501" i="6"/>
  <c r="H501" i="6"/>
  <c r="J501" i="6" s="1"/>
  <c r="Q501" i="9" s="1"/>
  <c r="R501" i="9" s="1"/>
  <c r="G501" i="6"/>
  <c r="K501" i="6" s="1"/>
  <c r="I500" i="6"/>
  <c r="H500" i="6"/>
  <c r="J500" i="6" s="1"/>
  <c r="Q500" i="9" s="1"/>
  <c r="R500" i="9" s="1"/>
  <c r="G500" i="6"/>
  <c r="K500" i="6" s="1"/>
  <c r="I499" i="6"/>
  <c r="H499" i="6"/>
  <c r="J499" i="6" s="1"/>
  <c r="Q499" i="9" s="1"/>
  <c r="R499" i="9" s="1"/>
  <c r="G499" i="6"/>
  <c r="I498" i="6"/>
  <c r="H498" i="6"/>
  <c r="J498" i="6" s="1"/>
  <c r="Q498" i="9" s="1"/>
  <c r="R498" i="9" s="1"/>
  <c r="G498" i="6"/>
  <c r="K498" i="6" s="1"/>
  <c r="I497" i="6"/>
  <c r="H497" i="6"/>
  <c r="J497" i="6" s="1"/>
  <c r="Q497" i="9" s="1"/>
  <c r="R497" i="9" s="1"/>
  <c r="G497" i="6"/>
  <c r="K497" i="6" s="1"/>
  <c r="I496" i="6"/>
  <c r="H496" i="6"/>
  <c r="J496" i="6" s="1"/>
  <c r="Q496" i="9" s="1"/>
  <c r="R496" i="9" s="1"/>
  <c r="G496" i="6"/>
  <c r="K496" i="6" s="1"/>
  <c r="I495" i="6"/>
  <c r="H495" i="6"/>
  <c r="J495" i="6" s="1"/>
  <c r="Q495" i="9" s="1"/>
  <c r="R495" i="9" s="1"/>
  <c r="G495" i="6"/>
  <c r="K495" i="6" s="1"/>
  <c r="I494" i="6"/>
  <c r="H494" i="6"/>
  <c r="J494" i="6" s="1"/>
  <c r="Q494" i="9" s="1"/>
  <c r="R494" i="9" s="1"/>
  <c r="G494" i="6"/>
  <c r="K494" i="6" s="1"/>
  <c r="I493" i="6"/>
  <c r="H493" i="6"/>
  <c r="J493" i="6" s="1"/>
  <c r="Q493" i="9" s="1"/>
  <c r="R493" i="9" s="1"/>
  <c r="G493" i="6"/>
  <c r="K493" i="6" s="1"/>
  <c r="I492" i="6"/>
  <c r="H492" i="6"/>
  <c r="J492" i="6" s="1"/>
  <c r="Q492" i="9" s="1"/>
  <c r="R492" i="9" s="1"/>
  <c r="G492" i="6"/>
  <c r="K492" i="6" s="1"/>
  <c r="I491" i="6"/>
  <c r="H491" i="6"/>
  <c r="J491" i="6" s="1"/>
  <c r="Q491" i="9" s="1"/>
  <c r="R491" i="9" s="1"/>
  <c r="G491" i="6"/>
  <c r="K491" i="6" s="1"/>
  <c r="I490" i="6"/>
  <c r="H490" i="6"/>
  <c r="J490" i="6" s="1"/>
  <c r="Q490" i="9" s="1"/>
  <c r="R490" i="9" s="1"/>
  <c r="G490" i="6"/>
  <c r="I489" i="6"/>
  <c r="H489" i="6"/>
  <c r="J489" i="6" s="1"/>
  <c r="Q489" i="9" s="1"/>
  <c r="R489" i="9" s="1"/>
  <c r="G489" i="6"/>
  <c r="K489" i="6" s="1"/>
  <c r="I488" i="6"/>
  <c r="H488" i="6"/>
  <c r="J488" i="6" s="1"/>
  <c r="Q488" i="9" s="1"/>
  <c r="R488" i="9" s="1"/>
  <c r="G488" i="6"/>
  <c r="K488" i="6" s="1"/>
  <c r="I487" i="6"/>
  <c r="H487" i="6"/>
  <c r="J487" i="6" s="1"/>
  <c r="Q487" i="9" s="1"/>
  <c r="R487" i="9" s="1"/>
  <c r="G487" i="6"/>
  <c r="K487" i="6" s="1"/>
  <c r="I486" i="6"/>
  <c r="H486" i="6"/>
  <c r="J486" i="6" s="1"/>
  <c r="Q486" i="9" s="1"/>
  <c r="R486" i="9" s="1"/>
  <c r="G486" i="6"/>
  <c r="K486" i="6" s="1"/>
  <c r="I485" i="6"/>
  <c r="H485" i="6"/>
  <c r="J485" i="6" s="1"/>
  <c r="Q485" i="9" s="1"/>
  <c r="R485" i="9" s="1"/>
  <c r="G485" i="6"/>
  <c r="K485" i="6" s="1"/>
  <c r="I484" i="6"/>
  <c r="H484" i="6"/>
  <c r="J484" i="6" s="1"/>
  <c r="Q484" i="9" s="1"/>
  <c r="R484" i="9" s="1"/>
  <c r="G484" i="6"/>
  <c r="K484" i="6" s="1"/>
  <c r="P483" i="6"/>
  <c r="N483" i="6"/>
  <c r="I483" i="6"/>
  <c r="H483" i="6"/>
  <c r="J483" i="6" s="1"/>
  <c r="Q483" i="9" s="1"/>
  <c r="R483" i="9" s="1"/>
  <c r="G483" i="6"/>
  <c r="K483" i="6" s="1"/>
  <c r="P482" i="6"/>
  <c r="N482" i="6"/>
  <c r="I482" i="6"/>
  <c r="H482" i="6"/>
  <c r="J482" i="6" s="1"/>
  <c r="Q482" i="9" s="1"/>
  <c r="R482" i="9" s="1"/>
  <c r="G482" i="6"/>
  <c r="K482" i="6" s="1"/>
  <c r="P481" i="6"/>
  <c r="N481" i="6"/>
  <c r="I481" i="6"/>
  <c r="H481" i="6"/>
  <c r="J481" i="6" s="1"/>
  <c r="Q481" i="9" s="1"/>
  <c r="R481" i="9" s="1"/>
  <c r="G481" i="6"/>
  <c r="K481" i="6" s="1"/>
  <c r="P480" i="6"/>
  <c r="N480" i="6"/>
  <c r="I480" i="6"/>
  <c r="H480" i="6"/>
  <c r="J480" i="6" s="1"/>
  <c r="Q480" i="9" s="1"/>
  <c r="R480" i="9" s="1"/>
  <c r="G480" i="6"/>
  <c r="K480" i="6" s="1"/>
  <c r="P479" i="6"/>
  <c r="N479" i="6"/>
  <c r="I479" i="6"/>
  <c r="H479" i="6"/>
  <c r="J479" i="6" s="1"/>
  <c r="Q479" i="9" s="1"/>
  <c r="R479" i="9" s="1"/>
  <c r="G479" i="6"/>
  <c r="K479" i="6" s="1"/>
  <c r="P478" i="6"/>
  <c r="N478" i="6"/>
  <c r="I478" i="6"/>
  <c r="H478" i="6"/>
  <c r="J478" i="6" s="1"/>
  <c r="Q478" i="9" s="1"/>
  <c r="R478" i="9" s="1"/>
  <c r="G478" i="6"/>
  <c r="K478" i="6" s="1"/>
  <c r="P477" i="6"/>
  <c r="N477" i="6"/>
  <c r="I477" i="6"/>
  <c r="H477" i="6"/>
  <c r="J477" i="6" s="1"/>
  <c r="Q477" i="9" s="1"/>
  <c r="R477" i="9" s="1"/>
  <c r="G477" i="6"/>
  <c r="K477" i="6" s="1"/>
  <c r="P476" i="6"/>
  <c r="N476" i="6"/>
  <c r="I476" i="6"/>
  <c r="H476" i="6"/>
  <c r="J476" i="6" s="1"/>
  <c r="Q476" i="9" s="1"/>
  <c r="R476" i="9" s="1"/>
  <c r="G476" i="6"/>
  <c r="K476" i="6" s="1"/>
  <c r="P475" i="6"/>
  <c r="N475" i="6"/>
  <c r="I475" i="6"/>
  <c r="H475" i="6"/>
  <c r="J475" i="6" s="1"/>
  <c r="Q475" i="9" s="1"/>
  <c r="R475" i="9" s="1"/>
  <c r="G475" i="6"/>
  <c r="K475" i="6" s="1"/>
  <c r="P474" i="6"/>
  <c r="N474" i="6"/>
  <c r="I474" i="6"/>
  <c r="H474" i="6"/>
  <c r="J474" i="6" s="1"/>
  <c r="Q474" i="9" s="1"/>
  <c r="R474" i="9" s="1"/>
  <c r="G474" i="6"/>
  <c r="K474" i="6" s="1"/>
  <c r="P473" i="6"/>
  <c r="N473" i="6"/>
  <c r="I473" i="6"/>
  <c r="H473" i="6"/>
  <c r="J473" i="6" s="1"/>
  <c r="Q473" i="9" s="1"/>
  <c r="R473" i="9" s="1"/>
  <c r="G473" i="6"/>
  <c r="K473" i="6" s="1"/>
  <c r="P472" i="6"/>
  <c r="N472" i="6"/>
  <c r="I472" i="6"/>
  <c r="H472" i="6"/>
  <c r="J472" i="6" s="1"/>
  <c r="Q472" i="9" s="1"/>
  <c r="R472" i="9" s="1"/>
  <c r="G472" i="6"/>
  <c r="K472" i="6" s="1"/>
  <c r="P471" i="6"/>
  <c r="N471" i="6"/>
  <c r="I471" i="6"/>
  <c r="H471" i="6"/>
  <c r="J471" i="6" s="1"/>
  <c r="Q471" i="9" s="1"/>
  <c r="R471" i="9" s="1"/>
  <c r="G471" i="6"/>
  <c r="K471" i="6" s="1"/>
  <c r="P470" i="6"/>
  <c r="N470" i="6"/>
  <c r="I470" i="6"/>
  <c r="H470" i="6"/>
  <c r="J470" i="6" s="1"/>
  <c r="Q470" i="9" s="1"/>
  <c r="R470" i="9" s="1"/>
  <c r="G470" i="6"/>
  <c r="K470" i="6" s="1"/>
  <c r="I469" i="6"/>
  <c r="H469" i="6"/>
  <c r="J469" i="6" s="1"/>
  <c r="Q469" i="9" s="1"/>
  <c r="R469" i="9" s="1"/>
  <c r="G469" i="6"/>
  <c r="K469" i="6" s="1"/>
  <c r="I468" i="6"/>
  <c r="H468" i="6"/>
  <c r="J468" i="6" s="1"/>
  <c r="Q468" i="9" s="1"/>
  <c r="R468" i="9" s="1"/>
  <c r="G468" i="6"/>
  <c r="K468" i="6" s="1"/>
  <c r="I467" i="6"/>
  <c r="H467" i="6"/>
  <c r="J467" i="6" s="1"/>
  <c r="Q467" i="9" s="1"/>
  <c r="R467" i="9" s="1"/>
  <c r="G467" i="6"/>
  <c r="K467" i="6" s="1"/>
  <c r="I466" i="6"/>
  <c r="H466" i="6"/>
  <c r="J466" i="6" s="1"/>
  <c r="Q466" i="9" s="1"/>
  <c r="R466" i="9" s="1"/>
  <c r="G466" i="6"/>
  <c r="K466" i="6" s="1"/>
  <c r="I465" i="6"/>
  <c r="H465" i="6"/>
  <c r="J465" i="6" s="1"/>
  <c r="Q465" i="9" s="1"/>
  <c r="R465" i="9" s="1"/>
  <c r="G465" i="6"/>
  <c r="K465" i="6" s="1"/>
  <c r="I464" i="6"/>
  <c r="H464" i="6"/>
  <c r="J464" i="6" s="1"/>
  <c r="Q464" i="9" s="1"/>
  <c r="R464" i="9" s="1"/>
  <c r="G464" i="6"/>
  <c r="K464" i="6" s="1"/>
  <c r="I463" i="6"/>
  <c r="H463" i="6"/>
  <c r="J463" i="6" s="1"/>
  <c r="Q463" i="9" s="1"/>
  <c r="R463" i="9" s="1"/>
  <c r="G463" i="6"/>
  <c r="K463" i="6" s="1"/>
  <c r="I462" i="6"/>
  <c r="H462" i="6"/>
  <c r="J462" i="6" s="1"/>
  <c r="Q462" i="9" s="1"/>
  <c r="R462" i="9" s="1"/>
  <c r="G462" i="6"/>
  <c r="K462" i="6" s="1"/>
  <c r="I461" i="6"/>
  <c r="H461" i="6"/>
  <c r="J461" i="6" s="1"/>
  <c r="Q461" i="9" s="1"/>
  <c r="R461" i="9" s="1"/>
  <c r="G461" i="6"/>
  <c r="K461" i="6" s="1"/>
  <c r="I460" i="6"/>
  <c r="H460" i="6"/>
  <c r="J460" i="6" s="1"/>
  <c r="Q460" i="9" s="1"/>
  <c r="R460" i="9" s="1"/>
  <c r="G460" i="6"/>
  <c r="K460" i="6" s="1"/>
  <c r="I459" i="6"/>
  <c r="H459" i="6"/>
  <c r="J459" i="6" s="1"/>
  <c r="Q459" i="9" s="1"/>
  <c r="R459" i="9" s="1"/>
  <c r="G459" i="6"/>
  <c r="K459" i="6" s="1"/>
  <c r="I458" i="6"/>
  <c r="H458" i="6"/>
  <c r="J458" i="6" s="1"/>
  <c r="Q458" i="9" s="1"/>
  <c r="R458" i="9" s="1"/>
  <c r="G458" i="6"/>
  <c r="K458" i="6" s="1"/>
  <c r="I457" i="6"/>
  <c r="H457" i="6"/>
  <c r="J457" i="6" s="1"/>
  <c r="Q457" i="9" s="1"/>
  <c r="R457" i="9" s="1"/>
  <c r="G457" i="6"/>
  <c r="K457" i="6" s="1"/>
  <c r="I456" i="6"/>
  <c r="H456" i="6"/>
  <c r="J456" i="6" s="1"/>
  <c r="Q456" i="9" s="1"/>
  <c r="R456" i="9" s="1"/>
  <c r="G456" i="6"/>
  <c r="K456" i="6" s="1"/>
  <c r="I455" i="6"/>
  <c r="H455" i="6"/>
  <c r="J455" i="6" s="1"/>
  <c r="Q455" i="9" s="1"/>
  <c r="R455" i="9" s="1"/>
  <c r="G455" i="6"/>
  <c r="K455" i="6" s="1"/>
  <c r="I454" i="6"/>
  <c r="H454" i="6"/>
  <c r="J454" i="6" s="1"/>
  <c r="Q454" i="9" s="1"/>
  <c r="R454" i="9" s="1"/>
  <c r="G454" i="6"/>
  <c r="K454" i="6" s="1"/>
  <c r="I453" i="6"/>
  <c r="H453" i="6"/>
  <c r="J453" i="6" s="1"/>
  <c r="Q453" i="9" s="1"/>
  <c r="R453" i="9" s="1"/>
  <c r="G453" i="6"/>
  <c r="K453" i="6" s="1"/>
  <c r="I452" i="6"/>
  <c r="H452" i="6"/>
  <c r="J452" i="6" s="1"/>
  <c r="Q452" i="9" s="1"/>
  <c r="R452" i="9" s="1"/>
  <c r="G452" i="6"/>
  <c r="K452" i="6" s="1"/>
  <c r="P451" i="6"/>
  <c r="N451" i="6"/>
  <c r="I451" i="6"/>
  <c r="H451" i="6"/>
  <c r="J451" i="6" s="1"/>
  <c r="Q451" i="9" s="1"/>
  <c r="R451" i="9" s="1"/>
  <c r="G451" i="6"/>
  <c r="K451" i="6" s="1"/>
  <c r="P450" i="6"/>
  <c r="N450" i="6"/>
  <c r="I450" i="6"/>
  <c r="H450" i="6"/>
  <c r="J450" i="6" s="1"/>
  <c r="Q450" i="9" s="1"/>
  <c r="R450" i="9" s="1"/>
  <c r="G450" i="6"/>
  <c r="K450" i="6" s="1"/>
  <c r="P449" i="6"/>
  <c r="N449" i="6"/>
  <c r="I449" i="6"/>
  <c r="H449" i="6"/>
  <c r="J449" i="6" s="1"/>
  <c r="Q449" i="9" s="1"/>
  <c r="R449" i="9" s="1"/>
  <c r="G449" i="6"/>
  <c r="K449" i="6" s="1"/>
  <c r="P448" i="6"/>
  <c r="N448" i="6"/>
  <c r="I448" i="6"/>
  <c r="H448" i="6"/>
  <c r="J448" i="6" s="1"/>
  <c r="Q448" i="9" s="1"/>
  <c r="R448" i="9" s="1"/>
  <c r="G448" i="6"/>
  <c r="K448" i="6" s="1"/>
  <c r="P447" i="6"/>
  <c r="N447" i="6"/>
  <c r="I447" i="6"/>
  <c r="H447" i="6"/>
  <c r="J447" i="6" s="1"/>
  <c r="Q447" i="9" s="1"/>
  <c r="R447" i="9" s="1"/>
  <c r="G447" i="6"/>
  <c r="K447" i="6" s="1"/>
  <c r="P446" i="6"/>
  <c r="N446" i="6"/>
  <c r="I446" i="6"/>
  <c r="H446" i="6"/>
  <c r="J446" i="6" s="1"/>
  <c r="Q446" i="9" s="1"/>
  <c r="R446" i="9" s="1"/>
  <c r="G446" i="6"/>
  <c r="K446" i="6" s="1"/>
  <c r="I445" i="6"/>
  <c r="H445" i="6"/>
  <c r="J445" i="6" s="1"/>
  <c r="Q445" i="9" s="1"/>
  <c r="R445" i="9" s="1"/>
  <c r="G445" i="6"/>
  <c r="K445" i="6" s="1"/>
  <c r="I444" i="6"/>
  <c r="H444" i="6"/>
  <c r="J444" i="6" s="1"/>
  <c r="Q444" i="9" s="1"/>
  <c r="R444" i="9" s="1"/>
  <c r="G444" i="6"/>
  <c r="K444" i="6" s="1"/>
  <c r="I443" i="6"/>
  <c r="H443" i="6"/>
  <c r="J443" i="6" s="1"/>
  <c r="Q443" i="9" s="1"/>
  <c r="R443" i="9" s="1"/>
  <c r="G443" i="6"/>
  <c r="K443" i="6" s="1"/>
  <c r="I442" i="6"/>
  <c r="H442" i="6"/>
  <c r="J442" i="6" s="1"/>
  <c r="Q442" i="9" s="1"/>
  <c r="R442" i="9" s="1"/>
  <c r="G442" i="6"/>
  <c r="K442" i="6" s="1"/>
  <c r="I441" i="6"/>
  <c r="H441" i="6"/>
  <c r="J441" i="6" s="1"/>
  <c r="Q441" i="9" s="1"/>
  <c r="R441" i="9" s="1"/>
  <c r="G441" i="6"/>
  <c r="K441" i="6" s="1"/>
  <c r="I440" i="6"/>
  <c r="H440" i="6"/>
  <c r="J440" i="6" s="1"/>
  <c r="Q440" i="9" s="1"/>
  <c r="R440" i="9" s="1"/>
  <c r="G440" i="6"/>
  <c r="K440" i="6" s="1"/>
  <c r="I439" i="6"/>
  <c r="H439" i="6"/>
  <c r="J439" i="6" s="1"/>
  <c r="Q439" i="9" s="1"/>
  <c r="R439" i="9" s="1"/>
  <c r="G439" i="6"/>
  <c r="K439" i="6" s="1"/>
  <c r="I438" i="6"/>
  <c r="H438" i="6"/>
  <c r="J438" i="6" s="1"/>
  <c r="Q438" i="9" s="1"/>
  <c r="R438" i="9" s="1"/>
  <c r="G438" i="6"/>
  <c r="K438" i="6" s="1"/>
  <c r="I437" i="6"/>
  <c r="H437" i="6"/>
  <c r="J437" i="6" s="1"/>
  <c r="Q437" i="9" s="1"/>
  <c r="R437" i="9" s="1"/>
  <c r="G437" i="6"/>
  <c r="K437" i="6" s="1"/>
  <c r="I436" i="6"/>
  <c r="H436" i="6"/>
  <c r="J436" i="6" s="1"/>
  <c r="Q436" i="9" s="1"/>
  <c r="R436" i="9" s="1"/>
  <c r="G436" i="6"/>
  <c r="K436" i="6" s="1"/>
  <c r="I435" i="6"/>
  <c r="H435" i="6"/>
  <c r="J435" i="6" s="1"/>
  <c r="Q435" i="9" s="1"/>
  <c r="R435" i="9" s="1"/>
  <c r="G435" i="6"/>
  <c r="K435" i="6" s="1"/>
  <c r="I434" i="6"/>
  <c r="H434" i="6"/>
  <c r="J434" i="6" s="1"/>
  <c r="Q434" i="9" s="1"/>
  <c r="R434" i="9" s="1"/>
  <c r="G434" i="6"/>
  <c r="K434" i="6" s="1"/>
  <c r="I433" i="6"/>
  <c r="H433" i="6"/>
  <c r="J433" i="6" s="1"/>
  <c r="Q433" i="9" s="1"/>
  <c r="R433" i="9" s="1"/>
  <c r="G433" i="6"/>
  <c r="K433" i="6" s="1"/>
  <c r="I432" i="6"/>
  <c r="H432" i="6"/>
  <c r="J432" i="6" s="1"/>
  <c r="Q432" i="9" s="1"/>
  <c r="R432" i="9" s="1"/>
  <c r="G432" i="6"/>
  <c r="K432" i="6" s="1"/>
  <c r="I431" i="6"/>
  <c r="H431" i="6"/>
  <c r="J431" i="6" s="1"/>
  <c r="Q431" i="9" s="1"/>
  <c r="R431" i="9" s="1"/>
  <c r="G431" i="6"/>
  <c r="K431" i="6" s="1"/>
  <c r="I430" i="6"/>
  <c r="H430" i="6"/>
  <c r="J430" i="6" s="1"/>
  <c r="Q430" i="9" s="1"/>
  <c r="R430" i="9" s="1"/>
  <c r="G430" i="6"/>
  <c r="K430" i="6" s="1"/>
  <c r="I429" i="6"/>
  <c r="H429" i="6"/>
  <c r="J429" i="6" s="1"/>
  <c r="Q429" i="9" s="1"/>
  <c r="R429" i="9" s="1"/>
  <c r="G429" i="6"/>
  <c r="K429" i="6" s="1"/>
  <c r="G428" i="6"/>
  <c r="I428" i="6"/>
  <c r="H428" i="6"/>
  <c r="J428" i="6" s="1"/>
  <c r="Q428" i="9" s="1"/>
  <c r="R428" i="9" s="1"/>
  <c r="H427" i="6"/>
  <c r="J427" i="6" s="1"/>
  <c r="Q427" i="9" s="1"/>
  <c r="R427" i="9" s="1"/>
  <c r="G427" i="6"/>
  <c r="I427" i="6"/>
  <c r="I426" i="6"/>
  <c r="H426" i="6"/>
  <c r="J426" i="6" s="1"/>
  <c r="Q426" i="9" s="1"/>
  <c r="R426" i="9" s="1"/>
  <c r="G426" i="6"/>
  <c r="K426" i="6" s="1"/>
  <c r="I425" i="6"/>
  <c r="H425" i="6"/>
  <c r="J425" i="6" s="1"/>
  <c r="Q425" i="9" s="1"/>
  <c r="R425" i="9" s="1"/>
  <c r="G425" i="6"/>
  <c r="K425" i="6" s="1"/>
  <c r="G424" i="6"/>
  <c r="I424" i="6"/>
  <c r="H424" i="6"/>
  <c r="J424" i="6" s="1"/>
  <c r="Q424" i="9" s="1"/>
  <c r="R424" i="9" s="1"/>
  <c r="G423" i="6"/>
  <c r="H423" i="6"/>
  <c r="J423" i="6" s="1"/>
  <c r="Q423" i="9" s="1"/>
  <c r="R423" i="9" s="1"/>
  <c r="I423" i="6"/>
  <c r="P422" i="6"/>
  <c r="N422" i="6"/>
  <c r="G422" i="6"/>
  <c r="H422" i="6"/>
  <c r="J422" i="6" s="1"/>
  <c r="Q422" i="9" s="1"/>
  <c r="R422" i="9" s="1"/>
  <c r="S422" i="9" s="1"/>
  <c r="I422" i="6"/>
  <c r="N421" i="6"/>
  <c r="P421" i="6"/>
  <c r="I421" i="6"/>
  <c r="H421" i="6"/>
  <c r="J421" i="6" s="1"/>
  <c r="Q421" i="9" s="1"/>
  <c r="R421" i="9" s="1"/>
  <c r="G421" i="6"/>
  <c r="K421" i="6" s="1"/>
  <c r="P420" i="6"/>
  <c r="N420" i="6"/>
  <c r="G420" i="6"/>
  <c r="H420" i="6"/>
  <c r="J420" i="6" s="1"/>
  <c r="Q420" i="9" s="1"/>
  <c r="R420" i="9" s="1"/>
  <c r="I420" i="6"/>
  <c r="N419" i="6"/>
  <c r="P419" i="6"/>
  <c r="G419" i="6"/>
  <c r="I419" i="6"/>
  <c r="H419" i="6"/>
  <c r="J419" i="6" s="1"/>
  <c r="Q419" i="9" s="1"/>
  <c r="R419" i="9" s="1"/>
  <c r="N418" i="6"/>
  <c r="P418" i="6"/>
  <c r="G418" i="6"/>
  <c r="H418" i="6"/>
  <c r="J418" i="6" s="1"/>
  <c r="Q418" i="9" s="1"/>
  <c r="R418" i="9" s="1"/>
  <c r="S418" i="9" s="1"/>
  <c r="I418" i="6"/>
  <c r="N417" i="6"/>
  <c r="P417" i="6"/>
  <c r="H417" i="6"/>
  <c r="J417" i="6" s="1"/>
  <c r="Q417" i="9" s="1"/>
  <c r="R417" i="9" s="1"/>
  <c r="S417" i="9" s="1"/>
  <c r="G417" i="6"/>
  <c r="I417" i="6"/>
  <c r="N416" i="6"/>
  <c r="P416" i="6"/>
  <c r="I416" i="6"/>
  <c r="G416" i="6"/>
  <c r="K416" i="6" s="1"/>
  <c r="H416" i="6"/>
  <c r="J416" i="6" s="1"/>
  <c r="Q416" i="9" s="1"/>
  <c r="R416" i="9" s="1"/>
  <c r="S416" i="9" s="1"/>
  <c r="P415" i="6"/>
  <c r="N415" i="6"/>
  <c r="I415" i="6"/>
  <c r="H415" i="6"/>
  <c r="J415" i="6" s="1"/>
  <c r="Q415" i="9" s="1"/>
  <c r="R415" i="9" s="1"/>
  <c r="S415" i="9" s="1"/>
  <c r="G415" i="6"/>
  <c r="K415" i="6" s="1"/>
  <c r="P414" i="6"/>
  <c r="N414" i="6"/>
  <c r="I414" i="6"/>
  <c r="H414" i="6"/>
  <c r="J414" i="6" s="1"/>
  <c r="Q414" i="9" s="1"/>
  <c r="R414" i="9" s="1"/>
  <c r="S414" i="9" s="1"/>
  <c r="G414" i="6"/>
  <c r="K414" i="6" s="1"/>
  <c r="N413" i="6"/>
  <c r="P413" i="6"/>
  <c r="G413" i="6"/>
  <c r="H413" i="6"/>
  <c r="J413" i="6" s="1"/>
  <c r="Q413" i="9" s="1"/>
  <c r="R413" i="9" s="1"/>
  <c r="S413" i="9" s="1"/>
  <c r="I413" i="6"/>
  <c r="N412" i="6"/>
  <c r="P412" i="6"/>
  <c r="G412" i="6"/>
  <c r="H412" i="6"/>
  <c r="J412" i="6" s="1"/>
  <c r="Q412" i="9" s="1"/>
  <c r="R412" i="9" s="1"/>
  <c r="S412" i="9" s="1"/>
  <c r="I412" i="6"/>
  <c r="N411" i="6"/>
  <c r="P411" i="6"/>
  <c r="I411" i="6"/>
  <c r="H411" i="6"/>
  <c r="J411" i="6" s="1"/>
  <c r="Q411" i="9" s="1"/>
  <c r="R411" i="9" s="1"/>
  <c r="S411" i="9" s="1"/>
  <c r="G411" i="6"/>
  <c r="K411" i="6" s="1"/>
  <c r="N410" i="6"/>
  <c r="P410" i="6"/>
  <c r="G410" i="6"/>
  <c r="I410" i="6"/>
  <c r="H410" i="6"/>
  <c r="J410" i="6" s="1"/>
  <c r="Q410" i="9" s="1"/>
  <c r="R410" i="9" s="1"/>
  <c r="S410" i="9" s="1"/>
  <c r="N409" i="6"/>
  <c r="P409" i="6"/>
  <c r="H409" i="6"/>
  <c r="J409" i="6" s="1"/>
  <c r="Q409" i="9" s="1"/>
  <c r="R409" i="9" s="1"/>
  <c r="S409" i="9" s="1"/>
  <c r="I409" i="6"/>
  <c r="G409" i="6"/>
  <c r="K409" i="6" s="1"/>
  <c r="P408" i="6"/>
  <c r="N408" i="6"/>
  <c r="I408" i="6"/>
  <c r="H408" i="6"/>
  <c r="J408" i="6" s="1"/>
  <c r="Q408" i="9" s="1"/>
  <c r="R408" i="9" s="1"/>
  <c r="S408" i="9" s="1"/>
  <c r="G408" i="6"/>
  <c r="K408" i="6" s="1"/>
  <c r="N407" i="6"/>
  <c r="P407" i="6"/>
  <c r="H407" i="6"/>
  <c r="J407" i="6" s="1"/>
  <c r="Q407" i="9" s="1"/>
  <c r="R407" i="9" s="1"/>
  <c r="I407" i="6"/>
  <c r="G407" i="6"/>
  <c r="K407" i="6" s="1"/>
  <c r="N406" i="6"/>
  <c r="P406" i="6"/>
  <c r="I406" i="6"/>
  <c r="H406" i="6"/>
  <c r="J406" i="6" s="1"/>
  <c r="Q406" i="9" s="1"/>
  <c r="R406" i="9" s="1"/>
  <c r="S406" i="9" s="1"/>
  <c r="G406" i="6"/>
  <c r="K406" i="6" s="1"/>
  <c r="N405" i="6"/>
  <c r="P405" i="6"/>
  <c r="H405" i="6"/>
  <c r="J405" i="6" s="1"/>
  <c r="Q405" i="9" s="1"/>
  <c r="R405" i="9" s="1"/>
  <c r="S405" i="9" s="1"/>
  <c r="G405" i="6"/>
  <c r="I405" i="6"/>
  <c r="P404" i="6"/>
  <c r="N404" i="6"/>
  <c r="G404" i="6"/>
  <c r="I404" i="6"/>
  <c r="H404" i="6"/>
  <c r="J404" i="6" s="1"/>
  <c r="Q404" i="9" s="1"/>
  <c r="R404" i="9" s="1"/>
  <c r="P403" i="6"/>
  <c r="N403" i="6"/>
  <c r="I403" i="6"/>
  <c r="H403" i="6"/>
  <c r="J403" i="6" s="1"/>
  <c r="Q403" i="9" s="1"/>
  <c r="R403" i="9" s="1"/>
  <c r="S403" i="9" s="1"/>
  <c r="G403" i="6"/>
  <c r="K403" i="6" s="1"/>
  <c r="P402" i="6"/>
  <c r="N402" i="6"/>
  <c r="I402" i="6"/>
  <c r="H402" i="6"/>
  <c r="J402" i="6" s="1"/>
  <c r="Q402" i="9" s="1"/>
  <c r="R402" i="9" s="1"/>
  <c r="S402" i="9" s="1"/>
  <c r="G402" i="6"/>
  <c r="K402" i="6" s="1"/>
  <c r="P401" i="6"/>
  <c r="N401" i="6"/>
  <c r="I401" i="6"/>
  <c r="H401" i="6"/>
  <c r="J401" i="6" s="1"/>
  <c r="Q401" i="9" s="1"/>
  <c r="R401" i="9" s="1"/>
  <c r="S401" i="9" s="1"/>
  <c r="G401" i="6"/>
  <c r="K401" i="6" s="1"/>
  <c r="P400" i="6"/>
  <c r="N400" i="6"/>
  <c r="H400" i="6"/>
  <c r="J400" i="6" s="1"/>
  <c r="Q400" i="9" s="1"/>
  <c r="R400" i="9" s="1"/>
  <c r="S400" i="9" s="1"/>
  <c r="G400" i="6"/>
  <c r="I400" i="6"/>
  <c r="N399" i="6"/>
  <c r="P399" i="6"/>
  <c r="H399" i="6"/>
  <c r="J399" i="6" s="1"/>
  <c r="Q399" i="9" s="1"/>
  <c r="R399" i="9" s="1"/>
  <c r="S399" i="9" s="1"/>
  <c r="I399" i="6"/>
  <c r="G399" i="6"/>
  <c r="K399" i="6" s="1"/>
  <c r="P398" i="6"/>
  <c r="N398" i="6"/>
  <c r="H398" i="6"/>
  <c r="J398" i="6" s="1"/>
  <c r="Q398" i="9" s="1"/>
  <c r="R398" i="9" s="1"/>
  <c r="S398" i="9" s="1"/>
  <c r="I398" i="6"/>
  <c r="G398" i="6"/>
  <c r="K398" i="6" s="1"/>
  <c r="P397" i="6"/>
  <c r="N397" i="6"/>
  <c r="I397" i="6"/>
  <c r="H397" i="6"/>
  <c r="J397" i="6" s="1"/>
  <c r="Q397" i="9" s="1"/>
  <c r="R397" i="9" s="1"/>
  <c r="S397" i="9" s="1"/>
  <c r="G397" i="6"/>
  <c r="K397" i="6" s="1"/>
  <c r="N396" i="6"/>
  <c r="P396" i="6"/>
  <c r="G396" i="6"/>
  <c r="H396" i="6"/>
  <c r="J396" i="6" s="1"/>
  <c r="Q396" i="9" s="1"/>
  <c r="R396" i="9" s="1"/>
  <c r="S396" i="9" s="1"/>
  <c r="I396" i="6"/>
  <c r="P395" i="6"/>
  <c r="N395" i="6"/>
  <c r="I395" i="6"/>
  <c r="G395" i="6"/>
  <c r="K395" i="6" s="1"/>
  <c r="H395" i="6"/>
  <c r="J395" i="6" s="1"/>
  <c r="Q395" i="9" s="1"/>
  <c r="R395" i="9" s="1"/>
  <c r="P394" i="6"/>
  <c r="N394" i="6"/>
  <c r="G394" i="6"/>
  <c r="H394" i="6"/>
  <c r="J394" i="6" s="1"/>
  <c r="Q394" i="9" s="1"/>
  <c r="R394" i="9" s="1"/>
  <c r="S394" i="9" s="1"/>
  <c r="I394" i="6"/>
  <c r="P393" i="6"/>
  <c r="N393" i="6"/>
  <c r="G393" i="6"/>
  <c r="I393" i="6"/>
  <c r="H393" i="6"/>
  <c r="J393" i="6" s="1"/>
  <c r="Q393" i="9" s="1"/>
  <c r="R393" i="9" s="1"/>
  <c r="S393" i="9" s="1"/>
  <c r="P392" i="6"/>
  <c r="N392" i="6"/>
  <c r="I392" i="6"/>
  <c r="H392" i="6"/>
  <c r="J392" i="6" s="1"/>
  <c r="Q392" i="9" s="1"/>
  <c r="R392" i="9" s="1"/>
  <c r="G392" i="6"/>
  <c r="K392" i="6" s="1"/>
  <c r="N391" i="6"/>
  <c r="P391" i="6"/>
  <c r="H391" i="6"/>
  <c r="J391" i="6" s="1"/>
  <c r="Q391" i="9" s="1"/>
  <c r="R391" i="9" s="1"/>
  <c r="S391" i="9" s="1"/>
  <c r="G391" i="6"/>
  <c r="I391" i="6"/>
  <c r="P390" i="6"/>
  <c r="N390" i="6"/>
  <c r="G390" i="6"/>
  <c r="H390" i="6"/>
  <c r="J390" i="6" s="1"/>
  <c r="Q390" i="9" s="1"/>
  <c r="R390" i="9" s="1"/>
  <c r="S390" i="9" s="1"/>
  <c r="I390" i="6"/>
  <c r="N389" i="6"/>
  <c r="P389" i="6"/>
  <c r="I389" i="6"/>
  <c r="G389" i="6"/>
  <c r="K389" i="6" s="1"/>
  <c r="H389" i="6"/>
  <c r="J389" i="6" s="1"/>
  <c r="Q389" i="9" s="1"/>
  <c r="R389" i="9" s="1"/>
  <c r="S389" i="9" s="1"/>
  <c r="N388" i="6"/>
  <c r="P388" i="6"/>
  <c r="I388" i="6"/>
  <c r="H388" i="6"/>
  <c r="J388" i="6" s="1"/>
  <c r="Q388" i="9" s="1"/>
  <c r="R388" i="9" s="1"/>
  <c r="S388" i="9" s="1"/>
  <c r="G388" i="6"/>
  <c r="K388" i="6" s="1"/>
  <c r="P387" i="6"/>
  <c r="N387" i="6"/>
  <c r="H387" i="6"/>
  <c r="J387" i="6" s="1"/>
  <c r="Q387" i="9" s="1"/>
  <c r="R387" i="9" s="1"/>
  <c r="S387" i="9" s="1"/>
  <c r="G387" i="6"/>
  <c r="I387" i="6"/>
  <c r="N386" i="6"/>
  <c r="P386" i="6"/>
  <c r="I386" i="6"/>
  <c r="G386" i="6"/>
  <c r="K386" i="6" s="1"/>
  <c r="H386" i="6"/>
  <c r="J386" i="6" s="1"/>
  <c r="Q386" i="9" s="1"/>
  <c r="R386" i="9" s="1"/>
  <c r="S386" i="9" s="1"/>
  <c r="N385" i="6"/>
  <c r="P385" i="6"/>
  <c r="H385" i="6"/>
  <c r="J385" i="6" s="1"/>
  <c r="Q385" i="9" s="1"/>
  <c r="R385" i="9" s="1"/>
  <c r="S385" i="9" s="1"/>
  <c r="I385" i="6"/>
  <c r="G385" i="6"/>
  <c r="K385" i="6" s="1"/>
  <c r="N384" i="6"/>
  <c r="P384" i="6"/>
  <c r="H384" i="6"/>
  <c r="J384" i="6" s="1"/>
  <c r="Q384" i="9" s="1"/>
  <c r="R384" i="9" s="1"/>
  <c r="I384" i="6"/>
  <c r="G384" i="6"/>
  <c r="K384" i="6" s="1"/>
  <c r="N383" i="6"/>
  <c r="P383" i="6"/>
  <c r="G383" i="6"/>
  <c r="I383" i="6"/>
  <c r="H383" i="6"/>
  <c r="J383" i="6" s="1"/>
  <c r="Q383" i="9" s="1"/>
  <c r="R383" i="9" s="1"/>
  <c r="S383" i="9" s="1"/>
  <c r="N382" i="6"/>
  <c r="P382" i="6"/>
  <c r="H382" i="6"/>
  <c r="J382" i="6" s="1"/>
  <c r="Q382" i="9" s="1"/>
  <c r="R382" i="9" s="1"/>
  <c r="S382" i="9" s="1"/>
  <c r="G382" i="6"/>
  <c r="I382" i="6"/>
  <c r="P381" i="6"/>
  <c r="N381" i="6"/>
  <c r="I381" i="6"/>
  <c r="H381" i="6"/>
  <c r="J381" i="6" s="1"/>
  <c r="Q381" i="9" s="1"/>
  <c r="R381" i="9" s="1"/>
  <c r="S381" i="9" s="1"/>
  <c r="G381" i="6"/>
  <c r="K381" i="6" s="1"/>
  <c r="P380" i="6"/>
  <c r="N380" i="6"/>
  <c r="I380" i="6"/>
  <c r="H380" i="6"/>
  <c r="J380" i="6" s="1"/>
  <c r="Q380" i="9" s="1"/>
  <c r="R380" i="9" s="1"/>
  <c r="S380" i="9" s="1"/>
  <c r="G380" i="6"/>
  <c r="K380" i="6" s="1"/>
  <c r="P379" i="6"/>
  <c r="N379" i="6"/>
  <c r="I379" i="6"/>
  <c r="H379" i="6"/>
  <c r="J379" i="6" s="1"/>
  <c r="Q379" i="9" s="1"/>
  <c r="R379" i="9" s="1"/>
  <c r="S379" i="9" s="1"/>
  <c r="G379" i="6"/>
  <c r="K379" i="6" s="1"/>
  <c r="P378" i="6"/>
  <c r="N378" i="6"/>
  <c r="I378" i="6"/>
  <c r="H378" i="6"/>
  <c r="J378" i="6" s="1"/>
  <c r="Q378" i="9" s="1"/>
  <c r="R378" i="9" s="1"/>
  <c r="S378" i="9" s="1"/>
  <c r="G378" i="6"/>
  <c r="K378" i="6" s="1"/>
  <c r="P377" i="6"/>
  <c r="N377" i="6"/>
  <c r="I377" i="6"/>
  <c r="G377" i="6"/>
  <c r="K377" i="6" s="1"/>
  <c r="H377" i="6"/>
  <c r="J377" i="6" s="1"/>
  <c r="Q377" i="9" s="1"/>
  <c r="R377" i="9" s="1"/>
  <c r="S377" i="9" s="1"/>
  <c r="P376" i="6"/>
  <c r="N376" i="6"/>
  <c r="I376" i="6"/>
  <c r="H376" i="6"/>
  <c r="J376" i="6" s="1"/>
  <c r="Q376" i="9" s="1"/>
  <c r="R376" i="9" s="1"/>
  <c r="G376" i="6"/>
  <c r="K376" i="6" s="1"/>
  <c r="P375" i="6"/>
  <c r="N375" i="6"/>
  <c r="H375" i="6"/>
  <c r="J375" i="6" s="1"/>
  <c r="Q375" i="9" s="1"/>
  <c r="R375" i="9" s="1"/>
  <c r="G375" i="6"/>
  <c r="I375" i="6"/>
  <c r="N374" i="6"/>
  <c r="P374" i="6"/>
  <c r="G374" i="6"/>
  <c r="H374" i="6"/>
  <c r="J374" i="6" s="1"/>
  <c r="Q374" i="9" s="1"/>
  <c r="R374" i="9" s="1"/>
  <c r="S374" i="9" s="1"/>
  <c r="I374" i="6"/>
  <c r="N373" i="6"/>
  <c r="P373" i="6"/>
  <c r="G373" i="6"/>
  <c r="H373" i="6"/>
  <c r="J373" i="6" s="1"/>
  <c r="Q373" i="9" s="1"/>
  <c r="R373" i="9" s="1"/>
  <c r="I373" i="6"/>
  <c r="N372" i="6"/>
  <c r="P372" i="6"/>
  <c r="I372" i="6"/>
  <c r="H372" i="6"/>
  <c r="J372" i="6" s="1"/>
  <c r="Q372" i="9" s="1"/>
  <c r="R372" i="9" s="1"/>
  <c r="S372" i="9" s="1"/>
  <c r="G372" i="6"/>
  <c r="K372" i="6" s="1"/>
  <c r="P371" i="6"/>
  <c r="N371" i="6"/>
  <c r="I371" i="6"/>
  <c r="H371" i="6"/>
  <c r="J371" i="6" s="1"/>
  <c r="Q371" i="9" s="1"/>
  <c r="R371" i="9" s="1"/>
  <c r="S371" i="9" s="1"/>
  <c r="G371" i="6"/>
  <c r="K371" i="6" s="1"/>
  <c r="N370" i="6"/>
  <c r="P370" i="6"/>
  <c r="G370" i="6"/>
  <c r="H370" i="6"/>
  <c r="J370" i="6" s="1"/>
  <c r="Q370" i="9" s="1"/>
  <c r="R370" i="9" s="1"/>
  <c r="S370" i="9" s="1"/>
  <c r="I370" i="6"/>
  <c r="N369" i="6"/>
  <c r="P369" i="6"/>
  <c r="G369" i="6"/>
  <c r="H369" i="6"/>
  <c r="J369" i="6" s="1"/>
  <c r="Q369" i="9" s="1"/>
  <c r="R369" i="9" s="1"/>
  <c r="S369" i="9" s="1"/>
  <c r="I369" i="6"/>
  <c r="P368" i="6"/>
  <c r="N368" i="6"/>
  <c r="I368" i="6"/>
  <c r="H368" i="6"/>
  <c r="J368" i="6" s="1"/>
  <c r="Q368" i="9" s="1"/>
  <c r="R368" i="9" s="1"/>
  <c r="S368" i="9" s="1"/>
  <c r="G368" i="6"/>
  <c r="K368" i="6" s="1"/>
  <c r="P367" i="6"/>
  <c r="N367" i="6"/>
  <c r="I367" i="6"/>
  <c r="G367" i="6"/>
  <c r="K367" i="6" s="1"/>
  <c r="H367" i="6"/>
  <c r="J367" i="6" s="1"/>
  <c r="Q367" i="9" s="1"/>
  <c r="R367" i="9" s="1"/>
  <c r="S367" i="9" s="1"/>
  <c r="P366" i="6"/>
  <c r="N366" i="6"/>
  <c r="I366" i="6"/>
  <c r="H366" i="6"/>
  <c r="J366" i="6" s="1"/>
  <c r="Q366" i="9" s="1"/>
  <c r="R366" i="9" s="1"/>
  <c r="G366" i="6"/>
  <c r="K366" i="6" s="1"/>
  <c r="N365" i="6"/>
  <c r="P365" i="6"/>
  <c r="H365" i="6"/>
  <c r="J365" i="6" s="1"/>
  <c r="Q365" i="9" s="1"/>
  <c r="R365" i="9" s="1"/>
  <c r="S365" i="9" s="1"/>
  <c r="G365" i="6"/>
  <c r="I365" i="6"/>
  <c r="N364" i="6"/>
  <c r="P364" i="6"/>
  <c r="I364" i="6"/>
  <c r="G364" i="6"/>
  <c r="K364" i="6" s="1"/>
  <c r="H364" i="6"/>
  <c r="J364" i="6" s="1"/>
  <c r="Q364" i="9" s="1"/>
  <c r="R364" i="9" s="1"/>
  <c r="N363" i="6"/>
  <c r="P363" i="6"/>
  <c r="I363" i="6"/>
  <c r="G363" i="6"/>
  <c r="K363" i="6" s="1"/>
  <c r="H363" i="6"/>
  <c r="J363" i="6" s="1"/>
  <c r="Q363" i="9" s="1"/>
  <c r="R363" i="9" s="1"/>
  <c r="S363" i="9" s="1"/>
  <c r="N362" i="6"/>
  <c r="P362" i="6"/>
  <c r="I362" i="6"/>
  <c r="G362" i="6"/>
  <c r="K362" i="6" s="1"/>
  <c r="H362" i="6"/>
  <c r="J362" i="6" s="1"/>
  <c r="Q362" i="9" s="1"/>
  <c r="R362" i="9" s="1"/>
  <c r="S362" i="9" s="1"/>
  <c r="N361" i="6"/>
  <c r="P361" i="6"/>
  <c r="H361" i="6"/>
  <c r="J361" i="6" s="1"/>
  <c r="Q361" i="9" s="1"/>
  <c r="R361" i="9" s="1"/>
  <c r="S361" i="9" s="1"/>
  <c r="I361" i="6"/>
  <c r="G361" i="6"/>
  <c r="K361" i="6" s="1"/>
  <c r="N360" i="6"/>
  <c r="P360" i="6"/>
  <c r="I360" i="6"/>
  <c r="H360" i="6"/>
  <c r="J360" i="6" s="1"/>
  <c r="Q360" i="9" s="1"/>
  <c r="R360" i="9" s="1"/>
  <c r="S360" i="9" s="1"/>
  <c r="G360" i="6"/>
  <c r="K360" i="6" s="1"/>
  <c r="P359" i="6"/>
  <c r="N359" i="6"/>
  <c r="I359" i="6"/>
  <c r="H359" i="6"/>
  <c r="J359" i="6" s="1"/>
  <c r="Q359" i="9" s="1"/>
  <c r="R359" i="9" s="1"/>
  <c r="S359" i="9" s="1"/>
  <c r="G359" i="6"/>
  <c r="K359" i="6" s="1"/>
  <c r="P358" i="6"/>
  <c r="N358" i="6"/>
  <c r="G358" i="6"/>
  <c r="I358" i="6"/>
  <c r="H358" i="6"/>
  <c r="J358" i="6" s="1"/>
  <c r="Q358" i="9" s="1"/>
  <c r="R358" i="9" s="1"/>
  <c r="S358" i="9" s="1"/>
  <c r="P357" i="6"/>
  <c r="N357" i="6"/>
  <c r="I357" i="6"/>
  <c r="H357" i="6"/>
  <c r="J357" i="6" s="1"/>
  <c r="Q357" i="9" s="1"/>
  <c r="R357" i="9" s="1"/>
  <c r="S357" i="9" s="1"/>
  <c r="G357" i="6"/>
  <c r="K357" i="6" s="1"/>
  <c r="P356" i="6"/>
  <c r="N356" i="6"/>
  <c r="I356" i="6"/>
  <c r="H356" i="6"/>
  <c r="J356" i="6" s="1"/>
  <c r="Q356" i="9" s="1"/>
  <c r="R356" i="9" s="1"/>
  <c r="S356" i="9" s="1"/>
  <c r="G356" i="6"/>
  <c r="K356" i="6" s="1"/>
  <c r="N355" i="6"/>
  <c r="P355" i="6"/>
  <c r="H355" i="6"/>
  <c r="J355" i="6" s="1"/>
  <c r="Q355" i="9" s="1"/>
  <c r="R355" i="9" s="1"/>
  <c r="G355" i="6"/>
  <c r="I355" i="6"/>
  <c r="N354" i="6"/>
  <c r="P354" i="6"/>
  <c r="G354" i="6"/>
  <c r="I354" i="6"/>
  <c r="H354" i="6"/>
  <c r="J354" i="6" s="1"/>
  <c r="Q354" i="9" s="1"/>
  <c r="R354" i="9" s="1"/>
  <c r="S354" i="9" s="1"/>
  <c r="N353" i="6"/>
  <c r="P353" i="6"/>
  <c r="G353" i="6"/>
  <c r="H353" i="6"/>
  <c r="J353" i="6" s="1"/>
  <c r="Q353" i="9" s="1"/>
  <c r="R353" i="9" s="1"/>
  <c r="I353" i="6"/>
  <c r="N352" i="6"/>
  <c r="P352" i="6"/>
  <c r="G352" i="6"/>
  <c r="H352" i="6"/>
  <c r="J352" i="6" s="1"/>
  <c r="Q352" i="9" s="1"/>
  <c r="R352" i="9" s="1"/>
  <c r="S352" i="9" s="1"/>
  <c r="I352" i="6"/>
  <c r="P351" i="6"/>
  <c r="N351" i="6"/>
  <c r="I351" i="6"/>
  <c r="H351" i="6"/>
  <c r="J351" i="6" s="1"/>
  <c r="Q351" i="9" s="1"/>
  <c r="R351" i="9" s="1"/>
  <c r="S351" i="9" s="1"/>
  <c r="G351" i="6"/>
  <c r="K351" i="6" s="1"/>
  <c r="P350" i="6"/>
  <c r="N350" i="6"/>
  <c r="G350" i="6"/>
  <c r="I350" i="6"/>
  <c r="H350" i="6"/>
  <c r="J350" i="6" s="1"/>
  <c r="Q350" i="9" s="1"/>
  <c r="R350" i="9" s="1"/>
  <c r="N349" i="6"/>
  <c r="P349" i="6"/>
  <c r="G349" i="6"/>
  <c r="K349" i="6" s="1"/>
  <c r="H349" i="6"/>
  <c r="J349" i="6" s="1"/>
  <c r="Q349" i="9" s="1"/>
  <c r="R349" i="9" s="1"/>
  <c r="S349" i="9" s="1"/>
  <c r="I349" i="6"/>
  <c r="P348" i="6"/>
  <c r="N348" i="6"/>
  <c r="I348" i="6"/>
  <c r="H348" i="6"/>
  <c r="J348" i="6" s="1"/>
  <c r="Q348" i="9" s="1"/>
  <c r="R348" i="9" s="1"/>
  <c r="S348" i="9" s="1"/>
  <c r="G348" i="6"/>
  <c r="K348" i="6" s="1"/>
  <c r="P347" i="6"/>
  <c r="N347" i="6"/>
  <c r="H347" i="6"/>
  <c r="J347" i="6" s="1"/>
  <c r="Q347" i="9" s="1"/>
  <c r="R347" i="9" s="1"/>
  <c r="S347" i="9" s="1"/>
  <c r="I347" i="6"/>
  <c r="G347" i="6"/>
  <c r="K347" i="6" s="1"/>
  <c r="P346" i="6"/>
  <c r="N346" i="6"/>
  <c r="I346" i="6"/>
  <c r="H346" i="6"/>
  <c r="J346" i="6" s="1"/>
  <c r="Q346" i="9" s="1"/>
  <c r="R346" i="9" s="1"/>
  <c r="S346" i="9" s="1"/>
  <c r="G346" i="6"/>
  <c r="K346" i="6" s="1"/>
  <c r="P345" i="6"/>
  <c r="N345" i="6"/>
  <c r="H345" i="6"/>
  <c r="J345" i="6" s="1"/>
  <c r="Q345" i="9" s="1"/>
  <c r="R345" i="9" s="1"/>
  <c r="S345" i="9" s="1"/>
  <c r="G345" i="6"/>
  <c r="I345" i="6"/>
  <c r="P344" i="6"/>
  <c r="N344" i="6"/>
  <c r="I344" i="6"/>
  <c r="G344" i="6"/>
  <c r="K344" i="6" s="1"/>
  <c r="H344" i="6"/>
  <c r="J344" i="6" s="1"/>
  <c r="Q344" i="9" s="1"/>
  <c r="R344" i="9" s="1"/>
  <c r="P343" i="6"/>
  <c r="N343" i="6"/>
  <c r="H343" i="6"/>
  <c r="J343" i="6" s="1"/>
  <c r="Q343" i="9" s="1"/>
  <c r="R343" i="9" s="1"/>
  <c r="S343" i="9" s="1"/>
  <c r="G343" i="6"/>
  <c r="I343" i="6"/>
  <c r="P342" i="6"/>
  <c r="N342" i="6"/>
  <c r="I342" i="6"/>
  <c r="H342" i="6"/>
  <c r="J342" i="6" s="1"/>
  <c r="Q342" i="9" s="1"/>
  <c r="R342" i="9" s="1"/>
  <c r="G342" i="6"/>
  <c r="K342" i="6" s="1"/>
  <c r="P341" i="6"/>
  <c r="N341" i="6"/>
  <c r="G341" i="6"/>
  <c r="H341" i="6"/>
  <c r="J341" i="6" s="1"/>
  <c r="Q341" i="9" s="1"/>
  <c r="R341" i="9" s="1"/>
  <c r="S341" i="9" s="1"/>
  <c r="I341" i="6"/>
  <c r="N340" i="6"/>
  <c r="P340" i="6"/>
  <c r="I340" i="6"/>
  <c r="H340" i="6"/>
  <c r="J340" i="6" s="1"/>
  <c r="Q340" i="9" s="1"/>
  <c r="R340" i="9" s="1"/>
  <c r="S340" i="9" s="1"/>
  <c r="G340" i="6"/>
  <c r="K340" i="6" s="1"/>
  <c r="P339" i="6"/>
  <c r="N339" i="6"/>
  <c r="H339" i="6"/>
  <c r="J339" i="6" s="1"/>
  <c r="Q339" i="9" s="1"/>
  <c r="R339" i="9" s="1"/>
  <c r="G339" i="6"/>
  <c r="I339" i="6"/>
  <c r="N338" i="6"/>
  <c r="P338" i="6"/>
  <c r="I338" i="6"/>
  <c r="H338" i="6"/>
  <c r="J338" i="6" s="1"/>
  <c r="Q338" i="9" s="1"/>
  <c r="R338" i="9" s="1"/>
  <c r="S338" i="9" s="1"/>
  <c r="G338" i="6"/>
  <c r="K338" i="6" s="1"/>
  <c r="N337" i="6"/>
  <c r="P337" i="6"/>
  <c r="G337" i="6"/>
  <c r="H337" i="6"/>
  <c r="J337" i="6" s="1"/>
  <c r="Q337" i="9" s="1"/>
  <c r="R337" i="9" s="1"/>
  <c r="S337" i="9" s="1"/>
  <c r="I337" i="6"/>
  <c r="P336" i="6"/>
  <c r="N336" i="6"/>
  <c r="H336" i="6"/>
  <c r="J336" i="6" s="1"/>
  <c r="Q336" i="9" s="1"/>
  <c r="R336" i="9" s="1"/>
  <c r="S336" i="9" s="1"/>
  <c r="I336" i="6"/>
  <c r="G336" i="6"/>
  <c r="K336" i="6" s="1"/>
  <c r="N335" i="6"/>
  <c r="P335" i="6"/>
  <c r="I335" i="6"/>
  <c r="G335" i="6"/>
  <c r="K335" i="6" s="1"/>
  <c r="H335" i="6"/>
  <c r="J335" i="6" s="1"/>
  <c r="Q335" i="9" s="1"/>
  <c r="R335" i="9" s="1"/>
  <c r="P334" i="6"/>
  <c r="N334" i="6"/>
  <c r="H334" i="6"/>
  <c r="J334" i="6" s="1"/>
  <c r="Q334" i="9" s="1"/>
  <c r="R334" i="9" s="1"/>
  <c r="S334" i="9" s="1"/>
  <c r="I334" i="6"/>
  <c r="G334" i="6"/>
  <c r="K334" i="6" s="1"/>
  <c r="P333" i="6"/>
  <c r="N333" i="6"/>
  <c r="I333" i="6"/>
  <c r="H333" i="6"/>
  <c r="J333" i="6" s="1"/>
  <c r="Q333" i="9" s="1"/>
  <c r="R333" i="9" s="1"/>
  <c r="S333" i="9" s="1"/>
  <c r="G333" i="6"/>
  <c r="K333" i="6" s="1"/>
  <c r="N332" i="6"/>
  <c r="P332" i="6"/>
  <c r="G332" i="6"/>
  <c r="H332" i="6"/>
  <c r="J332" i="6" s="1"/>
  <c r="Q332" i="9" s="1"/>
  <c r="R332" i="9" s="1"/>
  <c r="S332" i="9" s="1"/>
  <c r="I332" i="6"/>
  <c r="N331" i="6"/>
  <c r="P331" i="6"/>
  <c r="I331" i="6"/>
  <c r="G331" i="6"/>
  <c r="K331" i="6" s="1"/>
  <c r="H331" i="6"/>
  <c r="J331" i="6" s="1"/>
  <c r="Q331" i="9" s="1"/>
  <c r="R331" i="9" s="1"/>
  <c r="S331" i="9" s="1"/>
  <c r="P330" i="6"/>
  <c r="N330" i="6"/>
  <c r="H330" i="6"/>
  <c r="J330" i="6" s="1"/>
  <c r="Q330" i="9" s="1"/>
  <c r="R330" i="9" s="1"/>
  <c r="S330" i="9" s="1"/>
  <c r="G330" i="6"/>
  <c r="I330" i="6"/>
  <c r="N329" i="6"/>
  <c r="P329" i="6"/>
  <c r="I329" i="6"/>
  <c r="H329" i="6"/>
  <c r="J329" i="6" s="1"/>
  <c r="Q329" i="9" s="1"/>
  <c r="R329" i="9" s="1"/>
  <c r="S329" i="9" s="1"/>
  <c r="G329" i="6"/>
  <c r="K329" i="6" s="1"/>
  <c r="P328" i="6"/>
  <c r="N328" i="6"/>
  <c r="I328" i="6"/>
  <c r="G328" i="6"/>
  <c r="K328" i="6" s="1"/>
  <c r="H328" i="6"/>
  <c r="J328" i="6" s="1"/>
  <c r="Q328" i="9" s="1"/>
  <c r="R328" i="9" s="1"/>
  <c r="S328" i="9" s="1"/>
  <c r="P327" i="6"/>
  <c r="N327" i="6"/>
  <c r="H327" i="6"/>
  <c r="J327" i="6" s="1"/>
  <c r="Q327" i="9" s="1"/>
  <c r="R327" i="9" s="1"/>
  <c r="S327" i="9" s="1"/>
  <c r="I327" i="6"/>
  <c r="G327" i="6"/>
  <c r="K327" i="6" s="1"/>
  <c r="P326" i="6"/>
  <c r="N326" i="6"/>
  <c r="G326" i="6"/>
  <c r="H326" i="6"/>
  <c r="J326" i="6" s="1"/>
  <c r="Q326" i="9" s="1"/>
  <c r="R326" i="9" s="1"/>
  <c r="S326" i="9" s="1"/>
  <c r="I326" i="6"/>
  <c r="N325" i="6"/>
  <c r="P325" i="6"/>
  <c r="G325" i="6"/>
  <c r="I325" i="6"/>
  <c r="H325" i="6"/>
  <c r="J325" i="6" s="1"/>
  <c r="Q325" i="9" s="1"/>
  <c r="R325" i="9" s="1"/>
  <c r="S325" i="9" s="1"/>
  <c r="N324" i="6"/>
  <c r="P324" i="6"/>
  <c r="G324" i="6"/>
  <c r="H324" i="6"/>
  <c r="J324" i="6" s="1"/>
  <c r="Q324" i="9" s="1"/>
  <c r="R324" i="9" s="1"/>
  <c r="S324" i="9" s="1"/>
  <c r="I324" i="6"/>
  <c r="P323" i="6"/>
  <c r="N323" i="6"/>
  <c r="I323" i="6"/>
  <c r="H323" i="6"/>
  <c r="J323" i="6" s="1"/>
  <c r="Q323" i="9" s="1"/>
  <c r="R323" i="9" s="1"/>
  <c r="S323" i="9" s="1"/>
  <c r="G323" i="6"/>
  <c r="K323" i="6" s="1"/>
  <c r="P322" i="6"/>
  <c r="N322" i="6"/>
  <c r="I322" i="6"/>
  <c r="H322" i="6"/>
  <c r="J322" i="6" s="1"/>
  <c r="Q322" i="9" s="1"/>
  <c r="R322" i="9" s="1"/>
  <c r="G322" i="6"/>
  <c r="K322" i="6" s="1"/>
  <c r="P321" i="6"/>
  <c r="N321" i="6"/>
  <c r="G321" i="6"/>
  <c r="H321" i="6"/>
  <c r="J321" i="6" s="1"/>
  <c r="Q321" i="9" s="1"/>
  <c r="R321" i="9" s="1"/>
  <c r="I321" i="6"/>
  <c r="P320" i="6"/>
  <c r="N320" i="6"/>
  <c r="G320" i="6"/>
  <c r="I320" i="6"/>
  <c r="H320" i="6"/>
  <c r="J320" i="6" s="1"/>
  <c r="Q320" i="9" s="1"/>
  <c r="R320" i="9" s="1"/>
  <c r="S320" i="9" s="1"/>
  <c r="N319" i="6"/>
  <c r="P319" i="6"/>
  <c r="H319" i="6"/>
  <c r="J319" i="6" s="1"/>
  <c r="Q319" i="9" s="1"/>
  <c r="R319" i="9" s="1"/>
  <c r="S319" i="9" s="1"/>
  <c r="G319" i="6"/>
  <c r="I319" i="6"/>
  <c r="P318" i="6"/>
  <c r="N318" i="6"/>
  <c r="I318" i="6"/>
  <c r="H318" i="6"/>
  <c r="J318" i="6" s="1"/>
  <c r="Q318" i="9" s="1"/>
  <c r="R318" i="9" s="1"/>
  <c r="S318" i="9" s="1"/>
  <c r="G318" i="6"/>
  <c r="K318" i="6" s="1"/>
  <c r="P317" i="6"/>
  <c r="N317" i="6"/>
  <c r="G317" i="6"/>
  <c r="I317" i="6"/>
  <c r="H317" i="6"/>
  <c r="J317" i="6" s="1"/>
  <c r="Q317" i="9" s="1"/>
  <c r="R317" i="9" s="1"/>
  <c r="S317" i="9" s="1"/>
  <c r="P316" i="6"/>
  <c r="N316" i="6"/>
  <c r="G316" i="6"/>
  <c r="I316" i="6"/>
  <c r="H316" i="6"/>
  <c r="J316" i="6" s="1"/>
  <c r="Q316" i="9" s="1"/>
  <c r="R316" i="9" s="1"/>
  <c r="P315" i="6"/>
  <c r="N315" i="6"/>
  <c r="G315" i="6"/>
  <c r="I315" i="6"/>
  <c r="H315" i="6"/>
  <c r="J315" i="6" s="1"/>
  <c r="Q315" i="9" s="1"/>
  <c r="R315" i="9" s="1"/>
  <c r="S315" i="9" s="1"/>
  <c r="N314" i="6"/>
  <c r="P314" i="6"/>
  <c r="G314" i="6"/>
  <c r="I314" i="6"/>
  <c r="H314" i="6"/>
  <c r="J314" i="6" s="1"/>
  <c r="Q314" i="9" s="1"/>
  <c r="R314" i="9" s="1"/>
  <c r="S314" i="9" s="1"/>
  <c r="N313" i="6"/>
  <c r="P313" i="6"/>
  <c r="G313" i="6"/>
  <c r="H313" i="6"/>
  <c r="J313" i="6" s="1"/>
  <c r="Q313" i="9" s="1"/>
  <c r="R313" i="9" s="1"/>
  <c r="S313" i="9" s="1"/>
  <c r="I313" i="6"/>
  <c r="N312" i="6"/>
  <c r="P312" i="6"/>
  <c r="I312" i="6"/>
  <c r="H312" i="6"/>
  <c r="J312" i="6" s="1"/>
  <c r="Q312" i="9" s="1"/>
  <c r="R312" i="9" s="1"/>
  <c r="S312" i="9" s="1"/>
  <c r="G312" i="6"/>
  <c r="K312" i="6" s="1"/>
  <c r="N311" i="6"/>
  <c r="P311" i="6"/>
  <c r="I311" i="6"/>
  <c r="G311" i="6"/>
  <c r="K311" i="6" s="1"/>
  <c r="H311" i="6"/>
  <c r="J311" i="6" s="1"/>
  <c r="Q311" i="9" s="1"/>
  <c r="R311" i="9" s="1"/>
  <c r="N310" i="6"/>
  <c r="P310" i="6"/>
  <c r="I310" i="6"/>
  <c r="H310" i="6"/>
  <c r="J310" i="6" s="1"/>
  <c r="Q310" i="9" s="1"/>
  <c r="R310" i="9" s="1"/>
  <c r="S310" i="9" s="1"/>
  <c r="G310" i="6"/>
  <c r="K310" i="6" s="1"/>
  <c r="P309" i="6"/>
  <c r="N309" i="6"/>
  <c r="G309" i="6"/>
  <c r="H309" i="6"/>
  <c r="J309" i="6" s="1"/>
  <c r="Q309" i="9" s="1"/>
  <c r="R309" i="9" s="1"/>
  <c r="S309" i="9" s="1"/>
  <c r="I309" i="6"/>
  <c r="N308" i="6"/>
  <c r="P308" i="6"/>
  <c r="G308" i="6"/>
  <c r="H308" i="6"/>
  <c r="J308" i="6" s="1"/>
  <c r="Q308" i="9" s="1"/>
  <c r="R308" i="9" s="1"/>
  <c r="I308" i="6"/>
  <c r="N307" i="6"/>
  <c r="P307" i="6"/>
  <c r="I307" i="6"/>
  <c r="H307" i="6"/>
  <c r="J307" i="6" s="1"/>
  <c r="Q307" i="9" s="1"/>
  <c r="R307" i="9" s="1"/>
  <c r="S307" i="9" s="1"/>
  <c r="G307" i="6"/>
  <c r="K307" i="6" s="1"/>
  <c r="P306" i="6"/>
  <c r="N306" i="6"/>
  <c r="G306" i="6"/>
  <c r="H306" i="6"/>
  <c r="J306" i="6" s="1"/>
  <c r="Q306" i="9" s="1"/>
  <c r="R306" i="9" s="1"/>
  <c r="S306" i="9" s="1"/>
  <c r="I306" i="6"/>
  <c r="N305" i="6"/>
  <c r="P305" i="6"/>
  <c r="G305" i="6"/>
  <c r="I305" i="6"/>
  <c r="H305" i="6"/>
  <c r="J305" i="6" s="1"/>
  <c r="Q305" i="9" s="1"/>
  <c r="R305" i="9" s="1"/>
  <c r="S305" i="9" s="1"/>
  <c r="N304" i="6"/>
  <c r="P304" i="6"/>
  <c r="G304" i="6"/>
  <c r="I304" i="6"/>
  <c r="H304" i="6"/>
  <c r="J304" i="6" s="1"/>
  <c r="Q304" i="9" s="1"/>
  <c r="R304" i="9" s="1"/>
  <c r="S304" i="9" s="1"/>
  <c r="P303" i="6"/>
  <c r="N303" i="6"/>
  <c r="G303" i="6"/>
  <c r="H303" i="6"/>
  <c r="J303" i="6" s="1"/>
  <c r="Q303" i="9" s="1"/>
  <c r="R303" i="9" s="1"/>
  <c r="I303" i="6"/>
  <c r="N302" i="6"/>
  <c r="P302" i="6"/>
  <c r="I302" i="6"/>
  <c r="H302" i="6"/>
  <c r="J302" i="6" s="1"/>
  <c r="Q302" i="9" s="1"/>
  <c r="R302" i="9" s="1"/>
  <c r="S302" i="9" s="1"/>
  <c r="G302" i="6"/>
  <c r="K302" i="6" s="1"/>
  <c r="P301" i="6"/>
  <c r="N301" i="6"/>
  <c r="H301" i="6"/>
  <c r="J301" i="6" s="1"/>
  <c r="Q301" i="9" s="1"/>
  <c r="R301" i="9" s="1"/>
  <c r="S301" i="9" s="1"/>
  <c r="I301" i="6"/>
  <c r="G301" i="6"/>
  <c r="K301" i="6" s="1"/>
  <c r="N300" i="6"/>
  <c r="P300" i="6"/>
  <c r="I300" i="6"/>
  <c r="G300" i="6"/>
  <c r="K300" i="6" s="1"/>
  <c r="H300" i="6"/>
  <c r="J300" i="6" s="1"/>
  <c r="Q300" i="9" s="1"/>
  <c r="R300" i="9" s="1"/>
  <c r="S300" i="9" s="1"/>
  <c r="N299" i="6"/>
  <c r="P299" i="6"/>
  <c r="H299" i="6"/>
  <c r="J299" i="6" s="1"/>
  <c r="Q299" i="9" s="1"/>
  <c r="R299" i="9" s="1"/>
  <c r="S299" i="9" s="1"/>
  <c r="I299" i="6"/>
  <c r="G299" i="6"/>
  <c r="K299" i="6" s="1"/>
  <c r="N298" i="6"/>
  <c r="P298" i="6"/>
  <c r="G298" i="6"/>
  <c r="H298" i="6"/>
  <c r="J298" i="6" s="1"/>
  <c r="Q298" i="9" s="1"/>
  <c r="R298" i="9" s="1"/>
  <c r="S298" i="9" s="1"/>
  <c r="I298" i="6"/>
  <c r="N297" i="6"/>
  <c r="P297" i="6"/>
  <c r="G297" i="6"/>
  <c r="H297" i="6"/>
  <c r="J297" i="6" s="1"/>
  <c r="Q297" i="9" s="1"/>
  <c r="R297" i="9" s="1"/>
  <c r="I297" i="6"/>
  <c r="N296" i="6"/>
  <c r="P296" i="6"/>
  <c r="I296" i="6"/>
  <c r="H296" i="6"/>
  <c r="J296" i="6" s="1"/>
  <c r="Q296" i="9" s="1"/>
  <c r="R296" i="9" s="1"/>
  <c r="G296" i="6"/>
  <c r="K296" i="6" s="1"/>
  <c r="P295" i="6"/>
  <c r="N295" i="6"/>
  <c r="H295" i="6"/>
  <c r="J295" i="6" s="1"/>
  <c r="Q295" i="9" s="1"/>
  <c r="R295" i="9" s="1"/>
  <c r="S295" i="9" s="1"/>
  <c r="I295" i="6"/>
  <c r="G295" i="6"/>
  <c r="K295" i="6" s="1"/>
  <c r="N294" i="6"/>
  <c r="P294" i="6"/>
  <c r="I294" i="6"/>
  <c r="G294" i="6"/>
  <c r="K294" i="6" s="1"/>
  <c r="H294" i="6"/>
  <c r="J294" i="6" s="1"/>
  <c r="Q294" i="9" s="1"/>
  <c r="R294" i="9" s="1"/>
  <c r="N293" i="6"/>
  <c r="P293" i="6"/>
  <c r="G293" i="6"/>
  <c r="H293" i="6"/>
  <c r="J293" i="6" s="1"/>
  <c r="Q293" i="9" s="1"/>
  <c r="R293" i="9" s="1"/>
  <c r="S293" i="9" s="1"/>
  <c r="I293" i="6"/>
  <c r="N292" i="6"/>
  <c r="P292" i="6"/>
  <c r="H292" i="6"/>
  <c r="J292" i="6" s="1"/>
  <c r="Q292" i="9" s="1"/>
  <c r="R292" i="9" s="1"/>
  <c r="S292" i="9" s="1"/>
  <c r="G292" i="6"/>
  <c r="I292" i="6"/>
  <c r="N291" i="6"/>
  <c r="P291" i="6"/>
  <c r="G291" i="6"/>
  <c r="I291" i="6"/>
  <c r="H291" i="6"/>
  <c r="J291" i="6" s="1"/>
  <c r="Q291" i="9" s="1"/>
  <c r="R291" i="9" s="1"/>
  <c r="S291" i="9" s="1"/>
  <c r="P290" i="6"/>
  <c r="N290" i="6"/>
  <c r="I290" i="6"/>
  <c r="H290" i="6"/>
  <c r="J290" i="6" s="1"/>
  <c r="Q290" i="9" s="1"/>
  <c r="R290" i="9" s="1"/>
  <c r="S290" i="9" s="1"/>
  <c r="G290" i="6"/>
  <c r="K290" i="6" s="1"/>
  <c r="P289" i="6"/>
  <c r="N289" i="6"/>
  <c r="I289" i="6"/>
  <c r="G289" i="6"/>
  <c r="K289" i="6" s="1"/>
  <c r="H289" i="6"/>
  <c r="J289" i="6" s="1"/>
  <c r="Q289" i="9" s="1"/>
  <c r="R289" i="9" s="1"/>
  <c r="S289" i="9" s="1"/>
  <c r="N288" i="6"/>
  <c r="P288" i="6"/>
  <c r="G288" i="6"/>
  <c r="I288" i="6"/>
  <c r="H288" i="6"/>
  <c r="J288" i="6" s="1"/>
  <c r="Q288" i="9" s="1"/>
  <c r="R288" i="9" s="1"/>
  <c r="S288" i="9" s="1"/>
  <c r="N287" i="6"/>
  <c r="P287" i="6"/>
  <c r="G287" i="6"/>
  <c r="H287" i="6"/>
  <c r="J287" i="6" s="1"/>
  <c r="Q287" i="9" s="1"/>
  <c r="R287" i="9" s="1"/>
  <c r="S287" i="9" s="1"/>
  <c r="I287" i="6"/>
  <c r="P286" i="6"/>
  <c r="N286" i="6"/>
  <c r="H286" i="6"/>
  <c r="J286" i="6" s="1"/>
  <c r="Q286" i="9" s="1"/>
  <c r="R286" i="9" s="1"/>
  <c r="S286" i="9" s="1"/>
  <c r="I286" i="6"/>
  <c r="G286" i="6"/>
  <c r="K286" i="6" s="1"/>
  <c r="P285" i="6"/>
  <c r="N285" i="6"/>
  <c r="H285" i="6"/>
  <c r="J285" i="6" s="1"/>
  <c r="Q285" i="9" s="1"/>
  <c r="R285" i="9" s="1"/>
  <c r="I285" i="6"/>
  <c r="G285" i="6"/>
  <c r="K285" i="6" s="1"/>
  <c r="N284" i="6"/>
  <c r="P284" i="6"/>
  <c r="H284" i="6"/>
  <c r="J284" i="6" s="1"/>
  <c r="Q284" i="9" s="1"/>
  <c r="R284" i="9" s="1"/>
  <c r="I284" i="6"/>
  <c r="G284" i="6"/>
  <c r="K284" i="6" s="1"/>
  <c r="P283" i="6"/>
  <c r="N283" i="6"/>
  <c r="I283" i="6"/>
  <c r="H283" i="6"/>
  <c r="J283" i="6" s="1"/>
  <c r="Q283" i="9" s="1"/>
  <c r="R283" i="9" s="1"/>
  <c r="S283" i="9" s="1"/>
  <c r="G283" i="6"/>
  <c r="K283" i="6" s="1"/>
  <c r="N282" i="6"/>
  <c r="P282" i="6"/>
  <c r="H282" i="6"/>
  <c r="J282" i="6" s="1"/>
  <c r="Q282" i="9" s="1"/>
  <c r="R282" i="9" s="1"/>
  <c r="S282" i="9" s="1"/>
  <c r="G282" i="6"/>
  <c r="I282" i="6"/>
  <c r="N281" i="6"/>
  <c r="P281" i="6"/>
  <c r="I281" i="6"/>
  <c r="H281" i="6"/>
  <c r="J281" i="6" s="1"/>
  <c r="Q281" i="9" s="1"/>
  <c r="R281" i="9" s="1"/>
  <c r="G281" i="6"/>
  <c r="K281" i="6" s="1"/>
  <c r="N280" i="6"/>
  <c r="P280" i="6"/>
  <c r="G280" i="6"/>
  <c r="H280" i="6"/>
  <c r="J280" i="6" s="1"/>
  <c r="Q280" i="9" s="1"/>
  <c r="R280" i="9" s="1"/>
  <c r="S280" i="9" s="1"/>
  <c r="I280" i="6"/>
  <c r="N279" i="6"/>
  <c r="P279" i="6"/>
  <c r="H279" i="6"/>
  <c r="J279" i="6" s="1"/>
  <c r="Q279" i="9" s="1"/>
  <c r="R279" i="9" s="1"/>
  <c r="S279" i="9" s="1"/>
  <c r="I279" i="6"/>
  <c r="G279" i="6"/>
  <c r="K279" i="6" s="1"/>
  <c r="N278" i="6"/>
  <c r="P278" i="6"/>
  <c r="G278" i="6"/>
  <c r="K278" i="6" s="1"/>
  <c r="H278" i="6"/>
  <c r="J278" i="6" s="1"/>
  <c r="Q278" i="9" s="1"/>
  <c r="R278" i="9" s="1"/>
  <c r="S278" i="9" s="1"/>
  <c r="I278" i="6"/>
  <c r="P277" i="6"/>
  <c r="N277" i="6"/>
  <c r="H277" i="6"/>
  <c r="J277" i="6" s="1"/>
  <c r="Q277" i="9" s="1"/>
  <c r="R277" i="9" s="1"/>
  <c r="S277" i="9" s="1"/>
  <c r="G277" i="6"/>
  <c r="K277" i="6" s="1"/>
  <c r="I277" i="6"/>
  <c r="P276" i="6"/>
  <c r="N276" i="6"/>
  <c r="H276" i="6"/>
  <c r="J276" i="6" s="1"/>
  <c r="Q276" i="9" s="1"/>
  <c r="R276" i="9" s="1"/>
  <c r="S276" i="9" s="1"/>
  <c r="G276" i="6"/>
  <c r="K276" i="6" s="1"/>
  <c r="I276" i="6"/>
  <c r="P275" i="6"/>
  <c r="N275" i="6"/>
  <c r="H275" i="6"/>
  <c r="J275" i="6" s="1"/>
  <c r="Q275" i="9" s="1"/>
  <c r="R275" i="9" s="1"/>
  <c r="S275" i="9" s="1"/>
  <c r="G275" i="6"/>
  <c r="I275" i="6"/>
  <c r="P274" i="6"/>
  <c r="N274" i="6"/>
  <c r="I274" i="6"/>
  <c r="H274" i="6"/>
  <c r="J274" i="6" s="1"/>
  <c r="Q274" i="9" s="1"/>
  <c r="R274" i="9" s="1"/>
  <c r="G274" i="6"/>
  <c r="K274" i="6" s="1"/>
  <c r="P273" i="6"/>
  <c r="N273" i="6"/>
  <c r="I273" i="6"/>
  <c r="H273" i="6"/>
  <c r="J273" i="6" s="1"/>
  <c r="Q273" i="9" s="1"/>
  <c r="R273" i="9" s="1"/>
  <c r="G273" i="6"/>
  <c r="K273" i="6" s="1"/>
  <c r="P272" i="6"/>
  <c r="N272" i="6"/>
  <c r="G272" i="6"/>
  <c r="H272" i="6"/>
  <c r="J272" i="6" s="1"/>
  <c r="Q272" i="9" s="1"/>
  <c r="R272" i="9" s="1"/>
  <c r="S272" i="9" s="1"/>
  <c r="I272" i="6"/>
  <c r="N271" i="6"/>
  <c r="P271" i="6"/>
  <c r="G271" i="6"/>
  <c r="H271" i="6"/>
  <c r="J271" i="6" s="1"/>
  <c r="Q271" i="9" s="1"/>
  <c r="R271" i="9" s="1"/>
  <c r="S271" i="9" s="1"/>
  <c r="I271" i="6"/>
  <c r="P270" i="6"/>
  <c r="N270" i="6"/>
  <c r="I270" i="6"/>
  <c r="H270" i="6"/>
  <c r="J270" i="6" s="1"/>
  <c r="Q270" i="9" s="1"/>
  <c r="R270" i="9" s="1"/>
  <c r="S270" i="9" s="1"/>
  <c r="G270" i="6"/>
  <c r="K270" i="6" s="1"/>
  <c r="P269" i="6"/>
  <c r="N269" i="6"/>
  <c r="H269" i="6"/>
  <c r="J269" i="6" s="1"/>
  <c r="Q269" i="9" s="1"/>
  <c r="R269" i="9" s="1"/>
  <c r="G269" i="6"/>
  <c r="I269" i="6"/>
  <c r="N268" i="6"/>
  <c r="P268" i="6"/>
  <c r="I268" i="6"/>
  <c r="H268" i="6"/>
  <c r="J268" i="6" s="1"/>
  <c r="Q268" i="9" s="1"/>
  <c r="R268" i="9" s="1"/>
  <c r="S268" i="9" s="1"/>
  <c r="G268" i="6"/>
  <c r="K268" i="6" s="1"/>
  <c r="N267" i="6"/>
  <c r="P267" i="6"/>
  <c r="I267" i="6"/>
  <c r="H267" i="6"/>
  <c r="J267" i="6" s="1"/>
  <c r="Q267" i="9" s="1"/>
  <c r="R267" i="9" s="1"/>
  <c r="S267" i="9" s="1"/>
  <c r="G267" i="6"/>
  <c r="K267" i="6" s="1"/>
  <c r="P266" i="6"/>
  <c r="N266" i="6"/>
  <c r="G266" i="6"/>
  <c r="H266" i="6"/>
  <c r="J266" i="6" s="1"/>
  <c r="Q266" i="9" s="1"/>
  <c r="R266" i="9" s="1"/>
  <c r="S266" i="9" s="1"/>
  <c r="I266" i="6"/>
  <c r="P265" i="6"/>
  <c r="N265" i="6"/>
  <c r="I265" i="6"/>
  <c r="H265" i="6"/>
  <c r="J265" i="6" s="1"/>
  <c r="Q265" i="9" s="1"/>
  <c r="R265" i="9" s="1"/>
  <c r="S265" i="9" s="1"/>
  <c r="G265" i="6"/>
  <c r="K265" i="6" s="1"/>
  <c r="P264" i="6"/>
  <c r="N264" i="6"/>
  <c r="H264" i="6"/>
  <c r="J264" i="6" s="1"/>
  <c r="Q264" i="9" s="1"/>
  <c r="R264" i="9" s="1"/>
  <c r="S264" i="9" s="1"/>
  <c r="G264" i="6"/>
  <c r="I264" i="6"/>
  <c r="P263" i="6"/>
  <c r="N263" i="6"/>
  <c r="H263" i="6"/>
  <c r="J263" i="6" s="1"/>
  <c r="Q263" i="9" s="1"/>
  <c r="R263" i="9" s="1"/>
  <c r="S263" i="9" s="1"/>
  <c r="I263" i="6"/>
  <c r="G263" i="6"/>
  <c r="K263" i="6" s="1"/>
  <c r="N262" i="6"/>
  <c r="P262" i="6"/>
  <c r="G262" i="6"/>
  <c r="H262" i="6"/>
  <c r="J262" i="6" s="1"/>
  <c r="Q262" i="9" s="1"/>
  <c r="R262" i="9" s="1"/>
  <c r="I262" i="6"/>
  <c r="P261" i="6"/>
  <c r="N261" i="6"/>
  <c r="G261" i="6"/>
  <c r="H261" i="6"/>
  <c r="J261" i="6" s="1"/>
  <c r="Q261" i="9" s="1"/>
  <c r="R261" i="9" s="1"/>
  <c r="S261" i="9" s="1"/>
  <c r="I261" i="6"/>
  <c r="P260" i="6"/>
  <c r="N260" i="6"/>
  <c r="G260" i="6"/>
  <c r="H260" i="6"/>
  <c r="J260" i="6" s="1"/>
  <c r="Q260" i="9" s="1"/>
  <c r="R260" i="9" s="1"/>
  <c r="S260" i="9" s="1"/>
  <c r="I260" i="6"/>
  <c r="P259" i="6"/>
  <c r="N259" i="6"/>
  <c r="G259" i="6"/>
  <c r="H259" i="6"/>
  <c r="J259" i="6" s="1"/>
  <c r="Q259" i="9" s="1"/>
  <c r="R259" i="9" s="1"/>
  <c r="S259" i="9" s="1"/>
  <c r="I259" i="6"/>
  <c r="P258" i="6"/>
  <c r="N258" i="6"/>
  <c r="H258" i="6"/>
  <c r="J258" i="6" s="1"/>
  <c r="Q258" i="9" s="1"/>
  <c r="R258" i="9" s="1"/>
  <c r="S258" i="9" s="1"/>
  <c r="I258" i="6"/>
  <c r="G258" i="6"/>
  <c r="K258" i="6" s="1"/>
  <c r="N257" i="6"/>
  <c r="P257" i="6"/>
  <c r="I257" i="6"/>
  <c r="G257" i="6"/>
  <c r="K257" i="6" s="1"/>
  <c r="H257" i="6"/>
  <c r="J257" i="6" s="1"/>
  <c r="Q257" i="9" s="1"/>
  <c r="R257" i="9" s="1"/>
  <c r="S257" i="9" s="1"/>
  <c r="N256" i="6"/>
  <c r="P256" i="6"/>
  <c r="H256" i="6"/>
  <c r="J256" i="6" s="1"/>
  <c r="Q256" i="9" s="1"/>
  <c r="R256" i="9" s="1"/>
  <c r="S256" i="9" s="1"/>
  <c r="I256" i="6"/>
  <c r="G256" i="6"/>
  <c r="K256" i="6" s="1"/>
  <c r="N255" i="6"/>
  <c r="P255" i="6"/>
  <c r="H255" i="6"/>
  <c r="J255" i="6" s="1"/>
  <c r="Q255" i="9" s="1"/>
  <c r="R255" i="9" s="1"/>
  <c r="S255" i="9" s="1"/>
  <c r="G255" i="6"/>
  <c r="I255" i="6"/>
  <c r="P254" i="6"/>
  <c r="N254" i="6"/>
  <c r="H254" i="6"/>
  <c r="J254" i="6" s="1"/>
  <c r="Q254" i="9" s="1"/>
  <c r="R254" i="9" s="1"/>
  <c r="G254" i="6"/>
  <c r="I254" i="6"/>
  <c r="N253" i="6"/>
  <c r="P253" i="6"/>
  <c r="I253" i="6"/>
  <c r="H253" i="6"/>
  <c r="J253" i="6" s="1"/>
  <c r="Q253" i="9" s="1"/>
  <c r="R253" i="9" s="1"/>
  <c r="S253" i="9" s="1"/>
  <c r="G253" i="6"/>
  <c r="K253" i="6" s="1"/>
  <c r="N252" i="6"/>
  <c r="P252" i="6"/>
  <c r="I252" i="6"/>
  <c r="H252" i="6"/>
  <c r="J252" i="6" s="1"/>
  <c r="Q252" i="9" s="1"/>
  <c r="R252" i="9" s="1"/>
  <c r="G252" i="6"/>
  <c r="K252" i="6" s="1"/>
  <c r="N251" i="6"/>
  <c r="P251" i="6"/>
  <c r="G251" i="6"/>
  <c r="I251" i="6"/>
  <c r="H251" i="6"/>
  <c r="J251" i="6" s="1"/>
  <c r="Q251" i="9" s="1"/>
  <c r="R251" i="9" s="1"/>
  <c r="S251" i="9" s="1"/>
  <c r="P250" i="6"/>
  <c r="N250" i="6"/>
  <c r="G250" i="6"/>
  <c r="H250" i="6"/>
  <c r="J250" i="6" s="1"/>
  <c r="Q250" i="9" s="1"/>
  <c r="R250" i="9" s="1"/>
  <c r="S250" i="9" s="1"/>
  <c r="I250" i="6"/>
  <c r="G248" i="6"/>
  <c r="H248" i="6"/>
  <c r="J248" i="6" s="1"/>
  <c r="Q248" i="9" s="1"/>
  <c r="R248" i="9" s="1"/>
  <c r="I248" i="6"/>
  <c r="I247" i="6"/>
  <c r="H247" i="6"/>
  <c r="J247" i="6" s="1"/>
  <c r="Q247" i="9" s="1"/>
  <c r="R247" i="9" s="1"/>
  <c r="G247" i="6"/>
  <c r="K247" i="6" s="1"/>
  <c r="I246" i="6"/>
  <c r="H246" i="6"/>
  <c r="J246" i="6" s="1"/>
  <c r="Q246" i="9" s="1"/>
  <c r="R246" i="9" s="1"/>
  <c r="G246" i="6"/>
  <c r="K246" i="6" s="1"/>
  <c r="H245" i="6"/>
  <c r="J245" i="6" s="1"/>
  <c r="Q245" i="9" s="1"/>
  <c r="R245" i="9" s="1"/>
  <c r="G245" i="6"/>
  <c r="I245" i="6"/>
  <c r="I244" i="6"/>
  <c r="H244" i="6"/>
  <c r="J244" i="6" s="1"/>
  <c r="Q244" i="9" s="1"/>
  <c r="R244" i="9" s="1"/>
  <c r="G244" i="6"/>
  <c r="K244" i="6" s="1"/>
  <c r="G243" i="6"/>
  <c r="I243" i="6"/>
  <c r="H243" i="6"/>
  <c r="J243" i="6" s="1"/>
  <c r="Q243" i="9" s="1"/>
  <c r="R243" i="9" s="1"/>
  <c r="G242" i="6"/>
  <c r="I242" i="6"/>
  <c r="H242" i="6"/>
  <c r="J242" i="6" s="1"/>
  <c r="Q242" i="9" s="1"/>
  <c r="R242" i="9" s="1"/>
  <c r="I241" i="6"/>
  <c r="G241" i="6"/>
  <c r="K241" i="6" s="1"/>
  <c r="H241" i="6"/>
  <c r="J241" i="6" s="1"/>
  <c r="Q241" i="9" s="1"/>
  <c r="R241" i="9" s="1"/>
  <c r="I240" i="6"/>
  <c r="H240" i="6"/>
  <c r="J240" i="6" s="1"/>
  <c r="Q240" i="9" s="1"/>
  <c r="R240" i="9" s="1"/>
  <c r="G240" i="6"/>
  <c r="K240" i="6" s="1"/>
  <c r="I239" i="6"/>
  <c r="H239" i="6"/>
  <c r="J239" i="6" s="1"/>
  <c r="Q239" i="9" s="1"/>
  <c r="R239" i="9" s="1"/>
  <c r="G239" i="6"/>
  <c r="G238" i="6"/>
  <c r="H238" i="6"/>
  <c r="J238" i="6" s="1"/>
  <c r="Q238" i="9" s="1"/>
  <c r="R238" i="9" s="1"/>
  <c r="I238" i="6"/>
  <c r="G237" i="6"/>
  <c r="H237" i="6"/>
  <c r="J237" i="6" s="1"/>
  <c r="Q237" i="9" s="1"/>
  <c r="R237" i="9" s="1"/>
  <c r="I237" i="6"/>
  <c r="I236" i="6"/>
  <c r="H236" i="6"/>
  <c r="J236" i="6" s="1"/>
  <c r="Q236" i="9" s="1"/>
  <c r="R236" i="9" s="1"/>
  <c r="G236" i="6"/>
  <c r="K236" i="6" s="1"/>
  <c r="I235" i="6"/>
  <c r="H235" i="6"/>
  <c r="J235" i="6" s="1"/>
  <c r="Q235" i="9" s="1"/>
  <c r="R235" i="9" s="1"/>
  <c r="G235" i="6"/>
  <c r="K235" i="6" s="1"/>
  <c r="G234" i="6"/>
  <c r="H234" i="6"/>
  <c r="J234" i="6" s="1"/>
  <c r="Q234" i="9" s="1"/>
  <c r="R234" i="9" s="1"/>
  <c r="I234" i="6"/>
  <c r="G233" i="6"/>
  <c r="I233" i="6"/>
  <c r="H233" i="6"/>
  <c r="J233" i="6" s="1"/>
  <c r="Q233" i="9" s="1"/>
  <c r="R233" i="9" s="1"/>
  <c r="H232" i="6"/>
  <c r="J232" i="6" s="1"/>
  <c r="Q232" i="9" s="1"/>
  <c r="R232" i="9" s="1"/>
  <c r="I232" i="6"/>
  <c r="G232" i="6"/>
  <c r="K232" i="6" s="1"/>
  <c r="H231" i="6"/>
  <c r="J231" i="6" s="1"/>
  <c r="Q231" i="9" s="1"/>
  <c r="R231" i="9" s="1"/>
  <c r="I231" i="6"/>
  <c r="G231" i="6"/>
  <c r="K231" i="6" s="1"/>
  <c r="I230" i="6"/>
  <c r="G230" i="6"/>
  <c r="K230" i="6" s="1"/>
  <c r="H230" i="6"/>
  <c r="J230" i="6" s="1"/>
  <c r="Q230" i="9" s="1"/>
  <c r="R230" i="9" s="1"/>
  <c r="G229" i="6"/>
  <c r="I229" i="6"/>
  <c r="H229" i="6"/>
  <c r="J229" i="6" s="1"/>
  <c r="Q229" i="9" s="1"/>
  <c r="R229" i="9" s="1"/>
  <c r="G228" i="6"/>
  <c r="H228" i="6"/>
  <c r="J228" i="6" s="1"/>
  <c r="Q228" i="9" s="1"/>
  <c r="R228" i="9" s="1"/>
  <c r="I228" i="6"/>
  <c r="I227" i="6"/>
  <c r="G227" i="6"/>
  <c r="K227" i="6" s="1"/>
  <c r="H227" i="6"/>
  <c r="J227" i="6" s="1"/>
  <c r="Q227" i="9" s="1"/>
  <c r="R227" i="9" s="1"/>
  <c r="I226" i="6"/>
  <c r="H226" i="6"/>
  <c r="J226" i="6" s="1"/>
  <c r="Q226" i="9" s="1"/>
  <c r="R226" i="9" s="1"/>
  <c r="G226" i="6"/>
  <c r="K226" i="6" s="1"/>
  <c r="I225" i="6"/>
  <c r="H225" i="6"/>
  <c r="J225" i="6" s="1"/>
  <c r="Q225" i="9" s="1"/>
  <c r="R225" i="9" s="1"/>
  <c r="G225" i="6"/>
  <c r="K225" i="6" s="1"/>
  <c r="I224" i="6"/>
  <c r="H224" i="6"/>
  <c r="J224" i="6" s="1"/>
  <c r="Q224" i="9" s="1"/>
  <c r="R224" i="9" s="1"/>
  <c r="G224" i="6"/>
  <c r="K224" i="6" s="1"/>
  <c r="G223" i="6"/>
  <c r="I223" i="6"/>
  <c r="H223" i="6"/>
  <c r="J223" i="6" s="1"/>
  <c r="Q223" i="9" s="1"/>
  <c r="R223" i="9" s="1"/>
  <c r="I222" i="6"/>
  <c r="H222" i="6"/>
  <c r="J222" i="6" s="1"/>
  <c r="Q222" i="9" s="1"/>
  <c r="R222" i="9" s="1"/>
  <c r="G222" i="6"/>
  <c r="K222" i="6" s="1"/>
  <c r="G221" i="6"/>
  <c r="H221" i="6"/>
  <c r="J221" i="6" s="1"/>
  <c r="Q221" i="9" s="1"/>
  <c r="R221" i="9" s="1"/>
  <c r="I221" i="6"/>
  <c r="H220" i="6"/>
  <c r="J220" i="6" s="1"/>
  <c r="Q220" i="9" s="1"/>
  <c r="R220" i="9" s="1"/>
  <c r="I220" i="6"/>
  <c r="G220" i="6"/>
  <c r="K220" i="6" s="1"/>
  <c r="I219" i="6"/>
  <c r="G219" i="6"/>
  <c r="K219" i="6" s="1"/>
  <c r="H219" i="6"/>
  <c r="J219" i="6" s="1"/>
  <c r="Q219" i="9" s="1"/>
  <c r="R219" i="9" s="1"/>
  <c r="I218" i="6"/>
  <c r="G218" i="6"/>
  <c r="K218" i="6" s="1"/>
  <c r="H218" i="6"/>
  <c r="J218" i="6" s="1"/>
  <c r="Q218" i="9" s="1"/>
  <c r="R218" i="9" s="1"/>
  <c r="I217" i="6"/>
  <c r="H217" i="6"/>
  <c r="J217" i="6" s="1"/>
  <c r="Q217" i="9" s="1"/>
  <c r="R217" i="9" s="1"/>
  <c r="G217" i="6"/>
  <c r="K217" i="6" s="1"/>
  <c r="I216" i="6"/>
  <c r="H216" i="6"/>
  <c r="J216" i="6" s="1"/>
  <c r="Q216" i="9" s="1"/>
  <c r="R216" i="9" s="1"/>
  <c r="G216" i="6"/>
  <c r="K216" i="6" s="1"/>
  <c r="H215" i="6"/>
  <c r="J215" i="6" s="1"/>
  <c r="Q215" i="9" s="1"/>
  <c r="R215" i="9" s="1"/>
  <c r="G215" i="6"/>
  <c r="I215" i="6"/>
  <c r="G214" i="6"/>
  <c r="H214" i="6"/>
  <c r="J214" i="6" s="1"/>
  <c r="Q214" i="9" s="1"/>
  <c r="R214" i="9" s="1"/>
  <c r="I214" i="6"/>
  <c r="H213" i="6"/>
  <c r="J213" i="6" s="1"/>
  <c r="Q213" i="9" s="1"/>
  <c r="R213" i="9" s="1"/>
  <c r="I213" i="6"/>
  <c r="G213" i="6"/>
  <c r="K213" i="6" s="1"/>
  <c r="G212" i="6"/>
  <c r="I212" i="6"/>
  <c r="H212" i="6"/>
  <c r="J212" i="6" s="1"/>
  <c r="Q212" i="9" s="1"/>
  <c r="R212" i="9" s="1"/>
  <c r="I211" i="6"/>
  <c r="H211" i="6"/>
  <c r="J211" i="6" s="1"/>
  <c r="Q211" i="9" s="1"/>
  <c r="R211" i="9" s="1"/>
  <c r="G211" i="6"/>
  <c r="K211" i="6" s="1"/>
  <c r="I210" i="6"/>
  <c r="H210" i="6"/>
  <c r="J210" i="6" s="1"/>
  <c r="Q210" i="9" s="1"/>
  <c r="R210" i="9" s="1"/>
  <c r="G210" i="6"/>
  <c r="K210" i="6" s="1"/>
  <c r="I209" i="6"/>
  <c r="G209" i="6"/>
  <c r="K209" i="6" s="1"/>
  <c r="H209" i="6"/>
  <c r="J209" i="6" s="1"/>
  <c r="Q209" i="9" s="1"/>
  <c r="R209" i="9" s="1"/>
  <c r="I208" i="6"/>
  <c r="G208" i="6"/>
  <c r="K208" i="6" s="1"/>
  <c r="H208" i="6"/>
  <c r="J208" i="6" s="1"/>
  <c r="Q208" i="9" s="1"/>
  <c r="R208" i="9" s="1"/>
  <c r="G207" i="6"/>
  <c r="H207" i="6"/>
  <c r="J207" i="6" s="1"/>
  <c r="Q207" i="9" s="1"/>
  <c r="R207" i="9" s="1"/>
  <c r="I207" i="6"/>
  <c r="H206" i="6"/>
  <c r="J206" i="6" s="1"/>
  <c r="Q206" i="9" s="1"/>
  <c r="R206" i="9" s="1"/>
  <c r="G206" i="6"/>
  <c r="I206" i="6"/>
  <c r="I205" i="6"/>
  <c r="H205" i="6"/>
  <c r="J205" i="6" s="1"/>
  <c r="Q205" i="9" s="1"/>
  <c r="R205" i="9" s="1"/>
  <c r="G205" i="6"/>
  <c r="K205" i="6" s="1"/>
  <c r="I204" i="6"/>
  <c r="H204" i="6"/>
  <c r="J204" i="6" s="1"/>
  <c r="Q204" i="9" s="1"/>
  <c r="R204" i="9" s="1"/>
  <c r="G204" i="6"/>
  <c r="K204" i="6" s="1"/>
  <c r="I203" i="6"/>
  <c r="H203" i="6"/>
  <c r="J203" i="6" s="1"/>
  <c r="Q203" i="9" s="1"/>
  <c r="R203" i="9" s="1"/>
  <c r="G203" i="6"/>
  <c r="K203" i="6" s="1"/>
  <c r="H202" i="6"/>
  <c r="J202" i="6" s="1"/>
  <c r="Q202" i="9" s="1"/>
  <c r="R202" i="9" s="1"/>
  <c r="G202" i="6"/>
  <c r="I202" i="6"/>
  <c r="I201" i="6"/>
  <c r="G201" i="6"/>
  <c r="K201" i="6" s="1"/>
  <c r="H201" i="6"/>
  <c r="J201" i="6" s="1"/>
  <c r="Q201" i="9" s="1"/>
  <c r="R201" i="9" s="1"/>
  <c r="I200" i="6"/>
  <c r="H200" i="6"/>
  <c r="J200" i="6" s="1"/>
  <c r="Q200" i="9" s="1"/>
  <c r="R200" i="9" s="1"/>
  <c r="G200" i="6"/>
  <c r="K200" i="6" s="1"/>
  <c r="H199" i="6"/>
  <c r="J199" i="6" s="1"/>
  <c r="Q199" i="9" s="1"/>
  <c r="R199" i="9" s="1"/>
  <c r="G199" i="6"/>
  <c r="I199" i="6"/>
  <c r="I198" i="6"/>
  <c r="H198" i="6"/>
  <c r="J198" i="6" s="1"/>
  <c r="Q198" i="9" s="1"/>
  <c r="R198" i="9" s="1"/>
  <c r="G198" i="6"/>
  <c r="K198" i="6" s="1"/>
  <c r="I197" i="6"/>
  <c r="H197" i="6"/>
  <c r="J197" i="6" s="1"/>
  <c r="Q197" i="9" s="1"/>
  <c r="R197" i="9" s="1"/>
  <c r="G197" i="6"/>
  <c r="K197" i="6" s="1"/>
  <c r="G196" i="6"/>
  <c r="H196" i="6"/>
  <c r="J196" i="6" s="1"/>
  <c r="Q196" i="9" s="1"/>
  <c r="R196" i="9" s="1"/>
  <c r="I196" i="6"/>
  <c r="G195" i="6"/>
  <c r="H195" i="6"/>
  <c r="J195" i="6" s="1"/>
  <c r="Q195" i="9" s="1"/>
  <c r="R195" i="9" s="1"/>
  <c r="I195" i="6"/>
  <c r="I194" i="6"/>
  <c r="G194" i="6"/>
  <c r="K194" i="6" s="1"/>
  <c r="H194" i="6"/>
  <c r="J194" i="6" s="1"/>
  <c r="Q194" i="9" s="1"/>
  <c r="R194" i="9" s="1"/>
  <c r="I193" i="6"/>
  <c r="H193" i="6"/>
  <c r="J193" i="6" s="1"/>
  <c r="Q193" i="9" s="1"/>
  <c r="R193" i="9" s="1"/>
  <c r="G193" i="6"/>
  <c r="K193" i="6" s="1"/>
  <c r="I192" i="6"/>
  <c r="H192" i="6"/>
  <c r="J192" i="6" s="1"/>
  <c r="Q192" i="9" s="1"/>
  <c r="R192" i="9" s="1"/>
  <c r="G192" i="6"/>
  <c r="K192" i="6" s="1"/>
  <c r="I191" i="6"/>
  <c r="H191" i="6"/>
  <c r="J191" i="6" s="1"/>
  <c r="Q191" i="9" s="1"/>
  <c r="R191" i="9" s="1"/>
  <c r="G191" i="6"/>
  <c r="K191" i="6" s="1"/>
  <c r="I190" i="6"/>
  <c r="G190" i="6"/>
  <c r="K190" i="6" s="1"/>
  <c r="H190" i="6"/>
  <c r="J190" i="6" s="1"/>
  <c r="Q190" i="9" s="1"/>
  <c r="R190" i="9" s="1"/>
  <c r="I189" i="6"/>
  <c r="G189" i="6"/>
  <c r="K189" i="6" s="1"/>
  <c r="H189" i="6"/>
  <c r="J189" i="6" s="1"/>
  <c r="Q189" i="9" s="1"/>
  <c r="R189" i="9" s="1"/>
  <c r="H188" i="6"/>
  <c r="J188" i="6" s="1"/>
  <c r="Q188" i="9" s="1"/>
  <c r="R188" i="9" s="1"/>
  <c r="G188" i="6"/>
  <c r="I188" i="6"/>
  <c r="G187" i="6"/>
  <c r="I187" i="6"/>
  <c r="H187" i="6"/>
  <c r="J187" i="6" s="1"/>
  <c r="Q187" i="9" s="1"/>
  <c r="R187" i="9" s="1"/>
  <c r="G186" i="6"/>
  <c r="I186" i="6"/>
  <c r="H186" i="6"/>
  <c r="J186" i="6" s="1"/>
  <c r="Q186" i="9" s="1"/>
  <c r="R186" i="9" s="1"/>
  <c r="I185" i="6"/>
  <c r="H185" i="6"/>
  <c r="J185" i="6" s="1"/>
  <c r="Q185" i="9" s="1"/>
  <c r="R185" i="9" s="1"/>
  <c r="G185" i="6"/>
  <c r="K185" i="6" s="1"/>
  <c r="I184" i="6"/>
  <c r="H184" i="6"/>
  <c r="J184" i="6" s="1"/>
  <c r="Q184" i="9" s="1"/>
  <c r="R184" i="9" s="1"/>
  <c r="G184" i="6"/>
  <c r="K184" i="6" s="1"/>
  <c r="H183" i="6"/>
  <c r="J183" i="6" s="1"/>
  <c r="Q183" i="9" s="1"/>
  <c r="R183" i="9" s="1"/>
  <c r="G183" i="6"/>
  <c r="I183" i="6"/>
  <c r="I182" i="6"/>
  <c r="H182" i="6"/>
  <c r="J182" i="6" s="1"/>
  <c r="Q182" i="9" s="1"/>
  <c r="R182" i="9" s="1"/>
  <c r="G182" i="6"/>
  <c r="K182" i="6" s="1"/>
  <c r="I181" i="6"/>
  <c r="H181" i="6"/>
  <c r="J181" i="6" s="1"/>
  <c r="Q181" i="9" s="1"/>
  <c r="R181" i="9" s="1"/>
  <c r="G181" i="6"/>
  <c r="K181" i="6" s="1"/>
  <c r="G180" i="6"/>
  <c r="H180" i="6"/>
  <c r="J180" i="6" s="1"/>
  <c r="Q180" i="9" s="1"/>
  <c r="R180" i="9" s="1"/>
  <c r="I180" i="6"/>
  <c r="I179" i="6"/>
  <c r="H179" i="6"/>
  <c r="J179" i="6" s="1"/>
  <c r="Q179" i="9" s="1"/>
  <c r="R179" i="9" s="1"/>
  <c r="G179" i="6"/>
  <c r="K179" i="6" s="1"/>
  <c r="I178" i="6"/>
  <c r="H178" i="6"/>
  <c r="J178" i="6" s="1"/>
  <c r="Q178" i="9" s="1"/>
  <c r="R178" i="9" s="1"/>
  <c r="G178" i="6"/>
  <c r="K178" i="6" s="1"/>
  <c r="I177" i="6"/>
  <c r="H177" i="6"/>
  <c r="J177" i="6" s="1"/>
  <c r="Q177" i="9" s="1"/>
  <c r="R177" i="9" s="1"/>
  <c r="G177" i="6"/>
  <c r="K177" i="6" s="1"/>
  <c r="H176" i="6"/>
  <c r="J176" i="6" s="1"/>
  <c r="Q176" i="9" s="1"/>
  <c r="R176" i="9" s="1"/>
  <c r="G176" i="6"/>
  <c r="I176" i="6"/>
  <c r="H175" i="6"/>
  <c r="J175" i="6" s="1"/>
  <c r="Q175" i="9" s="1"/>
  <c r="R175" i="9" s="1"/>
  <c r="I175" i="6"/>
  <c r="G175" i="6"/>
  <c r="K175" i="6" s="1"/>
  <c r="G174" i="6"/>
  <c r="H174" i="6"/>
  <c r="J174" i="6" s="1"/>
  <c r="Q174" i="9" s="1"/>
  <c r="R174" i="9" s="1"/>
  <c r="I174" i="6"/>
  <c r="H173" i="6"/>
  <c r="J173" i="6" s="1"/>
  <c r="Q173" i="9" s="1"/>
  <c r="R173" i="9" s="1"/>
  <c r="I173" i="6"/>
  <c r="G173" i="6"/>
  <c r="K173" i="6" s="1"/>
  <c r="I172" i="6"/>
  <c r="H172" i="6"/>
  <c r="J172" i="6" s="1"/>
  <c r="Q172" i="9" s="1"/>
  <c r="R172" i="9" s="1"/>
  <c r="G172" i="6"/>
  <c r="K172" i="6" s="1"/>
  <c r="G171" i="6"/>
  <c r="I171" i="6"/>
  <c r="H171" i="6"/>
  <c r="J171" i="6" s="1"/>
  <c r="Q171" i="9" s="1"/>
  <c r="R171" i="9" s="1"/>
  <c r="I170" i="6"/>
  <c r="H170" i="6"/>
  <c r="J170" i="6" s="1"/>
  <c r="Q170" i="9" s="1"/>
  <c r="R170" i="9" s="1"/>
  <c r="G170" i="6"/>
  <c r="K170" i="6" s="1"/>
  <c r="G169" i="6"/>
  <c r="H169" i="6"/>
  <c r="J169" i="6" s="1"/>
  <c r="Q169" i="9" s="1"/>
  <c r="R169" i="9" s="1"/>
  <c r="I169" i="6"/>
  <c r="I168" i="6"/>
  <c r="H168" i="6"/>
  <c r="J168" i="6" s="1"/>
  <c r="Q168" i="9" s="1"/>
  <c r="R168" i="9" s="1"/>
  <c r="G168" i="6"/>
  <c r="K168" i="6" s="1"/>
  <c r="I167" i="6"/>
  <c r="H167" i="6"/>
  <c r="J167" i="6" s="1"/>
  <c r="Q167" i="9" s="1"/>
  <c r="R167" i="9" s="1"/>
  <c r="G167" i="6"/>
  <c r="K167" i="6" s="1"/>
  <c r="G166" i="6"/>
  <c r="I166" i="6"/>
  <c r="H166" i="6"/>
  <c r="J166" i="6" s="1"/>
  <c r="Q166" i="9" s="1"/>
  <c r="R166" i="9" s="1"/>
  <c r="I165" i="6"/>
  <c r="H165" i="6"/>
  <c r="J165" i="6" s="1"/>
  <c r="Q165" i="9" s="1"/>
  <c r="R165" i="9" s="1"/>
  <c r="G165" i="6"/>
  <c r="K165" i="6" s="1"/>
  <c r="G164" i="6"/>
  <c r="I164" i="6"/>
  <c r="H164" i="6"/>
  <c r="J164" i="6" s="1"/>
  <c r="Q164" i="9" s="1"/>
  <c r="R164" i="9" s="1"/>
  <c r="G163" i="6"/>
  <c r="H163" i="6"/>
  <c r="J163" i="6" s="1"/>
  <c r="Q163" i="9" s="1"/>
  <c r="R163" i="9" s="1"/>
  <c r="I163" i="6"/>
  <c r="I162" i="6"/>
  <c r="H162" i="6"/>
  <c r="J162" i="6" s="1"/>
  <c r="Q162" i="9" s="1"/>
  <c r="R162" i="9" s="1"/>
  <c r="G162" i="6"/>
  <c r="K162" i="6" s="1"/>
  <c r="G161" i="6"/>
  <c r="K161" i="6" s="1"/>
  <c r="H161" i="6"/>
  <c r="J161" i="6" s="1"/>
  <c r="Q161" i="9" s="1"/>
  <c r="R161" i="9" s="1"/>
  <c r="I161" i="6"/>
  <c r="I160" i="6"/>
  <c r="H160" i="6"/>
  <c r="J160" i="6" s="1"/>
  <c r="Q160" i="9" s="1"/>
  <c r="R160" i="9" s="1"/>
  <c r="G160" i="6"/>
  <c r="K160" i="6" s="1"/>
  <c r="G159" i="6"/>
  <c r="H159" i="6"/>
  <c r="J159" i="6" s="1"/>
  <c r="Q159" i="9" s="1"/>
  <c r="R159" i="9" s="1"/>
  <c r="I159" i="6"/>
  <c r="G158" i="6"/>
  <c r="H158" i="6"/>
  <c r="J158" i="6" s="1"/>
  <c r="Q158" i="9" s="1"/>
  <c r="R158" i="9" s="1"/>
  <c r="I158" i="6"/>
  <c r="H157" i="6"/>
  <c r="J157" i="6" s="1"/>
  <c r="Q157" i="9" s="1"/>
  <c r="R157" i="9" s="1"/>
  <c r="G157" i="6"/>
  <c r="I157" i="6"/>
  <c r="I156" i="6"/>
  <c r="H156" i="6"/>
  <c r="J156" i="6" s="1"/>
  <c r="Q156" i="9" s="1"/>
  <c r="R156" i="9" s="1"/>
  <c r="G156" i="6"/>
  <c r="K156" i="6" s="1"/>
  <c r="G155" i="6"/>
  <c r="I155" i="6"/>
  <c r="H155" i="6"/>
  <c r="J155" i="6" s="1"/>
  <c r="Q155" i="9" s="1"/>
  <c r="R155" i="9" s="1"/>
  <c r="H154" i="6"/>
  <c r="J154" i="6" s="1"/>
  <c r="Q154" i="9" s="1"/>
  <c r="R154" i="9" s="1"/>
  <c r="G154" i="6"/>
  <c r="I154" i="6"/>
  <c r="H153" i="6"/>
  <c r="J153" i="6" s="1"/>
  <c r="Q153" i="9" s="1"/>
  <c r="R153" i="9" s="1"/>
  <c r="I153" i="6"/>
  <c r="G153" i="6"/>
  <c r="K153" i="6" s="1"/>
  <c r="H152" i="6"/>
  <c r="J152" i="6" s="1"/>
  <c r="Q152" i="9" s="1"/>
  <c r="R152" i="9" s="1"/>
  <c r="I152" i="6"/>
  <c r="G152" i="6"/>
  <c r="K152" i="6" s="1"/>
  <c r="H151" i="6"/>
  <c r="J151" i="6" s="1"/>
  <c r="Q151" i="9" s="1"/>
  <c r="R151" i="9" s="1"/>
  <c r="G151" i="6"/>
  <c r="K151" i="6" s="1"/>
  <c r="I151" i="6"/>
  <c r="H150" i="6"/>
  <c r="J150" i="6" s="1"/>
  <c r="Q150" i="9" s="1"/>
  <c r="R150" i="9" s="1"/>
  <c r="I150" i="6"/>
  <c r="G150" i="6"/>
  <c r="K150" i="6" s="1"/>
  <c r="G149" i="6"/>
  <c r="H149" i="6"/>
  <c r="J149" i="6" s="1"/>
  <c r="Q149" i="9" s="1"/>
  <c r="R149" i="9" s="1"/>
  <c r="I149" i="6"/>
  <c r="H148" i="6"/>
  <c r="J148" i="6" s="1"/>
  <c r="Q148" i="9" s="1"/>
  <c r="R148" i="9" s="1"/>
  <c r="I148" i="6"/>
  <c r="G148" i="6"/>
  <c r="K148" i="6" s="1"/>
  <c r="I147" i="6"/>
  <c r="H147" i="6"/>
  <c r="J147" i="6" s="1"/>
  <c r="Q147" i="9" s="1"/>
  <c r="R147" i="9" s="1"/>
  <c r="G147" i="6"/>
  <c r="K147" i="6" s="1"/>
  <c r="H146" i="6"/>
  <c r="J146" i="6" s="1"/>
  <c r="Q146" i="9" s="1"/>
  <c r="R146" i="9" s="1"/>
  <c r="G146" i="6"/>
  <c r="I146" i="6"/>
  <c r="H145" i="6"/>
  <c r="J145" i="6" s="1"/>
  <c r="Q145" i="9" s="1"/>
  <c r="R145" i="9" s="1"/>
  <c r="G145" i="6"/>
  <c r="I145" i="6"/>
  <c r="G144" i="6"/>
  <c r="H144" i="6"/>
  <c r="J144" i="6" s="1"/>
  <c r="Q144" i="9" s="1"/>
  <c r="R144" i="9" s="1"/>
  <c r="I144" i="6"/>
  <c r="I143" i="6"/>
  <c r="G143" i="6"/>
  <c r="K143" i="6" s="1"/>
  <c r="H143" i="6"/>
  <c r="J143" i="6" s="1"/>
  <c r="Q143" i="9" s="1"/>
  <c r="R143" i="9" s="1"/>
  <c r="G142" i="6"/>
  <c r="H142" i="6"/>
  <c r="J142" i="6" s="1"/>
  <c r="Q142" i="9" s="1"/>
  <c r="R142" i="9" s="1"/>
  <c r="I142" i="6"/>
  <c r="G141" i="6"/>
  <c r="H141" i="6"/>
  <c r="J141" i="6" s="1"/>
  <c r="Q141" i="9" s="1"/>
  <c r="R141" i="9" s="1"/>
  <c r="I141" i="6"/>
  <c r="I140" i="6"/>
  <c r="H140" i="6"/>
  <c r="J140" i="6" s="1"/>
  <c r="Q140" i="9" s="1"/>
  <c r="R140" i="9" s="1"/>
  <c r="G140" i="6"/>
  <c r="K140" i="6" s="1"/>
  <c r="I139" i="6"/>
  <c r="H139" i="6"/>
  <c r="J139" i="6" s="1"/>
  <c r="Q139" i="9" s="1"/>
  <c r="R139" i="9" s="1"/>
  <c r="G139" i="6"/>
  <c r="K139" i="6" s="1"/>
  <c r="I138" i="6"/>
  <c r="H138" i="6"/>
  <c r="J138" i="6" s="1"/>
  <c r="Q138" i="9" s="1"/>
  <c r="R138" i="9" s="1"/>
  <c r="G138" i="6"/>
  <c r="K138" i="6" s="1"/>
  <c r="I137" i="6"/>
  <c r="G137" i="6"/>
  <c r="K137" i="6" s="1"/>
  <c r="H137" i="6"/>
  <c r="J137" i="6" s="1"/>
  <c r="Q137" i="9" s="1"/>
  <c r="R137" i="9" s="1"/>
  <c r="G136" i="6"/>
  <c r="I136" i="6"/>
  <c r="H136" i="6"/>
  <c r="J136" i="6" s="1"/>
  <c r="Q136" i="9" s="1"/>
  <c r="R136" i="9" s="1"/>
  <c r="G135" i="6"/>
  <c r="I135" i="6"/>
  <c r="H135" i="6"/>
  <c r="J135" i="6" s="1"/>
  <c r="Q135" i="9" s="1"/>
  <c r="R135" i="9" s="1"/>
  <c r="H134" i="6"/>
  <c r="J134" i="6" s="1"/>
  <c r="Q134" i="9" s="1"/>
  <c r="R134" i="9" s="1"/>
  <c r="I134" i="6"/>
  <c r="G134" i="6"/>
  <c r="K134" i="6" s="1"/>
  <c r="G133" i="6"/>
  <c r="H133" i="6"/>
  <c r="J133" i="6" s="1"/>
  <c r="Q133" i="9" s="1"/>
  <c r="R133" i="9" s="1"/>
  <c r="I133" i="6"/>
  <c r="I132" i="6"/>
  <c r="H132" i="6"/>
  <c r="J132" i="6" s="1"/>
  <c r="Q132" i="9" s="1"/>
  <c r="R132" i="9" s="1"/>
  <c r="G132" i="6"/>
  <c r="K132" i="6" s="1"/>
  <c r="H131" i="6"/>
  <c r="J131" i="6" s="1"/>
  <c r="Q131" i="9" s="1"/>
  <c r="R131" i="9" s="1"/>
  <c r="G131" i="6"/>
  <c r="I131" i="6"/>
  <c r="I130" i="6"/>
  <c r="G130" i="6"/>
  <c r="K130" i="6" s="1"/>
  <c r="H130" i="6"/>
  <c r="J130" i="6" s="1"/>
  <c r="Q130" i="9" s="1"/>
  <c r="R130" i="9" s="1"/>
  <c r="I129" i="6"/>
  <c r="H129" i="6"/>
  <c r="J129" i="6" s="1"/>
  <c r="Q129" i="9" s="1"/>
  <c r="R129" i="9" s="1"/>
  <c r="G129" i="6"/>
  <c r="K129" i="6" s="1"/>
  <c r="H128" i="6"/>
  <c r="J128" i="6" s="1"/>
  <c r="Q128" i="9" s="1"/>
  <c r="R128" i="9" s="1"/>
  <c r="G128" i="6"/>
  <c r="I128" i="6"/>
  <c r="G127" i="6"/>
  <c r="I127" i="6"/>
  <c r="H127" i="6"/>
  <c r="J127" i="6" s="1"/>
  <c r="Q127" i="9" s="1"/>
  <c r="R127" i="9" s="1"/>
  <c r="I126" i="6"/>
  <c r="H126" i="6"/>
  <c r="J126" i="6" s="1"/>
  <c r="Q126" i="9" s="1"/>
  <c r="R126" i="9" s="1"/>
  <c r="G126" i="6"/>
  <c r="K126" i="6" s="1"/>
  <c r="H125" i="6"/>
  <c r="J125" i="6" s="1"/>
  <c r="Q125" i="9" s="1"/>
  <c r="R125" i="9" s="1"/>
  <c r="I125" i="6"/>
  <c r="G125" i="6"/>
  <c r="K125" i="6" s="1"/>
  <c r="H124" i="6"/>
  <c r="J124" i="6" s="1"/>
  <c r="Q124" i="9" s="1"/>
  <c r="R124" i="9" s="1"/>
  <c r="G124" i="6"/>
  <c r="I124" i="6"/>
  <c r="I123" i="6"/>
  <c r="G123" i="6"/>
  <c r="K123" i="6" s="1"/>
  <c r="H123" i="6"/>
  <c r="J123" i="6" s="1"/>
  <c r="Q123" i="9" s="1"/>
  <c r="R123" i="9" s="1"/>
  <c r="G122" i="6"/>
  <c r="H122" i="6"/>
  <c r="J122" i="6" s="1"/>
  <c r="Q122" i="9" s="1"/>
  <c r="R122" i="9" s="1"/>
  <c r="I122" i="6"/>
  <c r="I121" i="6"/>
  <c r="H121" i="6"/>
  <c r="J121" i="6" s="1"/>
  <c r="Q121" i="9" s="1"/>
  <c r="R121" i="9" s="1"/>
  <c r="G121" i="6"/>
  <c r="K121" i="6" s="1"/>
  <c r="I120" i="6"/>
  <c r="G120" i="6"/>
  <c r="K120" i="6" s="1"/>
  <c r="H120" i="6"/>
  <c r="J120" i="6" s="1"/>
  <c r="Q120" i="9" s="1"/>
  <c r="R120" i="9" s="1"/>
  <c r="I119" i="6"/>
  <c r="H119" i="6"/>
  <c r="J119" i="6" s="1"/>
  <c r="Q119" i="9" s="1"/>
  <c r="R119" i="9" s="1"/>
  <c r="G119" i="6"/>
  <c r="K119" i="6" s="1"/>
  <c r="I118" i="6"/>
  <c r="H118" i="6"/>
  <c r="J118" i="6" s="1"/>
  <c r="Q118" i="9" s="1"/>
  <c r="R118" i="9" s="1"/>
  <c r="G118" i="6"/>
  <c r="K118" i="6" s="1"/>
  <c r="G117" i="6"/>
  <c r="H117" i="6"/>
  <c r="J117" i="6" s="1"/>
  <c r="Q117" i="9" s="1"/>
  <c r="R117" i="9" s="1"/>
  <c r="I117" i="6"/>
  <c r="H116" i="6"/>
  <c r="J116" i="6" s="1"/>
  <c r="Q116" i="9" s="1"/>
  <c r="R116" i="9" s="1"/>
  <c r="G116" i="6"/>
  <c r="I116" i="6"/>
  <c r="G115" i="6"/>
  <c r="I115" i="6"/>
  <c r="H115" i="6"/>
  <c r="J115" i="6" s="1"/>
  <c r="Q115" i="9" s="1"/>
  <c r="R115" i="9" s="1"/>
  <c r="I114" i="6"/>
  <c r="H114" i="6"/>
  <c r="J114" i="6" s="1"/>
  <c r="Q114" i="9" s="1"/>
  <c r="R114" i="9" s="1"/>
  <c r="G114" i="6"/>
  <c r="K114" i="6" s="1"/>
  <c r="G113" i="6"/>
  <c r="H113" i="6"/>
  <c r="J113" i="6" s="1"/>
  <c r="Q113" i="9" s="1"/>
  <c r="R113" i="9" s="1"/>
  <c r="I113" i="6"/>
  <c r="G112" i="6"/>
  <c r="H112" i="6"/>
  <c r="J112" i="6" s="1"/>
  <c r="Q112" i="9" s="1"/>
  <c r="R112" i="9" s="1"/>
  <c r="I112" i="6"/>
  <c r="G111" i="6"/>
  <c r="H111" i="6"/>
  <c r="J111" i="6" s="1"/>
  <c r="Q111" i="9" s="1"/>
  <c r="R111" i="9" s="1"/>
  <c r="I111" i="6"/>
  <c r="G110" i="6"/>
  <c r="H110" i="6"/>
  <c r="J110" i="6" s="1"/>
  <c r="Q110" i="9" s="1"/>
  <c r="R110" i="9" s="1"/>
  <c r="I110" i="6"/>
  <c r="H109" i="6"/>
  <c r="J109" i="6" s="1"/>
  <c r="Q109" i="9" s="1"/>
  <c r="R109" i="9" s="1"/>
  <c r="I109" i="6"/>
  <c r="G109" i="6"/>
  <c r="K109" i="6" s="1"/>
  <c r="I108" i="6"/>
  <c r="H108" i="6"/>
  <c r="J108" i="6" s="1"/>
  <c r="Q108" i="9" s="1"/>
  <c r="R108" i="9" s="1"/>
  <c r="G108" i="6"/>
  <c r="K108" i="6" s="1"/>
  <c r="H107" i="6"/>
  <c r="J107" i="6" s="1"/>
  <c r="Q107" i="9" s="1"/>
  <c r="R107" i="9" s="1"/>
  <c r="I107" i="6"/>
  <c r="G107" i="6"/>
  <c r="K107" i="6" s="1"/>
  <c r="I106" i="6"/>
  <c r="H106" i="6"/>
  <c r="J106" i="6" s="1"/>
  <c r="Q106" i="9" s="1"/>
  <c r="R106" i="9" s="1"/>
  <c r="G106" i="6"/>
  <c r="K106" i="6" s="1"/>
  <c r="H105" i="6"/>
  <c r="J105" i="6" s="1"/>
  <c r="Q105" i="9" s="1"/>
  <c r="R105" i="9" s="1"/>
  <c r="G105" i="6"/>
  <c r="I105" i="6"/>
  <c r="G104" i="6"/>
  <c r="H104" i="6"/>
  <c r="J104" i="6" s="1"/>
  <c r="Q104" i="9" s="1"/>
  <c r="R104" i="9" s="1"/>
  <c r="I104" i="6"/>
  <c r="G103" i="6"/>
  <c r="H103" i="6"/>
  <c r="J103" i="6" s="1"/>
  <c r="Q103" i="9" s="1"/>
  <c r="R103" i="9" s="1"/>
  <c r="I103" i="6"/>
  <c r="G102" i="6"/>
  <c r="I102" i="6"/>
  <c r="H102" i="6"/>
  <c r="J102" i="6" s="1"/>
  <c r="Q102" i="9" s="1"/>
  <c r="R102" i="9" s="1"/>
  <c r="I101" i="6"/>
  <c r="G101" i="6"/>
  <c r="K101" i="6" s="1"/>
  <c r="H101" i="6"/>
  <c r="J101" i="6" s="1"/>
  <c r="Q101" i="9" s="1"/>
  <c r="R101" i="9" s="1"/>
  <c r="G100" i="6"/>
  <c r="H100" i="6"/>
  <c r="J100" i="6" s="1"/>
  <c r="Q100" i="9" s="1"/>
  <c r="R100" i="9" s="1"/>
  <c r="I100" i="6"/>
  <c r="H99" i="6"/>
  <c r="J99" i="6" s="1"/>
  <c r="Q99" i="9" s="1"/>
  <c r="R99" i="9" s="1"/>
  <c r="G99" i="6"/>
  <c r="I99" i="6"/>
  <c r="G98" i="6"/>
  <c r="H98" i="6"/>
  <c r="J98" i="6" s="1"/>
  <c r="Q98" i="9" s="1"/>
  <c r="R98" i="9" s="1"/>
  <c r="I98" i="6"/>
  <c r="H97" i="6"/>
  <c r="J97" i="6" s="1"/>
  <c r="Q97" i="9" s="1"/>
  <c r="R97" i="9" s="1"/>
  <c r="I97" i="6"/>
  <c r="G97" i="6"/>
  <c r="K97" i="6" s="1"/>
  <c r="I96" i="6"/>
  <c r="G96" i="6"/>
  <c r="K96" i="6" s="1"/>
  <c r="H96" i="6"/>
  <c r="J96" i="6" s="1"/>
  <c r="Q96" i="9" s="1"/>
  <c r="R96" i="9" s="1"/>
  <c r="I95" i="6"/>
  <c r="H95" i="6"/>
  <c r="J95" i="6" s="1"/>
  <c r="Q95" i="9" s="1"/>
  <c r="R95" i="9" s="1"/>
  <c r="G95" i="6"/>
  <c r="K95" i="6" s="1"/>
  <c r="I94" i="6"/>
  <c r="H94" i="6"/>
  <c r="J94" i="6" s="1"/>
  <c r="Q94" i="9" s="1"/>
  <c r="R94" i="9" s="1"/>
  <c r="G94" i="6"/>
  <c r="K94" i="6" s="1"/>
  <c r="I93" i="6"/>
  <c r="G93" i="6"/>
  <c r="K93" i="6" s="1"/>
  <c r="H93" i="6"/>
  <c r="J93" i="6" s="1"/>
  <c r="Q93" i="9" s="1"/>
  <c r="R93" i="9" s="1"/>
  <c r="I92" i="6"/>
  <c r="H92" i="6"/>
  <c r="J92" i="6" s="1"/>
  <c r="Q92" i="9" s="1"/>
  <c r="R92" i="9" s="1"/>
  <c r="G92" i="6"/>
  <c r="K92" i="6" s="1"/>
  <c r="I91" i="6"/>
  <c r="H91" i="6"/>
  <c r="J91" i="6" s="1"/>
  <c r="Q91" i="9" s="1"/>
  <c r="R91" i="9" s="1"/>
  <c r="G91" i="6"/>
  <c r="K91" i="6" s="1"/>
  <c r="H90" i="6"/>
  <c r="J90" i="6" s="1"/>
  <c r="Q90" i="9" s="1"/>
  <c r="R90" i="9" s="1"/>
  <c r="I90" i="6"/>
  <c r="G90" i="6"/>
  <c r="K90" i="6" s="1"/>
  <c r="G89" i="6"/>
  <c r="H89" i="6"/>
  <c r="J89" i="6" s="1"/>
  <c r="Q89" i="9" s="1"/>
  <c r="R89" i="9" s="1"/>
  <c r="I89" i="6"/>
  <c r="I88" i="6"/>
  <c r="G88" i="6"/>
  <c r="K88" i="6" s="1"/>
  <c r="H88" i="6"/>
  <c r="J88" i="6" s="1"/>
  <c r="Q88" i="9" s="1"/>
  <c r="R88" i="9" s="1"/>
  <c r="G87" i="6"/>
  <c r="H87" i="6"/>
  <c r="J87" i="6" s="1"/>
  <c r="Q87" i="9" s="1"/>
  <c r="R87" i="9" s="1"/>
  <c r="I87" i="6"/>
  <c r="G86" i="6"/>
  <c r="H86" i="6"/>
  <c r="J86" i="6" s="1"/>
  <c r="Q86" i="9" s="1"/>
  <c r="R86" i="9" s="1"/>
  <c r="I86" i="6"/>
  <c r="I85" i="6"/>
  <c r="G85" i="6"/>
  <c r="K85" i="6" s="1"/>
  <c r="H85" i="6"/>
  <c r="J85" i="6" s="1"/>
  <c r="Q85" i="9" s="1"/>
  <c r="R85" i="9" s="1"/>
  <c r="G84" i="6"/>
  <c r="I84" i="6"/>
  <c r="H84" i="6"/>
  <c r="J84" i="6" s="1"/>
  <c r="Q84" i="9" s="1"/>
  <c r="R84" i="9" s="1"/>
  <c r="H83" i="6"/>
  <c r="J83" i="6" s="1"/>
  <c r="Q83" i="9" s="1"/>
  <c r="R83" i="9" s="1"/>
  <c r="G83" i="6"/>
  <c r="I83" i="6"/>
  <c r="I82" i="6"/>
  <c r="H82" i="6"/>
  <c r="J82" i="6" s="1"/>
  <c r="Q82" i="9" s="1"/>
  <c r="R82" i="9" s="1"/>
  <c r="G82" i="6"/>
  <c r="K82" i="6" s="1"/>
  <c r="I81" i="6"/>
  <c r="H81" i="6"/>
  <c r="J81" i="6" s="1"/>
  <c r="Q81" i="9" s="1"/>
  <c r="R81" i="9" s="1"/>
  <c r="G81" i="6"/>
  <c r="K81" i="6" s="1"/>
  <c r="I80" i="6"/>
  <c r="H80" i="6"/>
  <c r="J80" i="6" s="1"/>
  <c r="Q80" i="9" s="1"/>
  <c r="R80" i="9" s="1"/>
  <c r="G80" i="6"/>
  <c r="K80" i="6" s="1"/>
  <c r="I79" i="6"/>
  <c r="H79" i="6"/>
  <c r="J79" i="6" s="1"/>
  <c r="Q79" i="9" s="1"/>
  <c r="R79" i="9" s="1"/>
  <c r="G79" i="6"/>
  <c r="K79" i="6" s="1"/>
  <c r="G78" i="6"/>
  <c r="I78" i="6"/>
  <c r="H78" i="6"/>
  <c r="J78" i="6" s="1"/>
  <c r="Q78" i="9" s="1"/>
  <c r="R78" i="9" s="1"/>
  <c r="I77" i="6"/>
  <c r="H77" i="6"/>
  <c r="J77" i="6" s="1"/>
  <c r="Q77" i="9" s="1"/>
  <c r="R77" i="9" s="1"/>
  <c r="G77" i="6"/>
  <c r="K77" i="6" s="1"/>
  <c r="I76" i="6"/>
  <c r="H76" i="6"/>
  <c r="J76" i="6" s="1"/>
  <c r="Q76" i="9" s="1"/>
  <c r="R76" i="9" s="1"/>
  <c r="G76" i="6"/>
  <c r="K76" i="6" s="1"/>
  <c r="I75" i="6"/>
  <c r="H75" i="6"/>
  <c r="J75" i="6" s="1"/>
  <c r="Q75" i="9" s="1"/>
  <c r="R75" i="9" s="1"/>
  <c r="G75" i="6"/>
  <c r="K75" i="6" s="1"/>
  <c r="I74" i="6"/>
  <c r="H74" i="6"/>
  <c r="J74" i="6" s="1"/>
  <c r="Q74" i="9" s="1"/>
  <c r="R74" i="9" s="1"/>
  <c r="G74" i="6"/>
  <c r="K74" i="6" s="1"/>
  <c r="H73" i="6"/>
  <c r="J73" i="6" s="1"/>
  <c r="Q73" i="9" s="1"/>
  <c r="R73" i="9" s="1"/>
  <c r="G73" i="6"/>
  <c r="I73" i="6"/>
  <c r="H72" i="6"/>
  <c r="J72" i="6" s="1"/>
  <c r="Q72" i="9" s="1"/>
  <c r="R72" i="9" s="1"/>
  <c r="I72" i="6"/>
  <c r="G72" i="6"/>
  <c r="K72" i="6" s="1"/>
  <c r="I71" i="6"/>
  <c r="G71" i="6"/>
  <c r="K71" i="6" s="1"/>
  <c r="H71" i="6"/>
  <c r="J71" i="6" s="1"/>
  <c r="Q71" i="9" s="1"/>
  <c r="R71" i="9" s="1"/>
  <c r="G70" i="6"/>
  <c r="H70" i="6"/>
  <c r="J70" i="6" s="1"/>
  <c r="Q70" i="9" s="1"/>
  <c r="R70" i="9" s="1"/>
  <c r="I70" i="6"/>
  <c r="G69" i="6"/>
  <c r="H69" i="6"/>
  <c r="J69" i="6" s="1"/>
  <c r="Q69" i="9" s="1"/>
  <c r="R69" i="9" s="1"/>
  <c r="I69" i="6"/>
  <c r="G68" i="6"/>
  <c r="H68" i="6"/>
  <c r="J68" i="6" s="1"/>
  <c r="Q68" i="9" s="1"/>
  <c r="R68" i="9" s="1"/>
  <c r="I68" i="6"/>
  <c r="H67" i="6"/>
  <c r="J67" i="6" s="1"/>
  <c r="Q67" i="9" s="1"/>
  <c r="R67" i="9" s="1"/>
  <c r="I67" i="6"/>
  <c r="G67" i="6"/>
  <c r="K67" i="6" s="1"/>
  <c r="I66" i="6"/>
  <c r="H66" i="6"/>
  <c r="J66" i="6" s="1"/>
  <c r="Q66" i="9" s="1"/>
  <c r="R66" i="9" s="1"/>
  <c r="G66" i="6"/>
  <c r="K66" i="6" s="1"/>
  <c r="G65" i="6"/>
  <c r="H65" i="6"/>
  <c r="J65" i="6" s="1"/>
  <c r="Q65" i="9" s="1"/>
  <c r="R65" i="9" s="1"/>
  <c r="I65" i="6"/>
  <c r="G64" i="6"/>
  <c r="H64" i="6"/>
  <c r="J64" i="6" s="1"/>
  <c r="Q64" i="9" s="1"/>
  <c r="R64" i="9" s="1"/>
  <c r="I64" i="6"/>
  <c r="G63" i="6"/>
  <c r="I63" i="6"/>
  <c r="H63" i="6"/>
  <c r="J63" i="6" s="1"/>
  <c r="Q63" i="9" s="1"/>
  <c r="R63" i="9" s="1"/>
  <c r="G62" i="6"/>
  <c r="H62" i="6"/>
  <c r="J62" i="6" s="1"/>
  <c r="Q62" i="9" s="1"/>
  <c r="R62" i="9" s="1"/>
  <c r="I62" i="6"/>
  <c r="G61" i="6"/>
  <c r="H61" i="6"/>
  <c r="J61" i="6" s="1"/>
  <c r="Q61" i="9" s="1"/>
  <c r="R61" i="9" s="1"/>
  <c r="I61" i="6"/>
  <c r="H60" i="6"/>
  <c r="J60" i="6" s="1"/>
  <c r="Q60" i="9" s="1"/>
  <c r="R60" i="9" s="1"/>
  <c r="I60" i="6"/>
  <c r="G60" i="6"/>
  <c r="K60" i="6" s="1"/>
  <c r="I59" i="6"/>
  <c r="G59" i="6"/>
  <c r="K59" i="6" s="1"/>
  <c r="H59" i="6"/>
  <c r="J59" i="6" s="1"/>
  <c r="Q59" i="9" s="1"/>
  <c r="R59" i="9" s="1"/>
  <c r="H58" i="6"/>
  <c r="J58" i="6" s="1"/>
  <c r="Q58" i="9" s="1"/>
  <c r="R58" i="9" s="1"/>
  <c r="I58" i="6"/>
  <c r="G58" i="6"/>
  <c r="K58" i="6" s="1"/>
  <c r="G57" i="6"/>
  <c r="H57" i="6"/>
  <c r="J57" i="6" s="1"/>
  <c r="Q57" i="9" s="1"/>
  <c r="R57" i="9" s="1"/>
  <c r="I57" i="6"/>
  <c r="G56" i="6"/>
  <c r="H56" i="6"/>
  <c r="J56" i="6" s="1"/>
  <c r="Q56" i="9" s="1"/>
  <c r="R56" i="9" s="1"/>
  <c r="I56" i="6"/>
  <c r="G55" i="6"/>
  <c r="H55" i="6"/>
  <c r="J55" i="6" s="1"/>
  <c r="Q55" i="9" s="1"/>
  <c r="R55" i="9" s="1"/>
  <c r="I55" i="6"/>
  <c r="G54" i="6"/>
  <c r="H54" i="6"/>
  <c r="J54" i="6" s="1"/>
  <c r="Q54" i="9" s="1"/>
  <c r="R54" i="9" s="1"/>
  <c r="I54" i="6"/>
  <c r="H53" i="6"/>
  <c r="J53" i="6" s="1"/>
  <c r="Q53" i="9" s="1"/>
  <c r="R53" i="9" s="1"/>
  <c r="I53" i="6"/>
  <c r="G53" i="6"/>
  <c r="K53" i="6" s="1"/>
  <c r="I52" i="6"/>
  <c r="H52" i="6"/>
  <c r="J52" i="6" s="1"/>
  <c r="Q52" i="9" s="1"/>
  <c r="R52" i="9" s="1"/>
  <c r="G52" i="6"/>
  <c r="K52" i="6" s="1"/>
  <c r="I51" i="6"/>
  <c r="H51" i="6"/>
  <c r="J51" i="6" s="1"/>
  <c r="Q51" i="9" s="1"/>
  <c r="R51" i="9" s="1"/>
  <c r="G51" i="6"/>
  <c r="H50" i="6"/>
  <c r="J50" i="6" s="1"/>
  <c r="Q50" i="9" s="1"/>
  <c r="R50" i="9" s="1"/>
  <c r="G50" i="6"/>
  <c r="I50" i="6"/>
  <c r="G49" i="6"/>
  <c r="H49" i="6"/>
  <c r="J49" i="6" s="1"/>
  <c r="Q49" i="9" s="1"/>
  <c r="R49" i="9" s="1"/>
  <c r="I49" i="6"/>
  <c r="I48" i="6"/>
  <c r="H48" i="6"/>
  <c r="J48" i="6" s="1"/>
  <c r="Q48" i="9" s="1"/>
  <c r="R48" i="9" s="1"/>
  <c r="G48" i="6"/>
  <c r="K48" i="6" s="1"/>
  <c r="I47" i="6"/>
  <c r="G47" i="6"/>
  <c r="K47" i="6" s="1"/>
  <c r="H47" i="6"/>
  <c r="J47" i="6" s="1"/>
  <c r="Q47" i="9" s="1"/>
  <c r="R47" i="9" s="1"/>
  <c r="H46" i="6"/>
  <c r="J46" i="6" s="1"/>
  <c r="Q46" i="9" s="1"/>
  <c r="R46" i="9" s="1"/>
  <c r="G46" i="6"/>
  <c r="I46" i="6"/>
  <c r="G45" i="6"/>
  <c r="H45" i="6"/>
  <c r="J45" i="6" s="1"/>
  <c r="Q45" i="9" s="1"/>
  <c r="R45" i="9" s="1"/>
  <c r="I45" i="6"/>
  <c r="I44" i="6"/>
  <c r="H44" i="6"/>
  <c r="J44" i="6" s="1"/>
  <c r="Q44" i="9" s="1"/>
  <c r="R44" i="9" s="1"/>
  <c r="G44" i="6"/>
  <c r="K44" i="6" s="1"/>
  <c r="G43" i="6"/>
  <c r="H43" i="6"/>
  <c r="J43" i="6" s="1"/>
  <c r="Q43" i="9" s="1"/>
  <c r="R43" i="9" s="1"/>
  <c r="I43" i="6"/>
  <c r="I42" i="6"/>
  <c r="H42" i="6"/>
  <c r="J42" i="6" s="1"/>
  <c r="Q42" i="9" s="1"/>
  <c r="R42" i="9" s="1"/>
  <c r="G42" i="6"/>
  <c r="K42" i="6" s="1"/>
  <c r="G41" i="6"/>
  <c r="H41" i="6"/>
  <c r="J41" i="6" s="1"/>
  <c r="Q41" i="9" s="1"/>
  <c r="R41" i="9" s="1"/>
  <c r="I41" i="6"/>
  <c r="I40" i="6"/>
  <c r="H40" i="6"/>
  <c r="J40" i="6" s="1"/>
  <c r="Q40" i="9" s="1"/>
  <c r="R40" i="9" s="1"/>
  <c r="G40" i="6"/>
  <c r="K40" i="6" s="1"/>
  <c r="H39" i="6"/>
  <c r="J39" i="6" s="1"/>
  <c r="Q39" i="9" s="1"/>
  <c r="R39" i="9" s="1"/>
  <c r="I39" i="6"/>
  <c r="G39" i="6"/>
  <c r="K39" i="6" s="1"/>
  <c r="H38" i="6"/>
  <c r="J38" i="6" s="1"/>
  <c r="Q38" i="9" s="1"/>
  <c r="R38" i="9" s="1"/>
  <c r="G38" i="6"/>
  <c r="I38" i="6"/>
  <c r="I37" i="6"/>
  <c r="H37" i="6"/>
  <c r="J37" i="6" s="1"/>
  <c r="Q37" i="9" s="1"/>
  <c r="R37" i="9" s="1"/>
  <c r="G37" i="6"/>
  <c r="K37" i="6" s="1"/>
  <c r="G36" i="6"/>
  <c r="I36" i="6"/>
  <c r="H36" i="6"/>
  <c r="J36" i="6" s="1"/>
  <c r="Q36" i="9" s="1"/>
  <c r="R36" i="9" s="1"/>
  <c r="G35" i="6"/>
  <c r="H35" i="6"/>
  <c r="J35" i="6" s="1"/>
  <c r="Q35" i="9" s="1"/>
  <c r="R35" i="9" s="1"/>
  <c r="I35" i="6"/>
  <c r="G34" i="6"/>
  <c r="I34" i="6"/>
  <c r="H34" i="6"/>
  <c r="J34" i="6" s="1"/>
  <c r="Q34" i="9" s="1"/>
  <c r="R34" i="9" s="1"/>
  <c r="H33" i="6"/>
  <c r="J33" i="6" s="1"/>
  <c r="Q33" i="9" s="1"/>
  <c r="R33" i="9" s="1"/>
  <c r="I33" i="6"/>
  <c r="G33" i="6"/>
  <c r="K33" i="6" s="1"/>
  <c r="I32" i="6"/>
  <c r="H32" i="6"/>
  <c r="J32" i="6" s="1"/>
  <c r="Q32" i="9" s="1"/>
  <c r="R32" i="9" s="1"/>
  <c r="G32" i="6"/>
  <c r="K32" i="6" s="1"/>
  <c r="G31" i="6"/>
  <c r="I31" i="6"/>
  <c r="H31" i="6"/>
  <c r="J31" i="6" s="1"/>
  <c r="Q31" i="9" s="1"/>
  <c r="R31" i="9" s="1"/>
  <c r="G30" i="6"/>
  <c r="H30" i="6"/>
  <c r="J30" i="6" s="1"/>
  <c r="Q30" i="9" s="1"/>
  <c r="R30" i="9" s="1"/>
  <c r="I30" i="6"/>
  <c r="N29" i="6"/>
  <c r="P29" i="6"/>
  <c r="H29" i="6"/>
  <c r="J29" i="6" s="1"/>
  <c r="Q29" i="9" s="1"/>
  <c r="R29" i="9" s="1"/>
  <c r="G29" i="6"/>
  <c r="I29" i="6"/>
  <c r="P28" i="6"/>
  <c r="N28" i="6"/>
  <c r="H28" i="6"/>
  <c r="J28" i="6" s="1"/>
  <c r="Q28" i="9" s="1"/>
  <c r="R28" i="9" s="1"/>
  <c r="S28" i="9" s="1"/>
  <c r="I28" i="6"/>
  <c r="G28" i="6"/>
  <c r="K28" i="6" s="1"/>
  <c r="N27" i="6"/>
  <c r="P27" i="6"/>
  <c r="H27" i="6"/>
  <c r="J27" i="6" s="1"/>
  <c r="Q27" i="9" s="1"/>
  <c r="R27" i="9" s="1"/>
  <c r="I27" i="6"/>
  <c r="G27" i="6"/>
  <c r="K27" i="6" s="1"/>
  <c r="N26" i="6"/>
  <c r="P26" i="6"/>
  <c r="I26" i="6"/>
  <c r="G26" i="6"/>
  <c r="K26" i="6" s="1"/>
  <c r="H26" i="6"/>
  <c r="J26" i="6" s="1"/>
  <c r="Q26" i="9" s="1"/>
  <c r="R26" i="9" s="1"/>
  <c r="S26" i="9" s="1"/>
  <c r="N25" i="6"/>
  <c r="P25" i="6"/>
  <c r="H25" i="6"/>
  <c r="J25" i="6" s="1"/>
  <c r="Q25" i="9" s="1"/>
  <c r="R25" i="9" s="1"/>
  <c r="S25" i="9" s="1"/>
  <c r="I25" i="6"/>
  <c r="G25" i="6"/>
  <c r="K25" i="6" s="1"/>
  <c r="P24" i="6"/>
  <c r="N24" i="6"/>
  <c r="I24" i="6"/>
  <c r="H24" i="6"/>
  <c r="J24" i="6" s="1"/>
  <c r="Q24" i="9" s="1"/>
  <c r="R24" i="9" s="1"/>
  <c r="S24" i="9" s="1"/>
  <c r="G24" i="6"/>
  <c r="K24" i="6" s="1"/>
  <c r="P23" i="6"/>
  <c r="N23" i="6"/>
  <c r="I23" i="6"/>
  <c r="G23" i="6"/>
  <c r="K23" i="6" s="1"/>
  <c r="H23" i="6"/>
  <c r="J23" i="6" s="1"/>
  <c r="Q23" i="9" s="1"/>
  <c r="R23" i="9" s="1"/>
  <c r="S23" i="9" s="1"/>
  <c r="P22" i="6"/>
  <c r="N22" i="6"/>
  <c r="H22" i="6"/>
  <c r="J22" i="6" s="1"/>
  <c r="G22" i="6"/>
  <c r="I22" i="6"/>
  <c r="N21" i="6"/>
  <c r="P21" i="6"/>
  <c r="I21" i="6"/>
  <c r="G21" i="6"/>
  <c r="K21" i="6" s="1"/>
  <c r="H21" i="6"/>
  <c r="J21" i="6" s="1"/>
  <c r="Q21" i="9" s="1"/>
  <c r="R21" i="9" s="1"/>
  <c r="S21" i="9" s="1"/>
  <c r="N20" i="6"/>
  <c r="P20" i="6"/>
  <c r="I20" i="6"/>
  <c r="G20" i="6"/>
  <c r="K20" i="6" s="1"/>
  <c r="H20" i="6"/>
  <c r="J20" i="6" s="1"/>
  <c r="P19" i="6"/>
  <c r="N19" i="6"/>
  <c r="I19" i="6"/>
  <c r="H19" i="6"/>
  <c r="J19" i="6" s="1"/>
  <c r="Q19" i="9" s="1"/>
  <c r="R19" i="9" s="1"/>
  <c r="G19" i="6"/>
  <c r="K19" i="6" s="1"/>
  <c r="P18" i="6"/>
  <c r="N18" i="6"/>
  <c r="I18" i="6"/>
  <c r="H18" i="6"/>
  <c r="J18" i="6" s="1"/>
  <c r="Q18" i="9" s="1"/>
  <c r="R18" i="9" s="1"/>
  <c r="S18" i="9" s="1"/>
  <c r="G18" i="6"/>
  <c r="K18" i="6" s="1"/>
  <c r="N17" i="6"/>
  <c r="P17" i="6"/>
  <c r="I17" i="6"/>
  <c r="H17" i="6"/>
  <c r="J17" i="6" s="1"/>
  <c r="G17" i="6"/>
  <c r="K17" i="6" s="1"/>
  <c r="P16" i="6"/>
  <c r="N16" i="6"/>
  <c r="I16" i="6"/>
  <c r="H16" i="6"/>
  <c r="J16" i="6" s="1"/>
  <c r="Q16" i="9" s="1"/>
  <c r="R16" i="9" s="1"/>
  <c r="S16" i="9" s="1"/>
  <c r="G16" i="6"/>
  <c r="K16" i="6" s="1"/>
  <c r="P15" i="6"/>
  <c r="N15" i="6"/>
  <c r="I15" i="6"/>
  <c r="H15" i="6"/>
  <c r="J15" i="6" s="1"/>
  <c r="Q15" i="9" s="1"/>
  <c r="R15" i="9" s="1"/>
  <c r="S15" i="9" s="1"/>
  <c r="G15" i="6"/>
  <c r="K15" i="6" s="1"/>
  <c r="P14" i="6"/>
  <c r="N14" i="6"/>
  <c r="G14" i="6"/>
  <c r="I14" i="6"/>
  <c r="H14" i="6"/>
  <c r="J14" i="6" s="1"/>
  <c r="P13" i="6"/>
  <c r="N13" i="6"/>
  <c r="H13" i="6"/>
  <c r="J13" i="6" s="1"/>
  <c r="Q13" i="9" s="1"/>
  <c r="R13" i="9" s="1"/>
  <c r="S13" i="9" s="1"/>
  <c r="I13" i="6"/>
  <c r="G13" i="6"/>
  <c r="K13" i="6" s="1"/>
  <c r="N12" i="6"/>
  <c r="P12" i="6"/>
  <c r="H12" i="6"/>
  <c r="J12" i="6" s="1"/>
  <c r="I12" i="6"/>
  <c r="G12" i="6"/>
  <c r="K12" i="6" s="1"/>
  <c r="N11" i="6"/>
  <c r="P11" i="6"/>
  <c r="I11" i="6"/>
  <c r="G11" i="6"/>
  <c r="K11" i="6" s="1"/>
  <c r="H11" i="6"/>
  <c r="J11" i="6" s="1"/>
  <c r="P10" i="6"/>
  <c r="N10" i="6"/>
  <c r="G10" i="6"/>
  <c r="I10" i="6"/>
  <c r="H10" i="6"/>
  <c r="J10" i="6" s="1"/>
  <c r="Q10" i="9" s="1"/>
  <c r="R10" i="9" s="1"/>
  <c r="I9" i="6"/>
  <c r="H9" i="6"/>
  <c r="J9" i="6" s="1"/>
  <c r="Q9" i="9" s="1"/>
  <c r="R9" i="9" s="1"/>
  <c r="G9" i="6"/>
  <c r="K9" i="6" s="1"/>
  <c r="G8" i="6"/>
  <c r="I8" i="6"/>
  <c r="H8" i="6"/>
  <c r="J8" i="6" s="1"/>
  <c r="Q8" i="9" s="1"/>
  <c r="R8" i="9" s="1"/>
  <c r="I7" i="6"/>
  <c r="H7" i="6"/>
  <c r="J7" i="6" s="1"/>
  <c r="Q7" i="9" s="1"/>
  <c r="R7" i="9" s="1"/>
  <c r="G7" i="6"/>
  <c r="K7" i="6" s="1"/>
  <c r="I6" i="6"/>
  <c r="H6" i="6"/>
  <c r="J6" i="6" s="1"/>
  <c r="Q6" i="9" s="1"/>
  <c r="R6" i="9" s="1"/>
  <c r="G6" i="6"/>
  <c r="K6" i="6" s="1"/>
  <c r="I5" i="6"/>
  <c r="G5" i="6"/>
  <c r="K5" i="6" s="1"/>
  <c r="H5" i="6"/>
  <c r="J5" i="6" s="1"/>
  <c r="Q5" i="9" s="1"/>
  <c r="R5" i="9" s="1"/>
  <c r="G4" i="6"/>
  <c r="H4" i="6"/>
  <c r="J4" i="6" s="1"/>
  <c r="Q4" i="9" s="1"/>
  <c r="R4" i="9" s="1"/>
  <c r="I4" i="6"/>
  <c r="G3" i="6"/>
  <c r="H3" i="6"/>
  <c r="J3" i="6" s="1"/>
  <c r="Q3" i="9" s="1"/>
  <c r="R3" i="9" s="1"/>
  <c r="I3" i="6"/>
  <c r="G2" i="6"/>
  <c r="H2" i="6"/>
  <c r="J2" i="6" s="1"/>
  <c r="Q2" i="9" s="1"/>
  <c r="R2" i="9" s="1"/>
  <c r="I2" i="6"/>
  <c r="R422" i="5"/>
  <c r="S422" i="5" s="1"/>
  <c r="S421" i="5"/>
  <c r="R421" i="5"/>
  <c r="S420" i="5"/>
  <c r="R420" i="5"/>
  <c r="S419" i="5"/>
  <c r="R419" i="5"/>
  <c r="R418" i="5"/>
  <c r="S418" i="5" s="1"/>
  <c r="R417" i="5"/>
  <c r="S417" i="5" s="1"/>
  <c r="R416" i="5"/>
  <c r="S416" i="5" s="1"/>
  <c r="R415" i="5"/>
  <c r="S415" i="5"/>
  <c r="R414" i="5"/>
  <c r="S414" i="5" s="1"/>
  <c r="R413" i="5"/>
  <c r="S413" i="5"/>
  <c r="R412" i="5"/>
  <c r="S412" i="5" s="1"/>
  <c r="R411" i="5"/>
  <c r="S411" i="5"/>
  <c r="R410" i="5"/>
  <c r="S410" i="5"/>
  <c r="R409" i="5"/>
  <c r="S409" i="5" s="1"/>
  <c r="R408" i="5"/>
  <c r="S408" i="5" s="1"/>
  <c r="S407" i="5"/>
  <c r="R407" i="5"/>
  <c r="R406" i="5"/>
  <c r="S406" i="5" s="1"/>
  <c r="R405" i="5"/>
  <c r="S405" i="5"/>
  <c r="R404" i="5"/>
  <c r="S404" i="5"/>
  <c r="R403" i="5"/>
  <c r="S403" i="5" s="1"/>
  <c r="R402" i="5"/>
  <c r="S402" i="5" s="1"/>
  <c r="R401" i="5"/>
  <c r="S401" i="5" s="1"/>
  <c r="R400" i="5"/>
  <c r="S400" i="5" s="1"/>
  <c r="R399" i="5"/>
  <c r="S399" i="5" s="1"/>
  <c r="R398" i="5"/>
  <c r="S398" i="5" s="1"/>
  <c r="R397" i="5"/>
  <c r="S397" i="5" s="1"/>
  <c r="R396" i="5"/>
  <c r="S396" i="5" s="1"/>
  <c r="R395" i="5"/>
  <c r="S395" i="5"/>
  <c r="R394" i="5"/>
  <c r="S394" i="5" s="1"/>
  <c r="R393" i="5"/>
  <c r="S393" i="5" s="1"/>
  <c r="S392" i="5"/>
  <c r="R392" i="5"/>
  <c r="R391" i="5"/>
  <c r="S391" i="5" s="1"/>
  <c r="R390" i="5"/>
  <c r="S390" i="5" s="1"/>
  <c r="R389" i="5"/>
  <c r="S389" i="5"/>
  <c r="R388" i="5"/>
  <c r="S388" i="5"/>
  <c r="R387" i="5"/>
  <c r="S387" i="5"/>
  <c r="R386" i="5"/>
  <c r="S386" i="5"/>
  <c r="R385" i="5"/>
  <c r="S385" i="5"/>
  <c r="R384" i="5"/>
  <c r="S384" i="5"/>
  <c r="R383" i="5"/>
  <c r="S383" i="5"/>
  <c r="R382" i="5"/>
  <c r="S382" i="5"/>
  <c r="R381" i="5"/>
  <c r="S381" i="5"/>
  <c r="R380" i="5"/>
  <c r="S380" i="5"/>
  <c r="R379" i="5"/>
  <c r="S379" i="5"/>
  <c r="R378" i="5"/>
  <c r="S378" i="5" s="1"/>
  <c r="R377" i="5"/>
  <c r="S377" i="5" s="1"/>
  <c r="R376" i="5"/>
  <c r="S376" i="5"/>
  <c r="S375" i="5"/>
  <c r="R375" i="5"/>
  <c r="R374" i="5"/>
  <c r="S374" i="5" s="1"/>
  <c r="S373" i="5"/>
  <c r="R373" i="5"/>
  <c r="R372" i="5"/>
  <c r="S372" i="5" s="1"/>
  <c r="R371" i="5"/>
  <c r="S371" i="5" s="1"/>
  <c r="R370" i="5"/>
  <c r="S370" i="5"/>
  <c r="R369" i="5"/>
  <c r="S369" i="5" s="1"/>
  <c r="R368" i="5"/>
  <c r="S368" i="5" s="1"/>
  <c r="R367" i="5"/>
  <c r="S367" i="5"/>
  <c r="S366" i="5"/>
  <c r="R366" i="5"/>
  <c r="R365" i="5"/>
  <c r="S365" i="5"/>
  <c r="S364" i="5"/>
  <c r="R364" i="5"/>
  <c r="R363" i="5"/>
  <c r="S363" i="5" s="1"/>
  <c r="R362" i="5"/>
  <c r="S362" i="5"/>
  <c r="R361" i="5"/>
  <c r="S361" i="5" s="1"/>
  <c r="R360" i="5"/>
  <c r="S360" i="5"/>
  <c r="R359" i="5"/>
  <c r="S359" i="5" s="1"/>
  <c r="R358" i="5"/>
  <c r="S358" i="5" s="1"/>
  <c r="R357" i="5"/>
  <c r="S357" i="5" s="1"/>
  <c r="R356" i="5"/>
  <c r="S356" i="5" s="1"/>
  <c r="R301" i="5"/>
  <c r="S301" i="5" s="1"/>
  <c r="R300" i="5"/>
  <c r="S300" i="5"/>
  <c r="R299" i="5"/>
  <c r="S299" i="5"/>
  <c r="R298" i="5"/>
  <c r="S298" i="5"/>
  <c r="R297" i="5"/>
  <c r="S297" i="5"/>
  <c r="S296" i="5"/>
  <c r="R296" i="5"/>
  <c r="R295" i="5"/>
  <c r="S295" i="5"/>
  <c r="S294" i="5"/>
  <c r="R294" i="5"/>
  <c r="R293" i="5"/>
  <c r="S293" i="5" s="1"/>
  <c r="R292" i="5"/>
  <c r="S292" i="5"/>
  <c r="R291" i="5"/>
  <c r="S291" i="5"/>
  <c r="R290" i="5"/>
  <c r="S290" i="5"/>
  <c r="R289" i="5"/>
  <c r="S289" i="5"/>
  <c r="R288" i="5"/>
  <c r="S288" i="5" s="1"/>
  <c r="R287" i="5"/>
  <c r="S287" i="5" s="1"/>
  <c r="R286" i="5"/>
  <c r="S286" i="5" s="1"/>
  <c r="S285" i="5"/>
  <c r="R285" i="5"/>
  <c r="S284" i="5"/>
  <c r="R284" i="5"/>
  <c r="R283" i="5"/>
  <c r="S283" i="5" s="1"/>
  <c r="R282" i="5"/>
  <c r="S282" i="5" s="1"/>
  <c r="S281" i="5"/>
  <c r="R281" i="5"/>
  <c r="R280" i="5"/>
  <c r="S280" i="5" s="1"/>
  <c r="R279" i="5"/>
  <c r="S279" i="5" s="1"/>
  <c r="R278" i="5"/>
  <c r="S278" i="5"/>
  <c r="R277" i="5"/>
  <c r="S277" i="5"/>
  <c r="R276" i="5"/>
  <c r="S276" i="5"/>
  <c r="R275" i="5"/>
  <c r="S275" i="5" s="1"/>
  <c r="R274" i="5"/>
  <c r="S274" i="5"/>
  <c r="R273" i="5"/>
  <c r="S273" i="5" s="1"/>
  <c r="R272" i="5"/>
  <c r="S272" i="5" s="1"/>
  <c r="R271" i="5"/>
  <c r="S271" i="5" s="1"/>
  <c r="R270" i="5"/>
  <c r="S270" i="5" s="1"/>
  <c r="S269" i="5"/>
  <c r="R269" i="5"/>
  <c r="R268" i="5"/>
  <c r="S268" i="5" s="1"/>
  <c r="R267" i="5"/>
  <c r="S267" i="5" s="1"/>
  <c r="R266" i="5"/>
  <c r="S266" i="5" s="1"/>
  <c r="R265" i="5"/>
  <c r="S265" i="5"/>
  <c r="R264" i="5"/>
  <c r="S264" i="5"/>
  <c r="R263" i="5"/>
  <c r="S263" i="5" s="1"/>
  <c r="R262" i="5"/>
  <c r="S262" i="5" s="1"/>
  <c r="R261" i="5"/>
  <c r="S261" i="5" s="1"/>
  <c r="R260" i="5"/>
  <c r="S260" i="5" s="1"/>
  <c r="R259" i="5"/>
  <c r="S259" i="5"/>
  <c r="R258" i="5"/>
  <c r="S258" i="5"/>
  <c r="R257" i="5"/>
  <c r="S257" i="5" s="1"/>
  <c r="R256" i="5"/>
  <c r="S256" i="5" s="1"/>
  <c r="R255" i="5"/>
  <c r="S255" i="5" s="1"/>
  <c r="R254" i="5"/>
  <c r="S254" i="5"/>
  <c r="R253" i="5"/>
  <c r="S253" i="5" s="1"/>
  <c r="R252" i="5"/>
  <c r="S252" i="5"/>
  <c r="R251" i="5"/>
  <c r="S251" i="5"/>
  <c r="R250" i="5"/>
  <c r="S250" i="5"/>
  <c r="R249" i="5"/>
  <c r="S249" i="5"/>
  <c r="R248" i="5"/>
  <c r="S248" i="5" s="1"/>
  <c r="R247" i="5"/>
  <c r="S247" i="5"/>
  <c r="S246" i="5"/>
  <c r="R246" i="5"/>
  <c r="R245" i="5"/>
  <c r="S245" i="5" s="1"/>
  <c r="R244" i="5"/>
  <c r="S244" i="5"/>
  <c r="R243" i="5"/>
  <c r="S243" i="5" s="1"/>
  <c r="R242" i="5"/>
  <c r="S242" i="5" s="1"/>
  <c r="R241" i="5"/>
  <c r="S241" i="5" s="1"/>
  <c r="R240" i="5"/>
  <c r="S240" i="5"/>
  <c r="R239" i="5"/>
  <c r="S239" i="5"/>
  <c r="R238" i="5"/>
  <c r="S238" i="5"/>
  <c r="R237" i="5"/>
  <c r="S237" i="5"/>
  <c r="R236" i="5"/>
  <c r="S236" i="5" s="1"/>
  <c r="R235" i="5"/>
  <c r="S235" i="5"/>
  <c r="R234" i="5"/>
  <c r="S234" i="5" s="1"/>
  <c r="R233" i="5"/>
  <c r="S233" i="5" s="1"/>
  <c r="R232" i="5"/>
  <c r="S232" i="5" s="1"/>
  <c r="R231" i="5"/>
  <c r="S231" i="5" s="1"/>
  <c r="R230" i="5"/>
  <c r="S230" i="5" s="1"/>
  <c r="R229" i="5"/>
  <c r="S229" i="5" s="1"/>
  <c r="R228" i="5"/>
  <c r="S228" i="5"/>
  <c r="R227" i="5"/>
  <c r="S227" i="5" s="1"/>
  <c r="R226" i="5"/>
  <c r="S226" i="5" s="1"/>
  <c r="R225" i="5"/>
  <c r="S225" i="5" s="1"/>
  <c r="R224" i="5"/>
  <c r="S224" i="5"/>
  <c r="R223" i="5"/>
  <c r="S223" i="5" s="1"/>
  <c r="R222" i="5"/>
  <c r="S222" i="5"/>
  <c r="R221" i="5"/>
  <c r="S221" i="5" s="1"/>
  <c r="R220" i="5"/>
  <c r="S220" i="5"/>
  <c r="R219" i="5"/>
  <c r="S219" i="5"/>
  <c r="R218" i="5"/>
  <c r="S218" i="5"/>
  <c r="R217" i="5"/>
  <c r="S217" i="5"/>
  <c r="R216" i="5"/>
  <c r="S216" i="5" s="1"/>
  <c r="S215" i="5"/>
  <c r="R215" i="5"/>
  <c r="R214" i="5"/>
  <c r="S214" i="5"/>
  <c r="R213" i="5"/>
  <c r="S213" i="5"/>
  <c r="R212" i="5"/>
  <c r="S212" i="5"/>
  <c r="R211" i="5"/>
  <c r="S211" i="5" s="1"/>
  <c r="R210" i="5"/>
  <c r="S210" i="5"/>
  <c r="R209" i="5"/>
  <c r="S209" i="5" s="1"/>
  <c r="R208" i="5"/>
  <c r="S208" i="5"/>
  <c r="R207" i="5"/>
  <c r="S207" i="5" s="1"/>
  <c r="R206" i="5"/>
  <c r="S206" i="5" s="1"/>
  <c r="R205" i="5"/>
  <c r="S205" i="5" s="1"/>
  <c r="R204" i="5"/>
  <c r="S204" i="5"/>
  <c r="R203" i="5"/>
  <c r="S203" i="5"/>
  <c r="R202" i="5"/>
  <c r="S202" i="5" s="1"/>
  <c r="R201" i="5"/>
  <c r="S201" i="5" s="1"/>
  <c r="R200" i="5"/>
  <c r="S200" i="5" s="1"/>
  <c r="R199" i="5"/>
  <c r="S199" i="5"/>
  <c r="R198" i="5"/>
  <c r="S198" i="5"/>
  <c r="R197" i="5"/>
  <c r="S197" i="5"/>
  <c r="R196" i="5"/>
  <c r="S196" i="5" s="1"/>
  <c r="R195" i="5"/>
  <c r="S195" i="5" s="1"/>
  <c r="R194" i="5"/>
  <c r="S194" i="5"/>
  <c r="R193" i="5"/>
  <c r="S193" i="5" s="1"/>
  <c r="R192" i="5"/>
  <c r="S192" i="5" s="1"/>
  <c r="R191" i="5"/>
  <c r="S191" i="5" s="1"/>
  <c r="R190" i="5"/>
  <c r="S190" i="5"/>
  <c r="R189" i="5"/>
  <c r="S189" i="5"/>
  <c r="R188" i="5"/>
  <c r="S188" i="5"/>
  <c r="R187" i="5"/>
  <c r="S187" i="5" s="1"/>
  <c r="R186" i="5"/>
  <c r="S186" i="5" s="1"/>
  <c r="R185" i="5"/>
  <c r="S185" i="5" s="1"/>
  <c r="R184" i="5"/>
  <c r="S184" i="5" s="1"/>
  <c r="R183" i="5"/>
  <c r="S183" i="5" s="1"/>
  <c r="R182" i="5"/>
  <c r="S182" i="5"/>
  <c r="S181" i="5"/>
  <c r="R181" i="5"/>
  <c r="R180" i="5"/>
  <c r="S180" i="5" s="1"/>
  <c r="R179" i="5"/>
  <c r="S179" i="5"/>
  <c r="R178" i="5"/>
  <c r="S178" i="5" s="1"/>
  <c r="R177" i="5"/>
  <c r="S177" i="5" s="1"/>
  <c r="R176" i="5"/>
  <c r="S176" i="5" s="1"/>
  <c r="R175" i="5"/>
  <c r="S175" i="5" s="1"/>
  <c r="R174" i="5"/>
  <c r="S174" i="5" s="1"/>
  <c r="R173" i="5"/>
  <c r="S173" i="5"/>
  <c r="R172" i="5"/>
  <c r="S172" i="5" s="1"/>
  <c r="R171" i="5"/>
  <c r="S171" i="5" s="1"/>
  <c r="R170" i="5"/>
  <c r="S170" i="5" s="1"/>
  <c r="R169" i="5"/>
  <c r="S169" i="5" s="1"/>
  <c r="S168" i="5"/>
  <c r="R168" i="5"/>
  <c r="R167" i="5"/>
  <c r="S167" i="5" s="1"/>
  <c r="R166" i="5"/>
  <c r="S166" i="5" s="1"/>
  <c r="R165" i="5"/>
  <c r="S165" i="5" s="1"/>
  <c r="R164" i="5"/>
  <c r="S164" i="5"/>
  <c r="R163" i="5"/>
  <c r="S163" i="5" s="1"/>
  <c r="R162" i="5"/>
  <c r="S162" i="5" s="1"/>
  <c r="S161" i="5"/>
  <c r="R161" i="5"/>
  <c r="R160" i="5"/>
  <c r="S160" i="5" s="1"/>
  <c r="R159" i="5"/>
  <c r="S159" i="5" s="1"/>
  <c r="S29" i="5"/>
  <c r="R29" i="5"/>
  <c r="R28" i="5"/>
  <c r="S28" i="5" s="1"/>
  <c r="S27" i="5"/>
  <c r="R27" i="5"/>
  <c r="R26" i="5"/>
  <c r="S26" i="5" s="1"/>
  <c r="R25" i="5"/>
  <c r="S25" i="5" s="1"/>
  <c r="R24" i="5"/>
  <c r="S24" i="5" s="1"/>
  <c r="R23" i="5"/>
  <c r="S23" i="5" s="1"/>
  <c r="R22" i="5"/>
  <c r="R21" i="5"/>
  <c r="S21" i="5" s="1"/>
  <c r="R20" i="5"/>
  <c r="S19" i="5"/>
  <c r="R19" i="5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R11" i="5"/>
  <c r="R10" i="5"/>
  <c r="S10" i="5" s="1"/>
  <c r="R9" i="5"/>
  <c r="S9" i="5" s="1"/>
  <c r="S8" i="5"/>
  <c r="R8" i="5"/>
  <c r="R7" i="5"/>
  <c r="S7" i="5"/>
  <c r="R6" i="5"/>
  <c r="S6" i="5" s="1"/>
  <c r="R5" i="5"/>
  <c r="S5" i="5" s="1"/>
  <c r="R4" i="5"/>
  <c r="S4" i="5"/>
  <c r="R3" i="5"/>
  <c r="S3" i="5" s="1"/>
  <c r="R2" i="5"/>
  <c r="G109" i="2"/>
  <c r="G112" i="2"/>
  <c r="G111" i="2"/>
  <c r="G116" i="2"/>
  <c r="G108" i="2"/>
  <c r="G110" i="2"/>
  <c r="G106" i="2"/>
  <c r="G115" i="2"/>
  <c r="G114" i="2"/>
  <c r="G107" i="2"/>
  <c r="G113" i="2"/>
  <c r="E501" i="6"/>
  <c r="D501" i="7"/>
  <c r="F501" i="5"/>
  <c r="E501" i="9"/>
  <c r="E501" i="8"/>
  <c r="E500" i="6"/>
  <c r="F500" i="5"/>
  <c r="E500" i="9"/>
  <c r="D500" i="7"/>
  <c r="E500" i="8"/>
  <c r="F499" i="5"/>
  <c r="E499" i="8"/>
  <c r="E499" i="9"/>
  <c r="D499" i="7"/>
  <c r="E499" i="6"/>
  <c r="E498" i="6"/>
  <c r="E498" i="8"/>
  <c r="F498" i="5"/>
  <c r="E498" i="9"/>
  <c r="D498" i="7"/>
  <c r="E497" i="6"/>
  <c r="E497" i="8"/>
  <c r="F497" i="5"/>
  <c r="D497" i="7"/>
  <c r="E497" i="9"/>
  <c r="D496" i="7"/>
  <c r="E496" i="6"/>
  <c r="F496" i="5"/>
  <c r="E496" i="9"/>
  <c r="E496" i="8"/>
  <c r="D495" i="7"/>
  <c r="E495" i="8"/>
  <c r="E495" i="9"/>
  <c r="E495" i="6"/>
  <c r="F495" i="5"/>
  <c r="E494" i="8"/>
  <c r="F494" i="5"/>
  <c r="E494" i="6"/>
  <c r="D494" i="7"/>
  <c r="E494" i="9"/>
  <c r="E493" i="8"/>
  <c r="F493" i="5"/>
  <c r="E493" i="6"/>
  <c r="D493" i="7"/>
  <c r="E493" i="9"/>
  <c r="D492" i="7"/>
  <c r="E492" i="9"/>
  <c r="E492" i="8"/>
  <c r="F492" i="5"/>
  <c r="E492" i="6"/>
  <c r="D491" i="7"/>
  <c r="E491" i="6"/>
  <c r="E491" i="9"/>
  <c r="F491" i="5"/>
  <c r="E491" i="8"/>
  <c r="E490" i="8"/>
  <c r="D490" i="7"/>
  <c r="E490" i="6"/>
  <c r="E490" i="9"/>
  <c r="F490" i="5"/>
  <c r="F489" i="5"/>
  <c r="E489" i="8"/>
  <c r="E489" i="6"/>
  <c r="E489" i="9"/>
  <c r="D489" i="7"/>
  <c r="F488" i="5"/>
  <c r="E488" i="8"/>
  <c r="E488" i="6"/>
  <c r="D488" i="7"/>
  <c r="E488" i="9"/>
  <c r="E487" i="6"/>
  <c r="E487" i="8"/>
  <c r="D487" i="7"/>
  <c r="F487" i="5"/>
  <c r="E487" i="9"/>
  <c r="E486" i="6"/>
  <c r="E486" i="9"/>
  <c r="D486" i="7"/>
  <c r="F486" i="5"/>
  <c r="E486" i="8"/>
  <c r="F485" i="5"/>
  <c r="E485" i="6"/>
  <c r="E485" i="9"/>
  <c r="E485" i="8"/>
  <c r="D485" i="7"/>
  <c r="F484" i="5"/>
  <c r="E484" i="6"/>
  <c r="D484" i="7"/>
  <c r="E484" i="8"/>
  <c r="E484" i="9"/>
  <c r="F483" i="5"/>
  <c r="E483" i="9"/>
  <c r="D483" i="7"/>
  <c r="E483" i="8"/>
  <c r="E482" i="8"/>
  <c r="D482" i="7"/>
  <c r="F482" i="5"/>
  <c r="E482" i="9"/>
  <c r="E481" i="8"/>
  <c r="D481" i="7"/>
  <c r="E481" i="9"/>
  <c r="F481" i="5"/>
  <c r="E480" i="8"/>
  <c r="F480" i="5"/>
  <c r="D480" i="7"/>
  <c r="E480" i="9"/>
  <c r="S480" i="9" s="1"/>
  <c r="D479" i="7"/>
  <c r="E479" i="8"/>
  <c r="E479" i="9"/>
  <c r="S479" i="9" s="1"/>
  <c r="F479" i="5"/>
  <c r="D478" i="7"/>
  <c r="E478" i="8"/>
  <c r="E478" i="9"/>
  <c r="S478" i="9" s="1"/>
  <c r="F478" i="5"/>
  <c r="E477" i="8"/>
  <c r="F477" i="5"/>
  <c r="E477" i="9"/>
  <c r="S477" i="9" s="1"/>
  <c r="D477" i="7"/>
  <c r="D476" i="7"/>
  <c r="E476" i="9"/>
  <c r="S476" i="9" s="1"/>
  <c r="F476" i="5"/>
  <c r="E476" i="8"/>
  <c r="D475" i="7"/>
  <c r="E475" i="9"/>
  <c r="S475" i="9" s="1"/>
  <c r="F475" i="5"/>
  <c r="E475" i="8"/>
  <c r="D474" i="7"/>
  <c r="E474" i="9"/>
  <c r="S474" i="9" s="1"/>
  <c r="F474" i="5"/>
  <c r="E474" i="8"/>
  <c r="D473" i="7"/>
  <c r="E473" i="9"/>
  <c r="S473" i="9" s="1"/>
  <c r="F473" i="5"/>
  <c r="E473" i="8"/>
  <c r="D472" i="7"/>
  <c r="F472" i="5"/>
  <c r="E472" i="9"/>
  <c r="S472" i="9" s="1"/>
  <c r="E472" i="8"/>
  <c r="E471" i="8"/>
  <c r="F471" i="5"/>
  <c r="E471" i="9"/>
  <c r="S471" i="9" s="1"/>
  <c r="D471" i="7"/>
  <c r="F470" i="5"/>
  <c r="E470" i="9"/>
  <c r="S470" i="9" s="1"/>
  <c r="E470" i="8"/>
  <c r="D470" i="7"/>
  <c r="F469" i="5"/>
  <c r="E469" i="8"/>
  <c r="E469" i="9"/>
  <c r="S469" i="9" s="1"/>
  <c r="E469" i="6"/>
  <c r="D469" i="7"/>
  <c r="D468" i="7"/>
  <c r="F468" i="5"/>
  <c r="E468" i="6"/>
  <c r="E468" i="8"/>
  <c r="E468" i="9"/>
  <c r="S468" i="9" s="1"/>
  <c r="E467" i="9"/>
  <c r="S467" i="9" s="1"/>
  <c r="F467" i="5"/>
  <c r="E467" i="6"/>
  <c r="E467" i="8"/>
  <c r="D467" i="7"/>
  <c r="E466" i="9"/>
  <c r="S466" i="9" s="1"/>
  <c r="E466" i="8"/>
  <c r="E466" i="6"/>
  <c r="D466" i="7"/>
  <c r="F466" i="5"/>
  <c r="E465" i="9"/>
  <c r="S465" i="9" s="1"/>
  <c r="E465" i="6"/>
  <c r="D465" i="7"/>
  <c r="F465" i="5"/>
  <c r="E465" i="8"/>
  <c r="E464" i="9"/>
  <c r="S464" i="9" s="1"/>
  <c r="D464" i="7"/>
  <c r="E464" i="6"/>
  <c r="F464" i="5"/>
  <c r="E464" i="8"/>
  <c r="E463" i="6"/>
  <c r="E463" i="9"/>
  <c r="S463" i="9" s="1"/>
  <c r="D463" i="7"/>
  <c r="F463" i="5"/>
  <c r="E463" i="8"/>
  <c r="D462" i="7"/>
  <c r="E462" i="6"/>
  <c r="E462" i="9"/>
  <c r="S462" i="9" s="1"/>
  <c r="E462" i="8"/>
  <c r="F462" i="5"/>
  <c r="D461" i="7"/>
  <c r="F461" i="5"/>
  <c r="E461" i="9"/>
  <c r="S461" i="9" s="1"/>
  <c r="E461" i="8"/>
  <c r="E461" i="6"/>
  <c r="E460" i="9"/>
  <c r="S460" i="9" s="1"/>
  <c r="F460" i="5"/>
  <c r="E460" i="6"/>
  <c r="E460" i="8"/>
  <c r="D460" i="7"/>
  <c r="E459" i="9"/>
  <c r="S459" i="9" s="1"/>
  <c r="E459" i="6"/>
  <c r="E459" i="8"/>
  <c r="D459" i="7"/>
  <c r="F459" i="5"/>
  <c r="F458" i="5"/>
  <c r="E458" i="8"/>
  <c r="D458" i="7"/>
  <c r="E458" i="9"/>
  <c r="S458" i="9" s="1"/>
  <c r="E458" i="6"/>
  <c r="F457" i="5"/>
  <c r="S115" i="2" s="1"/>
  <c r="E457" i="6"/>
  <c r="E457" i="8"/>
  <c r="D457" i="7"/>
  <c r="E457" i="9"/>
  <c r="S457" i="9" s="1"/>
  <c r="D456" i="7"/>
  <c r="E456" i="8"/>
  <c r="E456" i="6"/>
  <c r="F456" i="5"/>
  <c r="E456" i="9"/>
  <c r="S456" i="9" s="1"/>
  <c r="E455" i="6"/>
  <c r="D455" i="7"/>
  <c r="E455" i="8"/>
  <c r="F455" i="5"/>
  <c r="E455" i="9"/>
  <c r="S455" i="9" s="1"/>
  <c r="E454" i="9"/>
  <c r="S454" i="9" s="1"/>
  <c r="D454" i="7"/>
  <c r="E454" i="6"/>
  <c r="E454" i="8"/>
  <c r="F454" i="5"/>
  <c r="F453" i="5"/>
  <c r="E453" i="6"/>
  <c r="D453" i="7"/>
  <c r="E453" i="8"/>
  <c r="E453" i="9"/>
  <c r="S453" i="9" s="1"/>
  <c r="E452" i="9"/>
  <c r="S452" i="9" s="1"/>
  <c r="F452" i="5"/>
  <c r="E452" i="6"/>
  <c r="D452" i="7"/>
  <c r="E452" i="8"/>
  <c r="F451" i="5"/>
  <c r="E451" i="9"/>
  <c r="S451" i="9" s="1"/>
  <c r="E451" i="8"/>
  <c r="D451" i="7"/>
  <c r="F450" i="5"/>
  <c r="E450" i="9"/>
  <c r="S450" i="9" s="1"/>
  <c r="E450" i="8"/>
  <c r="D450" i="7"/>
  <c r="F449" i="5"/>
  <c r="E449" i="8"/>
  <c r="D449" i="7"/>
  <c r="E449" i="9"/>
  <c r="S449" i="9" s="1"/>
  <c r="E448" i="8"/>
  <c r="F448" i="5"/>
  <c r="D448" i="7"/>
  <c r="E448" i="9"/>
  <c r="S448" i="9" s="1"/>
  <c r="E447" i="9"/>
  <c r="S447" i="9" s="1"/>
  <c r="D447" i="7"/>
  <c r="F447" i="5"/>
  <c r="E447" i="8"/>
  <c r="E446" i="9"/>
  <c r="S446" i="9" s="1"/>
  <c r="E446" i="8"/>
  <c r="D446" i="7"/>
  <c r="F446" i="5"/>
  <c r="E445" i="6"/>
  <c r="E445" i="8"/>
  <c r="F445" i="5"/>
  <c r="D445" i="7"/>
  <c r="E445" i="9"/>
  <c r="S445" i="9" s="1"/>
  <c r="E444" i="9"/>
  <c r="S444" i="9" s="1"/>
  <c r="F444" i="5"/>
  <c r="D444" i="7"/>
  <c r="E444" i="6"/>
  <c r="E444" i="8"/>
  <c r="D443" i="7"/>
  <c r="E443" i="6"/>
  <c r="F443" i="5"/>
  <c r="E443" i="8"/>
  <c r="E443" i="9"/>
  <c r="S443" i="9" s="1"/>
  <c r="E442" i="6"/>
  <c r="E442" i="8"/>
  <c r="F442" i="5"/>
  <c r="D442" i="7"/>
  <c r="E442" i="9"/>
  <c r="S442" i="9" s="1"/>
  <c r="E441" i="6"/>
  <c r="D441" i="7"/>
  <c r="E441" i="8"/>
  <c r="E441" i="9"/>
  <c r="S441" i="9" s="1"/>
  <c r="F441" i="5"/>
  <c r="D440" i="7"/>
  <c r="E440" i="9"/>
  <c r="S440" i="9" s="1"/>
  <c r="F440" i="5"/>
  <c r="E440" i="6"/>
  <c r="E440" i="8"/>
  <c r="E439" i="9"/>
  <c r="S439" i="9" s="1"/>
  <c r="F439" i="5"/>
  <c r="E439" i="6"/>
  <c r="D439" i="7"/>
  <c r="E439" i="8"/>
  <c r="F438" i="5"/>
  <c r="E438" i="9"/>
  <c r="S438" i="9" s="1"/>
  <c r="E438" i="8"/>
  <c r="D438" i="7"/>
  <c r="E438" i="6"/>
  <c r="E437" i="6"/>
  <c r="E437" i="8"/>
  <c r="D437" i="7"/>
  <c r="E437" i="9"/>
  <c r="S437" i="9" s="1"/>
  <c r="F437" i="5"/>
  <c r="E436" i="8"/>
  <c r="E436" i="9"/>
  <c r="S436" i="9" s="1"/>
  <c r="D436" i="7"/>
  <c r="E436" i="6"/>
  <c r="F436" i="5"/>
  <c r="E435" i="9"/>
  <c r="S435" i="9" s="1"/>
  <c r="E435" i="8"/>
  <c r="F435" i="5"/>
  <c r="D435" i="7"/>
  <c r="E435" i="6"/>
  <c r="E434" i="9"/>
  <c r="S434" i="9" s="1"/>
  <c r="F434" i="5"/>
  <c r="E434" i="8"/>
  <c r="D434" i="7"/>
  <c r="E434" i="6"/>
  <c r="E433" i="8"/>
  <c r="F433" i="5"/>
  <c r="E433" i="9"/>
  <c r="S433" i="9" s="1"/>
  <c r="D433" i="7"/>
  <c r="E433" i="6"/>
  <c r="F432" i="5"/>
  <c r="E432" i="8"/>
  <c r="E432" i="9"/>
  <c r="S432" i="9" s="1"/>
  <c r="E432" i="6"/>
  <c r="D432" i="7"/>
  <c r="F431" i="5"/>
  <c r="E431" i="9"/>
  <c r="S431" i="9" s="1"/>
  <c r="E431" i="8"/>
  <c r="D431" i="7"/>
  <c r="E431" i="6"/>
  <c r="E430" i="6"/>
  <c r="E430" i="9"/>
  <c r="S430" i="9" s="1"/>
  <c r="D430" i="7"/>
  <c r="E430" i="8"/>
  <c r="F430" i="5"/>
  <c r="F429" i="5"/>
  <c r="E429" i="6"/>
  <c r="E429" i="8"/>
  <c r="E429" i="9"/>
  <c r="S429" i="9" s="1"/>
  <c r="D429" i="7"/>
  <c r="F428" i="5"/>
  <c r="D428" i="7"/>
  <c r="E428" i="8"/>
  <c r="E428" i="6"/>
  <c r="E428" i="9"/>
  <c r="S428" i="9" s="1"/>
  <c r="F427" i="5"/>
  <c r="E427" i="8"/>
  <c r="D427" i="7"/>
  <c r="E427" i="9"/>
  <c r="E427" i="6"/>
  <c r="E426" i="8"/>
  <c r="D426" i="7"/>
  <c r="F426" i="5"/>
  <c r="E426" i="6"/>
  <c r="E426" i="9"/>
  <c r="E425" i="8"/>
  <c r="E425" i="9"/>
  <c r="F425" i="5"/>
  <c r="E425" i="6"/>
  <c r="D425" i="7"/>
  <c r="E424" i="9"/>
  <c r="E424" i="8"/>
  <c r="E424" i="6"/>
  <c r="D424" i="7"/>
  <c r="F424" i="5"/>
  <c r="F423" i="5"/>
  <c r="E423" i="8"/>
  <c r="D423" i="7"/>
  <c r="E423" i="6"/>
  <c r="E423" i="9"/>
  <c r="R355" i="5"/>
  <c r="S355" i="5"/>
  <c r="R354" i="5"/>
  <c r="S354" i="5"/>
  <c r="R353" i="5"/>
  <c r="S353" i="5"/>
  <c r="R352" i="5"/>
  <c r="S352" i="5"/>
  <c r="R351" i="5"/>
  <c r="S351" i="5"/>
  <c r="R350" i="5"/>
  <c r="S350" i="5"/>
  <c r="R349" i="5"/>
  <c r="S349" i="5"/>
  <c r="R348" i="5"/>
  <c r="S348" i="5"/>
  <c r="R347" i="5"/>
  <c r="S347" i="5"/>
  <c r="R346" i="5"/>
  <c r="S346" i="5"/>
  <c r="R345" i="5"/>
  <c r="S345" i="5"/>
  <c r="R344" i="5"/>
  <c r="S344" i="5"/>
  <c r="R343" i="5"/>
  <c r="S343" i="5"/>
  <c r="R342" i="5"/>
  <c r="S342" i="5"/>
  <c r="R341" i="5"/>
  <c r="S341" i="5"/>
  <c r="R340" i="5"/>
  <c r="S340" i="5"/>
  <c r="R339" i="5"/>
  <c r="S339" i="5"/>
  <c r="R338" i="5"/>
  <c r="S338" i="5"/>
  <c r="R337" i="5"/>
  <c r="S337" i="5"/>
  <c r="R336" i="5"/>
  <c r="S336" i="5"/>
  <c r="R335" i="5"/>
  <c r="S335" i="5"/>
  <c r="R334" i="5"/>
  <c r="S334" i="5"/>
  <c r="R333" i="5"/>
  <c r="S333" i="5"/>
  <c r="R332" i="5"/>
  <c r="S332" i="5"/>
  <c r="R331" i="5"/>
  <c r="S331" i="5"/>
  <c r="R330" i="5"/>
  <c r="S330" i="5"/>
  <c r="R329" i="5"/>
  <c r="S329" i="5"/>
  <c r="R328" i="5"/>
  <c r="S328" i="5"/>
  <c r="R327" i="5"/>
  <c r="S327" i="5"/>
  <c r="R326" i="5"/>
  <c r="S326" i="5"/>
  <c r="R325" i="5"/>
  <c r="S325" i="5"/>
  <c r="R324" i="5"/>
  <c r="S324" i="5"/>
  <c r="R323" i="5"/>
  <c r="S323" i="5"/>
  <c r="R322" i="5"/>
  <c r="S322" i="5"/>
  <c r="R321" i="5"/>
  <c r="S321" i="5"/>
  <c r="R320" i="5"/>
  <c r="S320" i="5"/>
  <c r="R319" i="5"/>
  <c r="S319" i="5"/>
  <c r="R318" i="5"/>
  <c r="S318" i="5"/>
  <c r="R317" i="5"/>
  <c r="S317" i="5"/>
  <c r="R316" i="5"/>
  <c r="S316" i="5"/>
  <c r="R315" i="5"/>
  <c r="S315" i="5"/>
  <c r="R314" i="5"/>
  <c r="S314" i="5"/>
  <c r="R313" i="5"/>
  <c r="S313" i="5"/>
  <c r="R312" i="5"/>
  <c r="S312" i="5"/>
  <c r="R311" i="5"/>
  <c r="S311" i="5"/>
  <c r="R310" i="5"/>
  <c r="S310" i="5"/>
  <c r="R309" i="5"/>
  <c r="S309" i="5"/>
  <c r="R308" i="5"/>
  <c r="S308" i="5"/>
  <c r="R307" i="5"/>
  <c r="S307" i="5"/>
  <c r="R306" i="5"/>
  <c r="S306" i="5"/>
  <c r="R305" i="5"/>
  <c r="S305" i="5"/>
  <c r="R304" i="5"/>
  <c r="S304" i="5"/>
  <c r="R303" i="5"/>
  <c r="S303" i="5"/>
  <c r="R302" i="5"/>
  <c r="S302" i="5"/>
  <c r="E249" i="9"/>
  <c r="S249" i="9" s="1"/>
  <c r="E249" i="6"/>
  <c r="E248" i="9"/>
  <c r="E248" i="6"/>
  <c r="E247" i="9"/>
  <c r="E247" i="6"/>
  <c r="E246" i="9"/>
  <c r="S246" i="9" s="1"/>
  <c r="E246" i="6"/>
  <c r="E245" i="6"/>
  <c r="E245" i="9"/>
  <c r="E244" i="9"/>
  <c r="E244" i="6"/>
  <c r="E243" i="9"/>
  <c r="E243" i="6"/>
  <c r="E242" i="6"/>
  <c r="E242" i="9"/>
  <c r="D242" i="7"/>
  <c r="E241" i="9"/>
  <c r="D241" i="7"/>
  <c r="E241" i="6"/>
  <c r="E240" i="6"/>
  <c r="E240" i="9"/>
  <c r="S240" i="9" s="1"/>
  <c r="D240" i="7"/>
  <c r="E239" i="9"/>
  <c r="E239" i="6"/>
  <c r="D239" i="7"/>
  <c r="E238" i="9"/>
  <c r="S238" i="9" s="1"/>
  <c r="E238" i="6"/>
  <c r="D238" i="7"/>
  <c r="E237" i="6"/>
  <c r="E237" i="9"/>
  <c r="S237" i="9" s="1"/>
  <c r="D237" i="7"/>
  <c r="E236" i="6"/>
  <c r="D236" i="7"/>
  <c r="E236" i="9"/>
  <c r="S236" i="9" s="1"/>
  <c r="E235" i="6"/>
  <c r="D235" i="7"/>
  <c r="E235" i="9"/>
  <c r="S235" i="9" s="1"/>
  <c r="E234" i="6"/>
  <c r="D234" i="7"/>
  <c r="E234" i="9"/>
  <c r="S234" i="9" s="1"/>
  <c r="E233" i="6"/>
  <c r="E233" i="9"/>
  <c r="S233" i="9" s="1"/>
  <c r="D233" i="7"/>
  <c r="E232" i="6"/>
  <c r="E232" i="9"/>
  <c r="S232" i="9" s="1"/>
  <c r="D232" i="7"/>
  <c r="E231" i="6"/>
  <c r="E231" i="9"/>
  <c r="S231" i="9" s="1"/>
  <c r="D231" i="7"/>
  <c r="E230" i="6"/>
  <c r="E230" i="9"/>
  <c r="S230" i="9" s="1"/>
  <c r="D230" i="7"/>
  <c r="E229" i="9"/>
  <c r="S229" i="9" s="1"/>
  <c r="E229" i="6"/>
  <c r="D229" i="7"/>
  <c r="E228" i="6"/>
  <c r="E228" i="9"/>
  <c r="S228" i="9" s="1"/>
  <c r="D228" i="7"/>
  <c r="D227" i="7"/>
  <c r="E227" i="6"/>
  <c r="E227" i="9"/>
  <c r="S227" i="9" s="1"/>
  <c r="D226" i="7"/>
  <c r="E226" i="9"/>
  <c r="S226" i="9" s="1"/>
  <c r="E226" i="6"/>
  <c r="E225" i="9"/>
  <c r="S225" i="9" s="1"/>
  <c r="D225" i="7"/>
  <c r="E225" i="6"/>
  <c r="E224" i="6"/>
  <c r="E224" i="9"/>
  <c r="S224" i="9" s="1"/>
  <c r="D224" i="7"/>
  <c r="E223" i="6"/>
  <c r="E223" i="9"/>
  <c r="S223" i="9" s="1"/>
  <c r="D223" i="7"/>
  <c r="E222" i="6"/>
  <c r="E222" i="9"/>
  <c r="S222" i="9" s="1"/>
  <c r="D222" i="7"/>
  <c r="D221" i="7"/>
  <c r="E221" i="9"/>
  <c r="S221" i="9" s="1"/>
  <c r="E221" i="6"/>
  <c r="D220" i="7"/>
  <c r="E220" i="9"/>
  <c r="S220" i="9" s="1"/>
  <c r="E220" i="6"/>
  <c r="D219" i="7"/>
  <c r="E219" i="9"/>
  <c r="S219" i="9" s="1"/>
  <c r="E219" i="6"/>
  <c r="E218" i="9"/>
  <c r="S218" i="9" s="1"/>
  <c r="D218" i="7"/>
  <c r="E218" i="6"/>
  <c r="E217" i="9"/>
  <c r="S217" i="9" s="1"/>
  <c r="D217" i="7"/>
  <c r="E217" i="6"/>
  <c r="E216" i="9"/>
  <c r="S216" i="9" s="1"/>
  <c r="E216" i="6"/>
  <c r="D216" i="7"/>
  <c r="E215" i="6"/>
  <c r="D215" i="7"/>
  <c r="E215" i="9"/>
  <c r="S215" i="9" s="1"/>
  <c r="E214" i="9"/>
  <c r="S214" i="9" s="1"/>
  <c r="D214" i="7"/>
  <c r="E214" i="6"/>
  <c r="E213" i="9"/>
  <c r="S213" i="9" s="1"/>
  <c r="D213" i="7"/>
  <c r="E213" i="6"/>
  <c r="E212" i="6"/>
  <c r="E212" i="9"/>
  <c r="S212" i="9" s="1"/>
  <c r="D212" i="7"/>
  <c r="E211" i="6"/>
  <c r="D211" i="7"/>
  <c r="E211" i="9"/>
  <c r="S211" i="9" s="1"/>
  <c r="E210" i="9"/>
  <c r="S210" i="9" s="1"/>
  <c r="E210" i="6"/>
  <c r="D210" i="7"/>
  <c r="E209" i="9"/>
  <c r="S209" i="9" s="1"/>
  <c r="E209" i="6"/>
  <c r="D209" i="7"/>
  <c r="D208" i="7"/>
  <c r="E208" i="9"/>
  <c r="S208" i="9" s="1"/>
  <c r="E208" i="6"/>
  <c r="D207" i="7"/>
  <c r="E207" i="9"/>
  <c r="S207" i="9" s="1"/>
  <c r="E207" i="6"/>
  <c r="E206" i="6"/>
  <c r="D206" i="7"/>
  <c r="E206" i="9"/>
  <c r="S206" i="9" s="1"/>
  <c r="E205" i="9"/>
  <c r="S205" i="9" s="1"/>
  <c r="D205" i="7"/>
  <c r="E205" i="6"/>
  <c r="E204" i="9"/>
  <c r="S204" i="9" s="1"/>
  <c r="E204" i="6"/>
  <c r="D204" i="7"/>
  <c r="E203" i="9"/>
  <c r="S203" i="9" s="1"/>
  <c r="E203" i="6"/>
  <c r="D203" i="7"/>
  <c r="E202" i="6"/>
  <c r="E202" i="9"/>
  <c r="S202" i="9" s="1"/>
  <c r="D202" i="7"/>
  <c r="E201" i="6"/>
  <c r="E201" i="9"/>
  <c r="S201" i="9" s="1"/>
  <c r="D201" i="7"/>
  <c r="E200" i="9"/>
  <c r="S200" i="9" s="1"/>
  <c r="E200" i="6"/>
  <c r="D200" i="7"/>
  <c r="E199" i="6"/>
  <c r="D199" i="7"/>
  <c r="E199" i="9"/>
  <c r="S199" i="9" s="1"/>
  <c r="E198" i="9"/>
  <c r="S198" i="9" s="1"/>
  <c r="D198" i="7"/>
  <c r="E198" i="6"/>
  <c r="E197" i="6"/>
  <c r="D197" i="7"/>
  <c r="E197" i="9"/>
  <c r="S197" i="9" s="1"/>
  <c r="D196" i="7"/>
  <c r="E196" i="9"/>
  <c r="S196" i="9" s="1"/>
  <c r="E196" i="6"/>
  <c r="D195" i="7"/>
  <c r="E195" i="6"/>
  <c r="E195" i="9"/>
  <c r="S195" i="9" s="1"/>
  <c r="E194" i="9"/>
  <c r="S194" i="9" s="1"/>
  <c r="E194" i="6"/>
  <c r="D194" i="7"/>
  <c r="E193" i="6"/>
  <c r="E193" i="9"/>
  <c r="S193" i="9" s="1"/>
  <c r="D193" i="7"/>
  <c r="D192" i="7"/>
  <c r="E192" i="6"/>
  <c r="E192" i="9"/>
  <c r="S192" i="9" s="1"/>
  <c r="E191" i="6"/>
  <c r="E191" i="9"/>
  <c r="S191" i="9" s="1"/>
  <c r="D191" i="7"/>
  <c r="D190" i="7"/>
  <c r="E190" i="6"/>
  <c r="E190" i="9"/>
  <c r="S190" i="9" s="1"/>
  <c r="E189" i="9"/>
  <c r="S189" i="9" s="1"/>
  <c r="E189" i="6"/>
  <c r="D189" i="7"/>
  <c r="E188" i="9"/>
  <c r="S188" i="9" s="1"/>
  <c r="E188" i="6"/>
  <c r="D188" i="7"/>
  <c r="E187" i="6"/>
  <c r="E187" i="9"/>
  <c r="S187" i="9" s="1"/>
  <c r="D187" i="7"/>
  <c r="E186" i="6"/>
  <c r="E186" i="9"/>
  <c r="S186" i="9" s="1"/>
  <c r="D186" i="7"/>
  <c r="E185" i="9"/>
  <c r="S185" i="9" s="1"/>
  <c r="E185" i="6"/>
  <c r="D185" i="7"/>
  <c r="E184" i="6"/>
  <c r="E184" i="9"/>
  <c r="S184" i="9" s="1"/>
  <c r="D184" i="7"/>
  <c r="E183" i="9"/>
  <c r="S183" i="9" s="1"/>
  <c r="E183" i="6"/>
  <c r="D183" i="7"/>
  <c r="E182" i="9"/>
  <c r="S182" i="9" s="1"/>
  <c r="D182" i="7"/>
  <c r="E182" i="6"/>
  <c r="E181" i="9"/>
  <c r="S181" i="9" s="1"/>
  <c r="E181" i="6"/>
  <c r="D181" i="7"/>
  <c r="D180" i="7"/>
  <c r="E180" i="9"/>
  <c r="S180" i="9" s="1"/>
  <c r="E180" i="6"/>
  <c r="E179" i="9"/>
  <c r="S179" i="9" s="1"/>
  <c r="D179" i="7"/>
  <c r="E179" i="6"/>
  <c r="D178" i="7"/>
  <c r="E178" i="6"/>
  <c r="E178" i="9"/>
  <c r="S178" i="9" s="1"/>
  <c r="E177" i="9"/>
  <c r="S177" i="9" s="1"/>
  <c r="E177" i="6"/>
  <c r="D177" i="7"/>
  <c r="E176" i="6"/>
  <c r="D176" i="7"/>
  <c r="E176" i="9"/>
  <c r="S176" i="9" s="1"/>
  <c r="E175" i="6"/>
  <c r="E175" i="9"/>
  <c r="S175" i="9" s="1"/>
  <c r="D175" i="7"/>
  <c r="E174" i="6"/>
  <c r="E174" i="9"/>
  <c r="S174" i="9" s="1"/>
  <c r="D174" i="7"/>
  <c r="E173" i="6"/>
  <c r="E173" i="9"/>
  <c r="S173" i="9" s="1"/>
  <c r="D173" i="7"/>
  <c r="E172" i="6"/>
  <c r="D172" i="7"/>
  <c r="E172" i="9"/>
  <c r="D171" i="7"/>
  <c r="E171" i="6"/>
  <c r="E171" i="9"/>
  <c r="E170" i="6"/>
  <c r="D170" i="7"/>
  <c r="E170" i="9"/>
  <c r="E169" i="6"/>
  <c r="E169" i="9"/>
  <c r="D169" i="7"/>
  <c r="E168" i="6"/>
  <c r="D168" i="7"/>
  <c r="E168" i="9"/>
  <c r="S168" i="9" s="1"/>
  <c r="D167" i="7"/>
  <c r="E167" i="9"/>
  <c r="E167" i="6"/>
  <c r="E166" i="6"/>
  <c r="E166" i="9"/>
  <c r="D166" i="7"/>
  <c r="D165" i="7"/>
  <c r="E165" i="9"/>
  <c r="E165" i="6"/>
  <c r="E164" i="6"/>
  <c r="E164" i="9"/>
  <c r="D164" i="7"/>
  <c r="D163" i="7"/>
  <c r="E163" i="6"/>
  <c r="E163" i="9"/>
  <c r="D162" i="7"/>
  <c r="E162" i="9"/>
  <c r="S162" i="9" s="1"/>
  <c r="E162" i="6"/>
  <c r="E161" i="9"/>
  <c r="S161" i="9" s="1"/>
  <c r="E161" i="6"/>
  <c r="D161" i="7"/>
  <c r="E160" i="9"/>
  <c r="S160" i="9" s="1"/>
  <c r="D160" i="7"/>
  <c r="E160" i="6"/>
  <c r="D159" i="7"/>
  <c r="E159" i="9"/>
  <c r="S159" i="9" s="1"/>
  <c r="E159" i="6"/>
  <c r="E158" i="9"/>
  <c r="S158" i="9" s="1"/>
  <c r="D158" i="7"/>
  <c r="F158" i="5"/>
  <c r="E158" i="6"/>
  <c r="D157" i="7"/>
  <c r="E157" i="6"/>
  <c r="E157" i="9"/>
  <c r="S157" i="9" s="1"/>
  <c r="F157" i="5"/>
  <c r="E156" i="6"/>
  <c r="D156" i="7"/>
  <c r="F156" i="5"/>
  <c r="E156" i="9"/>
  <c r="S156" i="9" s="1"/>
  <c r="E155" i="9"/>
  <c r="S155" i="9" s="1"/>
  <c r="E155" i="6"/>
  <c r="D155" i="7"/>
  <c r="F155" i="5"/>
  <c r="F154" i="5"/>
  <c r="E154" i="6"/>
  <c r="D154" i="7"/>
  <c r="E154" i="9"/>
  <c r="S154" i="9" s="1"/>
  <c r="F153" i="5"/>
  <c r="D153" i="7"/>
  <c r="E153" i="9"/>
  <c r="S153" i="9" s="1"/>
  <c r="E153" i="6"/>
  <c r="F152" i="5"/>
  <c r="E152" i="9"/>
  <c r="S152" i="9" s="1"/>
  <c r="D152" i="7"/>
  <c r="E152" i="6"/>
  <c r="E151" i="9"/>
  <c r="S151" i="9" s="1"/>
  <c r="F151" i="5"/>
  <c r="D151" i="7"/>
  <c r="E151" i="6"/>
  <c r="D150" i="7"/>
  <c r="F150" i="5"/>
  <c r="E150" i="9"/>
  <c r="S150" i="9" s="1"/>
  <c r="E150" i="6"/>
  <c r="E149" i="9"/>
  <c r="S149" i="9" s="1"/>
  <c r="D149" i="7"/>
  <c r="E149" i="6"/>
  <c r="F149" i="5"/>
  <c r="E148" i="6"/>
  <c r="D148" i="7"/>
  <c r="E148" i="9"/>
  <c r="S148" i="9" s="1"/>
  <c r="F148" i="5"/>
  <c r="E147" i="6"/>
  <c r="F147" i="5"/>
  <c r="D147" i="7"/>
  <c r="E147" i="9"/>
  <c r="S147" i="9" s="1"/>
  <c r="E146" i="6"/>
  <c r="F146" i="5"/>
  <c r="D146" i="7"/>
  <c r="E146" i="9"/>
  <c r="S146" i="9" s="1"/>
  <c r="E145" i="6"/>
  <c r="F145" i="5"/>
  <c r="D145" i="7"/>
  <c r="E145" i="9"/>
  <c r="S145" i="9" s="1"/>
  <c r="F144" i="5"/>
  <c r="D144" i="7"/>
  <c r="E144" i="6"/>
  <c r="E144" i="9"/>
  <c r="S144" i="9" s="1"/>
  <c r="E143" i="6"/>
  <c r="E143" i="9"/>
  <c r="S143" i="9" s="1"/>
  <c r="F143" i="5"/>
  <c r="D143" i="7"/>
  <c r="E142" i="9"/>
  <c r="S142" i="9" s="1"/>
  <c r="F142" i="5"/>
  <c r="D142" i="7"/>
  <c r="E142" i="6"/>
  <c r="F141" i="5"/>
  <c r="D141" i="7"/>
  <c r="E141" i="9"/>
  <c r="S141" i="9" s="1"/>
  <c r="E141" i="6"/>
  <c r="F140" i="5"/>
  <c r="D140" i="7"/>
  <c r="E140" i="6"/>
  <c r="E140" i="9"/>
  <c r="S140" i="9" s="1"/>
  <c r="D139" i="7"/>
  <c r="E139" i="6"/>
  <c r="F139" i="5"/>
  <c r="E139" i="9"/>
  <c r="S139" i="9" s="1"/>
  <c r="E138" i="9"/>
  <c r="S138" i="9" s="1"/>
  <c r="F138" i="5"/>
  <c r="E138" i="6"/>
  <c r="D138" i="7"/>
  <c r="D137" i="7"/>
  <c r="E137" i="6"/>
  <c r="E137" i="9"/>
  <c r="S137" i="9" s="1"/>
  <c r="F137" i="5"/>
  <c r="E136" i="6"/>
  <c r="F136" i="5"/>
  <c r="E136" i="9"/>
  <c r="S136" i="9" s="1"/>
  <c r="D136" i="7"/>
  <c r="E135" i="6"/>
  <c r="F135" i="5"/>
  <c r="S114" i="2" s="1"/>
  <c r="D135" i="7"/>
  <c r="E135" i="9"/>
  <c r="S135" i="9" s="1"/>
  <c r="F134" i="5"/>
  <c r="E134" i="9"/>
  <c r="S134" i="9" s="1"/>
  <c r="E134" i="6"/>
  <c r="D134" i="7"/>
  <c r="F133" i="5"/>
  <c r="E133" i="9"/>
  <c r="S133" i="9" s="1"/>
  <c r="E133" i="6"/>
  <c r="D133" i="7"/>
  <c r="E132" i="9"/>
  <c r="S132" i="9" s="1"/>
  <c r="E132" i="6"/>
  <c r="D132" i="7"/>
  <c r="F132" i="5"/>
  <c r="F131" i="5"/>
  <c r="E131" i="6"/>
  <c r="D131" i="7"/>
  <c r="E131" i="9"/>
  <c r="S131" i="9" s="1"/>
  <c r="E130" i="6"/>
  <c r="E130" i="8"/>
  <c r="F130" i="5"/>
  <c r="E130" i="9"/>
  <c r="S130" i="9" s="1"/>
  <c r="D130" i="7"/>
  <c r="E129" i="9"/>
  <c r="S129" i="9" s="1"/>
  <c r="F129" i="5"/>
  <c r="E129" i="6"/>
  <c r="D129" i="7"/>
  <c r="E129" i="8"/>
  <c r="D128" i="7"/>
  <c r="E128" i="9"/>
  <c r="S128" i="9" s="1"/>
  <c r="E128" i="6"/>
  <c r="F128" i="5"/>
  <c r="E128" i="8"/>
  <c r="E127" i="9"/>
  <c r="S127" i="9" s="1"/>
  <c r="F127" i="5"/>
  <c r="E127" i="6"/>
  <c r="E127" i="8"/>
  <c r="D127" i="7"/>
  <c r="F126" i="5"/>
  <c r="E126" i="9"/>
  <c r="S126" i="9" s="1"/>
  <c r="E126" i="8"/>
  <c r="E126" i="6"/>
  <c r="D126" i="7"/>
  <c r="E125" i="6"/>
  <c r="E125" i="8"/>
  <c r="E125" i="9"/>
  <c r="S125" i="9" s="1"/>
  <c r="F125" i="5"/>
  <c r="D125" i="7"/>
  <c r="E124" i="8"/>
  <c r="E124" i="6"/>
  <c r="E124" i="9"/>
  <c r="S124" i="9" s="1"/>
  <c r="F124" i="5"/>
  <c r="D124" i="7"/>
  <c r="E123" i="8"/>
  <c r="E123" i="9"/>
  <c r="S123" i="9" s="1"/>
  <c r="F123" i="5"/>
  <c r="E123" i="6"/>
  <c r="D123" i="7"/>
  <c r="E122" i="8"/>
  <c r="F122" i="5"/>
  <c r="D122" i="7"/>
  <c r="E122" i="6"/>
  <c r="E122" i="9"/>
  <c r="S122" i="9" s="1"/>
  <c r="E121" i="9"/>
  <c r="S121" i="9" s="1"/>
  <c r="E121" i="6"/>
  <c r="E121" i="8"/>
  <c r="D121" i="7"/>
  <c r="F121" i="5"/>
  <c r="D120" i="7"/>
  <c r="E120" i="8"/>
  <c r="F120" i="5"/>
  <c r="T27" i="2" s="1"/>
  <c r="E120" i="6"/>
  <c r="E120" i="9"/>
  <c r="S120" i="9" s="1"/>
  <c r="E119" i="8"/>
  <c r="E119" i="9"/>
  <c r="S119" i="9" s="1"/>
  <c r="D119" i="7"/>
  <c r="F119" i="5"/>
  <c r="E119" i="6"/>
  <c r="E118" i="8"/>
  <c r="D118" i="7"/>
  <c r="E118" i="6"/>
  <c r="F118" i="5"/>
  <c r="E118" i="9"/>
  <c r="S118" i="9" s="1"/>
  <c r="F117" i="5"/>
  <c r="D115" i="2"/>
  <c r="Q115" i="2"/>
  <c r="D117" i="7"/>
  <c r="E117" i="6"/>
  <c r="E117" i="8"/>
  <c r="E117" i="9"/>
  <c r="S117" i="9" s="1"/>
  <c r="E116" i="8"/>
  <c r="D116" i="7"/>
  <c r="F116" i="5"/>
  <c r="E116" i="9"/>
  <c r="S116" i="9" s="1"/>
  <c r="E116" i="6"/>
  <c r="D115" i="7"/>
  <c r="E115" i="6"/>
  <c r="E115" i="8"/>
  <c r="F115" i="5"/>
  <c r="E115" i="9"/>
  <c r="S115" i="9" s="1"/>
  <c r="E114" i="6"/>
  <c r="E114" i="9"/>
  <c r="S114" i="9" s="1"/>
  <c r="D114" i="7"/>
  <c r="F114" i="5"/>
  <c r="E114" i="8"/>
  <c r="E113" i="8"/>
  <c r="E113" i="9"/>
  <c r="S113" i="9" s="1"/>
  <c r="E113" i="6"/>
  <c r="D113" i="7"/>
  <c r="F113" i="5"/>
  <c r="E112" i="9"/>
  <c r="S112" i="9" s="1"/>
  <c r="E112" i="6"/>
  <c r="E112" i="8"/>
  <c r="D112" i="7"/>
  <c r="F112" i="5"/>
  <c r="D111" i="7"/>
  <c r="E111" i="9"/>
  <c r="S111" i="9" s="1"/>
  <c r="E111" i="6"/>
  <c r="E111" i="8"/>
  <c r="F111" i="5"/>
  <c r="F110" i="5"/>
  <c r="D110" i="7"/>
  <c r="E110" i="9"/>
  <c r="S110" i="9" s="1"/>
  <c r="E110" i="6"/>
  <c r="E110" i="8"/>
  <c r="F109" i="5"/>
  <c r="D109" i="7"/>
  <c r="E109" i="9"/>
  <c r="S109" i="9" s="1"/>
  <c r="E109" i="6"/>
  <c r="E109" i="8"/>
  <c r="F108" i="5"/>
  <c r="E108" i="8"/>
  <c r="D108" i="7"/>
  <c r="E108" i="9"/>
  <c r="S108" i="9" s="1"/>
  <c r="E108" i="6"/>
  <c r="E107" i="8"/>
  <c r="D107" i="7"/>
  <c r="E107" i="6"/>
  <c r="E107" i="9"/>
  <c r="S107" i="9" s="1"/>
  <c r="F107" i="5"/>
  <c r="D106" i="7"/>
  <c r="E106" i="6"/>
  <c r="E106" i="8"/>
  <c r="E106" i="9"/>
  <c r="S106" i="9" s="1"/>
  <c r="F106" i="5"/>
  <c r="D105" i="7"/>
  <c r="E105" i="6"/>
  <c r="E105" i="8"/>
  <c r="F105" i="5"/>
  <c r="E105" i="9"/>
  <c r="S105" i="9" s="1"/>
  <c r="E104" i="6"/>
  <c r="D104" i="7"/>
  <c r="E104" i="8"/>
  <c r="E104" i="9"/>
  <c r="S104" i="9" s="1"/>
  <c r="F104" i="5"/>
  <c r="E103" i="6"/>
  <c r="E103" i="9"/>
  <c r="S103" i="9" s="1"/>
  <c r="E103" i="8"/>
  <c r="F103" i="5"/>
  <c r="D103" i="7"/>
  <c r="E102" i="8"/>
  <c r="E102" i="9"/>
  <c r="S102" i="9" s="1"/>
  <c r="E102" i="6"/>
  <c r="D102" i="7"/>
  <c r="F102" i="5"/>
  <c r="E101" i="8"/>
  <c r="E101" i="6"/>
  <c r="D101" i="7"/>
  <c r="F101" i="5"/>
  <c r="E101" i="9"/>
  <c r="S101" i="9" s="1"/>
  <c r="E100" i="6"/>
  <c r="F100" i="5"/>
  <c r="E100" i="9"/>
  <c r="S100" i="9" s="1"/>
  <c r="D100" i="7"/>
  <c r="E100" i="8"/>
  <c r="F99" i="5"/>
  <c r="E99" i="8"/>
  <c r="D99" i="7"/>
  <c r="E99" i="9"/>
  <c r="S99" i="9" s="1"/>
  <c r="E99" i="6"/>
  <c r="D98" i="7"/>
  <c r="E98" i="8"/>
  <c r="E98" i="6"/>
  <c r="E98" i="9"/>
  <c r="S98" i="9" s="1"/>
  <c r="F98" i="5"/>
  <c r="E97" i="8"/>
  <c r="E97" i="6"/>
  <c r="E97" i="9"/>
  <c r="S97" i="9" s="1"/>
  <c r="F97" i="5"/>
  <c r="D97" i="7"/>
  <c r="D96" i="7"/>
  <c r="E96" i="8"/>
  <c r="E96" i="9"/>
  <c r="S96" i="9" s="1"/>
  <c r="F96" i="5"/>
  <c r="E96" i="6"/>
  <c r="D95" i="7"/>
  <c r="E95" i="8"/>
  <c r="F95" i="5"/>
  <c r="E95" i="6"/>
  <c r="E95" i="9"/>
  <c r="S95" i="9" s="1"/>
  <c r="E94" i="6"/>
  <c r="D94" i="7"/>
  <c r="E94" i="8"/>
  <c r="E94" i="9"/>
  <c r="S94" i="9" s="1"/>
  <c r="F94" i="5"/>
  <c r="E93" i="8"/>
  <c r="D93" i="7"/>
  <c r="F93" i="5"/>
  <c r="E93" i="9"/>
  <c r="S93" i="9" s="1"/>
  <c r="E93" i="6"/>
  <c r="E92" i="8"/>
  <c r="D92" i="7"/>
  <c r="E92" i="6"/>
  <c r="F92" i="5"/>
  <c r="E92" i="9"/>
  <c r="S92" i="9" s="1"/>
  <c r="E91" i="6"/>
  <c r="E91" i="8"/>
  <c r="F91" i="5"/>
  <c r="D91" i="7"/>
  <c r="E91" i="9"/>
  <c r="S91" i="9" s="1"/>
  <c r="E90" i="6"/>
  <c r="E90" i="8"/>
  <c r="E90" i="9"/>
  <c r="S90" i="9" s="1"/>
  <c r="F90" i="5"/>
  <c r="D90" i="7"/>
  <c r="E89" i="6"/>
  <c r="D89" i="7"/>
  <c r="E89" i="8"/>
  <c r="F89" i="5"/>
  <c r="E89" i="9"/>
  <c r="D88" i="7"/>
  <c r="E88" i="8"/>
  <c r="F88" i="5"/>
  <c r="E88" i="9"/>
  <c r="E88" i="6"/>
  <c r="E87" i="6"/>
  <c r="D87" i="7"/>
  <c r="E87" i="8"/>
  <c r="E87" i="9"/>
  <c r="F87" i="5"/>
  <c r="E86" i="8"/>
  <c r="D86" i="7"/>
  <c r="E86" i="9"/>
  <c r="F86" i="5"/>
  <c r="E86" i="6"/>
  <c r="E85" i="8"/>
  <c r="E85" i="9"/>
  <c r="D85" i="7"/>
  <c r="Q110" i="2"/>
  <c r="F85" i="5"/>
  <c r="E85" i="6"/>
  <c r="E84" i="8"/>
  <c r="E84" i="6"/>
  <c r="D84" i="7"/>
  <c r="E84" i="9"/>
  <c r="F84" i="5"/>
  <c r="D83" i="7"/>
  <c r="E83" i="8"/>
  <c r="E83" i="9"/>
  <c r="E83" i="6"/>
  <c r="F83" i="5"/>
  <c r="E82" i="9"/>
  <c r="D82" i="7"/>
  <c r="E82" i="6"/>
  <c r="E82" i="8"/>
  <c r="F82" i="5"/>
  <c r="E81" i="9"/>
  <c r="E81" i="6"/>
  <c r="E81" i="8"/>
  <c r="D81" i="7"/>
  <c r="F81" i="5"/>
  <c r="D80" i="7"/>
  <c r="Q111" i="2"/>
  <c r="E80" i="9"/>
  <c r="S80" i="9" s="1"/>
  <c r="E80" i="6"/>
  <c r="E80" i="8"/>
  <c r="F80" i="5"/>
  <c r="E79" i="9"/>
  <c r="S79" i="9" s="1"/>
  <c r="F79" i="5"/>
  <c r="E79" i="8"/>
  <c r="E79" i="6"/>
  <c r="D79" i="7"/>
  <c r="D78" i="7"/>
  <c r="F78" i="5"/>
  <c r="E78" i="6"/>
  <c r="E78" i="9"/>
  <c r="S78" i="9" s="1"/>
  <c r="E78" i="8"/>
  <c r="D77" i="7"/>
  <c r="E77" i="6"/>
  <c r="E77" i="9"/>
  <c r="S77" i="9" s="1"/>
  <c r="F77" i="5"/>
  <c r="E77" i="8"/>
  <c r="E76" i="6"/>
  <c r="E76" i="9"/>
  <c r="S76" i="9" s="1"/>
  <c r="D76" i="7"/>
  <c r="E76" i="8"/>
  <c r="F76" i="5"/>
  <c r="E75" i="8"/>
  <c r="D75" i="7"/>
  <c r="E75" i="6"/>
  <c r="E75" i="9"/>
  <c r="S75" i="9" s="1"/>
  <c r="F75" i="5"/>
  <c r="E74" i="8"/>
  <c r="D74" i="7"/>
  <c r="E74" i="9"/>
  <c r="S74" i="9" s="1"/>
  <c r="E74" i="6"/>
  <c r="F74" i="5"/>
  <c r="E73" i="9"/>
  <c r="S73" i="9" s="1"/>
  <c r="F73" i="5"/>
  <c r="D73" i="7"/>
  <c r="E73" i="8"/>
  <c r="E73" i="6"/>
  <c r="F72" i="5"/>
  <c r="E72" i="9"/>
  <c r="S72" i="9" s="1"/>
  <c r="E72" i="8"/>
  <c r="E72" i="6"/>
  <c r="D72" i="7"/>
  <c r="E71" i="9"/>
  <c r="S71" i="9" s="1"/>
  <c r="F71" i="5"/>
  <c r="D71" i="7"/>
  <c r="E71" i="8"/>
  <c r="E71" i="6"/>
  <c r="F70" i="5"/>
  <c r="D70" i="7"/>
  <c r="E70" i="6"/>
  <c r="E70" i="9"/>
  <c r="S70" i="9" s="1"/>
  <c r="E70" i="8"/>
  <c r="F69" i="5"/>
  <c r="E69" i="9"/>
  <c r="S69" i="9" s="1"/>
  <c r="E69" i="6"/>
  <c r="E69" i="8"/>
  <c r="D69" i="7"/>
  <c r="F68" i="5"/>
  <c r="E68" i="9"/>
  <c r="S68" i="9" s="1"/>
  <c r="D68" i="7"/>
  <c r="E68" i="8"/>
  <c r="E68" i="6"/>
  <c r="E67" i="8"/>
  <c r="E67" i="9"/>
  <c r="S67" i="9" s="1"/>
  <c r="E67" i="6"/>
  <c r="F67" i="5"/>
  <c r="D67" i="7"/>
  <c r="E66" i="9"/>
  <c r="S66" i="9" s="1"/>
  <c r="E66" i="8"/>
  <c r="E66" i="6"/>
  <c r="F66" i="5"/>
  <c r="D66" i="7"/>
  <c r="E65" i="6"/>
  <c r="E65" i="9"/>
  <c r="S65" i="9" s="1"/>
  <c r="F65" i="5"/>
  <c r="E65" i="8"/>
  <c r="D65" i="7"/>
  <c r="E64" i="6"/>
  <c r="F64" i="5"/>
  <c r="D64" i="7"/>
  <c r="E64" i="8"/>
  <c r="E64" i="9"/>
  <c r="S64" i="9" s="1"/>
  <c r="E63" i="6"/>
  <c r="F63" i="5"/>
  <c r="E63" i="9"/>
  <c r="S63" i="9" s="1"/>
  <c r="D63" i="7"/>
  <c r="E63" i="8"/>
  <c r="E62" i="8"/>
  <c r="F62" i="5"/>
  <c r="D62" i="7"/>
  <c r="E62" i="9"/>
  <c r="S62" i="9" s="1"/>
  <c r="E62" i="6"/>
  <c r="E61" i="6"/>
  <c r="F61" i="5"/>
  <c r="E61" i="8"/>
  <c r="E61" i="9"/>
  <c r="S61" i="9" s="1"/>
  <c r="D61" i="7"/>
  <c r="E60" i="9"/>
  <c r="S60" i="9" s="1"/>
  <c r="D60" i="7"/>
  <c r="E60" i="8"/>
  <c r="E60" i="6"/>
  <c r="F60" i="5"/>
  <c r="D59" i="7"/>
  <c r="E59" i="8"/>
  <c r="E59" i="6"/>
  <c r="E59" i="9"/>
  <c r="S59" i="9" s="1"/>
  <c r="F59" i="5"/>
  <c r="E58" i="6"/>
  <c r="E58" i="8"/>
  <c r="D58" i="7"/>
  <c r="E58" i="9"/>
  <c r="S58" i="9" s="1"/>
  <c r="F58" i="5"/>
  <c r="S106" i="2" s="1"/>
  <c r="E57" i="6"/>
  <c r="E57" i="8"/>
  <c r="D57" i="7"/>
  <c r="E57" i="9"/>
  <c r="S57" i="9" s="1"/>
  <c r="F57" i="5"/>
  <c r="F56" i="5"/>
  <c r="D56" i="7"/>
  <c r="E56" i="6"/>
  <c r="E56" i="8"/>
  <c r="E56" i="9"/>
  <c r="S56" i="9" s="1"/>
  <c r="D55" i="7"/>
  <c r="F55" i="5"/>
  <c r="N21" i="2" s="1"/>
  <c r="E55" i="6"/>
  <c r="E55" i="8"/>
  <c r="Q107" i="2"/>
  <c r="E55" i="9"/>
  <c r="S55" i="9" s="1"/>
  <c r="F54" i="5"/>
  <c r="E54" i="8"/>
  <c r="E16" i="2" s="1"/>
  <c r="D54" i="7"/>
  <c r="E54" i="9"/>
  <c r="S54" i="9" s="1"/>
  <c r="E54" i="6"/>
  <c r="E53" i="9"/>
  <c r="S53" i="9" s="1"/>
  <c r="F53" i="5"/>
  <c r="E53" i="8"/>
  <c r="D53" i="7"/>
  <c r="E53" i="6"/>
  <c r="E52" i="8"/>
  <c r="F52" i="5"/>
  <c r="E52" i="9"/>
  <c r="S52" i="9" s="1"/>
  <c r="E52" i="6"/>
  <c r="D52" i="7"/>
  <c r="F51" i="5"/>
  <c r="E51" i="9"/>
  <c r="S51" i="9" s="1"/>
  <c r="E51" i="8"/>
  <c r="E51" i="6"/>
  <c r="D51" i="7"/>
  <c r="F50" i="5"/>
  <c r="E50" i="8"/>
  <c r="E50" i="6"/>
  <c r="D50" i="7"/>
  <c r="E50" i="9"/>
  <c r="S50" i="9" s="1"/>
  <c r="E49" i="6"/>
  <c r="E49" i="9"/>
  <c r="S49" i="9" s="1"/>
  <c r="E49" i="8"/>
  <c r="D49" i="7"/>
  <c r="F49" i="5"/>
  <c r="S112" i="2" s="1"/>
  <c r="F48" i="5"/>
  <c r="E48" i="6"/>
  <c r="E48" i="8"/>
  <c r="D48" i="7"/>
  <c r="E48" i="9"/>
  <c r="S48" i="9" s="1"/>
  <c r="E47" i="6"/>
  <c r="E47" i="8"/>
  <c r="F47" i="5"/>
  <c r="D47" i="7"/>
  <c r="E47" i="9"/>
  <c r="S47" i="9" s="1"/>
  <c r="D46" i="7"/>
  <c r="E46" i="9"/>
  <c r="S46" i="9" s="1"/>
  <c r="E46" i="6"/>
  <c r="F46" i="5"/>
  <c r="E46" i="8"/>
  <c r="F45" i="5"/>
  <c r="E45" i="8"/>
  <c r="D45" i="7"/>
  <c r="E45" i="9"/>
  <c r="S45" i="9" s="1"/>
  <c r="E45" i="6"/>
  <c r="E44" i="8"/>
  <c r="D112" i="2"/>
  <c r="E44" i="9"/>
  <c r="S44" i="9" s="1"/>
  <c r="F44" i="5"/>
  <c r="Q112" i="2"/>
  <c r="D44" i="7"/>
  <c r="E44" i="6"/>
  <c r="F43" i="5"/>
  <c r="D43" i="7"/>
  <c r="E43" i="9"/>
  <c r="S43" i="9" s="1"/>
  <c r="E43" i="8"/>
  <c r="E43" i="6"/>
  <c r="F42" i="5"/>
  <c r="D42" i="7"/>
  <c r="E42" i="9"/>
  <c r="S42" i="9" s="1"/>
  <c r="E42" i="8"/>
  <c r="E42" i="6"/>
  <c r="E41" i="6"/>
  <c r="E41" i="8"/>
  <c r="E41" i="9"/>
  <c r="S41" i="9" s="1"/>
  <c r="F41" i="5"/>
  <c r="D41" i="7"/>
  <c r="F40" i="5"/>
  <c r="S113" i="2" s="1"/>
  <c r="E40" i="6"/>
  <c r="E40" i="9"/>
  <c r="S40" i="9" s="1"/>
  <c r="E40" i="8"/>
  <c r="D40" i="7"/>
  <c r="E39" i="9"/>
  <c r="S39" i="9" s="1"/>
  <c r="F39" i="5"/>
  <c r="D39" i="7"/>
  <c r="E39" i="8"/>
  <c r="E39" i="6"/>
  <c r="D110" i="2"/>
  <c r="E38" i="6"/>
  <c r="F38" i="5"/>
  <c r="S110" i="2" s="1"/>
  <c r="E38" i="9"/>
  <c r="D38" i="7"/>
  <c r="E38" i="8"/>
  <c r="F37" i="5"/>
  <c r="E37" i="9"/>
  <c r="S37" i="9" s="1"/>
  <c r="D37" i="7"/>
  <c r="E37" i="8"/>
  <c r="E37" i="6"/>
  <c r="E36" i="9"/>
  <c r="S36" i="9" s="1"/>
  <c r="F36" i="5"/>
  <c r="S107" i="2" s="1"/>
  <c r="E36" i="6"/>
  <c r="D36" i="7"/>
  <c r="E36" i="8"/>
  <c r="E35" i="8"/>
  <c r="D35" i="7"/>
  <c r="E35" i="6"/>
  <c r="F35" i="5"/>
  <c r="N27" i="2" s="1"/>
  <c r="D106" i="2"/>
  <c r="Q106" i="2"/>
  <c r="E35" i="9"/>
  <c r="S35" i="9" s="1"/>
  <c r="D34" i="7"/>
  <c r="E34" i="8"/>
  <c r="Q109" i="2"/>
  <c r="D109" i="2"/>
  <c r="F34" i="5"/>
  <c r="E34" i="6"/>
  <c r="E34" i="9"/>
  <c r="E33" i="8"/>
  <c r="E33" i="6"/>
  <c r="D33" i="7"/>
  <c r="F33" i="5"/>
  <c r="Q24" i="2" s="1"/>
  <c r="D107" i="2"/>
  <c r="E33" i="9"/>
  <c r="S33" i="9" s="1"/>
  <c r="E32" i="9"/>
  <c r="S32" i="9" s="1"/>
  <c r="D32" i="7"/>
  <c r="F32" i="5"/>
  <c r="S111" i="2" s="1"/>
  <c r="E32" i="8"/>
  <c r="U111" i="2"/>
  <c r="E32" i="6"/>
  <c r="D111" i="2"/>
  <c r="E31" i="6"/>
  <c r="D113" i="2"/>
  <c r="D31" i="7"/>
  <c r="E31" i="9"/>
  <c r="S31" i="9" s="1"/>
  <c r="E31" i="8"/>
  <c r="F31" i="5"/>
  <c r="N24" i="2" s="1"/>
  <c r="Q113" i="2"/>
  <c r="E30" i="6"/>
  <c r="Q108" i="2"/>
  <c r="E30" i="8"/>
  <c r="E15" i="2" s="1"/>
  <c r="D30" i="7"/>
  <c r="E30" i="9"/>
  <c r="D108" i="2"/>
  <c r="F30" i="5"/>
  <c r="R22" i="4"/>
  <c r="U112" i="2"/>
  <c r="R20" i="4"/>
  <c r="U109" i="2"/>
  <c r="R17" i="4"/>
  <c r="U108" i="2"/>
  <c r="R14" i="4"/>
  <c r="U115" i="2"/>
  <c r="L115" i="2"/>
  <c r="R12" i="4"/>
  <c r="U110" i="2"/>
  <c r="L110" i="2"/>
  <c r="R11" i="4"/>
  <c r="U113" i="2"/>
  <c r="L113" i="2"/>
  <c r="M113" i="2"/>
  <c r="R10" i="4"/>
  <c r="U107" i="2"/>
  <c r="E9" i="6"/>
  <c r="E9" i="9"/>
  <c r="S9" i="9" s="1"/>
  <c r="E8" i="9"/>
  <c r="E8" i="6"/>
  <c r="E7" i="9"/>
  <c r="E7" i="6"/>
  <c r="E6" i="6"/>
  <c r="E6" i="9"/>
  <c r="S6" i="9" s="1"/>
  <c r="E5" i="6"/>
  <c r="E5" i="9"/>
  <c r="S5" i="9" s="1"/>
  <c r="E4" i="9"/>
  <c r="S4" i="9" s="1"/>
  <c r="E4" i="6"/>
  <c r="R3" i="4"/>
  <c r="Q8" i="2" s="1"/>
  <c r="U106" i="2"/>
  <c r="E3" i="9"/>
  <c r="E3" i="6"/>
  <c r="E2" i="9"/>
  <c r="U116" i="2"/>
  <c r="U114" i="2"/>
  <c r="D116" i="2"/>
  <c r="Q116" i="2"/>
  <c r="E2" i="6"/>
  <c r="D114" i="2"/>
  <c r="Q114" i="2"/>
  <c r="S322" i="9"/>
  <c r="S321" i="9"/>
  <c r="S316" i="9"/>
  <c r="S311" i="9"/>
  <c r="S308" i="9"/>
  <c r="S303" i="9"/>
  <c r="S274" i="9"/>
  <c r="S262" i="9"/>
  <c r="S252" i="9"/>
  <c r="S10" i="9"/>
  <c r="S273" i="9"/>
  <c r="B5" i="13" l="1"/>
  <c r="D20" i="2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L15" i="13"/>
  <c r="L24" i="13"/>
  <c r="L35" i="13"/>
  <c r="L41" i="13"/>
  <c r="L52" i="13"/>
  <c r="L63" i="13"/>
  <c r="L76" i="13"/>
  <c r="L92" i="13"/>
  <c r="L102" i="13"/>
  <c r="L113" i="13"/>
  <c r="L121" i="13"/>
  <c r="B2" i="2"/>
  <c r="L1" i="13"/>
  <c r="Q22" i="9"/>
  <c r="R22" i="9" s="1"/>
  <c r="S22" i="9" s="1"/>
  <c r="N112" i="2" s="1"/>
  <c r="J112" i="2"/>
  <c r="Q20" i="9"/>
  <c r="R20" i="9" s="1"/>
  <c r="S20" i="9" s="1"/>
  <c r="N109" i="2" s="1"/>
  <c r="J109" i="2"/>
  <c r="Q17" i="9"/>
  <c r="R17" i="9" s="1"/>
  <c r="S17" i="9" s="1"/>
  <c r="N108" i="2" s="1"/>
  <c r="J108" i="2"/>
  <c r="Q14" i="9"/>
  <c r="R14" i="9" s="1"/>
  <c r="S14" i="9" s="1"/>
  <c r="N115" i="2" s="1"/>
  <c r="J115" i="2"/>
  <c r="Q12" i="9"/>
  <c r="R12" i="9" s="1"/>
  <c r="S12" i="9" s="1"/>
  <c r="N110" i="2" s="1"/>
  <c r="J110" i="2"/>
  <c r="Q11" i="9"/>
  <c r="R11" i="9" s="1"/>
  <c r="S11" i="9" s="1"/>
  <c r="N113" i="2" s="1"/>
  <c r="J113" i="2"/>
  <c r="N501" i="6"/>
  <c r="P501" i="6"/>
  <c r="R501" i="5"/>
  <c r="S501" i="5"/>
  <c r="N500" i="6"/>
  <c r="P500" i="6"/>
  <c r="R500" i="5"/>
  <c r="S500" i="5"/>
  <c r="R499" i="5"/>
  <c r="H110" i="2" s="1"/>
  <c r="S499" i="5"/>
  <c r="N499" i="6"/>
  <c r="P499" i="6"/>
  <c r="N498" i="6"/>
  <c r="P498" i="6"/>
  <c r="R498" i="5"/>
  <c r="S498" i="5" s="1"/>
  <c r="N497" i="6"/>
  <c r="P497" i="6"/>
  <c r="R497" i="5"/>
  <c r="S497" i="5" s="1"/>
  <c r="N496" i="6"/>
  <c r="P496" i="6"/>
  <c r="R496" i="5"/>
  <c r="S496" i="5" s="1"/>
  <c r="N495" i="6"/>
  <c r="P495" i="6"/>
  <c r="R495" i="5"/>
  <c r="S495" i="5" s="1"/>
  <c r="R494" i="5"/>
  <c r="S494" i="5"/>
  <c r="N494" i="6"/>
  <c r="P494" i="6"/>
  <c r="R493" i="5"/>
  <c r="S493" i="5"/>
  <c r="N493" i="6"/>
  <c r="P493" i="6"/>
  <c r="R492" i="5"/>
  <c r="S492" i="5"/>
  <c r="N492" i="6"/>
  <c r="P492" i="6"/>
  <c r="N491" i="6"/>
  <c r="P491" i="6"/>
  <c r="R491" i="5"/>
  <c r="S491" i="5"/>
  <c r="N490" i="6"/>
  <c r="P490" i="6"/>
  <c r="R490" i="5"/>
  <c r="S490" i="5"/>
  <c r="R489" i="5"/>
  <c r="S489" i="5"/>
  <c r="N489" i="6"/>
  <c r="P489" i="6"/>
  <c r="R488" i="5"/>
  <c r="S488" i="5"/>
  <c r="N488" i="6"/>
  <c r="P488" i="6"/>
  <c r="N487" i="6"/>
  <c r="P487" i="6"/>
  <c r="R487" i="5"/>
  <c r="S487" i="5"/>
  <c r="N486" i="6"/>
  <c r="P486" i="6"/>
  <c r="R486" i="5"/>
  <c r="S486" i="5"/>
  <c r="R485" i="5"/>
  <c r="S485" i="5"/>
  <c r="N485" i="6"/>
  <c r="P485" i="6"/>
  <c r="R484" i="5"/>
  <c r="S484" i="5"/>
  <c r="N484" i="6"/>
  <c r="P484" i="6"/>
  <c r="R483" i="5"/>
  <c r="S483" i="5"/>
  <c r="R482" i="5"/>
  <c r="S482" i="5"/>
  <c r="R481" i="5"/>
  <c r="S481" i="5"/>
  <c r="R480" i="5"/>
  <c r="S480" i="5"/>
  <c r="R479" i="5"/>
  <c r="S479" i="5"/>
  <c r="R478" i="5"/>
  <c r="S478" i="5"/>
  <c r="R477" i="5"/>
  <c r="S477" i="5"/>
  <c r="R476" i="5"/>
  <c r="S476" i="5"/>
  <c r="R475" i="5"/>
  <c r="S475" i="5"/>
  <c r="R474" i="5"/>
  <c r="S474" i="5"/>
  <c r="R473" i="5"/>
  <c r="S473" i="5"/>
  <c r="R472" i="5"/>
  <c r="S472" i="5"/>
  <c r="R471" i="5"/>
  <c r="S471" i="5"/>
  <c r="R470" i="5"/>
  <c r="S470" i="5"/>
  <c r="R469" i="5"/>
  <c r="S469" i="5"/>
  <c r="N469" i="6"/>
  <c r="P469" i="6"/>
  <c r="R468" i="5"/>
  <c r="S468" i="5"/>
  <c r="N468" i="6"/>
  <c r="P468" i="6"/>
  <c r="R467" i="5"/>
  <c r="S467" i="5"/>
  <c r="N467" i="6"/>
  <c r="P467" i="6"/>
  <c r="N466" i="6"/>
  <c r="P466" i="6"/>
  <c r="R466" i="5"/>
  <c r="S466" i="5"/>
  <c r="N465" i="6"/>
  <c r="P465" i="6"/>
  <c r="R465" i="5"/>
  <c r="S465" i="5"/>
  <c r="N464" i="6"/>
  <c r="P464" i="6"/>
  <c r="R464" i="5"/>
  <c r="S464" i="5"/>
  <c r="N463" i="6"/>
  <c r="P463" i="6"/>
  <c r="R463" i="5"/>
  <c r="S463" i="5"/>
  <c r="N462" i="6"/>
  <c r="P462" i="6"/>
  <c r="R462" i="5"/>
  <c r="S462" i="5"/>
  <c r="R461" i="5"/>
  <c r="S461" i="5"/>
  <c r="N461" i="6"/>
  <c r="P461" i="6"/>
  <c r="R460" i="5"/>
  <c r="S460" i="5"/>
  <c r="N460" i="6"/>
  <c r="P460" i="6"/>
  <c r="N459" i="6"/>
  <c r="P459" i="6"/>
  <c r="R459" i="5"/>
  <c r="S459" i="5"/>
  <c r="R458" i="5"/>
  <c r="S458" i="5"/>
  <c r="N458" i="6"/>
  <c r="P458" i="6"/>
  <c r="R457" i="5"/>
  <c r="S457" i="5"/>
  <c r="N457" i="6"/>
  <c r="P457" i="6"/>
  <c r="N456" i="6"/>
  <c r="P456" i="6"/>
  <c r="R456" i="5"/>
  <c r="S456" i="5"/>
  <c r="N455" i="6"/>
  <c r="P455" i="6"/>
  <c r="R455" i="5"/>
  <c r="S455" i="5"/>
  <c r="N454" i="6"/>
  <c r="P454" i="6"/>
  <c r="R454" i="5"/>
  <c r="S454" i="5"/>
  <c r="R453" i="5"/>
  <c r="S453" i="5"/>
  <c r="N453" i="6"/>
  <c r="P453" i="6"/>
  <c r="R452" i="5"/>
  <c r="S452" i="5"/>
  <c r="N452" i="6"/>
  <c r="P452" i="6"/>
  <c r="R451" i="5"/>
  <c r="S451" i="5"/>
  <c r="R450" i="5"/>
  <c r="S450" i="5"/>
  <c r="R449" i="5"/>
  <c r="S449" i="5"/>
  <c r="R448" i="5"/>
  <c r="S448" i="5"/>
  <c r="R447" i="5"/>
  <c r="S447" i="5"/>
  <c r="R446" i="5"/>
  <c r="S446" i="5"/>
  <c r="N445" i="6"/>
  <c r="P445" i="6"/>
  <c r="R445" i="5"/>
  <c r="S445" i="5"/>
  <c r="R444" i="5"/>
  <c r="S444" i="5"/>
  <c r="N444" i="6"/>
  <c r="P444" i="6"/>
  <c r="N443" i="6"/>
  <c r="P443" i="6"/>
  <c r="R443" i="5"/>
  <c r="S443" i="5"/>
  <c r="N442" i="6"/>
  <c r="P442" i="6"/>
  <c r="R442" i="5"/>
  <c r="S442" i="5"/>
  <c r="N441" i="6"/>
  <c r="P441" i="6"/>
  <c r="R441" i="5"/>
  <c r="S441" i="5"/>
  <c r="R440" i="5"/>
  <c r="S440" i="5"/>
  <c r="N440" i="6"/>
  <c r="P440" i="6"/>
  <c r="R439" i="5"/>
  <c r="S439" i="5"/>
  <c r="N439" i="6"/>
  <c r="P439" i="6"/>
  <c r="R438" i="5"/>
  <c r="S438" i="5"/>
  <c r="N438" i="6"/>
  <c r="P438" i="6"/>
  <c r="N437" i="6"/>
  <c r="P437" i="6"/>
  <c r="R437" i="5"/>
  <c r="S437" i="5"/>
  <c r="N436" i="6"/>
  <c r="P436" i="6"/>
  <c r="R436" i="5"/>
  <c r="S436" i="5"/>
  <c r="R435" i="5"/>
  <c r="S435" i="5"/>
  <c r="N435" i="6"/>
  <c r="P435" i="6"/>
  <c r="R434" i="5"/>
  <c r="S434" i="5"/>
  <c r="N434" i="6"/>
  <c r="P434" i="6"/>
  <c r="R433" i="5"/>
  <c r="S433" i="5"/>
  <c r="N433" i="6"/>
  <c r="P433" i="6"/>
  <c r="R432" i="5"/>
  <c r="S432" i="5"/>
  <c r="N432" i="6"/>
  <c r="P432" i="6"/>
  <c r="R431" i="5"/>
  <c r="S431" i="5"/>
  <c r="N431" i="6"/>
  <c r="P431" i="6"/>
  <c r="N430" i="6"/>
  <c r="P430" i="6"/>
  <c r="R430" i="5"/>
  <c r="S430" i="5"/>
  <c r="R429" i="5"/>
  <c r="S429" i="5"/>
  <c r="N429" i="6"/>
  <c r="P429" i="6"/>
  <c r="R428" i="5"/>
  <c r="S428" i="5"/>
  <c r="N428" i="6"/>
  <c r="P428" i="6"/>
  <c r="R427" i="5"/>
  <c r="S427" i="5"/>
  <c r="N427" i="6"/>
  <c r="P427" i="6"/>
  <c r="R426" i="5"/>
  <c r="S426" i="5"/>
  <c r="N426" i="6"/>
  <c r="P426" i="6"/>
  <c r="R425" i="5"/>
  <c r="S425" i="5"/>
  <c r="N425" i="6"/>
  <c r="P425" i="6"/>
  <c r="N424" i="6"/>
  <c r="P424" i="6"/>
  <c r="R424" i="5"/>
  <c r="S424" i="5"/>
  <c r="R423" i="5"/>
  <c r="S423" i="5"/>
  <c r="N423" i="6"/>
  <c r="P423" i="6"/>
  <c r="N249" i="6"/>
  <c r="P249" i="6"/>
  <c r="N248" i="6"/>
  <c r="P248" i="6"/>
  <c r="N247" i="6"/>
  <c r="P247" i="6"/>
  <c r="N246" i="6"/>
  <c r="P246" i="6"/>
  <c r="N245" i="6"/>
  <c r="P245" i="6"/>
  <c r="N244" i="6"/>
  <c r="P244" i="6"/>
  <c r="N243" i="6"/>
  <c r="P243" i="6"/>
  <c r="N242" i="6"/>
  <c r="P242" i="6"/>
  <c r="N241" i="6"/>
  <c r="P241" i="6"/>
  <c r="N240" i="6"/>
  <c r="P240" i="6"/>
  <c r="N239" i="6"/>
  <c r="P239" i="6"/>
  <c r="N238" i="6"/>
  <c r="P238" i="6"/>
  <c r="N237" i="6"/>
  <c r="P237" i="6"/>
  <c r="N236" i="6"/>
  <c r="P236" i="6"/>
  <c r="N235" i="6"/>
  <c r="P235" i="6"/>
  <c r="N234" i="6"/>
  <c r="P234" i="6"/>
  <c r="N233" i="6"/>
  <c r="P233" i="6"/>
  <c r="N232" i="6"/>
  <c r="P232" i="6"/>
  <c r="N231" i="6"/>
  <c r="P231" i="6"/>
  <c r="N230" i="6"/>
  <c r="P230" i="6"/>
  <c r="N229" i="6"/>
  <c r="P229" i="6"/>
  <c r="N228" i="6"/>
  <c r="P228" i="6"/>
  <c r="N227" i="6"/>
  <c r="P227" i="6"/>
  <c r="N226" i="6"/>
  <c r="P226" i="6"/>
  <c r="N225" i="6"/>
  <c r="P225" i="6"/>
  <c r="N224" i="6"/>
  <c r="P224" i="6"/>
  <c r="N223" i="6"/>
  <c r="P223" i="6"/>
  <c r="N222" i="6"/>
  <c r="P222" i="6"/>
  <c r="N221" i="6"/>
  <c r="P221" i="6"/>
  <c r="N220" i="6"/>
  <c r="P220" i="6"/>
  <c r="N219" i="6"/>
  <c r="P219" i="6"/>
  <c r="N218" i="6"/>
  <c r="P218" i="6"/>
  <c r="N217" i="6"/>
  <c r="P217" i="6"/>
  <c r="N216" i="6"/>
  <c r="P216" i="6"/>
  <c r="N215" i="6"/>
  <c r="P215" i="6"/>
  <c r="N214" i="6"/>
  <c r="P214" i="6"/>
  <c r="N213" i="6"/>
  <c r="P213" i="6"/>
  <c r="N212" i="6"/>
  <c r="P212" i="6"/>
  <c r="N211" i="6"/>
  <c r="P211" i="6"/>
  <c r="N210" i="6"/>
  <c r="P210" i="6"/>
  <c r="N209" i="6"/>
  <c r="P209" i="6"/>
  <c r="N208" i="6"/>
  <c r="P208" i="6"/>
  <c r="N207" i="6"/>
  <c r="P207" i="6"/>
  <c r="N206" i="6"/>
  <c r="P206" i="6"/>
  <c r="N205" i="6"/>
  <c r="P205" i="6"/>
  <c r="N204" i="6"/>
  <c r="P204" i="6"/>
  <c r="N203" i="6"/>
  <c r="P203" i="6"/>
  <c r="N202" i="6"/>
  <c r="P202" i="6"/>
  <c r="N201" i="6"/>
  <c r="P201" i="6"/>
  <c r="N200" i="6"/>
  <c r="P200" i="6"/>
  <c r="N199" i="6"/>
  <c r="P199" i="6"/>
  <c r="N198" i="6"/>
  <c r="P198" i="6"/>
  <c r="N197" i="6"/>
  <c r="P197" i="6"/>
  <c r="N196" i="6"/>
  <c r="P196" i="6"/>
  <c r="N195" i="6"/>
  <c r="P195" i="6"/>
  <c r="N194" i="6"/>
  <c r="P194" i="6"/>
  <c r="N193" i="6"/>
  <c r="P193" i="6"/>
  <c r="N192" i="6"/>
  <c r="P192" i="6"/>
  <c r="N191" i="6"/>
  <c r="P191" i="6"/>
  <c r="N190" i="6"/>
  <c r="P190" i="6"/>
  <c r="N189" i="6"/>
  <c r="P189" i="6"/>
  <c r="N188" i="6"/>
  <c r="P188" i="6"/>
  <c r="N187" i="6"/>
  <c r="P187" i="6"/>
  <c r="N186" i="6"/>
  <c r="P186" i="6"/>
  <c r="N185" i="6"/>
  <c r="P185" i="6"/>
  <c r="N184" i="6"/>
  <c r="P184" i="6"/>
  <c r="N183" i="6"/>
  <c r="P183" i="6"/>
  <c r="N182" i="6"/>
  <c r="P182" i="6"/>
  <c r="N181" i="6"/>
  <c r="P181" i="6"/>
  <c r="N180" i="6"/>
  <c r="P180" i="6"/>
  <c r="N179" i="6"/>
  <c r="P179" i="6"/>
  <c r="N178" i="6"/>
  <c r="P178" i="6"/>
  <c r="N177" i="6"/>
  <c r="P177" i="6"/>
  <c r="N176" i="6"/>
  <c r="P176" i="6"/>
  <c r="N175" i="6"/>
  <c r="P175" i="6"/>
  <c r="N174" i="6"/>
  <c r="P174" i="6"/>
  <c r="N173" i="6"/>
  <c r="P173" i="6"/>
  <c r="N172" i="6"/>
  <c r="P172" i="6"/>
  <c r="N171" i="6"/>
  <c r="P171" i="6"/>
  <c r="N170" i="6"/>
  <c r="P170" i="6"/>
  <c r="N169" i="6"/>
  <c r="P169" i="6"/>
  <c r="N168" i="6"/>
  <c r="P168" i="6"/>
  <c r="N167" i="6"/>
  <c r="P167" i="6"/>
  <c r="N166" i="6"/>
  <c r="P166" i="6"/>
  <c r="N165" i="6"/>
  <c r="P165" i="6"/>
  <c r="N164" i="6"/>
  <c r="P164" i="6"/>
  <c r="N163" i="6"/>
  <c r="P163" i="6"/>
  <c r="N162" i="6"/>
  <c r="P162" i="6"/>
  <c r="N161" i="6"/>
  <c r="P161" i="6"/>
  <c r="N160" i="6"/>
  <c r="P160" i="6"/>
  <c r="N159" i="6"/>
  <c r="P159" i="6"/>
  <c r="R158" i="5"/>
  <c r="S158" i="5"/>
  <c r="N158" i="6"/>
  <c r="P158" i="6"/>
  <c r="N157" i="6"/>
  <c r="P157" i="6"/>
  <c r="R157" i="5"/>
  <c r="S157" i="5"/>
  <c r="N156" i="6"/>
  <c r="P156" i="6"/>
  <c r="R156" i="5"/>
  <c r="S156" i="5"/>
  <c r="N155" i="6"/>
  <c r="P155" i="6"/>
  <c r="R155" i="5"/>
  <c r="S155" i="5"/>
  <c r="R154" i="5"/>
  <c r="S154" i="5"/>
  <c r="N154" i="6"/>
  <c r="P154" i="6"/>
  <c r="R153" i="5"/>
  <c r="S153" i="5"/>
  <c r="N153" i="6"/>
  <c r="P153" i="6"/>
  <c r="R152" i="5"/>
  <c r="S152" i="5"/>
  <c r="N152" i="6"/>
  <c r="P152" i="6"/>
  <c r="R151" i="5"/>
  <c r="S151" i="5"/>
  <c r="N151" i="6"/>
  <c r="P151" i="6"/>
  <c r="R150" i="5"/>
  <c r="S150" i="5"/>
  <c r="N150" i="6"/>
  <c r="P150" i="6"/>
  <c r="N149" i="6"/>
  <c r="P149" i="6"/>
  <c r="R149" i="5"/>
  <c r="S149" i="5"/>
  <c r="N148" i="6"/>
  <c r="P148" i="6"/>
  <c r="R148" i="5"/>
  <c r="S148" i="5"/>
  <c r="N147" i="6"/>
  <c r="P147" i="6"/>
  <c r="R147" i="5"/>
  <c r="S147" i="5"/>
  <c r="N146" i="6"/>
  <c r="P146" i="6"/>
  <c r="R146" i="5"/>
  <c r="S146" i="5"/>
  <c r="N145" i="6"/>
  <c r="P145" i="6"/>
  <c r="R145" i="5"/>
  <c r="S145" i="5"/>
  <c r="R144" i="5"/>
  <c r="S144" i="5"/>
  <c r="N144" i="6"/>
  <c r="P144" i="6"/>
  <c r="N143" i="6"/>
  <c r="P143" i="6"/>
  <c r="R143" i="5"/>
  <c r="S143" i="5"/>
  <c r="R142" i="5"/>
  <c r="S142" i="5"/>
  <c r="N142" i="6"/>
  <c r="P142" i="6"/>
  <c r="R141" i="5"/>
  <c r="S141" i="5"/>
  <c r="N141" i="6"/>
  <c r="P141" i="6"/>
  <c r="R140" i="5"/>
  <c r="S140" i="5" s="1"/>
  <c r="N140" i="6"/>
  <c r="P140" i="6"/>
  <c r="N139" i="6"/>
  <c r="P139" i="6"/>
  <c r="R139" i="5"/>
  <c r="S139" i="5"/>
  <c r="R138" i="5"/>
  <c r="S138" i="5"/>
  <c r="N138" i="6"/>
  <c r="P138" i="6"/>
  <c r="N137" i="6"/>
  <c r="P137" i="6"/>
  <c r="R137" i="5"/>
  <c r="S137" i="5" s="1"/>
  <c r="N136" i="6"/>
  <c r="P136" i="6"/>
  <c r="R136" i="5"/>
  <c r="S136" i="5" s="1"/>
  <c r="N135" i="6"/>
  <c r="P135" i="6"/>
  <c r="R135" i="5"/>
  <c r="S135" i="5" s="1"/>
  <c r="R134" i="5"/>
  <c r="S134" i="5"/>
  <c r="N134" i="6"/>
  <c r="P134" i="6"/>
  <c r="R133" i="5"/>
  <c r="S133" i="5" s="1"/>
  <c r="N133" i="6"/>
  <c r="P133" i="6"/>
  <c r="N132" i="6"/>
  <c r="P132" i="6"/>
  <c r="R132" i="5"/>
  <c r="S132" i="5" s="1"/>
  <c r="R131" i="5"/>
  <c r="S131" i="5" s="1"/>
  <c r="N131" i="6"/>
  <c r="P131" i="6"/>
  <c r="N130" i="6"/>
  <c r="P130" i="6"/>
  <c r="R130" i="5"/>
  <c r="S130" i="5" s="1"/>
  <c r="R129" i="5"/>
  <c r="S129" i="5" s="1"/>
  <c r="N129" i="6"/>
  <c r="P129" i="6"/>
  <c r="N128" i="6"/>
  <c r="P128" i="6"/>
  <c r="R128" i="5"/>
  <c r="S128" i="5" s="1"/>
  <c r="R127" i="5"/>
  <c r="S127" i="5" s="1"/>
  <c r="N127" i="6"/>
  <c r="P127" i="6"/>
  <c r="R126" i="5"/>
  <c r="S126" i="5" s="1"/>
  <c r="N126" i="6"/>
  <c r="P126" i="6"/>
  <c r="N125" i="6"/>
  <c r="P125" i="6"/>
  <c r="R125" i="5"/>
  <c r="S125" i="5" s="1"/>
  <c r="N124" i="6"/>
  <c r="P124" i="6"/>
  <c r="R124" i="5"/>
  <c r="S124" i="5" s="1"/>
  <c r="R123" i="5"/>
  <c r="S123" i="5"/>
  <c r="N123" i="6"/>
  <c r="P123" i="6"/>
  <c r="R122" i="5"/>
  <c r="S122" i="5"/>
  <c r="N122" i="6"/>
  <c r="P122" i="6"/>
  <c r="N121" i="6"/>
  <c r="P121" i="6"/>
  <c r="R121" i="5"/>
  <c r="S121" i="5"/>
  <c r="R120" i="5"/>
  <c r="S120" i="5"/>
  <c r="N120" i="6"/>
  <c r="P120" i="6"/>
  <c r="R119" i="5"/>
  <c r="S119" i="5"/>
  <c r="N119" i="6"/>
  <c r="P119" i="6"/>
  <c r="N118" i="6"/>
  <c r="P118" i="6"/>
  <c r="R118" i="5"/>
  <c r="S118" i="5"/>
  <c r="R117" i="5"/>
  <c r="S117" i="5"/>
  <c r="I115" i="2"/>
  <c r="N117" i="6"/>
  <c r="P117" i="6"/>
  <c r="R116" i="5"/>
  <c r="S116" i="5"/>
  <c r="N116" i="6"/>
  <c r="P116" i="6"/>
  <c r="N115" i="6"/>
  <c r="P115" i="6"/>
  <c r="R115" i="5"/>
  <c r="S115" i="5"/>
  <c r="N114" i="6"/>
  <c r="P114" i="6"/>
  <c r="R114" i="5"/>
  <c r="S114" i="5"/>
  <c r="N113" i="6"/>
  <c r="P113" i="6"/>
  <c r="R113" i="5"/>
  <c r="S113" i="5"/>
  <c r="N112" i="6"/>
  <c r="P112" i="6"/>
  <c r="R112" i="5"/>
  <c r="S112" i="5"/>
  <c r="N111" i="6"/>
  <c r="P111" i="6"/>
  <c r="R111" i="5"/>
  <c r="S111" i="5"/>
  <c r="R110" i="5"/>
  <c r="S110" i="5"/>
  <c r="N110" i="6"/>
  <c r="P110" i="6"/>
  <c r="R109" i="5"/>
  <c r="S109" i="5"/>
  <c r="N109" i="6"/>
  <c r="P109" i="6"/>
  <c r="R108" i="5"/>
  <c r="S108" i="5"/>
  <c r="N108" i="6"/>
  <c r="P108" i="6"/>
  <c r="N107" i="6"/>
  <c r="P107" i="6"/>
  <c r="R107" i="5"/>
  <c r="S107" i="5"/>
  <c r="N106" i="6"/>
  <c r="P106" i="6"/>
  <c r="R106" i="5"/>
  <c r="S106" i="5"/>
  <c r="N105" i="6"/>
  <c r="P105" i="6"/>
  <c r="R105" i="5"/>
  <c r="S105" i="5"/>
  <c r="N104" i="6"/>
  <c r="P104" i="6"/>
  <c r="R104" i="5"/>
  <c r="S104" i="5"/>
  <c r="N103" i="6"/>
  <c r="P103" i="6"/>
  <c r="R103" i="5"/>
  <c r="S103" i="5"/>
  <c r="N102" i="6"/>
  <c r="P102" i="6"/>
  <c r="R102" i="5"/>
  <c r="S102" i="5" s="1"/>
  <c r="N101" i="6"/>
  <c r="P101" i="6"/>
  <c r="R101" i="5"/>
  <c r="S101" i="5" s="1"/>
  <c r="N100" i="6"/>
  <c r="P100" i="6"/>
  <c r="R100" i="5"/>
  <c r="S100" i="5" s="1"/>
  <c r="R99" i="5"/>
  <c r="S99" i="5" s="1"/>
  <c r="N99" i="6"/>
  <c r="P99" i="6"/>
  <c r="N98" i="6"/>
  <c r="P98" i="6"/>
  <c r="R98" i="5"/>
  <c r="S98" i="5"/>
  <c r="N97" i="6"/>
  <c r="P97" i="6"/>
  <c r="R97" i="5"/>
  <c r="S97" i="5" s="1"/>
  <c r="R96" i="5"/>
  <c r="N96" i="6"/>
  <c r="P96" i="6"/>
  <c r="R95" i="5"/>
  <c r="S95" i="5" s="1"/>
  <c r="N95" i="6"/>
  <c r="P95" i="6"/>
  <c r="N94" i="6"/>
  <c r="P94" i="6"/>
  <c r="R94" i="5"/>
  <c r="S94" i="5" s="1"/>
  <c r="R93" i="5"/>
  <c r="S93" i="5" s="1"/>
  <c r="N93" i="6"/>
  <c r="P93" i="6"/>
  <c r="N92" i="6"/>
  <c r="P92" i="6"/>
  <c r="R92" i="5"/>
  <c r="S92" i="5" s="1"/>
  <c r="N91" i="6"/>
  <c r="P91" i="6"/>
  <c r="R91" i="5"/>
  <c r="S91" i="5"/>
  <c r="N90" i="6"/>
  <c r="P90" i="6"/>
  <c r="R90" i="5"/>
  <c r="S90" i="5" s="1"/>
  <c r="N89" i="6"/>
  <c r="P89" i="6"/>
  <c r="R89" i="5"/>
  <c r="S89" i="5" s="1"/>
  <c r="R88" i="5"/>
  <c r="S88" i="5" s="1"/>
  <c r="N88" i="6"/>
  <c r="P88" i="6"/>
  <c r="N87" i="6"/>
  <c r="P87" i="6"/>
  <c r="R87" i="5"/>
  <c r="S87" i="5"/>
  <c r="R86" i="5"/>
  <c r="S86" i="5"/>
  <c r="N86" i="6"/>
  <c r="P86" i="6"/>
  <c r="R85" i="5"/>
  <c r="S85" i="5"/>
  <c r="N85" i="6"/>
  <c r="P85" i="6"/>
  <c r="N84" i="6"/>
  <c r="P84" i="6"/>
  <c r="R84" i="5"/>
  <c r="S84" i="5"/>
  <c r="N83" i="6"/>
  <c r="P83" i="6"/>
  <c r="R83" i="5"/>
  <c r="S83" i="5"/>
  <c r="N82" i="6"/>
  <c r="P82" i="6"/>
  <c r="R82" i="5"/>
  <c r="S82" i="5"/>
  <c r="N81" i="6"/>
  <c r="P81" i="6"/>
  <c r="R81" i="5"/>
  <c r="S81" i="5"/>
  <c r="N80" i="6"/>
  <c r="P80" i="6"/>
  <c r="R80" i="5"/>
  <c r="S80" i="5"/>
  <c r="R79" i="5"/>
  <c r="S79" i="5"/>
  <c r="N79" i="6"/>
  <c r="P79" i="6"/>
  <c r="R78" i="5"/>
  <c r="S78" i="5"/>
  <c r="N78" i="6"/>
  <c r="P78" i="6"/>
  <c r="N77" i="6"/>
  <c r="P77" i="6"/>
  <c r="R77" i="5"/>
  <c r="S77" i="5"/>
  <c r="N76" i="6"/>
  <c r="P76" i="6"/>
  <c r="R76" i="5"/>
  <c r="S76" i="5"/>
  <c r="N75" i="6"/>
  <c r="P75" i="6"/>
  <c r="R75" i="5"/>
  <c r="S75" i="5"/>
  <c r="N74" i="6"/>
  <c r="P74" i="6"/>
  <c r="R74" i="5"/>
  <c r="S74" i="5"/>
  <c r="R73" i="5"/>
  <c r="S73" i="5"/>
  <c r="N73" i="6"/>
  <c r="P73" i="6"/>
  <c r="R72" i="5"/>
  <c r="S72" i="5"/>
  <c r="N72" i="6"/>
  <c r="P72" i="6"/>
  <c r="R71" i="5"/>
  <c r="S71" i="5"/>
  <c r="N71" i="6"/>
  <c r="P71" i="6"/>
  <c r="R70" i="5"/>
  <c r="S70" i="5"/>
  <c r="N70" i="6"/>
  <c r="P70" i="6"/>
  <c r="R69" i="5"/>
  <c r="S69" i="5"/>
  <c r="N69" i="6"/>
  <c r="P69" i="6"/>
  <c r="R68" i="5"/>
  <c r="S68" i="5"/>
  <c r="N68" i="6"/>
  <c r="P68" i="6"/>
  <c r="N67" i="6"/>
  <c r="P67" i="6"/>
  <c r="R67" i="5"/>
  <c r="S67" i="5"/>
  <c r="N66" i="6"/>
  <c r="P66" i="6"/>
  <c r="R66" i="5"/>
  <c r="S66" i="5"/>
  <c r="N65" i="6"/>
  <c r="P65" i="6"/>
  <c r="R65" i="5"/>
  <c r="S65" i="5"/>
  <c r="N64" i="6"/>
  <c r="P64" i="6"/>
  <c r="R64" i="5"/>
  <c r="S64" i="5"/>
  <c r="N63" i="6"/>
  <c r="P63" i="6"/>
  <c r="R63" i="5"/>
  <c r="S63" i="5"/>
  <c r="R62" i="5"/>
  <c r="S62" i="5"/>
  <c r="N62" i="6"/>
  <c r="P62" i="6"/>
  <c r="N61" i="6"/>
  <c r="P61" i="6"/>
  <c r="R61" i="5"/>
  <c r="S61" i="5"/>
  <c r="N60" i="6"/>
  <c r="P60" i="6"/>
  <c r="R60" i="5"/>
  <c r="S60" i="5"/>
  <c r="N59" i="6"/>
  <c r="P59" i="6"/>
  <c r="R59" i="5"/>
  <c r="S59" i="5"/>
  <c r="N58" i="6"/>
  <c r="P58" i="6"/>
  <c r="R58" i="5"/>
  <c r="S58" i="5"/>
  <c r="N57" i="6"/>
  <c r="P57" i="6"/>
  <c r="R57" i="5"/>
  <c r="S57" i="5"/>
  <c r="R56" i="5"/>
  <c r="S56" i="5"/>
  <c r="N56" i="6"/>
  <c r="P56" i="6"/>
  <c r="R55" i="5"/>
  <c r="S55" i="5"/>
  <c r="N55" i="6"/>
  <c r="P55" i="6"/>
  <c r="R54" i="5"/>
  <c r="S54" i="5"/>
  <c r="N54" i="6"/>
  <c r="P54" i="6"/>
  <c r="R53" i="5"/>
  <c r="S53" i="5"/>
  <c r="N53" i="6"/>
  <c r="P53" i="6"/>
  <c r="R52" i="5"/>
  <c r="S52" i="5"/>
  <c r="N52" i="6"/>
  <c r="P52" i="6"/>
  <c r="R51" i="5"/>
  <c r="S51" i="5"/>
  <c r="N51" i="6"/>
  <c r="P51" i="6"/>
  <c r="R50" i="5"/>
  <c r="S50" i="5"/>
  <c r="N50" i="6"/>
  <c r="P50" i="6"/>
  <c r="N49" i="6"/>
  <c r="P49" i="6"/>
  <c r="R49" i="5"/>
  <c r="S49" i="5"/>
  <c r="R48" i="5"/>
  <c r="S48" i="5"/>
  <c r="N48" i="6"/>
  <c r="P48" i="6"/>
  <c r="N47" i="6"/>
  <c r="P47" i="6"/>
  <c r="R47" i="5"/>
  <c r="S47" i="5"/>
  <c r="N46" i="6"/>
  <c r="P46" i="6"/>
  <c r="R46" i="5"/>
  <c r="S46" i="5"/>
  <c r="R45" i="5"/>
  <c r="S45" i="5"/>
  <c r="N45" i="6"/>
  <c r="P45" i="6"/>
  <c r="R44" i="5"/>
  <c r="S44" i="5"/>
  <c r="N44" i="6"/>
  <c r="P44" i="6"/>
  <c r="I112" i="2"/>
  <c r="R43" i="5"/>
  <c r="S43" i="5"/>
  <c r="N43" i="6"/>
  <c r="P43" i="6"/>
  <c r="R42" i="5"/>
  <c r="S42" i="5"/>
  <c r="N42" i="6"/>
  <c r="P42" i="6"/>
  <c r="N41" i="6"/>
  <c r="P41" i="6"/>
  <c r="R41" i="5"/>
  <c r="S41" i="5"/>
  <c r="R40" i="5"/>
  <c r="S40" i="5"/>
  <c r="N40" i="6"/>
  <c r="P40" i="6"/>
  <c r="R39" i="5"/>
  <c r="S39" i="5"/>
  <c r="N39" i="6"/>
  <c r="P39" i="6"/>
  <c r="N38" i="6"/>
  <c r="P38" i="6"/>
  <c r="I110" i="2"/>
  <c r="R38" i="5"/>
  <c r="S38" i="5"/>
  <c r="S38" i="9"/>
  <c r="M110" i="2"/>
  <c r="R37" i="5"/>
  <c r="S37" i="5"/>
  <c r="N37" i="6"/>
  <c r="P37" i="6"/>
  <c r="R36" i="5"/>
  <c r="S36" i="5" s="1"/>
  <c r="N36" i="6"/>
  <c r="P36" i="6"/>
  <c r="N35" i="6"/>
  <c r="P35" i="6"/>
  <c r="R35" i="5"/>
  <c r="S35" i="5" s="1"/>
  <c r="R34" i="5"/>
  <c r="N34" i="6"/>
  <c r="P34" i="6"/>
  <c r="I109" i="2"/>
  <c r="S34" i="9"/>
  <c r="L109" i="2"/>
  <c r="N33" i="6"/>
  <c r="P33" i="6"/>
  <c r="R33" i="5"/>
  <c r="S33" i="5" s="1"/>
  <c r="R32" i="5"/>
  <c r="H111" i="2" s="1"/>
  <c r="S32" i="5"/>
  <c r="N32" i="6"/>
  <c r="P32" i="6"/>
  <c r="N31" i="6"/>
  <c r="P31" i="6"/>
  <c r="I113" i="2"/>
  <c r="R31" i="5"/>
  <c r="H113" i="2" s="1"/>
  <c r="S31" i="5"/>
  <c r="N30" i="6"/>
  <c r="P30" i="6"/>
  <c r="I108" i="2"/>
  <c r="S30" i="9"/>
  <c r="L108" i="2"/>
  <c r="M108" i="2"/>
  <c r="R30" i="5"/>
  <c r="H116" i="2" s="1"/>
  <c r="S30" i="5"/>
  <c r="N9" i="6"/>
  <c r="P9" i="6"/>
  <c r="S8" i="9"/>
  <c r="N111" i="2" s="1"/>
  <c r="L111" i="2"/>
  <c r="N8" i="6"/>
  <c r="P8" i="6"/>
  <c r="I111" i="2"/>
  <c r="J111" i="2"/>
  <c r="S7" i="9"/>
  <c r="N107" i="2" s="1"/>
  <c r="M107" i="2"/>
  <c r="L107" i="2"/>
  <c r="N7" i="6"/>
  <c r="P7" i="6"/>
  <c r="J107" i="2"/>
  <c r="I107" i="2"/>
  <c r="N6" i="6"/>
  <c r="P6" i="6"/>
  <c r="N5" i="6"/>
  <c r="P5" i="6"/>
  <c r="N4" i="6"/>
  <c r="P4" i="6"/>
  <c r="S3" i="9"/>
  <c r="N106" i="2" s="1"/>
  <c r="M106" i="2"/>
  <c r="L106" i="2"/>
  <c r="N3" i="6"/>
  <c r="P3" i="6"/>
  <c r="J106" i="2"/>
  <c r="I106" i="2"/>
  <c r="S2" i="9"/>
  <c r="M114" i="2"/>
  <c r="M116" i="2"/>
  <c r="L114" i="2"/>
  <c r="L116" i="2"/>
  <c r="N2" i="6"/>
  <c r="P2" i="6"/>
  <c r="I114" i="2"/>
  <c r="J114" i="2"/>
  <c r="I116" i="2"/>
  <c r="J116" i="2"/>
  <c r="K490" i="6"/>
  <c r="K428" i="6"/>
  <c r="K427" i="6"/>
  <c r="K424" i="6"/>
  <c r="K423" i="6"/>
  <c r="K422" i="6"/>
  <c r="K420" i="6"/>
  <c r="K419" i="6"/>
  <c r="K418" i="6"/>
  <c r="K417" i="6"/>
  <c r="K413" i="6"/>
  <c r="K412" i="6"/>
  <c r="K410" i="6"/>
  <c r="K405" i="6"/>
  <c r="K404" i="6"/>
  <c r="K400" i="6"/>
  <c r="K396" i="6"/>
  <c r="K394" i="6"/>
  <c r="K393" i="6"/>
  <c r="K391" i="6"/>
  <c r="K390" i="6"/>
  <c r="K387" i="6"/>
  <c r="K383" i="6"/>
  <c r="K382" i="6"/>
  <c r="K375" i="6"/>
  <c r="K374" i="6"/>
  <c r="K373" i="6"/>
  <c r="K370" i="6"/>
  <c r="K369" i="6"/>
  <c r="K365" i="6"/>
  <c r="K358" i="6"/>
  <c r="K355" i="6"/>
  <c r="K354" i="6"/>
  <c r="K353" i="6"/>
  <c r="K352" i="6"/>
  <c r="K350" i="6"/>
  <c r="K345" i="6"/>
  <c r="K343" i="6"/>
  <c r="K341" i="6"/>
  <c r="K339" i="6"/>
  <c r="K337" i="6"/>
  <c r="K332" i="6"/>
  <c r="K330" i="6"/>
  <c r="K326" i="6"/>
  <c r="K325" i="6"/>
  <c r="K324" i="6"/>
  <c r="K321" i="6"/>
  <c r="K320" i="6"/>
  <c r="K319" i="6"/>
  <c r="K317" i="6"/>
  <c r="K316" i="6"/>
  <c r="K315" i="6"/>
  <c r="K314" i="6"/>
  <c r="K313" i="6"/>
  <c r="K309" i="6"/>
  <c r="K308" i="6"/>
  <c r="K306" i="6"/>
  <c r="K305" i="6"/>
  <c r="K304" i="6"/>
  <c r="K303" i="6"/>
  <c r="K298" i="6"/>
  <c r="K297" i="6"/>
  <c r="K293" i="6"/>
  <c r="K292" i="6"/>
  <c r="K291" i="6"/>
  <c r="K288" i="6"/>
  <c r="K243" i="6"/>
  <c r="K242" i="6"/>
  <c r="K287" i="6"/>
  <c r="K282" i="6"/>
  <c r="K280" i="6"/>
  <c r="K275" i="6"/>
  <c r="K272" i="6"/>
  <c r="K271" i="6"/>
  <c r="K269" i="6"/>
  <c r="K266" i="6"/>
  <c r="K264" i="6"/>
  <c r="K262" i="6"/>
  <c r="K261" i="6"/>
  <c r="K260" i="6"/>
  <c r="K259" i="6"/>
  <c r="K255" i="6"/>
  <c r="K254" i="6"/>
  <c r="K251" i="6"/>
  <c r="K250" i="6"/>
  <c r="K248" i="6"/>
  <c r="K245" i="6"/>
  <c r="K239" i="6"/>
  <c r="K238" i="6"/>
  <c r="K237" i="6"/>
  <c r="K234" i="6"/>
  <c r="K233" i="6"/>
  <c r="K229" i="6"/>
  <c r="K228" i="6"/>
  <c r="K223" i="6"/>
  <c r="K221" i="6"/>
  <c r="K215" i="6"/>
  <c r="K214" i="6"/>
  <c r="K212" i="6"/>
  <c r="K207" i="6"/>
  <c r="K206" i="6"/>
  <c r="K202" i="6"/>
  <c r="K199" i="6"/>
  <c r="K196" i="6"/>
  <c r="K195" i="6"/>
  <c r="K188" i="6"/>
  <c r="K187" i="6"/>
  <c r="K186" i="6"/>
  <c r="K183" i="6"/>
  <c r="K180" i="6"/>
  <c r="S483" i="9"/>
  <c r="K176" i="6"/>
  <c r="K174" i="6"/>
  <c r="K171" i="6"/>
  <c r="K169" i="6"/>
  <c r="K166" i="6"/>
  <c r="K164" i="6"/>
  <c r="K163" i="6"/>
  <c r="K159" i="6"/>
  <c r="K158" i="6"/>
  <c r="K157" i="6"/>
  <c r="K155" i="6"/>
  <c r="K154" i="6"/>
  <c r="K149" i="6"/>
  <c r="K146" i="6"/>
  <c r="K145" i="6"/>
  <c r="K144" i="6"/>
  <c r="K142" i="6"/>
  <c r="K141" i="6"/>
  <c r="K136" i="6"/>
  <c r="K135" i="6"/>
  <c r="K133" i="6"/>
  <c r="K131" i="6"/>
  <c r="K128" i="6"/>
  <c r="K127" i="6"/>
  <c r="K124" i="6"/>
  <c r="K122" i="6"/>
  <c r="K117" i="6"/>
  <c r="K116" i="6"/>
  <c r="K115" i="6"/>
  <c r="S491" i="9"/>
  <c r="S487" i="9"/>
  <c r="K113" i="6"/>
  <c r="K112" i="6"/>
  <c r="K111" i="6"/>
  <c r="K110" i="6"/>
  <c r="K105" i="6"/>
  <c r="K104" i="6"/>
  <c r="K103" i="6"/>
  <c r="K102" i="6"/>
  <c r="K100" i="6"/>
  <c r="K99" i="6"/>
  <c r="K98" i="6"/>
  <c r="K89" i="6"/>
  <c r="K87" i="6"/>
  <c r="K86" i="6"/>
  <c r="K84" i="6"/>
  <c r="K83" i="6"/>
  <c r="K78" i="6"/>
  <c r="K73" i="6"/>
  <c r="K70" i="6"/>
  <c r="K69" i="6"/>
  <c r="K68" i="6"/>
  <c r="K65" i="6"/>
  <c r="K64" i="6"/>
  <c r="K63" i="6"/>
  <c r="K62" i="6"/>
  <c r="K61" i="6"/>
  <c r="K57" i="6"/>
  <c r="K56" i="6"/>
  <c r="K55" i="6"/>
  <c r="K54" i="6"/>
  <c r="K499" i="6"/>
  <c r="K51" i="6"/>
  <c r="K50" i="6"/>
  <c r="K49" i="6"/>
  <c r="K46" i="6"/>
  <c r="K45" i="6"/>
  <c r="K43" i="6"/>
  <c r="K41" i="6"/>
  <c r="K38" i="6"/>
  <c r="K36" i="6"/>
  <c r="K35" i="6"/>
  <c r="K34" i="6"/>
  <c r="K31" i="6"/>
  <c r="K30" i="6"/>
  <c r="K29" i="6"/>
  <c r="K22" i="6"/>
  <c r="K14" i="6"/>
  <c r="K10" i="6"/>
  <c r="K8" i="6"/>
  <c r="K4" i="6"/>
  <c r="K3" i="6"/>
  <c r="K2" i="6"/>
  <c r="S497" i="9"/>
  <c r="S496" i="9"/>
  <c r="S495" i="9"/>
  <c r="S488" i="9"/>
  <c r="S482" i="9"/>
  <c r="S494" i="9"/>
  <c r="S493" i="9"/>
  <c r="S490" i="9"/>
  <c r="S489" i="9"/>
  <c r="S484" i="9"/>
  <c r="S481" i="9"/>
  <c r="S501" i="9"/>
  <c r="S500" i="9"/>
  <c r="S499" i="9"/>
  <c r="S498" i="9"/>
  <c r="S492" i="9"/>
  <c r="S486" i="9"/>
  <c r="S485" i="9"/>
  <c r="S427" i="9"/>
  <c r="S426" i="9"/>
  <c r="S425" i="9"/>
  <c r="S424" i="9"/>
  <c r="S423" i="9"/>
  <c r="S248" i="9"/>
  <c r="S247" i="9"/>
  <c r="S245" i="9"/>
  <c r="S244" i="9"/>
  <c r="S243" i="9"/>
  <c r="S242" i="9"/>
  <c r="S241" i="9"/>
  <c r="S239" i="9"/>
  <c r="S172" i="9"/>
  <c r="S171" i="9"/>
  <c r="S170" i="9"/>
  <c r="S169" i="9"/>
  <c r="S167" i="9"/>
  <c r="S166" i="9"/>
  <c r="S165" i="9"/>
  <c r="S164" i="9"/>
  <c r="S163" i="9"/>
  <c r="S89" i="9"/>
  <c r="S88" i="9"/>
  <c r="S87" i="9"/>
  <c r="S86" i="9"/>
  <c r="S85" i="9"/>
  <c r="S84" i="9"/>
  <c r="S83" i="9"/>
  <c r="S82" i="9"/>
  <c r="S81" i="9"/>
  <c r="H60" i="13"/>
  <c r="H59" i="13"/>
  <c r="S22" i="5"/>
  <c r="S20" i="5"/>
  <c r="S12" i="5"/>
  <c r="S11" i="5"/>
  <c r="S2" i="5"/>
  <c r="T21" i="2"/>
  <c r="S109" i="2"/>
  <c r="Q12" i="2"/>
  <c r="Q11" i="2"/>
  <c r="H11" i="2"/>
  <c r="Q21" i="2"/>
  <c r="S116" i="2"/>
  <c r="S108" i="2"/>
  <c r="H12" i="2"/>
  <c r="H15" i="2"/>
  <c r="H16" i="2"/>
  <c r="T12" i="2"/>
  <c r="T11" i="2"/>
  <c r="K12" i="2"/>
  <c r="N11" i="2"/>
  <c r="K11" i="2"/>
  <c r="I20" i="2" l="1"/>
  <c r="I22" i="2"/>
  <c r="I23" i="2"/>
  <c r="I24" i="2"/>
  <c r="D25" i="2"/>
  <c r="D26" i="2"/>
  <c r="I27" i="2"/>
  <c r="I28" i="2"/>
  <c r="D29" i="2"/>
  <c r="I29" i="2"/>
  <c r="D30" i="2"/>
  <c r="I30" i="2"/>
  <c r="D31" i="2"/>
  <c r="I31" i="2"/>
  <c r="D21" i="2"/>
  <c r="I21" i="2"/>
  <c r="D22" i="2"/>
  <c r="D23" i="2"/>
  <c r="D24" i="2"/>
  <c r="I25" i="2"/>
  <c r="I26" i="2"/>
  <c r="D27" i="2"/>
  <c r="D28" i="2"/>
  <c r="J2" i="13"/>
  <c r="B5" i="3"/>
  <c r="J3" i="13"/>
  <c r="B6" i="3"/>
  <c r="J4" i="13"/>
  <c r="B7" i="3"/>
  <c r="J5" i="13"/>
  <c r="B8" i="3"/>
  <c r="J6" i="13"/>
  <c r="B9" i="3"/>
  <c r="J7" i="13"/>
  <c r="B10" i="3"/>
  <c r="J8" i="13"/>
  <c r="B11" i="3"/>
  <c r="J9" i="13"/>
  <c r="B12" i="3"/>
  <c r="J10" i="13"/>
  <c r="B13" i="3"/>
  <c r="J11" i="13"/>
  <c r="B14" i="3"/>
  <c r="J12" i="13"/>
  <c r="B15" i="3"/>
  <c r="J13" i="13"/>
  <c r="B16" i="3"/>
  <c r="J14" i="13"/>
  <c r="B17" i="3"/>
  <c r="J15" i="13"/>
  <c r="B18" i="3"/>
  <c r="J16" i="13"/>
  <c r="B19" i="3"/>
  <c r="J17" i="13"/>
  <c r="B20" i="3"/>
  <c r="J18" i="13"/>
  <c r="B21" i="3"/>
  <c r="J19" i="13"/>
  <c r="B22" i="3"/>
  <c r="J20" i="13"/>
  <c r="B23" i="3"/>
  <c r="J21" i="13"/>
  <c r="B24" i="3"/>
  <c r="J22" i="13"/>
  <c r="B25" i="3"/>
  <c r="J23" i="13"/>
  <c r="B26" i="3"/>
  <c r="J24" i="13"/>
  <c r="B27" i="3"/>
  <c r="J25" i="13"/>
  <c r="B28" i="3"/>
  <c r="J26" i="13"/>
  <c r="B29" i="3"/>
  <c r="J27" i="13"/>
  <c r="B30" i="3"/>
  <c r="J28" i="13"/>
  <c r="B31" i="3"/>
  <c r="J29" i="13"/>
  <c r="B32" i="3"/>
  <c r="J30" i="13"/>
  <c r="B33" i="3"/>
  <c r="J31" i="13"/>
  <c r="B34" i="3"/>
  <c r="J32" i="13"/>
  <c r="B35" i="3"/>
  <c r="J33" i="13"/>
  <c r="B36" i="3"/>
  <c r="J34" i="13"/>
  <c r="B37" i="3"/>
  <c r="J35" i="13"/>
  <c r="B38" i="3"/>
  <c r="J36" i="13"/>
  <c r="B39" i="3"/>
  <c r="J37" i="13"/>
  <c r="B40" i="3"/>
  <c r="J38" i="13"/>
  <c r="B41" i="3"/>
  <c r="J39" i="13"/>
  <c r="B42" i="3"/>
  <c r="J40" i="13"/>
  <c r="B43" i="3"/>
  <c r="J41" i="13"/>
  <c r="B44" i="3"/>
  <c r="J42" i="13"/>
  <c r="B45" i="3"/>
  <c r="J43" i="13"/>
  <c r="B46" i="3"/>
  <c r="J44" i="13"/>
  <c r="B47" i="3"/>
  <c r="J45" i="13"/>
  <c r="B48" i="3"/>
  <c r="J46" i="13"/>
  <c r="B49" i="3"/>
  <c r="J47" i="13"/>
  <c r="B50" i="3"/>
  <c r="J48" i="13"/>
  <c r="B51" i="3"/>
  <c r="J49" i="13"/>
  <c r="B52" i="3"/>
  <c r="J50" i="13"/>
  <c r="B53" i="3"/>
  <c r="J51" i="13"/>
  <c r="B54" i="3"/>
  <c r="J52" i="13"/>
  <c r="B55" i="3"/>
  <c r="J53" i="13"/>
  <c r="B56" i="3"/>
  <c r="J54" i="13"/>
  <c r="B57" i="3"/>
  <c r="J55" i="13"/>
  <c r="B58" i="3"/>
  <c r="J56" i="13"/>
  <c r="B59" i="3"/>
  <c r="J57" i="13"/>
  <c r="B60" i="3"/>
  <c r="J58" i="13"/>
  <c r="B61" i="3"/>
  <c r="J59" i="13"/>
  <c r="B62" i="3"/>
  <c r="N43" i="13"/>
  <c r="M43" i="13"/>
  <c r="N44" i="13"/>
  <c r="M44" i="13"/>
  <c r="N49" i="13"/>
  <c r="M49" i="13"/>
  <c r="N47" i="13"/>
  <c r="M47" i="13"/>
  <c r="H106" i="2"/>
  <c r="N46" i="13"/>
  <c r="M46" i="13"/>
  <c r="N48" i="13"/>
  <c r="M48" i="13"/>
  <c r="H108" i="2"/>
  <c r="E12" i="2"/>
  <c r="E11" i="2"/>
  <c r="N45" i="13"/>
  <c r="M45" i="13"/>
  <c r="M123" i="13"/>
  <c r="M124" i="13"/>
  <c r="M125" i="13"/>
  <c r="K16" i="2"/>
  <c r="K15" i="2"/>
  <c r="N116" i="2"/>
  <c r="N114" i="2"/>
  <c r="H107" i="2"/>
  <c r="H115" i="2"/>
  <c r="H114" i="2"/>
  <c r="N12" i="2"/>
  <c r="H112" i="2"/>
  <c r="S96" i="5"/>
  <c r="S34" i="5"/>
  <c r="H109" i="2"/>
  <c r="I60" i="13"/>
  <c r="I61" i="13"/>
  <c r="I62" i="13"/>
  <c r="H62" i="13"/>
  <c r="H61" i="13"/>
  <c r="A5" i="3" l="1"/>
  <c r="R5" i="3"/>
  <c r="A6" i="3"/>
  <c r="R6" i="3"/>
  <c r="A7" i="3"/>
  <c r="R7" i="3"/>
  <c r="R8" i="3"/>
  <c r="A8" i="3"/>
  <c r="R9" i="3"/>
  <c r="A9" i="3"/>
  <c r="R10" i="3"/>
  <c r="A10" i="3"/>
  <c r="R11" i="3"/>
  <c r="A11" i="3"/>
  <c r="R12" i="3"/>
  <c r="A12" i="3"/>
  <c r="R13" i="3"/>
  <c r="A13" i="3"/>
  <c r="A14" i="3"/>
  <c r="R14" i="3"/>
  <c r="R15" i="3"/>
  <c r="A15" i="3"/>
  <c r="R16" i="3"/>
  <c r="A16" i="3"/>
  <c r="R17" i="3"/>
  <c r="A17" i="3"/>
  <c r="R18" i="3"/>
  <c r="A18" i="3"/>
  <c r="R19" i="3"/>
  <c r="A19" i="3"/>
  <c r="R20" i="3"/>
  <c r="A20" i="3"/>
  <c r="R21" i="3"/>
  <c r="A21" i="3"/>
  <c r="R22" i="3"/>
  <c r="A22" i="3"/>
  <c r="R23" i="3"/>
  <c r="A23" i="3"/>
  <c r="R24" i="3"/>
  <c r="A24" i="3"/>
  <c r="R25" i="3"/>
  <c r="A25" i="3"/>
  <c r="R26" i="3"/>
  <c r="A26" i="3"/>
  <c r="R27" i="3"/>
  <c r="A27" i="3"/>
  <c r="R28" i="3"/>
  <c r="A28" i="3"/>
  <c r="R29" i="3"/>
  <c r="A29" i="3"/>
  <c r="R30" i="3"/>
  <c r="A30" i="3"/>
  <c r="R31" i="3"/>
  <c r="A31" i="3"/>
  <c r="R32" i="3"/>
  <c r="A32" i="3"/>
  <c r="R33" i="3"/>
  <c r="A33" i="3"/>
  <c r="R34" i="3"/>
  <c r="A34" i="3"/>
  <c r="R35" i="3"/>
  <c r="A35" i="3"/>
  <c r="R36" i="3"/>
  <c r="A36" i="3"/>
  <c r="R37" i="3"/>
  <c r="A37" i="3"/>
  <c r="R38" i="3"/>
  <c r="A38" i="3"/>
  <c r="R39" i="3"/>
  <c r="A39" i="3"/>
  <c r="R40" i="3"/>
  <c r="A40" i="3"/>
  <c r="R41" i="3"/>
  <c r="A41" i="3"/>
  <c r="R42" i="3"/>
  <c r="A42" i="3"/>
  <c r="R43" i="3"/>
  <c r="A43" i="3"/>
  <c r="R44" i="3"/>
  <c r="A44" i="3"/>
  <c r="R45" i="3"/>
  <c r="A45" i="3"/>
  <c r="R46" i="3"/>
  <c r="A46" i="3"/>
  <c r="R47" i="3"/>
  <c r="A47" i="3"/>
  <c r="R48" i="3"/>
  <c r="A48" i="3"/>
  <c r="R49" i="3"/>
  <c r="A49" i="3"/>
  <c r="R50" i="3"/>
  <c r="A50" i="3"/>
  <c r="R51" i="3"/>
  <c r="A51" i="3"/>
  <c r="R52" i="3"/>
  <c r="A52" i="3"/>
  <c r="R53" i="3"/>
  <c r="A53" i="3"/>
  <c r="R54" i="3"/>
  <c r="A54" i="3"/>
  <c r="R55" i="3"/>
  <c r="A55" i="3"/>
  <c r="R56" i="3"/>
  <c r="A56" i="3"/>
  <c r="R57" i="3"/>
  <c r="A57" i="3"/>
  <c r="R58" i="3"/>
  <c r="A58" i="3"/>
  <c r="R59" i="3"/>
  <c r="A59" i="3"/>
  <c r="R60" i="3"/>
  <c r="A60" i="3"/>
  <c r="R61" i="3"/>
  <c r="A61" i="3"/>
  <c r="R62" i="3"/>
  <c r="A62" i="3"/>
  <c r="B63" i="3"/>
  <c r="J60" i="13"/>
  <c r="B64" i="3"/>
  <c r="J61" i="13"/>
  <c r="B65" i="3"/>
  <c r="J62" i="13"/>
  <c r="H63" i="13"/>
  <c r="D5" i="3" l="1"/>
  <c r="F5" i="3"/>
  <c r="H5" i="3"/>
  <c r="J5" i="3"/>
  <c r="M5" i="3"/>
  <c r="P5" i="3"/>
  <c r="C5" i="3"/>
  <c r="E5" i="3"/>
  <c r="G5" i="3"/>
  <c r="I5" i="3"/>
  <c r="K5" i="3"/>
  <c r="L5" i="3"/>
  <c r="N5" i="3"/>
  <c r="O5" i="3"/>
  <c r="Q5" i="3"/>
  <c r="D6" i="3"/>
  <c r="G6" i="3"/>
  <c r="J6" i="3"/>
  <c r="P6" i="3"/>
  <c r="C6" i="3"/>
  <c r="E6" i="3"/>
  <c r="F6" i="3"/>
  <c r="H6" i="3"/>
  <c r="I6" i="3"/>
  <c r="K6" i="3"/>
  <c r="L6" i="3"/>
  <c r="M6" i="3"/>
  <c r="N6" i="3"/>
  <c r="O6" i="3"/>
  <c r="Q6" i="3"/>
  <c r="D7" i="3"/>
  <c r="H7" i="3"/>
  <c r="J7" i="3"/>
  <c r="L7" i="3"/>
  <c r="O7" i="3"/>
  <c r="Q7" i="3"/>
  <c r="C7" i="3"/>
  <c r="E7" i="3"/>
  <c r="F7" i="3"/>
  <c r="G7" i="3"/>
  <c r="I7" i="3"/>
  <c r="K7" i="3"/>
  <c r="M7" i="3"/>
  <c r="N7" i="3"/>
  <c r="P7" i="3"/>
  <c r="D8" i="3"/>
  <c r="G8" i="3"/>
  <c r="J8" i="3"/>
  <c r="M8" i="3"/>
  <c r="O8" i="3"/>
  <c r="Q8" i="3"/>
  <c r="C8" i="3"/>
  <c r="E8" i="3"/>
  <c r="F8" i="3"/>
  <c r="H8" i="3"/>
  <c r="I8" i="3"/>
  <c r="K8" i="3"/>
  <c r="L8" i="3"/>
  <c r="N8" i="3"/>
  <c r="P8" i="3"/>
  <c r="C9" i="3"/>
  <c r="E9" i="3"/>
  <c r="H9" i="3"/>
  <c r="K9" i="3"/>
  <c r="N9" i="3"/>
  <c r="P9" i="3"/>
  <c r="D9" i="3"/>
  <c r="F9" i="3"/>
  <c r="G9" i="3"/>
  <c r="I9" i="3"/>
  <c r="J9" i="3"/>
  <c r="L9" i="3"/>
  <c r="M9" i="3"/>
  <c r="O9" i="3"/>
  <c r="Q9" i="3"/>
  <c r="C10" i="3"/>
  <c r="F10" i="3"/>
  <c r="H10" i="3"/>
  <c r="K10" i="3"/>
  <c r="M10" i="3"/>
  <c r="P10" i="3"/>
  <c r="D10" i="3"/>
  <c r="E10" i="3"/>
  <c r="G10" i="3"/>
  <c r="I10" i="3"/>
  <c r="J10" i="3"/>
  <c r="L10" i="3"/>
  <c r="N10" i="3"/>
  <c r="O10" i="3"/>
  <c r="Q10" i="3"/>
  <c r="C11" i="3"/>
  <c r="F11" i="3"/>
  <c r="I11" i="3"/>
  <c r="L11" i="3"/>
  <c r="P11" i="3"/>
  <c r="D11" i="3"/>
  <c r="E11" i="3"/>
  <c r="G11" i="3"/>
  <c r="H11" i="3"/>
  <c r="J11" i="3"/>
  <c r="K11" i="3"/>
  <c r="M11" i="3"/>
  <c r="N11" i="3"/>
  <c r="O11" i="3"/>
  <c r="Q11" i="3"/>
  <c r="C12" i="3"/>
  <c r="D12" i="3"/>
  <c r="F12" i="3"/>
  <c r="G12" i="3"/>
  <c r="I12" i="3"/>
  <c r="J12" i="3"/>
  <c r="K12" i="3"/>
  <c r="M12" i="3"/>
  <c r="N12" i="3"/>
  <c r="P12" i="3"/>
  <c r="Q12" i="3"/>
  <c r="E12" i="3"/>
  <c r="H12" i="3"/>
  <c r="L12" i="3"/>
  <c r="O12" i="3"/>
  <c r="D13" i="3"/>
  <c r="C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G14" i="3"/>
  <c r="J14" i="3"/>
  <c r="M14" i="3"/>
  <c r="N14" i="3"/>
  <c r="C14" i="3"/>
  <c r="D14" i="3"/>
  <c r="E14" i="3"/>
  <c r="F14" i="3"/>
  <c r="H14" i="3"/>
  <c r="I14" i="3"/>
  <c r="K14" i="3"/>
  <c r="L14" i="3"/>
  <c r="O14" i="3"/>
  <c r="P14" i="3"/>
  <c r="Q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Q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3" i="3"/>
  <c r="A63" i="3"/>
  <c r="R64" i="3"/>
  <c r="A64" i="3"/>
  <c r="R65" i="3"/>
  <c r="A65" i="3"/>
  <c r="I63" i="13"/>
  <c r="H64" i="13"/>
  <c r="C63" i="3" l="1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J63" i="13"/>
  <c r="B66" i="3"/>
  <c r="H65" i="13"/>
  <c r="I64" i="13"/>
  <c r="R66" i="3" l="1"/>
  <c r="A66" i="3"/>
  <c r="B67" i="3"/>
  <c r="J64" i="13"/>
  <c r="H66" i="13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H132" i="13" s="1"/>
  <c r="H133" i="13" s="1"/>
  <c r="H134" i="13" s="1"/>
  <c r="H135" i="13" s="1"/>
  <c r="H136" i="13" s="1"/>
  <c r="H137" i="13" s="1"/>
  <c r="H138" i="13" s="1"/>
  <c r="H139" i="13" s="1"/>
  <c r="H140" i="13" s="1"/>
  <c r="H141" i="13" s="1"/>
  <c r="H142" i="13" s="1"/>
  <c r="H143" i="13" s="1"/>
  <c r="H144" i="13" s="1"/>
  <c r="H145" i="13" s="1"/>
  <c r="H146" i="13" s="1"/>
  <c r="H147" i="13" s="1"/>
  <c r="H148" i="13" s="1"/>
  <c r="H149" i="13" s="1"/>
  <c r="H150" i="13" s="1"/>
  <c r="H151" i="13" s="1"/>
  <c r="H152" i="13" s="1"/>
  <c r="H153" i="13" s="1"/>
  <c r="H154" i="13" s="1"/>
  <c r="H155" i="13" s="1"/>
  <c r="H156" i="13" s="1"/>
  <c r="H157" i="13" s="1"/>
  <c r="H158" i="13" s="1"/>
  <c r="H159" i="13" s="1"/>
  <c r="H160" i="13" s="1"/>
  <c r="H161" i="13" s="1"/>
  <c r="H162" i="13" s="1"/>
  <c r="H163" i="13" s="1"/>
  <c r="H164" i="13" s="1"/>
  <c r="H165" i="13" s="1"/>
  <c r="H166" i="13" s="1"/>
  <c r="H167" i="13" s="1"/>
  <c r="H168" i="13" s="1"/>
  <c r="H169" i="13" s="1"/>
  <c r="H170" i="13" s="1"/>
  <c r="H171" i="13" s="1"/>
  <c r="H172" i="13" s="1"/>
  <c r="H173" i="13" s="1"/>
  <c r="H174" i="13" s="1"/>
  <c r="H175" i="13" s="1"/>
  <c r="H176" i="13" s="1"/>
  <c r="H177" i="13" s="1"/>
  <c r="H178" i="13" s="1"/>
  <c r="H179" i="13" s="1"/>
  <c r="H180" i="13" s="1"/>
  <c r="H181" i="13" s="1"/>
  <c r="H182" i="13" s="1"/>
  <c r="H183" i="13" s="1"/>
  <c r="H184" i="13" s="1"/>
  <c r="H185" i="13" s="1"/>
  <c r="H186" i="13" s="1"/>
  <c r="H187" i="13" s="1"/>
  <c r="H188" i="13" s="1"/>
  <c r="H189" i="13" s="1"/>
  <c r="H190" i="13" s="1"/>
  <c r="H191" i="13" s="1"/>
  <c r="H192" i="13" s="1"/>
  <c r="H193" i="13" s="1"/>
  <c r="H194" i="13" s="1"/>
  <c r="H195" i="13" s="1"/>
  <c r="H196" i="13" s="1"/>
  <c r="H197" i="13" s="1"/>
  <c r="H198" i="13" s="1"/>
  <c r="H199" i="13" s="1"/>
  <c r="H200" i="13" s="1"/>
  <c r="H201" i="13" s="1"/>
  <c r="H202" i="13" s="1"/>
  <c r="H203" i="13" s="1"/>
  <c r="H204" i="13" s="1"/>
  <c r="H205" i="13" s="1"/>
  <c r="H206" i="13" s="1"/>
  <c r="H207" i="13" s="1"/>
  <c r="H208" i="13" s="1"/>
  <c r="H209" i="13" s="1"/>
  <c r="H210" i="13" s="1"/>
  <c r="H211" i="13" s="1"/>
  <c r="H212" i="13" s="1"/>
  <c r="H213" i="13" s="1"/>
  <c r="H214" i="13" s="1"/>
  <c r="H215" i="13" s="1"/>
  <c r="H216" i="13" s="1"/>
  <c r="H217" i="13" s="1"/>
  <c r="H218" i="13" s="1"/>
  <c r="H219" i="13" s="1"/>
  <c r="H220" i="13" s="1"/>
  <c r="H221" i="13" s="1"/>
  <c r="H222" i="13" s="1"/>
  <c r="H223" i="13" s="1"/>
  <c r="H224" i="13" s="1"/>
  <c r="H225" i="13" s="1"/>
  <c r="H226" i="13" s="1"/>
  <c r="H227" i="13" s="1"/>
  <c r="H228" i="13" s="1"/>
  <c r="H229" i="13" s="1"/>
  <c r="H230" i="13" s="1"/>
  <c r="H231" i="13" s="1"/>
  <c r="H232" i="13" s="1"/>
  <c r="H233" i="13" s="1"/>
  <c r="H234" i="13" s="1"/>
  <c r="H235" i="13" s="1"/>
  <c r="H236" i="13" s="1"/>
  <c r="H237" i="13" s="1"/>
  <c r="H238" i="13" s="1"/>
  <c r="H239" i="13" s="1"/>
  <c r="H240" i="13" s="1"/>
  <c r="H241" i="13" s="1"/>
  <c r="H242" i="13" s="1"/>
  <c r="H243" i="13" s="1"/>
  <c r="H244" i="13" s="1"/>
  <c r="H245" i="13" s="1"/>
  <c r="H246" i="13" s="1"/>
  <c r="H247" i="13" s="1"/>
  <c r="H248" i="13" s="1"/>
  <c r="H249" i="13" s="1"/>
  <c r="H250" i="13" s="1"/>
  <c r="H251" i="13" s="1"/>
  <c r="H252" i="13" s="1"/>
  <c r="H253" i="13" s="1"/>
  <c r="H254" i="13" s="1"/>
  <c r="H255" i="13" s="1"/>
  <c r="H256" i="13" s="1"/>
  <c r="H257" i="13" s="1"/>
  <c r="H258" i="13" s="1"/>
  <c r="H259" i="13" s="1"/>
  <c r="H260" i="13" s="1"/>
  <c r="H261" i="13" s="1"/>
  <c r="H262" i="13" s="1"/>
  <c r="H263" i="13" s="1"/>
  <c r="H264" i="13" s="1"/>
  <c r="H265" i="13" s="1"/>
  <c r="H266" i="13" s="1"/>
  <c r="H267" i="13" s="1"/>
  <c r="H268" i="13" s="1"/>
  <c r="H269" i="13" s="1"/>
  <c r="H270" i="13" s="1"/>
  <c r="H271" i="13" s="1"/>
  <c r="H272" i="13" s="1"/>
  <c r="H273" i="13" s="1"/>
  <c r="H274" i="13" s="1"/>
  <c r="H275" i="13" s="1"/>
  <c r="H276" i="13" s="1"/>
  <c r="H277" i="13" s="1"/>
  <c r="H278" i="13" s="1"/>
  <c r="H279" i="13" s="1"/>
  <c r="H280" i="13" s="1"/>
  <c r="H281" i="13" s="1"/>
  <c r="H282" i="13" s="1"/>
  <c r="H283" i="13" s="1"/>
  <c r="H284" i="13" s="1"/>
  <c r="H285" i="13" s="1"/>
  <c r="H286" i="13" s="1"/>
  <c r="H287" i="13" s="1"/>
  <c r="H288" i="13" s="1"/>
  <c r="H289" i="13" s="1"/>
  <c r="H290" i="13" s="1"/>
  <c r="H291" i="13" s="1"/>
  <c r="H292" i="13" s="1"/>
  <c r="H293" i="13" s="1"/>
  <c r="H294" i="13" s="1"/>
  <c r="H295" i="13" s="1"/>
  <c r="H296" i="13" s="1"/>
  <c r="H297" i="13" s="1"/>
  <c r="H298" i="13" s="1"/>
  <c r="H299" i="13" s="1"/>
  <c r="H300" i="13" s="1"/>
  <c r="H301" i="13" s="1"/>
  <c r="H302" i="13" s="1"/>
  <c r="H303" i="13" s="1"/>
  <c r="H304" i="13" s="1"/>
  <c r="H305" i="13" s="1"/>
  <c r="H306" i="13" s="1"/>
  <c r="H307" i="13" s="1"/>
  <c r="H308" i="13" s="1"/>
  <c r="H309" i="13" s="1"/>
  <c r="H310" i="13" s="1"/>
  <c r="H311" i="13" s="1"/>
  <c r="H312" i="13" s="1"/>
  <c r="H313" i="13" s="1"/>
  <c r="H314" i="13" s="1"/>
  <c r="H315" i="13" s="1"/>
  <c r="H316" i="13" s="1"/>
  <c r="H317" i="13" s="1"/>
  <c r="H318" i="13" s="1"/>
  <c r="H319" i="13" s="1"/>
  <c r="H320" i="13" s="1"/>
  <c r="H321" i="13" s="1"/>
  <c r="H322" i="13" s="1"/>
  <c r="H323" i="13" s="1"/>
  <c r="H324" i="13" s="1"/>
  <c r="H325" i="13" s="1"/>
  <c r="H326" i="13" s="1"/>
  <c r="H327" i="13" s="1"/>
  <c r="H328" i="13" s="1"/>
  <c r="H329" i="13" s="1"/>
  <c r="H330" i="13" s="1"/>
  <c r="H331" i="13" s="1"/>
  <c r="H332" i="13" s="1"/>
  <c r="H333" i="13" s="1"/>
  <c r="H334" i="13" s="1"/>
  <c r="H335" i="13" s="1"/>
  <c r="H336" i="13" s="1"/>
  <c r="H337" i="13" s="1"/>
  <c r="H338" i="13" s="1"/>
  <c r="H339" i="13" s="1"/>
  <c r="H340" i="13" s="1"/>
  <c r="H341" i="13" s="1"/>
  <c r="H342" i="13" s="1"/>
  <c r="H343" i="13" s="1"/>
  <c r="H344" i="13" s="1"/>
  <c r="H345" i="13" s="1"/>
  <c r="H346" i="13" s="1"/>
  <c r="H347" i="13" s="1"/>
  <c r="H348" i="13" s="1"/>
  <c r="H349" i="13" s="1"/>
  <c r="H350" i="13" s="1"/>
  <c r="H351" i="13" s="1"/>
  <c r="H352" i="13" s="1"/>
  <c r="H353" i="13" s="1"/>
  <c r="H354" i="13" s="1"/>
  <c r="H355" i="13" s="1"/>
  <c r="H356" i="13" s="1"/>
  <c r="H357" i="13" s="1"/>
  <c r="H358" i="13" s="1"/>
  <c r="H359" i="13" s="1"/>
  <c r="H360" i="13" s="1"/>
  <c r="H361" i="13" s="1"/>
  <c r="H362" i="13" s="1"/>
  <c r="H363" i="13" s="1"/>
  <c r="H364" i="13" s="1"/>
  <c r="H365" i="13" s="1"/>
  <c r="H366" i="13" s="1"/>
  <c r="H367" i="13" s="1"/>
  <c r="H368" i="13" s="1"/>
  <c r="H369" i="13" s="1"/>
  <c r="H370" i="13" s="1"/>
  <c r="H371" i="13" s="1"/>
  <c r="H372" i="13" s="1"/>
  <c r="H373" i="13" s="1"/>
  <c r="H374" i="13" s="1"/>
  <c r="H375" i="13" s="1"/>
  <c r="H376" i="13" s="1"/>
  <c r="H377" i="13" s="1"/>
  <c r="H378" i="13" s="1"/>
  <c r="H379" i="13" s="1"/>
  <c r="H380" i="13" s="1"/>
  <c r="H381" i="13" s="1"/>
  <c r="H382" i="13" s="1"/>
  <c r="H383" i="13" s="1"/>
  <c r="H384" i="13" s="1"/>
  <c r="H385" i="13" s="1"/>
  <c r="H386" i="13" s="1"/>
  <c r="H387" i="13" s="1"/>
  <c r="H388" i="13" s="1"/>
  <c r="H389" i="13" s="1"/>
  <c r="H390" i="13" s="1"/>
  <c r="H391" i="13" s="1"/>
  <c r="H392" i="13" s="1"/>
  <c r="H393" i="13" s="1"/>
  <c r="H394" i="13" s="1"/>
  <c r="H395" i="13" s="1"/>
  <c r="H396" i="13" s="1"/>
  <c r="H397" i="13" s="1"/>
  <c r="H398" i="13" s="1"/>
  <c r="H399" i="13" s="1"/>
  <c r="H400" i="13" s="1"/>
  <c r="H401" i="13" s="1"/>
  <c r="H402" i="13" s="1"/>
  <c r="H403" i="13" s="1"/>
  <c r="H404" i="13" s="1"/>
  <c r="H405" i="13" s="1"/>
  <c r="H406" i="13" s="1"/>
  <c r="H407" i="13" s="1"/>
  <c r="H408" i="13" s="1"/>
  <c r="H409" i="13" s="1"/>
  <c r="H410" i="13" s="1"/>
  <c r="H411" i="13" s="1"/>
  <c r="H412" i="13" s="1"/>
  <c r="H413" i="13" s="1"/>
  <c r="H414" i="13" s="1"/>
  <c r="H415" i="13" s="1"/>
  <c r="H416" i="13" s="1"/>
  <c r="H417" i="13" s="1"/>
  <c r="H418" i="13" s="1"/>
  <c r="H419" i="13" s="1"/>
  <c r="H420" i="13" s="1"/>
  <c r="H421" i="13" s="1"/>
  <c r="H422" i="13" s="1"/>
  <c r="H423" i="13" s="1"/>
  <c r="H424" i="13" s="1"/>
  <c r="H425" i="13" s="1"/>
  <c r="H426" i="13" s="1"/>
  <c r="H427" i="13" s="1"/>
  <c r="H428" i="13" s="1"/>
  <c r="H429" i="13" s="1"/>
  <c r="H430" i="13" s="1"/>
  <c r="H431" i="13" s="1"/>
  <c r="H432" i="13" s="1"/>
  <c r="H433" i="13" s="1"/>
  <c r="H434" i="13" s="1"/>
  <c r="H435" i="13" s="1"/>
  <c r="H436" i="13" s="1"/>
  <c r="H437" i="13" s="1"/>
  <c r="H438" i="13" s="1"/>
  <c r="H439" i="13" s="1"/>
  <c r="H440" i="13" s="1"/>
  <c r="H441" i="13" s="1"/>
  <c r="H442" i="13" s="1"/>
  <c r="H443" i="13" s="1"/>
  <c r="H444" i="13" s="1"/>
  <c r="H445" i="13" s="1"/>
  <c r="H446" i="13" s="1"/>
  <c r="H447" i="13" s="1"/>
  <c r="H448" i="13" s="1"/>
  <c r="H449" i="13" s="1"/>
  <c r="H450" i="13" s="1"/>
  <c r="H451" i="13" s="1"/>
  <c r="H452" i="13" s="1"/>
  <c r="H453" i="13" s="1"/>
  <c r="H454" i="13" s="1"/>
  <c r="H455" i="13" s="1"/>
  <c r="H456" i="13" s="1"/>
  <c r="H457" i="13" s="1"/>
  <c r="H458" i="13" s="1"/>
  <c r="H459" i="13" s="1"/>
  <c r="H460" i="13" s="1"/>
  <c r="H461" i="13" s="1"/>
  <c r="H462" i="13" s="1"/>
  <c r="H463" i="13" s="1"/>
  <c r="H464" i="13" s="1"/>
  <c r="H465" i="13" s="1"/>
  <c r="H466" i="13" s="1"/>
  <c r="H467" i="13" s="1"/>
  <c r="H468" i="13" s="1"/>
  <c r="H469" i="13" s="1"/>
  <c r="H470" i="13" s="1"/>
  <c r="H471" i="13" s="1"/>
  <c r="H472" i="13" s="1"/>
  <c r="H473" i="13" s="1"/>
  <c r="H474" i="13" s="1"/>
  <c r="H475" i="13" s="1"/>
  <c r="H476" i="13" s="1"/>
  <c r="H477" i="13" s="1"/>
  <c r="H478" i="13" s="1"/>
  <c r="H479" i="13" s="1"/>
  <c r="H480" i="13" s="1"/>
  <c r="H481" i="13" s="1"/>
  <c r="H482" i="13" s="1"/>
  <c r="H483" i="13" s="1"/>
  <c r="H484" i="13" s="1"/>
  <c r="H485" i="13" s="1"/>
  <c r="H486" i="13" s="1"/>
  <c r="H487" i="13" s="1"/>
  <c r="H488" i="13" s="1"/>
  <c r="H489" i="13" s="1"/>
  <c r="H490" i="13" s="1"/>
  <c r="H491" i="13" s="1"/>
  <c r="H492" i="13" s="1"/>
  <c r="H493" i="13" s="1"/>
  <c r="H494" i="13" s="1"/>
  <c r="H495" i="13" s="1"/>
  <c r="H496" i="13" s="1"/>
  <c r="H497" i="13" s="1"/>
  <c r="H498" i="13" s="1"/>
  <c r="H499" i="13" s="1"/>
  <c r="H500" i="13" s="1"/>
  <c r="C66" i="3" l="1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7" i="3"/>
  <c r="A67" i="3"/>
  <c r="H501" i="13"/>
  <c r="I501" i="13" s="1"/>
  <c r="C67" i="3" l="1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J501" i="13"/>
  <c r="B504" i="3"/>
  <c r="I397" i="13"/>
  <c r="I398" i="13"/>
  <c r="I211" i="13"/>
  <c r="I312" i="13"/>
  <c r="I390" i="13"/>
  <c r="I320" i="13"/>
  <c r="I326" i="13"/>
  <c r="I144" i="13"/>
  <c r="I429" i="13"/>
  <c r="I169" i="13"/>
  <c r="I175" i="13"/>
  <c r="I183" i="13"/>
  <c r="I188" i="13"/>
  <c r="I287" i="13"/>
  <c r="I295" i="13"/>
  <c r="I304" i="13"/>
  <c r="I331" i="13"/>
  <c r="I313" i="13"/>
  <c r="I476" i="13"/>
  <c r="I321" i="13"/>
  <c r="I328" i="13"/>
  <c r="I389" i="13"/>
  <c r="I431" i="13"/>
  <c r="I172" i="13"/>
  <c r="I180" i="13"/>
  <c r="I186" i="13"/>
  <c r="I444" i="13"/>
  <c r="I293" i="13"/>
  <c r="I301" i="13"/>
  <c r="I209" i="13"/>
  <c r="I334" i="13"/>
  <c r="I315" i="13"/>
  <c r="I317" i="13"/>
  <c r="I323" i="13"/>
  <c r="I330" i="13"/>
  <c r="I473" i="13"/>
  <c r="I167" i="13"/>
  <c r="I174" i="13"/>
  <c r="I181" i="13"/>
  <c r="I190" i="13"/>
  <c r="I288" i="13"/>
  <c r="I296" i="13"/>
  <c r="I208" i="13"/>
  <c r="I332" i="13"/>
  <c r="I314" i="13"/>
  <c r="I316" i="13"/>
  <c r="I322" i="13"/>
  <c r="I327" i="13"/>
  <c r="I145" i="13"/>
  <c r="I430" i="13"/>
  <c r="I171" i="13"/>
  <c r="I178" i="13"/>
  <c r="I185" i="13"/>
  <c r="I193" i="13"/>
  <c r="I292" i="13"/>
  <c r="I300" i="13"/>
  <c r="I204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43" i="13"/>
  <c r="I470" i="13"/>
  <c r="I481" i="13"/>
  <c r="I196" i="13"/>
  <c r="I197" i="13"/>
  <c r="I198" i="13"/>
  <c r="I199" i="13"/>
  <c r="I200" i="13"/>
  <c r="I201" i="13"/>
  <c r="I202" i="13"/>
  <c r="I203" i="13"/>
  <c r="I205" i="13"/>
  <c r="I206" i="13"/>
  <c r="I207" i="13"/>
  <c r="I329" i="13"/>
  <c r="I311" i="13"/>
  <c r="I146" i="13"/>
  <c r="I319" i="13"/>
  <c r="I325" i="13"/>
  <c r="I335" i="13"/>
  <c r="I392" i="13"/>
  <c r="I168" i="13"/>
  <c r="I176" i="13"/>
  <c r="I182" i="13"/>
  <c r="I189" i="13"/>
  <c r="I289" i="13"/>
  <c r="I297" i="13"/>
  <c r="I96" i="13"/>
  <c r="I433" i="13"/>
  <c r="I434" i="13"/>
  <c r="I435" i="13"/>
  <c r="I436" i="13"/>
  <c r="I437" i="13"/>
  <c r="I438" i="13"/>
  <c r="I460" i="13"/>
  <c r="I462" i="13"/>
  <c r="I464" i="13"/>
  <c r="I465" i="13"/>
  <c r="I466" i="13"/>
  <c r="I468" i="13"/>
  <c r="I469" i="13"/>
  <c r="I471" i="13"/>
  <c r="I472" i="13"/>
  <c r="I474" i="13"/>
  <c r="I475" i="13"/>
  <c r="I477" i="13"/>
  <c r="I479" i="13"/>
  <c r="I480" i="13"/>
  <c r="I482" i="13"/>
  <c r="I484" i="13"/>
  <c r="I286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1" i="13"/>
  <c r="I463" i="13"/>
  <c r="I467" i="13"/>
  <c r="I478" i="13"/>
  <c r="I483" i="13"/>
  <c r="I310" i="13"/>
  <c r="I308" i="13"/>
  <c r="I307" i="13"/>
  <c r="I306" i="13"/>
  <c r="I97" i="13"/>
  <c r="I98" i="13"/>
  <c r="I99" i="13"/>
  <c r="I100" i="13"/>
  <c r="I101" i="13"/>
  <c r="I102" i="13"/>
  <c r="I103" i="13"/>
  <c r="I104" i="13"/>
  <c r="I105" i="13"/>
  <c r="I106" i="13"/>
  <c r="I170" i="13"/>
  <c r="I177" i="13"/>
  <c r="I184" i="13"/>
  <c r="I192" i="13"/>
  <c r="I290" i="13"/>
  <c r="I298" i="13"/>
  <c r="I447" i="13"/>
  <c r="I303" i="13"/>
  <c r="I445" i="13"/>
  <c r="I305" i="13"/>
  <c r="I191" i="13"/>
  <c r="I291" i="13"/>
  <c r="I299" i="13"/>
  <c r="I210" i="13"/>
  <c r="I336" i="13"/>
  <c r="I147" i="13"/>
  <c r="I318" i="13"/>
  <c r="I324" i="13"/>
  <c r="I333" i="13"/>
  <c r="I391" i="13"/>
  <c r="I432" i="13"/>
  <c r="I173" i="13"/>
  <c r="I179" i="13"/>
  <c r="I187" i="13"/>
  <c r="I446" i="13"/>
  <c r="I294" i="13"/>
  <c r="I302" i="13"/>
  <c r="I373" i="13"/>
  <c r="I382" i="13"/>
  <c r="I139" i="13"/>
  <c r="I250" i="13"/>
  <c r="I380" i="13"/>
  <c r="I249" i="13"/>
  <c r="I265" i="13"/>
  <c r="I370" i="13"/>
  <c r="I126" i="13"/>
  <c r="I266" i="13"/>
  <c r="I285" i="13"/>
  <c r="I243" i="13"/>
  <c r="I267" i="13"/>
  <c r="I395" i="13"/>
  <c r="I138" i="13"/>
  <c r="I423" i="13"/>
  <c r="I231" i="13"/>
  <c r="I414" i="13"/>
  <c r="I399" i="13"/>
  <c r="I258" i="13"/>
  <c r="I81" i="13"/>
  <c r="I149" i="13"/>
  <c r="I157" i="13"/>
  <c r="I162" i="13"/>
  <c r="I80" i="13"/>
  <c r="I343" i="13"/>
  <c r="I67" i="13"/>
  <c r="I78" i="13"/>
  <c r="I93" i="13"/>
  <c r="I488" i="13"/>
  <c r="I377" i="13"/>
  <c r="I371" i="13"/>
  <c r="I362" i="13"/>
  <c r="I381" i="13"/>
  <c r="I364" i="13"/>
  <c r="I376" i="13"/>
  <c r="I386" i="13"/>
  <c r="I360" i="13"/>
  <c r="I385" i="13"/>
  <c r="I441" i="13"/>
  <c r="I195" i="13"/>
  <c r="I194" i="13"/>
  <c r="I132" i="13"/>
  <c r="I269" i="13"/>
  <c r="I213" i="13"/>
  <c r="I218" i="13"/>
  <c r="I219" i="13"/>
  <c r="I220" i="13"/>
  <c r="I221" i="13"/>
  <c r="I222" i="13"/>
  <c r="I223" i="13"/>
  <c r="I224" i="13"/>
  <c r="I225" i="13"/>
  <c r="I226" i="13"/>
  <c r="I228" i="13"/>
  <c r="I230" i="13"/>
  <c r="I232" i="13"/>
  <c r="I235" i="13"/>
  <c r="I357" i="13"/>
  <c r="I259" i="13"/>
  <c r="I355" i="13"/>
  <c r="I127" i="13"/>
  <c r="I280" i="13"/>
  <c r="I216" i="13"/>
  <c r="I257" i="13"/>
  <c r="I284" i="13"/>
  <c r="I413" i="13"/>
  <c r="I419" i="13"/>
  <c r="I240" i="13"/>
  <c r="I136" i="13"/>
  <c r="I493" i="13"/>
  <c r="I66" i="13"/>
  <c r="I68" i="13"/>
  <c r="I70" i="13"/>
  <c r="I72" i="13"/>
  <c r="I74" i="13"/>
  <c r="I77" i="13"/>
  <c r="I79" i="13"/>
  <c r="I137" i="13"/>
  <c r="I141" i="13"/>
  <c r="I233" i="13"/>
  <c r="I368" i="13"/>
  <c r="I124" i="13"/>
  <c r="I129" i="13"/>
  <c r="I283" i="13"/>
  <c r="I239" i="13"/>
  <c r="I272" i="13"/>
  <c r="I396" i="13"/>
  <c r="I411" i="13"/>
  <c r="I227" i="13"/>
  <c r="I426" i="13"/>
  <c r="I402" i="13"/>
  <c r="I247" i="13"/>
  <c r="I496" i="13"/>
  <c r="I253" i="13"/>
  <c r="I497" i="13"/>
  <c r="I406" i="13"/>
  <c r="I94" i="13"/>
  <c r="I416" i="13"/>
  <c r="I491" i="13"/>
  <c r="I88" i="13"/>
  <c r="I151" i="13"/>
  <c r="I152" i="13"/>
  <c r="I159" i="13"/>
  <c r="I166" i="13"/>
  <c r="I83" i="13"/>
  <c r="I85" i="13"/>
  <c r="I89" i="13"/>
  <c r="I92" i="13"/>
  <c r="I338" i="13"/>
  <c r="I340" i="13"/>
  <c r="I342" i="13"/>
  <c r="I344" i="13"/>
  <c r="I346" i="13"/>
  <c r="I358" i="13"/>
  <c r="I125" i="13"/>
  <c r="I281" i="13"/>
  <c r="I241" i="13"/>
  <c r="I270" i="13"/>
  <c r="I409" i="13"/>
  <c r="I427" i="13"/>
  <c r="I375" i="13"/>
  <c r="I354" i="13"/>
  <c r="I128" i="13"/>
  <c r="I268" i="13"/>
  <c r="I212" i="13"/>
  <c r="I246" i="13"/>
  <c r="I277" i="13"/>
  <c r="I135" i="13"/>
  <c r="I384" i="13"/>
  <c r="I238" i="13"/>
  <c r="I276" i="13"/>
  <c r="I237" i="13"/>
  <c r="I262" i="13"/>
  <c r="I394" i="13"/>
  <c r="I412" i="13"/>
  <c r="I415" i="13"/>
  <c r="I140" i="13"/>
  <c r="I425" i="13"/>
  <c r="I261" i="13"/>
  <c r="I400" i="13"/>
  <c r="I242" i="13"/>
  <c r="I428" i="13"/>
  <c r="I148" i="13"/>
  <c r="I153" i="13"/>
  <c r="I160" i="13"/>
  <c r="I165" i="13"/>
  <c r="I75" i="13"/>
  <c r="I339" i="13"/>
  <c r="I349" i="13"/>
  <c r="I73" i="13"/>
  <c r="I440" i="13"/>
  <c r="I134" i="13"/>
  <c r="I273" i="13"/>
  <c r="I248" i="13"/>
  <c r="I275" i="13"/>
  <c r="I401" i="13"/>
  <c r="I254" i="13"/>
  <c r="I405" i="13"/>
  <c r="I492" i="13"/>
  <c r="A2" i="3"/>
  <c r="I309" i="13"/>
  <c r="I424" i="13"/>
  <c r="I156" i="13"/>
  <c r="I388" i="13"/>
  <c r="I367" i="13"/>
  <c r="I133" i="13"/>
  <c r="I274" i="13"/>
  <c r="I217" i="13"/>
  <c r="I260" i="13"/>
  <c r="I393" i="13"/>
  <c r="I410" i="13"/>
  <c r="I263" i="13"/>
  <c r="I499" i="13"/>
  <c r="I421" i="13"/>
  <c r="I244" i="13"/>
  <c r="I500" i="13"/>
  <c r="I87" i="13"/>
  <c r="I420" i="13"/>
  <c r="I84" i="13"/>
  <c r="I150" i="13"/>
  <c r="I158" i="13"/>
  <c r="I164" i="13"/>
  <c r="I350" i="13"/>
  <c r="I347" i="13"/>
  <c r="I71" i="13"/>
  <c r="I90" i="13"/>
  <c r="I486" i="13"/>
  <c r="I378" i="13"/>
  <c r="I365" i="13"/>
  <c r="I359" i="13"/>
  <c r="I383" i="13"/>
  <c r="I372" i="13"/>
  <c r="I442" i="13"/>
  <c r="I374" i="13"/>
  <c r="I387" i="13"/>
  <c r="I369" i="13"/>
  <c r="I379" i="13"/>
  <c r="I130" i="13"/>
  <c r="I131" i="13"/>
  <c r="I278" i="13"/>
  <c r="I215" i="13"/>
  <c r="I255" i="13"/>
  <c r="I282" i="13"/>
  <c r="I407" i="13"/>
  <c r="I245" i="13"/>
  <c r="I494" i="13"/>
  <c r="I417" i="13"/>
  <c r="I234" i="13"/>
  <c r="I418" i="13"/>
  <c r="I403" i="13"/>
  <c r="I251" i="13"/>
  <c r="I498" i="13"/>
  <c r="I91" i="13"/>
  <c r="I154" i="13"/>
  <c r="I161" i="13"/>
  <c r="I348" i="13"/>
  <c r="I341" i="13"/>
  <c r="I69" i="13"/>
  <c r="I82" i="13"/>
  <c r="I487" i="13"/>
  <c r="I356" i="13"/>
  <c r="I439" i="13"/>
  <c r="I352" i="13"/>
  <c r="I361" i="13"/>
  <c r="I363" i="13"/>
  <c r="I443" i="13"/>
  <c r="I229" i="13"/>
  <c r="I271" i="13"/>
  <c r="I214" i="13"/>
  <c r="I252" i="13"/>
  <c r="I279" i="13"/>
  <c r="I404" i="13"/>
  <c r="I236" i="13"/>
  <c r="I490" i="13"/>
  <c r="I256" i="13"/>
  <c r="I142" i="13"/>
  <c r="I422" i="13"/>
  <c r="I408" i="13"/>
  <c r="I264" i="13"/>
  <c r="I495" i="13"/>
  <c r="I95" i="13"/>
  <c r="I155" i="13"/>
  <c r="I163" i="13"/>
  <c r="I337" i="13"/>
  <c r="I345" i="13"/>
  <c r="I65" i="13"/>
  <c r="I76" i="13"/>
  <c r="I86" i="13"/>
  <c r="I485" i="13"/>
  <c r="I489" i="13"/>
  <c r="I366" i="13"/>
  <c r="I353" i="13"/>
  <c r="I351" i="13"/>
  <c r="R504" i="3" l="1"/>
  <c r="A504" i="3"/>
  <c r="J397" i="13"/>
  <c r="B400" i="3"/>
  <c r="J398" i="13"/>
  <c r="B401" i="3"/>
  <c r="J211" i="13"/>
  <c r="B214" i="3"/>
  <c r="J312" i="13"/>
  <c r="B315" i="3"/>
  <c r="J390" i="13"/>
  <c r="B393" i="3"/>
  <c r="J320" i="13"/>
  <c r="B323" i="3"/>
  <c r="J326" i="13"/>
  <c r="B329" i="3"/>
  <c r="J144" i="13"/>
  <c r="B147" i="3"/>
  <c r="J429" i="13"/>
  <c r="B432" i="3"/>
  <c r="J169" i="13"/>
  <c r="B172" i="3"/>
  <c r="J175" i="13"/>
  <c r="B178" i="3"/>
  <c r="J183" i="13"/>
  <c r="B186" i="3"/>
  <c r="J188" i="13"/>
  <c r="B191" i="3"/>
  <c r="J287" i="13"/>
  <c r="B290" i="3"/>
  <c r="J295" i="13"/>
  <c r="B298" i="3"/>
  <c r="J304" i="13"/>
  <c r="B307" i="3"/>
  <c r="J331" i="13"/>
  <c r="B334" i="3"/>
  <c r="J313" i="13"/>
  <c r="B316" i="3"/>
  <c r="J476" i="13"/>
  <c r="B479" i="3"/>
  <c r="J321" i="13"/>
  <c r="B324" i="3"/>
  <c r="J328" i="13"/>
  <c r="B331" i="3"/>
  <c r="J389" i="13"/>
  <c r="B392" i="3"/>
  <c r="J431" i="13"/>
  <c r="B434" i="3"/>
  <c r="J172" i="13"/>
  <c r="B175" i="3"/>
  <c r="J180" i="13"/>
  <c r="B183" i="3"/>
  <c r="J186" i="13"/>
  <c r="B189" i="3"/>
  <c r="J444" i="13"/>
  <c r="B447" i="3"/>
  <c r="J293" i="13"/>
  <c r="B296" i="3"/>
  <c r="J301" i="13"/>
  <c r="B304" i="3"/>
  <c r="J209" i="13"/>
  <c r="B212" i="3"/>
  <c r="J334" i="13"/>
  <c r="B337" i="3"/>
  <c r="J315" i="13"/>
  <c r="B318" i="3"/>
  <c r="J317" i="13"/>
  <c r="B320" i="3"/>
  <c r="J323" i="13"/>
  <c r="B326" i="3"/>
  <c r="J330" i="13"/>
  <c r="B333" i="3"/>
  <c r="J473" i="13"/>
  <c r="B476" i="3"/>
  <c r="J167" i="13"/>
  <c r="B170" i="3"/>
  <c r="J174" i="13"/>
  <c r="B177" i="3"/>
  <c r="J181" i="13"/>
  <c r="B184" i="3"/>
  <c r="J190" i="13"/>
  <c r="B193" i="3"/>
  <c r="J288" i="13"/>
  <c r="B291" i="3"/>
  <c r="J296" i="13"/>
  <c r="B299" i="3"/>
  <c r="J208" i="13"/>
  <c r="B211" i="3"/>
  <c r="J332" i="13"/>
  <c r="B335" i="3"/>
  <c r="J314" i="13"/>
  <c r="B317" i="3"/>
  <c r="J316" i="13"/>
  <c r="B319" i="3"/>
  <c r="J322" i="13"/>
  <c r="B325" i="3"/>
  <c r="J327" i="13"/>
  <c r="B330" i="3"/>
  <c r="J145" i="13"/>
  <c r="B148" i="3"/>
  <c r="J430" i="13"/>
  <c r="B433" i="3"/>
  <c r="J171" i="13"/>
  <c r="B174" i="3"/>
  <c r="J178" i="13"/>
  <c r="B181" i="3"/>
  <c r="J185" i="13"/>
  <c r="B188" i="3"/>
  <c r="J193" i="13"/>
  <c r="B196" i="3"/>
  <c r="J292" i="13"/>
  <c r="B295" i="3"/>
  <c r="J300" i="13"/>
  <c r="B303" i="3"/>
  <c r="J204" i="13"/>
  <c r="B207" i="3"/>
  <c r="J107" i="13"/>
  <c r="B110" i="3"/>
  <c r="J108" i="13"/>
  <c r="B111" i="3"/>
  <c r="J109" i="13"/>
  <c r="B112" i="3"/>
  <c r="J110" i="13"/>
  <c r="B113" i="3"/>
  <c r="J111" i="13"/>
  <c r="B114" i="3"/>
  <c r="J112" i="13"/>
  <c r="B115" i="3"/>
  <c r="J113" i="13"/>
  <c r="B116" i="3"/>
  <c r="J114" i="13"/>
  <c r="B117" i="3"/>
  <c r="J115" i="13"/>
  <c r="B118" i="3"/>
  <c r="J116" i="13"/>
  <c r="B119" i="3"/>
  <c r="J117" i="13"/>
  <c r="B120" i="3"/>
  <c r="J118" i="13"/>
  <c r="B121" i="3"/>
  <c r="J119" i="13"/>
  <c r="B122" i="3"/>
  <c r="J120" i="13"/>
  <c r="B123" i="3"/>
  <c r="J121" i="13"/>
  <c r="B124" i="3"/>
  <c r="J122" i="13"/>
  <c r="B125" i="3"/>
  <c r="J123" i="13"/>
  <c r="B126" i="3"/>
  <c r="J143" i="13"/>
  <c r="B146" i="3"/>
  <c r="J470" i="13"/>
  <c r="B473" i="3"/>
  <c r="J481" i="13"/>
  <c r="B484" i="3"/>
  <c r="J196" i="13"/>
  <c r="B199" i="3"/>
  <c r="J197" i="13"/>
  <c r="B200" i="3"/>
  <c r="J198" i="13"/>
  <c r="B201" i="3"/>
  <c r="J199" i="13"/>
  <c r="B202" i="3"/>
  <c r="J200" i="13"/>
  <c r="B203" i="3"/>
  <c r="J201" i="13"/>
  <c r="B204" i="3"/>
  <c r="J202" i="13"/>
  <c r="B205" i="3"/>
  <c r="J203" i="13"/>
  <c r="B206" i="3"/>
  <c r="J205" i="13"/>
  <c r="B208" i="3"/>
  <c r="J206" i="13"/>
  <c r="B209" i="3"/>
  <c r="J207" i="13"/>
  <c r="B210" i="3"/>
  <c r="J329" i="13"/>
  <c r="B332" i="3"/>
  <c r="J311" i="13"/>
  <c r="B314" i="3"/>
  <c r="J146" i="13"/>
  <c r="B149" i="3"/>
  <c r="J319" i="13"/>
  <c r="B322" i="3"/>
  <c r="J325" i="13"/>
  <c r="B328" i="3"/>
  <c r="J335" i="13"/>
  <c r="B338" i="3"/>
  <c r="J392" i="13"/>
  <c r="B395" i="3"/>
  <c r="J168" i="13"/>
  <c r="B171" i="3"/>
  <c r="J176" i="13"/>
  <c r="B179" i="3"/>
  <c r="J182" i="13"/>
  <c r="B185" i="3"/>
  <c r="J189" i="13"/>
  <c r="B192" i="3"/>
  <c r="J289" i="13"/>
  <c r="B292" i="3"/>
  <c r="J297" i="13"/>
  <c r="B300" i="3"/>
  <c r="J96" i="13"/>
  <c r="B99" i="3"/>
  <c r="J433" i="13"/>
  <c r="B436" i="3"/>
  <c r="J434" i="13"/>
  <c r="B437" i="3"/>
  <c r="J435" i="13"/>
  <c r="B438" i="3"/>
  <c r="J436" i="13"/>
  <c r="B439" i="3"/>
  <c r="J437" i="13"/>
  <c r="B440" i="3"/>
  <c r="J438" i="13"/>
  <c r="B441" i="3"/>
  <c r="J460" i="13"/>
  <c r="B463" i="3"/>
  <c r="J462" i="13"/>
  <c r="B465" i="3"/>
  <c r="J464" i="13"/>
  <c r="B467" i="3"/>
  <c r="J465" i="13"/>
  <c r="B468" i="3"/>
  <c r="J466" i="13"/>
  <c r="B469" i="3"/>
  <c r="J468" i="13"/>
  <c r="B471" i="3"/>
  <c r="J469" i="13"/>
  <c r="B472" i="3"/>
  <c r="J471" i="13"/>
  <c r="B474" i="3"/>
  <c r="J472" i="13"/>
  <c r="B475" i="3"/>
  <c r="J474" i="13"/>
  <c r="B477" i="3"/>
  <c r="J475" i="13"/>
  <c r="B478" i="3"/>
  <c r="J477" i="13"/>
  <c r="B480" i="3"/>
  <c r="J479" i="13"/>
  <c r="B482" i="3"/>
  <c r="J480" i="13"/>
  <c r="B483" i="3"/>
  <c r="J482" i="13"/>
  <c r="B485" i="3"/>
  <c r="J484" i="13"/>
  <c r="B487" i="3"/>
  <c r="J286" i="13"/>
  <c r="B289" i="3"/>
  <c r="J448" i="13"/>
  <c r="B451" i="3"/>
  <c r="J449" i="13"/>
  <c r="B452" i="3"/>
  <c r="J450" i="13"/>
  <c r="B453" i="3"/>
  <c r="J451" i="13"/>
  <c r="B454" i="3"/>
  <c r="J452" i="13"/>
  <c r="B455" i="3"/>
  <c r="J453" i="13"/>
  <c r="B456" i="3"/>
  <c r="J454" i="13"/>
  <c r="B457" i="3"/>
  <c r="J455" i="13"/>
  <c r="B458" i="3"/>
  <c r="J456" i="13"/>
  <c r="B459" i="3"/>
  <c r="J457" i="13"/>
  <c r="B460" i="3"/>
  <c r="J458" i="13"/>
  <c r="B461" i="3"/>
  <c r="J459" i="13"/>
  <c r="B462" i="3"/>
  <c r="J461" i="13"/>
  <c r="B464" i="3"/>
  <c r="J463" i="13"/>
  <c r="B466" i="3"/>
  <c r="J467" i="13"/>
  <c r="B470" i="3"/>
  <c r="J478" i="13"/>
  <c r="B481" i="3"/>
  <c r="J483" i="13"/>
  <c r="B486" i="3"/>
  <c r="J310" i="13"/>
  <c r="B313" i="3"/>
  <c r="J308" i="13"/>
  <c r="B311" i="3"/>
  <c r="J307" i="13"/>
  <c r="B310" i="3"/>
  <c r="J306" i="13"/>
  <c r="B309" i="3"/>
  <c r="J97" i="13"/>
  <c r="B100" i="3"/>
  <c r="J98" i="13"/>
  <c r="B101" i="3"/>
  <c r="J99" i="13"/>
  <c r="B102" i="3"/>
  <c r="J100" i="13"/>
  <c r="B103" i="3"/>
  <c r="J101" i="13"/>
  <c r="B104" i="3"/>
  <c r="J102" i="13"/>
  <c r="B105" i="3"/>
  <c r="J103" i="13"/>
  <c r="B106" i="3"/>
  <c r="J104" i="13"/>
  <c r="B107" i="3"/>
  <c r="J105" i="13"/>
  <c r="B108" i="3"/>
  <c r="J106" i="13"/>
  <c r="B109" i="3"/>
  <c r="J170" i="13"/>
  <c r="B173" i="3"/>
  <c r="J177" i="13"/>
  <c r="B180" i="3"/>
  <c r="J184" i="13"/>
  <c r="B187" i="3"/>
  <c r="J192" i="13"/>
  <c r="B195" i="3"/>
  <c r="J290" i="13"/>
  <c r="B293" i="3"/>
  <c r="J298" i="13"/>
  <c r="B301" i="3"/>
  <c r="J447" i="13"/>
  <c r="B450" i="3"/>
  <c r="J303" i="13"/>
  <c r="B306" i="3"/>
  <c r="J445" i="13"/>
  <c r="B448" i="3"/>
  <c r="J305" i="13"/>
  <c r="B308" i="3"/>
  <c r="J191" i="13"/>
  <c r="B194" i="3"/>
  <c r="J291" i="13"/>
  <c r="B294" i="3"/>
  <c r="J299" i="13"/>
  <c r="B302" i="3"/>
  <c r="J210" i="13"/>
  <c r="B213" i="3"/>
  <c r="J336" i="13"/>
  <c r="B339" i="3"/>
  <c r="J147" i="13"/>
  <c r="B150" i="3"/>
  <c r="J318" i="13"/>
  <c r="B321" i="3"/>
  <c r="J324" i="13"/>
  <c r="B327" i="3"/>
  <c r="J333" i="13"/>
  <c r="B336" i="3"/>
  <c r="J391" i="13"/>
  <c r="B394" i="3"/>
  <c r="J432" i="13"/>
  <c r="B435" i="3"/>
  <c r="J173" i="13"/>
  <c r="B176" i="3"/>
  <c r="J179" i="13"/>
  <c r="B182" i="3"/>
  <c r="J187" i="13"/>
  <c r="B190" i="3"/>
  <c r="J446" i="13"/>
  <c r="B449" i="3"/>
  <c r="J294" i="13"/>
  <c r="B297" i="3"/>
  <c r="J302" i="13"/>
  <c r="B305" i="3"/>
  <c r="J373" i="13"/>
  <c r="B376" i="3"/>
  <c r="J382" i="13"/>
  <c r="B385" i="3"/>
  <c r="J139" i="13"/>
  <c r="B142" i="3"/>
  <c r="J250" i="13"/>
  <c r="B253" i="3"/>
  <c r="J380" i="13"/>
  <c r="B383" i="3"/>
  <c r="J249" i="13"/>
  <c r="B252" i="3"/>
  <c r="J265" i="13"/>
  <c r="B268" i="3"/>
  <c r="J370" i="13"/>
  <c r="B373" i="3"/>
  <c r="J126" i="13"/>
  <c r="B129" i="3"/>
  <c r="J266" i="13"/>
  <c r="B269" i="3"/>
  <c r="J285" i="13"/>
  <c r="B288" i="3"/>
  <c r="J243" i="13"/>
  <c r="B246" i="3"/>
  <c r="J267" i="13"/>
  <c r="B270" i="3"/>
  <c r="J395" i="13"/>
  <c r="B398" i="3"/>
  <c r="J138" i="13"/>
  <c r="B141" i="3"/>
  <c r="J423" i="13"/>
  <c r="B426" i="3"/>
  <c r="J231" i="13"/>
  <c r="B234" i="3"/>
  <c r="J414" i="13"/>
  <c r="B417" i="3"/>
  <c r="J399" i="13"/>
  <c r="B402" i="3"/>
  <c r="J258" i="13"/>
  <c r="B261" i="3"/>
  <c r="J81" i="13"/>
  <c r="B84" i="3"/>
  <c r="J149" i="13"/>
  <c r="B152" i="3"/>
  <c r="J157" i="13"/>
  <c r="B160" i="3"/>
  <c r="J162" i="13"/>
  <c r="B165" i="3"/>
  <c r="J80" i="13"/>
  <c r="B83" i="3"/>
  <c r="J343" i="13"/>
  <c r="B346" i="3"/>
  <c r="J67" i="13"/>
  <c r="B70" i="3"/>
  <c r="J78" i="13"/>
  <c r="B81" i="3"/>
  <c r="J93" i="13"/>
  <c r="B96" i="3"/>
  <c r="J488" i="13"/>
  <c r="B491" i="3"/>
  <c r="J377" i="13"/>
  <c r="B380" i="3"/>
  <c r="J371" i="13"/>
  <c r="B374" i="3"/>
  <c r="J362" i="13"/>
  <c r="B365" i="3"/>
  <c r="J381" i="13"/>
  <c r="B384" i="3"/>
  <c r="J364" i="13"/>
  <c r="B367" i="3"/>
  <c r="J376" i="13"/>
  <c r="B379" i="3"/>
  <c r="J386" i="13"/>
  <c r="B389" i="3"/>
  <c r="J360" i="13"/>
  <c r="B363" i="3"/>
  <c r="J385" i="13"/>
  <c r="B388" i="3"/>
  <c r="J441" i="13"/>
  <c r="B444" i="3"/>
  <c r="J195" i="13"/>
  <c r="B198" i="3"/>
  <c r="J194" i="13"/>
  <c r="B197" i="3"/>
  <c r="J132" i="13"/>
  <c r="B135" i="3"/>
  <c r="J269" i="13"/>
  <c r="B272" i="3"/>
  <c r="J213" i="13"/>
  <c r="B216" i="3"/>
  <c r="J218" i="13"/>
  <c r="B221" i="3"/>
  <c r="J219" i="13"/>
  <c r="B222" i="3"/>
  <c r="J220" i="13"/>
  <c r="B223" i="3"/>
  <c r="J221" i="13"/>
  <c r="B224" i="3"/>
  <c r="J222" i="13"/>
  <c r="B225" i="3"/>
  <c r="J223" i="13"/>
  <c r="B226" i="3"/>
  <c r="J224" i="13"/>
  <c r="B227" i="3"/>
  <c r="J225" i="13"/>
  <c r="B228" i="3"/>
  <c r="J226" i="13"/>
  <c r="B229" i="3"/>
  <c r="J228" i="13"/>
  <c r="B231" i="3"/>
  <c r="J230" i="13"/>
  <c r="B233" i="3"/>
  <c r="J232" i="13"/>
  <c r="B235" i="3"/>
  <c r="J235" i="13"/>
  <c r="B238" i="3"/>
  <c r="J357" i="13"/>
  <c r="B360" i="3"/>
  <c r="J259" i="13"/>
  <c r="B262" i="3"/>
  <c r="J355" i="13"/>
  <c r="B358" i="3"/>
  <c r="J127" i="13"/>
  <c r="B130" i="3"/>
  <c r="J280" i="13"/>
  <c r="B283" i="3"/>
  <c r="J216" i="13"/>
  <c r="B219" i="3"/>
  <c r="J257" i="13"/>
  <c r="B260" i="3"/>
  <c r="J284" i="13"/>
  <c r="B287" i="3"/>
  <c r="J413" i="13"/>
  <c r="B416" i="3"/>
  <c r="J419" i="13"/>
  <c r="B422" i="3"/>
  <c r="J240" i="13"/>
  <c r="B243" i="3"/>
  <c r="J136" i="13"/>
  <c r="B139" i="3"/>
  <c r="J493" i="13"/>
  <c r="B496" i="3"/>
  <c r="J66" i="13"/>
  <c r="B69" i="3"/>
  <c r="J68" i="13"/>
  <c r="B71" i="3"/>
  <c r="J70" i="13"/>
  <c r="B73" i="3"/>
  <c r="J72" i="13"/>
  <c r="B75" i="3"/>
  <c r="J74" i="13"/>
  <c r="B77" i="3"/>
  <c r="J77" i="13"/>
  <c r="B80" i="3"/>
  <c r="J79" i="13"/>
  <c r="B82" i="3"/>
  <c r="J137" i="13"/>
  <c r="B140" i="3"/>
  <c r="J141" i="13"/>
  <c r="B144" i="3"/>
  <c r="J233" i="13"/>
  <c r="B236" i="3"/>
  <c r="J368" i="13"/>
  <c r="B371" i="3"/>
  <c r="J124" i="13"/>
  <c r="B127" i="3"/>
  <c r="J129" i="13"/>
  <c r="B132" i="3"/>
  <c r="J283" i="13"/>
  <c r="B286" i="3"/>
  <c r="J239" i="13"/>
  <c r="B242" i="3"/>
  <c r="J272" i="13"/>
  <c r="B275" i="3"/>
  <c r="J396" i="13"/>
  <c r="B399" i="3"/>
  <c r="J411" i="13"/>
  <c r="B414" i="3"/>
  <c r="J227" i="13"/>
  <c r="B230" i="3"/>
  <c r="J426" i="13"/>
  <c r="B429" i="3"/>
  <c r="J402" i="13"/>
  <c r="B405" i="3"/>
  <c r="J247" i="13"/>
  <c r="B250" i="3"/>
  <c r="J496" i="13"/>
  <c r="B499" i="3"/>
  <c r="J253" i="13"/>
  <c r="B256" i="3"/>
  <c r="J497" i="13"/>
  <c r="B500" i="3"/>
  <c r="J406" i="13"/>
  <c r="B409" i="3"/>
  <c r="J94" i="13"/>
  <c r="B97" i="3"/>
  <c r="J416" i="13"/>
  <c r="B419" i="3"/>
  <c r="J491" i="13"/>
  <c r="B494" i="3"/>
  <c r="J88" i="13"/>
  <c r="B91" i="3"/>
  <c r="J151" i="13"/>
  <c r="B154" i="3"/>
  <c r="J152" i="13"/>
  <c r="B155" i="3"/>
  <c r="J159" i="13"/>
  <c r="B162" i="3"/>
  <c r="J166" i="13"/>
  <c r="B169" i="3"/>
  <c r="J83" i="13"/>
  <c r="B86" i="3"/>
  <c r="J85" i="13"/>
  <c r="B88" i="3"/>
  <c r="J89" i="13"/>
  <c r="B92" i="3"/>
  <c r="J92" i="13"/>
  <c r="B95" i="3"/>
  <c r="J338" i="13"/>
  <c r="B341" i="3"/>
  <c r="J340" i="13"/>
  <c r="B343" i="3"/>
  <c r="J342" i="13"/>
  <c r="B345" i="3"/>
  <c r="J344" i="13"/>
  <c r="B347" i="3"/>
  <c r="J346" i="13"/>
  <c r="B349" i="3"/>
  <c r="J358" i="13"/>
  <c r="B361" i="3"/>
  <c r="J125" i="13"/>
  <c r="B128" i="3"/>
  <c r="J281" i="13"/>
  <c r="B284" i="3"/>
  <c r="J241" i="13"/>
  <c r="B244" i="3"/>
  <c r="J270" i="13"/>
  <c r="B273" i="3"/>
  <c r="J409" i="13"/>
  <c r="B412" i="3"/>
  <c r="J427" i="13"/>
  <c r="B430" i="3"/>
  <c r="J375" i="13"/>
  <c r="B378" i="3"/>
  <c r="J354" i="13"/>
  <c r="B357" i="3"/>
  <c r="J128" i="13"/>
  <c r="B131" i="3"/>
  <c r="J268" i="13"/>
  <c r="B271" i="3"/>
  <c r="J212" i="13"/>
  <c r="B215" i="3"/>
  <c r="J246" i="13"/>
  <c r="B249" i="3"/>
  <c r="J277" i="13"/>
  <c r="B280" i="3"/>
  <c r="J135" i="13"/>
  <c r="B138" i="3"/>
  <c r="J384" i="13"/>
  <c r="B387" i="3"/>
  <c r="J238" i="13"/>
  <c r="B241" i="3"/>
  <c r="J276" i="13"/>
  <c r="B279" i="3"/>
  <c r="J237" i="13"/>
  <c r="B240" i="3"/>
  <c r="J262" i="13"/>
  <c r="B265" i="3"/>
  <c r="J394" i="13"/>
  <c r="B397" i="3"/>
  <c r="J412" i="13"/>
  <c r="B415" i="3"/>
  <c r="J415" i="13"/>
  <c r="B418" i="3"/>
  <c r="J140" i="13"/>
  <c r="B143" i="3"/>
  <c r="J425" i="13"/>
  <c r="B428" i="3"/>
  <c r="J261" i="13"/>
  <c r="B264" i="3"/>
  <c r="J400" i="13"/>
  <c r="B403" i="3"/>
  <c r="J242" i="13"/>
  <c r="B245" i="3"/>
  <c r="J428" i="13"/>
  <c r="B431" i="3"/>
  <c r="J148" i="13"/>
  <c r="B151" i="3"/>
  <c r="J153" i="13"/>
  <c r="B156" i="3"/>
  <c r="J160" i="13"/>
  <c r="B163" i="3"/>
  <c r="J165" i="13"/>
  <c r="B168" i="3"/>
  <c r="J75" i="13"/>
  <c r="B78" i="3"/>
  <c r="J339" i="13"/>
  <c r="B342" i="3"/>
  <c r="J349" i="13"/>
  <c r="B352" i="3"/>
  <c r="J73" i="13"/>
  <c r="B76" i="3"/>
  <c r="J440" i="13"/>
  <c r="B443" i="3"/>
  <c r="J134" i="13"/>
  <c r="B137" i="3"/>
  <c r="J273" i="13"/>
  <c r="B276" i="3"/>
  <c r="J248" i="13"/>
  <c r="B251" i="3"/>
  <c r="J275" i="13"/>
  <c r="B278" i="3"/>
  <c r="J401" i="13"/>
  <c r="B404" i="3"/>
  <c r="J254" i="13"/>
  <c r="B257" i="3"/>
  <c r="J405" i="13"/>
  <c r="B408" i="3"/>
  <c r="J492" i="13"/>
  <c r="B495" i="3"/>
  <c r="J309" i="13"/>
  <c r="B312" i="3"/>
  <c r="J424" i="13"/>
  <c r="B427" i="3"/>
  <c r="J156" i="13"/>
  <c r="B159" i="3"/>
  <c r="J388" i="13"/>
  <c r="B391" i="3"/>
  <c r="J367" i="13"/>
  <c r="B370" i="3"/>
  <c r="J133" i="13"/>
  <c r="B136" i="3"/>
  <c r="J274" i="13"/>
  <c r="B277" i="3"/>
  <c r="J217" i="13"/>
  <c r="B220" i="3"/>
  <c r="J260" i="13"/>
  <c r="B263" i="3"/>
  <c r="J393" i="13"/>
  <c r="B396" i="3"/>
  <c r="J410" i="13"/>
  <c r="B413" i="3"/>
  <c r="J263" i="13"/>
  <c r="B266" i="3"/>
  <c r="J499" i="13"/>
  <c r="B502" i="3"/>
  <c r="J421" i="13"/>
  <c r="B424" i="3"/>
  <c r="J244" i="13"/>
  <c r="B247" i="3"/>
  <c r="J500" i="13"/>
  <c r="B503" i="3"/>
  <c r="J87" i="13"/>
  <c r="B90" i="3"/>
  <c r="J420" i="13"/>
  <c r="B423" i="3"/>
  <c r="J84" i="13"/>
  <c r="B87" i="3"/>
  <c r="J150" i="13"/>
  <c r="B153" i="3"/>
  <c r="J158" i="13"/>
  <c r="B161" i="3"/>
  <c r="J164" i="13"/>
  <c r="B167" i="3"/>
  <c r="J350" i="13"/>
  <c r="B353" i="3"/>
  <c r="J347" i="13"/>
  <c r="B350" i="3"/>
  <c r="J71" i="13"/>
  <c r="B74" i="3"/>
  <c r="J90" i="13"/>
  <c r="B93" i="3"/>
  <c r="J486" i="13"/>
  <c r="B489" i="3"/>
  <c r="J378" i="13"/>
  <c r="B381" i="3"/>
  <c r="J365" i="13"/>
  <c r="B368" i="3"/>
  <c r="J359" i="13"/>
  <c r="B362" i="3"/>
  <c r="J383" i="13"/>
  <c r="B386" i="3"/>
  <c r="J372" i="13"/>
  <c r="B375" i="3"/>
  <c r="J442" i="13"/>
  <c r="B445" i="3"/>
  <c r="J374" i="13"/>
  <c r="B377" i="3"/>
  <c r="J387" i="13"/>
  <c r="B390" i="3"/>
  <c r="J369" i="13"/>
  <c r="B372" i="3"/>
  <c r="J379" i="13"/>
  <c r="B382" i="3"/>
  <c r="J130" i="13"/>
  <c r="B133" i="3"/>
  <c r="J131" i="13"/>
  <c r="B134" i="3"/>
  <c r="J278" i="13"/>
  <c r="B281" i="3"/>
  <c r="J215" i="13"/>
  <c r="B218" i="3"/>
  <c r="J255" i="13"/>
  <c r="B258" i="3"/>
  <c r="J282" i="13"/>
  <c r="B285" i="3"/>
  <c r="J407" i="13"/>
  <c r="B410" i="3"/>
  <c r="J245" i="13"/>
  <c r="B248" i="3"/>
  <c r="J494" i="13"/>
  <c r="B497" i="3"/>
  <c r="J417" i="13"/>
  <c r="B420" i="3"/>
  <c r="J234" i="13"/>
  <c r="B237" i="3"/>
  <c r="J418" i="13"/>
  <c r="B421" i="3"/>
  <c r="J403" i="13"/>
  <c r="B406" i="3"/>
  <c r="J251" i="13"/>
  <c r="B254" i="3"/>
  <c r="J498" i="13"/>
  <c r="B501" i="3"/>
  <c r="J91" i="13"/>
  <c r="B94" i="3"/>
  <c r="J154" i="13"/>
  <c r="B157" i="3"/>
  <c r="J161" i="13"/>
  <c r="B164" i="3"/>
  <c r="J348" i="13"/>
  <c r="B351" i="3"/>
  <c r="J341" i="13"/>
  <c r="B344" i="3"/>
  <c r="J69" i="13"/>
  <c r="B72" i="3"/>
  <c r="J82" i="13"/>
  <c r="B85" i="3"/>
  <c r="J487" i="13"/>
  <c r="B490" i="3"/>
  <c r="J356" i="13"/>
  <c r="B359" i="3"/>
  <c r="J439" i="13"/>
  <c r="B442" i="3"/>
  <c r="J352" i="13"/>
  <c r="B355" i="3"/>
  <c r="J361" i="13"/>
  <c r="B364" i="3"/>
  <c r="J363" i="13"/>
  <c r="B366" i="3"/>
  <c r="J443" i="13"/>
  <c r="B446" i="3"/>
  <c r="J229" i="13"/>
  <c r="B232" i="3"/>
  <c r="J271" i="13"/>
  <c r="B274" i="3"/>
  <c r="J214" i="13"/>
  <c r="B217" i="3"/>
  <c r="J252" i="13"/>
  <c r="B255" i="3"/>
  <c r="J279" i="13"/>
  <c r="B282" i="3"/>
  <c r="J404" i="13"/>
  <c r="B407" i="3"/>
  <c r="J236" i="13"/>
  <c r="B239" i="3"/>
  <c r="J490" i="13"/>
  <c r="B493" i="3"/>
  <c r="J256" i="13"/>
  <c r="B259" i="3"/>
  <c r="J142" i="13"/>
  <c r="B145" i="3"/>
  <c r="J422" i="13"/>
  <c r="B425" i="3"/>
  <c r="J408" i="13"/>
  <c r="B411" i="3"/>
  <c r="J264" i="13"/>
  <c r="B267" i="3"/>
  <c r="J495" i="13"/>
  <c r="B498" i="3"/>
  <c r="J95" i="13"/>
  <c r="B98" i="3"/>
  <c r="J155" i="13"/>
  <c r="B158" i="3"/>
  <c r="J163" i="13"/>
  <c r="B166" i="3"/>
  <c r="J337" i="13"/>
  <c r="B340" i="3"/>
  <c r="J345" i="13"/>
  <c r="B348" i="3"/>
  <c r="J65" i="13"/>
  <c r="B68" i="3"/>
  <c r="J76" i="13"/>
  <c r="B79" i="3"/>
  <c r="J86" i="13"/>
  <c r="B89" i="3"/>
  <c r="J485" i="13"/>
  <c r="B488" i="3"/>
  <c r="J489" i="13"/>
  <c r="B492" i="3"/>
  <c r="J366" i="13"/>
  <c r="B369" i="3"/>
  <c r="J353" i="13"/>
  <c r="B356" i="3"/>
  <c r="J351" i="13"/>
  <c r="B354" i="3"/>
  <c r="C504" i="3" l="1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400" i="3"/>
  <c r="A400" i="3"/>
  <c r="R401" i="3"/>
  <c r="A401" i="3"/>
  <c r="R214" i="3"/>
  <c r="A214" i="3"/>
  <c r="R315" i="3"/>
  <c r="A315" i="3"/>
  <c r="R393" i="3"/>
  <c r="A393" i="3"/>
  <c r="R323" i="3"/>
  <c r="A323" i="3"/>
  <c r="R329" i="3"/>
  <c r="A329" i="3"/>
  <c r="R147" i="3"/>
  <c r="A147" i="3"/>
  <c r="R432" i="3"/>
  <c r="A432" i="3"/>
  <c r="R172" i="3"/>
  <c r="A172" i="3"/>
  <c r="R178" i="3"/>
  <c r="A178" i="3"/>
  <c r="R186" i="3"/>
  <c r="A186" i="3"/>
  <c r="R191" i="3"/>
  <c r="A191" i="3"/>
  <c r="R290" i="3"/>
  <c r="A290" i="3"/>
  <c r="R298" i="3"/>
  <c r="A298" i="3"/>
  <c r="R307" i="3"/>
  <c r="A307" i="3"/>
  <c r="R334" i="3"/>
  <c r="A334" i="3"/>
  <c r="R316" i="3"/>
  <c r="A316" i="3"/>
  <c r="R479" i="3"/>
  <c r="A479" i="3"/>
  <c r="R324" i="3"/>
  <c r="A324" i="3"/>
  <c r="R331" i="3"/>
  <c r="A331" i="3"/>
  <c r="R392" i="3"/>
  <c r="A392" i="3"/>
  <c r="R434" i="3"/>
  <c r="A434" i="3"/>
  <c r="R175" i="3"/>
  <c r="A175" i="3"/>
  <c r="R183" i="3"/>
  <c r="A183" i="3"/>
  <c r="R189" i="3"/>
  <c r="A189" i="3"/>
  <c r="R447" i="3"/>
  <c r="A447" i="3"/>
  <c r="R296" i="3"/>
  <c r="A296" i="3"/>
  <c r="R304" i="3"/>
  <c r="A304" i="3"/>
  <c r="R212" i="3"/>
  <c r="A212" i="3"/>
  <c r="R337" i="3"/>
  <c r="A337" i="3"/>
  <c r="R318" i="3"/>
  <c r="A318" i="3"/>
  <c r="R320" i="3"/>
  <c r="A320" i="3"/>
  <c r="R326" i="3"/>
  <c r="A326" i="3"/>
  <c r="R333" i="3"/>
  <c r="A333" i="3"/>
  <c r="R476" i="3"/>
  <c r="A476" i="3"/>
  <c r="R170" i="3"/>
  <c r="A170" i="3"/>
  <c r="R177" i="3"/>
  <c r="A177" i="3"/>
  <c r="R184" i="3"/>
  <c r="A184" i="3"/>
  <c r="R193" i="3"/>
  <c r="A193" i="3"/>
  <c r="R291" i="3"/>
  <c r="A291" i="3"/>
  <c r="R299" i="3"/>
  <c r="A299" i="3"/>
  <c r="R211" i="3"/>
  <c r="A211" i="3"/>
  <c r="R335" i="3"/>
  <c r="A335" i="3"/>
  <c r="R317" i="3"/>
  <c r="A317" i="3"/>
  <c r="R319" i="3"/>
  <c r="A319" i="3"/>
  <c r="R325" i="3"/>
  <c r="A325" i="3"/>
  <c r="R330" i="3"/>
  <c r="A330" i="3"/>
  <c r="R148" i="3"/>
  <c r="A148" i="3"/>
  <c r="R433" i="3"/>
  <c r="A433" i="3"/>
  <c r="R174" i="3"/>
  <c r="A174" i="3"/>
  <c r="R181" i="3"/>
  <c r="A181" i="3"/>
  <c r="R188" i="3"/>
  <c r="A188" i="3"/>
  <c r="R196" i="3"/>
  <c r="A196" i="3"/>
  <c r="R295" i="3"/>
  <c r="A295" i="3"/>
  <c r="R303" i="3"/>
  <c r="A303" i="3"/>
  <c r="R207" i="3"/>
  <c r="A207" i="3"/>
  <c r="R110" i="3"/>
  <c r="A110" i="3"/>
  <c r="R111" i="3"/>
  <c r="A111" i="3"/>
  <c r="R112" i="3"/>
  <c r="A112" i="3"/>
  <c r="R113" i="3"/>
  <c r="A113" i="3"/>
  <c r="R114" i="3"/>
  <c r="A114" i="3"/>
  <c r="R115" i="3"/>
  <c r="A115" i="3"/>
  <c r="R116" i="3"/>
  <c r="A116" i="3"/>
  <c r="R117" i="3"/>
  <c r="A117" i="3"/>
  <c r="R118" i="3"/>
  <c r="A118" i="3"/>
  <c r="R119" i="3"/>
  <c r="A119" i="3"/>
  <c r="R120" i="3"/>
  <c r="A120" i="3"/>
  <c r="R121" i="3"/>
  <c r="A121" i="3"/>
  <c r="R122" i="3"/>
  <c r="A122" i="3"/>
  <c r="R123" i="3"/>
  <c r="A123" i="3"/>
  <c r="R124" i="3"/>
  <c r="A124" i="3"/>
  <c r="R125" i="3"/>
  <c r="A125" i="3"/>
  <c r="R126" i="3"/>
  <c r="A126" i="3"/>
  <c r="R146" i="3"/>
  <c r="A146" i="3"/>
  <c r="R473" i="3"/>
  <c r="A473" i="3"/>
  <c r="R484" i="3"/>
  <c r="A484" i="3"/>
  <c r="R199" i="3"/>
  <c r="A199" i="3"/>
  <c r="R200" i="3"/>
  <c r="A200" i="3"/>
  <c r="R201" i="3"/>
  <c r="A201" i="3"/>
  <c r="R202" i="3"/>
  <c r="A202" i="3"/>
  <c r="R203" i="3"/>
  <c r="A203" i="3"/>
  <c r="R204" i="3"/>
  <c r="A204" i="3"/>
  <c r="R205" i="3"/>
  <c r="A205" i="3"/>
  <c r="R206" i="3"/>
  <c r="A206" i="3"/>
  <c r="R208" i="3"/>
  <c r="A208" i="3"/>
  <c r="R209" i="3"/>
  <c r="A209" i="3"/>
  <c r="R210" i="3"/>
  <c r="A210" i="3"/>
  <c r="R332" i="3"/>
  <c r="A332" i="3"/>
  <c r="R314" i="3"/>
  <c r="A314" i="3"/>
  <c r="R149" i="3"/>
  <c r="A149" i="3"/>
  <c r="R322" i="3"/>
  <c r="A322" i="3"/>
  <c r="R328" i="3"/>
  <c r="A328" i="3"/>
  <c r="R338" i="3"/>
  <c r="A338" i="3"/>
  <c r="R395" i="3"/>
  <c r="A395" i="3"/>
  <c r="R171" i="3"/>
  <c r="A171" i="3"/>
  <c r="R179" i="3"/>
  <c r="A179" i="3"/>
  <c r="R185" i="3"/>
  <c r="A185" i="3"/>
  <c r="R192" i="3"/>
  <c r="A192" i="3"/>
  <c r="R292" i="3"/>
  <c r="A292" i="3"/>
  <c r="R300" i="3"/>
  <c r="A300" i="3"/>
  <c r="R99" i="3"/>
  <c r="A99" i="3"/>
  <c r="R436" i="3"/>
  <c r="A436" i="3"/>
  <c r="R437" i="3"/>
  <c r="A437" i="3"/>
  <c r="R438" i="3"/>
  <c r="A438" i="3"/>
  <c r="R439" i="3"/>
  <c r="A439" i="3"/>
  <c r="R440" i="3"/>
  <c r="A440" i="3"/>
  <c r="R441" i="3"/>
  <c r="A441" i="3"/>
  <c r="R463" i="3"/>
  <c r="A463" i="3"/>
  <c r="R465" i="3"/>
  <c r="A465" i="3"/>
  <c r="R467" i="3"/>
  <c r="A467" i="3"/>
  <c r="R468" i="3"/>
  <c r="A468" i="3"/>
  <c r="R469" i="3"/>
  <c r="A469" i="3"/>
  <c r="R471" i="3"/>
  <c r="A471" i="3"/>
  <c r="R472" i="3"/>
  <c r="A472" i="3"/>
  <c r="R474" i="3"/>
  <c r="A474" i="3"/>
  <c r="R475" i="3"/>
  <c r="A475" i="3"/>
  <c r="R477" i="3"/>
  <c r="A477" i="3"/>
  <c r="R478" i="3"/>
  <c r="A478" i="3"/>
  <c r="R480" i="3"/>
  <c r="A480" i="3"/>
  <c r="R482" i="3"/>
  <c r="A482" i="3"/>
  <c r="R483" i="3"/>
  <c r="A483" i="3"/>
  <c r="R485" i="3"/>
  <c r="A485" i="3"/>
  <c r="R487" i="3"/>
  <c r="A487" i="3"/>
  <c r="R289" i="3"/>
  <c r="A289" i="3"/>
  <c r="R451" i="3"/>
  <c r="A451" i="3"/>
  <c r="R452" i="3"/>
  <c r="A452" i="3"/>
  <c r="R453" i="3"/>
  <c r="A453" i="3"/>
  <c r="R454" i="3"/>
  <c r="A454" i="3"/>
  <c r="R455" i="3"/>
  <c r="A455" i="3"/>
  <c r="R456" i="3"/>
  <c r="A456" i="3"/>
  <c r="R457" i="3"/>
  <c r="A457" i="3"/>
  <c r="R458" i="3"/>
  <c r="A458" i="3"/>
  <c r="R459" i="3"/>
  <c r="A459" i="3"/>
  <c r="R460" i="3"/>
  <c r="A460" i="3"/>
  <c r="R461" i="3"/>
  <c r="A461" i="3"/>
  <c r="R462" i="3"/>
  <c r="A462" i="3"/>
  <c r="R464" i="3"/>
  <c r="A464" i="3"/>
  <c r="R466" i="3"/>
  <c r="A466" i="3"/>
  <c r="R470" i="3"/>
  <c r="A470" i="3"/>
  <c r="R481" i="3"/>
  <c r="A481" i="3"/>
  <c r="R486" i="3"/>
  <c r="A486" i="3"/>
  <c r="R313" i="3"/>
  <c r="A313" i="3"/>
  <c r="R311" i="3"/>
  <c r="A311" i="3"/>
  <c r="R310" i="3"/>
  <c r="A310" i="3"/>
  <c r="R309" i="3"/>
  <c r="A309" i="3"/>
  <c r="R100" i="3"/>
  <c r="A100" i="3"/>
  <c r="R101" i="3"/>
  <c r="A101" i="3"/>
  <c r="R102" i="3"/>
  <c r="A102" i="3"/>
  <c r="R103" i="3"/>
  <c r="A103" i="3"/>
  <c r="R104" i="3"/>
  <c r="A104" i="3"/>
  <c r="R105" i="3"/>
  <c r="A105" i="3"/>
  <c r="R106" i="3"/>
  <c r="A106" i="3"/>
  <c r="R107" i="3"/>
  <c r="A107" i="3"/>
  <c r="R108" i="3"/>
  <c r="A108" i="3"/>
  <c r="R109" i="3"/>
  <c r="A109" i="3"/>
  <c r="R173" i="3"/>
  <c r="A173" i="3"/>
  <c r="R180" i="3"/>
  <c r="A180" i="3"/>
  <c r="R187" i="3"/>
  <c r="A187" i="3"/>
  <c r="R195" i="3"/>
  <c r="A195" i="3"/>
  <c r="R293" i="3"/>
  <c r="A293" i="3"/>
  <c r="R301" i="3"/>
  <c r="A301" i="3"/>
  <c r="R450" i="3"/>
  <c r="A450" i="3"/>
  <c r="R306" i="3"/>
  <c r="A306" i="3"/>
  <c r="R448" i="3"/>
  <c r="A448" i="3"/>
  <c r="R308" i="3"/>
  <c r="A308" i="3"/>
  <c r="R194" i="3"/>
  <c r="A194" i="3"/>
  <c r="R294" i="3"/>
  <c r="A294" i="3"/>
  <c r="R302" i="3"/>
  <c r="A302" i="3"/>
  <c r="R213" i="3"/>
  <c r="A213" i="3"/>
  <c r="R339" i="3"/>
  <c r="A339" i="3"/>
  <c r="R150" i="3"/>
  <c r="A150" i="3"/>
  <c r="R321" i="3"/>
  <c r="A321" i="3"/>
  <c r="R327" i="3"/>
  <c r="A327" i="3"/>
  <c r="R336" i="3"/>
  <c r="A336" i="3"/>
  <c r="R394" i="3"/>
  <c r="A394" i="3"/>
  <c r="R435" i="3"/>
  <c r="A435" i="3"/>
  <c r="R176" i="3"/>
  <c r="A176" i="3"/>
  <c r="R182" i="3"/>
  <c r="A182" i="3"/>
  <c r="R190" i="3"/>
  <c r="A190" i="3"/>
  <c r="R449" i="3"/>
  <c r="A449" i="3"/>
  <c r="R297" i="3"/>
  <c r="A297" i="3"/>
  <c r="R305" i="3"/>
  <c r="A305" i="3"/>
  <c r="R376" i="3"/>
  <c r="A376" i="3"/>
  <c r="R385" i="3"/>
  <c r="A385" i="3"/>
  <c r="R142" i="3"/>
  <c r="A142" i="3"/>
  <c r="R253" i="3"/>
  <c r="A253" i="3"/>
  <c r="R383" i="3"/>
  <c r="A383" i="3"/>
  <c r="R252" i="3"/>
  <c r="A252" i="3"/>
  <c r="R268" i="3"/>
  <c r="A268" i="3"/>
  <c r="R373" i="3"/>
  <c r="A373" i="3"/>
  <c r="R129" i="3"/>
  <c r="A129" i="3"/>
  <c r="R269" i="3"/>
  <c r="A269" i="3"/>
  <c r="R288" i="3"/>
  <c r="A288" i="3"/>
  <c r="R246" i="3"/>
  <c r="A246" i="3"/>
  <c r="R270" i="3"/>
  <c r="A270" i="3"/>
  <c r="R398" i="3"/>
  <c r="A398" i="3"/>
  <c r="R141" i="3"/>
  <c r="A141" i="3"/>
  <c r="R426" i="3"/>
  <c r="A426" i="3"/>
  <c r="R234" i="3"/>
  <c r="A234" i="3"/>
  <c r="R417" i="3"/>
  <c r="A417" i="3"/>
  <c r="R402" i="3"/>
  <c r="A402" i="3"/>
  <c r="R261" i="3"/>
  <c r="A261" i="3"/>
  <c r="R84" i="3"/>
  <c r="A84" i="3"/>
  <c r="R152" i="3"/>
  <c r="A152" i="3"/>
  <c r="R160" i="3"/>
  <c r="A160" i="3"/>
  <c r="R165" i="3"/>
  <c r="A165" i="3"/>
  <c r="R83" i="3"/>
  <c r="A83" i="3"/>
  <c r="R346" i="3"/>
  <c r="A346" i="3"/>
  <c r="R70" i="3"/>
  <c r="A70" i="3"/>
  <c r="R81" i="3"/>
  <c r="A81" i="3"/>
  <c r="R96" i="3"/>
  <c r="A96" i="3"/>
  <c r="R491" i="3"/>
  <c r="A491" i="3"/>
  <c r="R380" i="3"/>
  <c r="A380" i="3"/>
  <c r="R374" i="3"/>
  <c r="A374" i="3"/>
  <c r="R365" i="3"/>
  <c r="A365" i="3"/>
  <c r="R384" i="3"/>
  <c r="A384" i="3"/>
  <c r="R367" i="3"/>
  <c r="A367" i="3"/>
  <c r="R379" i="3"/>
  <c r="A379" i="3"/>
  <c r="R389" i="3"/>
  <c r="A389" i="3"/>
  <c r="R363" i="3"/>
  <c r="A363" i="3"/>
  <c r="R388" i="3"/>
  <c r="A388" i="3"/>
  <c r="R444" i="3"/>
  <c r="A444" i="3"/>
  <c r="R198" i="3"/>
  <c r="A198" i="3"/>
  <c r="R197" i="3"/>
  <c r="A197" i="3"/>
  <c r="R135" i="3"/>
  <c r="A135" i="3"/>
  <c r="R272" i="3"/>
  <c r="A272" i="3"/>
  <c r="R216" i="3"/>
  <c r="A216" i="3"/>
  <c r="R221" i="3"/>
  <c r="A221" i="3"/>
  <c r="R222" i="3"/>
  <c r="A222" i="3"/>
  <c r="R223" i="3"/>
  <c r="A223" i="3"/>
  <c r="R224" i="3"/>
  <c r="A224" i="3"/>
  <c r="R225" i="3"/>
  <c r="A225" i="3"/>
  <c r="R226" i="3"/>
  <c r="A226" i="3"/>
  <c r="R227" i="3"/>
  <c r="A227" i="3"/>
  <c r="R228" i="3"/>
  <c r="A228" i="3"/>
  <c r="R229" i="3"/>
  <c r="A229" i="3"/>
  <c r="R231" i="3"/>
  <c r="A231" i="3"/>
  <c r="R233" i="3"/>
  <c r="A233" i="3"/>
  <c r="R235" i="3"/>
  <c r="A235" i="3"/>
  <c r="R238" i="3"/>
  <c r="A238" i="3"/>
  <c r="R360" i="3"/>
  <c r="A360" i="3"/>
  <c r="R262" i="3"/>
  <c r="A262" i="3"/>
  <c r="R358" i="3"/>
  <c r="A358" i="3"/>
  <c r="R130" i="3"/>
  <c r="A130" i="3"/>
  <c r="R283" i="3"/>
  <c r="A283" i="3"/>
  <c r="R219" i="3"/>
  <c r="A219" i="3"/>
  <c r="R260" i="3"/>
  <c r="A260" i="3"/>
  <c r="R287" i="3"/>
  <c r="A287" i="3"/>
  <c r="R416" i="3"/>
  <c r="A416" i="3"/>
  <c r="R422" i="3"/>
  <c r="A422" i="3"/>
  <c r="R243" i="3"/>
  <c r="A243" i="3"/>
  <c r="R139" i="3"/>
  <c r="A139" i="3"/>
  <c r="R496" i="3"/>
  <c r="A496" i="3"/>
  <c r="R69" i="3"/>
  <c r="A69" i="3"/>
  <c r="R71" i="3"/>
  <c r="A71" i="3"/>
  <c r="R73" i="3"/>
  <c r="A73" i="3"/>
  <c r="R75" i="3"/>
  <c r="A75" i="3"/>
  <c r="R77" i="3"/>
  <c r="A77" i="3"/>
  <c r="R80" i="3"/>
  <c r="A80" i="3"/>
  <c r="R82" i="3"/>
  <c r="A82" i="3"/>
  <c r="R140" i="3"/>
  <c r="A140" i="3"/>
  <c r="R144" i="3"/>
  <c r="A144" i="3"/>
  <c r="R236" i="3"/>
  <c r="A236" i="3"/>
  <c r="R371" i="3"/>
  <c r="A371" i="3"/>
  <c r="R127" i="3"/>
  <c r="A127" i="3"/>
  <c r="R132" i="3"/>
  <c r="A132" i="3"/>
  <c r="R286" i="3"/>
  <c r="A286" i="3"/>
  <c r="R242" i="3"/>
  <c r="A242" i="3"/>
  <c r="R275" i="3"/>
  <c r="A275" i="3"/>
  <c r="R399" i="3"/>
  <c r="A399" i="3"/>
  <c r="R414" i="3"/>
  <c r="A414" i="3"/>
  <c r="R230" i="3"/>
  <c r="A230" i="3"/>
  <c r="R429" i="3"/>
  <c r="A429" i="3"/>
  <c r="R405" i="3"/>
  <c r="A405" i="3"/>
  <c r="R250" i="3"/>
  <c r="A250" i="3"/>
  <c r="R499" i="3"/>
  <c r="A499" i="3"/>
  <c r="R256" i="3"/>
  <c r="A256" i="3"/>
  <c r="R500" i="3"/>
  <c r="A500" i="3"/>
  <c r="R409" i="3"/>
  <c r="A409" i="3"/>
  <c r="R97" i="3"/>
  <c r="A97" i="3"/>
  <c r="R419" i="3"/>
  <c r="A419" i="3"/>
  <c r="R494" i="3"/>
  <c r="A494" i="3"/>
  <c r="R91" i="3"/>
  <c r="A91" i="3"/>
  <c r="R154" i="3"/>
  <c r="A154" i="3"/>
  <c r="R155" i="3"/>
  <c r="A155" i="3"/>
  <c r="R162" i="3"/>
  <c r="A162" i="3"/>
  <c r="R169" i="3"/>
  <c r="A169" i="3"/>
  <c r="R86" i="3"/>
  <c r="A86" i="3"/>
  <c r="R88" i="3"/>
  <c r="A88" i="3"/>
  <c r="R92" i="3"/>
  <c r="A92" i="3"/>
  <c r="R95" i="3"/>
  <c r="A95" i="3"/>
  <c r="R341" i="3"/>
  <c r="A341" i="3"/>
  <c r="R343" i="3"/>
  <c r="A343" i="3"/>
  <c r="R345" i="3"/>
  <c r="A345" i="3"/>
  <c r="R347" i="3"/>
  <c r="A347" i="3"/>
  <c r="R349" i="3"/>
  <c r="A349" i="3"/>
  <c r="R361" i="3"/>
  <c r="A361" i="3"/>
  <c r="R128" i="3"/>
  <c r="A128" i="3"/>
  <c r="R284" i="3"/>
  <c r="A284" i="3"/>
  <c r="R244" i="3"/>
  <c r="A244" i="3"/>
  <c r="R273" i="3"/>
  <c r="A273" i="3"/>
  <c r="R412" i="3"/>
  <c r="A412" i="3"/>
  <c r="R430" i="3"/>
  <c r="A430" i="3"/>
  <c r="R378" i="3"/>
  <c r="A378" i="3"/>
  <c r="R357" i="3"/>
  <c r="A357" i="3"/>
  <c r="R131" i="3"/>
  <c r="A131" i="3"/>
  <c r="R271" i="3"/>
  <c r="A271" i="3"/>
  <c r="R215" i="3"/>
  <c r="A215" i="3"/>
  <c r="R249" i="3"/>
  <c r="A249" i="3"/>
  <c r="R280" i="3"/>
  <c r="A280" i="3"/>
  <c r="R138" i="3"/>
  <c r="A138" i="3"/>
  <c r="R387" i="3"/>
  <c r="A387" i="3"/>
  <c r="R241" i="3"/>
  <c r="A241" i="3"/>
  <c r="R279" i="3"/>
  <c r="A279" i="3"/>
  <c r="R240" i="3"/>
  <c r="A240" i="3"/>
  <c r="R265" i="3"/>
  <c r="A265" i="3"/>
  <c r="R397" i="3"/>
  <c r="A397" i="3"/>
  <c r="R415" i="3"/>
  <c r="A415" i="3"/>
  <c r="R418" i="3"/>
  <c r="A418" i="3"/>
  <c r="R143" i="3"/>
  <c r="A143" i="3"/>
  <c r="R428" i="3"/>
  <c r="A428" i="3"/>
  <c r="R264" i="3"/>
  <c r="A264" i="3"/>
  <c r="R403" i="3"/>
  <c r="A403" i="3"/>
  <c r="R245" i="3"/>
  <c r="A245" i="3"/>
  <c r="R431" i="3"/>
  <c r="A431" i="3"/>
  <c r="R151" i="3"/>
  <c r="A151" i="3"/>
  <c r="R156" i="3"/>
  <c r="A156" i="3"/>
  <c r="R163" i="3"/>
  <c r="A163" i="3"/>
  <c r="R168" i="3"/>
  <c r="A168" i="3"/>
  <c r="R78" i="3"/>
  <c r="A78" i="3"/>
  <c r="R342" i="3"/>
  <c r="A342" i="3"/>
  <c r="R352" i="3"/>
  <c r="A352" i="3"/>
  <c r="R76" i="3"/>
  <c r="A76" i="3"/>
  <c r="R443" i="3"/>
  <c r="A443" i="3"/>
  <c r="R137" i="3"/>
  <c r="A137" i="3"/>
  <c r="R276" i="3"/>
  <c r="A276" i="3"/>
  <c r="R251" i="3"/>
  <c r="A251" i="3"/>
  <c r="R278" i="3"/>
  <c r="A278" i="3"/>
  <c r="R404" i="3"/>
  <c r="A404" i="3"/>
  <c r="R257" i="3"/>
  <c r="A257" i="3"/>
  <c r="R408" i="3"/>
  <c r="A408" i="3"/>
  <c r="R495" i="3"/>
  <c r="A495" i="3"/>
  <c r="R312" i="3"/>
  <c r="A312" i="3"/>
  <c r="R427" i="3"/>
  <c r="A427" i="3"/>
  <c r="R159" i="3"/>
  <c r="A159" i="3"/>
  <c r="R391" i="3"/>
  <c r="A391" i="3"/>
  <c r="R370" i="3"/>
  <c r="A370" i="3"/>
  <c r="R136" i="3"/>
  <c r="A136" i="3"/>
  <c r="R277" i="3"/>
  <c r="A277" i="3"/>
  <c r="R220" i="3"/>
  <c r="A220" i="3"/>
  <c r="R263" i="3"/>
  <c r="A263" i="3"/>
  <c r="R396" i="3"/>
  <c r="A396" i="3"/>
  <c r="R413" i="3"/>
  <c r="A413" i="3"/>
  <c r="R266" i="3"/>
  <c r="A266" i="3"/>
  <c r="R502" i="3"/>
  <c r="A502" i="3"/>
  <c r="R424" i="3"/>
  <c r="A424" i="3"/>
  <c r="R247" i="3"/>
  <c r="A247" i="3"/>
  <c r="R503" i="3"/>
  <c r="A503" i="3"/>
  <c r="R90" i="3"/>
  <c r="A90" i="3"/>
  <c r="R423" i="3"/>
  <c r="A423" i="3"/>
  <c r="R87" i="3"/>
  <c r="A87" i="3"/>
  <c r="R153" i="3"/>
  <c r="A153" i="3"/>
  <c r="R161" i="3"/>
  <c r="A161" i="3"/>
  <c r="R167" i="3"/>
  <c r="A167" i="3"/>
  <c r="R353" i="3"/>
  <c r="A353" i="3"/>
  <c r="R350" i="3"/>
  <c r="A350" i="3"/>
  <c r="R74" i="3"/>
  <c r="A74" i="3"/>
  <c r="R93" i="3"/>
  <c r="A93" i="3"/>
  <c r="R489" i="3"/>
  <c r="A489" i="3"/>
  <c r="R381" i="3"/>
  <c r="A381" i="3"/>
  <c r="R368" i="3"/>
  <c r="A368" i="3"/>
  <c r="R362" i="3"/>
  <c r="A362" i="3"/>
  <c r="R386" i="3"/>
  <c r="A386" i="3"/>
  <c r="R375" i="3"/>
  <c r="A375" i="3"/>
  <c r="R445" i="3"/>
  <c r="A445" i="3"/>
  <c r="R377" i="3"/>
  <c r="A377" i="3"/>
  <c r="R390" i="3"/>
  <c r="A390" i="3"/>
  <c r="R372" i="3"/>
  <c r="A372" i="3"/>
  <c r="R382" i="3"/>
  <c r="A382" i="3"/>
  <c r="R133" i="3"/>
  <c r="A133" i="3"/>
  <c r="R134" i="3"/>
  <c r="A134" i="3"/>
  <c r="R281" i="3"/>
  <c r="A281" i="3"/>
  <c r="R218" i="3"/>
  <c r="A218" i="3"/>
  <c r="R258" i="3"/>
  <c r="A258" i="3"/>
  <c r="R285" i="3"/>
  <c r="A285" i="3"/>
  <c r="R410" i="3"/>
  <c r="A410" i="3"/>
  <c r="R248" i="3"/>
  <c r="A248" i="3"/>
  <c r="R497" i="3"/>
  <c r="A497" i="3"/>
  <c r="R420" i="3"/>
  <c r="A420" i="3"/>
  <c r="R237" i="3"/>
  <c r="A237" i="3"/>
  <c r="R421" i="3"/>
  <c r="A421" i="3"/>
  <c r="R406" i="3"/>
  <c r="A406" i="3"/>
  <c r="R254" i="3"/>
  <c r="A254" i="3"/>
  <c r="R501" i="3"/>
  <c r="A501" i="3"/>
  <c r="R94" i="3"/>
  <c r="A94" i="3"/>
  <c r="R157" i="3"/>
  <c r="A157" i="3"/>
  <c r="R164" i="3"/>
  <c r="A164" i="3"/>
  <c r="R351" i="3"/>
  <c r="A351" i="3"/>
  <c r="R344" i="3"/>
  <c r="A344" i="3"/>
  <c r="R72" i="3"/>
  <c r="A72" i="3"/>
  <c r="R85" i="3"/>
  <c r="A85" i="3"/>
  <c r="R490" i="3"/>
  <c r="A490" i="3"/>
  <c r="R359" i="3"/>
  <c r="A359" i="3"/>
  <c r="R442" i="3"/>
  <c r="A442" i="3"/>
  <c r="R355" i="3"/>
  <c r="A355" i="3"/>
  <c r="R364" i="3"/>
  <c r="A364" i="3"/>
  <c r="R366" i="3"/>
  <c r="A366" i="3"/>
  <c r="R446" i="3"/>
  <c r="A446" i="3"/>
  <c r="R232" i="3"/>
  <c r="A232" i="3"/>
  <c r="R274" i="3"/>
  <c r="A274" i="3"/>
  <c r="R217" i="3"/>
  <c r="A217" i="3"/>
  <c r="R255" i="3"/>
  <c r="A255" i="3"/>
  <c r="R282" i="3"/>
  <c r="A282" i="3"/>
  <c r="R407" i="3"/>
  <c r="A407" i="3"/>
  <c r="R239" i="3"/>
  <c r="A239" i="3"/>
  <c r="R493" i="3"/>
  <c r="A493" i="3"/>
  <c r="R259" i="3"/>
  <c r="A259" i="3"/>
  <c r="R145" i="3"/>
  <c r="A145" i="3"/>
  <c r="R425" i="3"/>
  <c r="A425" i="3"/>
  <c r="R411" i="3"/>
  <c r="A411" i="3"/>
  <c r="R267" i="3"/>
  <c r="A267" i="3"/>
  <c r="R498" i="3"/>
  <c r="A498" i="3"/>
  <c r="R98" i="3"/>
  <c r="A98" i="3"/>
  <c r="R158" i="3"/>
  <c r="A158" i="3"/>
  <c r="R166" i="3"/>
  <c r="A166" i="3"/>
  <c r="R340" i="3"/>
  <c r="A340" i="3"/>
  <c r="R348" i="3"/>
  <c r="A348" i="3"/>
  <c r="R68" i="3"/>
  <c r="A68" i="3"/>
  <c r="R79" i="3"/>
  <c r="A79" i="3"/>
  <c r="R89" i="3"/>
  <c r="A89" i="3"/>
  <c r="R488" i="3"/>
  <c r="A488" i="3"/>
  <c r="R492" i="3"/>
  <c r="A492" i="3"/>
  <c r="R369" i="3"/>
  <c r="A369" i="3"/>
  <c r="R356" i="3"/>
  <c r="A356" i="3"/>
  <c r="R354" i="3"/>
  <c r="A354" i="3"/>
  <c r="C400" i="3" l="1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</calcChain>
</file>

<file path=xl/sharedStrings.xml><?xml version="1.0" encoding="utf-8"?>
<sst xmlns="http://schemas.openxmlformats.org/spreadsheetml/2006/main" count="13920" uniqueCount="2080">
  <si>
    <t>Settings &amp; Assumptions</t>
  </si>
  <si>
    <t>Yellow cells with blue text are inputs - change them and every sheet and the dashboard recalculates.</t>
  </si>
  <si>
    <t>As-of date (reporting date)</t>
  </si>
  <si>
    <t>Reporting date for tenure, time-in-level and the 12-month window.</t>
  </si>
  <si>
    <t>Minimum rating for promotion</t>
  </si>
  <si>
    <t>Rating on the 1-5 scale an employee needs to be promotion-eligible.</t>
  </si>
  <si>
    <t>Minimum years in current level</t>
  </si>
  <si>
    <t>Time since last promotion (or joining) required for eligibility.</t>
  </si>
  <si>
    <t>Highest level still promotable (level no.)</t>
  </si>
  <si>
    <t>L7 (department heads) are excluded from the promotion pool.</t>
  </si>
  <si>
    <t>Engagement score below which risk rises</t>
  </si>
  <si>
    <t>Used in the flight-risk score on the Engagement sheet.</t>
  </si>
  <si>
    <t>Compa-ratio below which risk rises</t>
  </si>
  <si>
    <t>Pay below 90% of band midpoint adds a flight-risk point.</t>
  </si>
  <si>
    <t>12-month window start (formula)</t>
  </si>
  <si>
    <t>Exits, hires and attrition are counted from this date to the as-of date.</t>
  </si>
  <si>
    <t>Pay bands by level (annual CTC, ₹)</t>
  </si>
  <si>
    <t>Level</t>
  </si>
  <si>
    <t>Band Name</t>
  </si>
  <si>
    <t>Band Min</t>
  </si>
  <si>
    <t>Band Mid</t>
  </si>
  <si>
    <t>Band Max</t>
  </si>
  <si>
    <t>L1</t>
  </si>
  <si>
    <t>Associate</t>
  </si>
  <si>
    <t>L2</t>
  </si>
  <si>
    <t>Executive</t>
  </si>
  <si>
    <t>L3</t>
  </si>
  <si>
    <t>Senior Executive</t>
  </si>
  <si>
    <t>L4</t>
  </si>
  <si>
    <t>Lead</t>
  </si>
  <si>
    <t>L5</t>
  </si>
  <si>
    <t>Manager</t>
  </si>
  <si>
    <t>L6</t>
  </si>
  <si>
    <t>Senior Manager</t>
  </si>
  <si>
    <t>L7</t>
  </si>
  <si>
    <t>Head / Director</t>
  </si>
  <si>
    <t>Band min/max are illustrative sample values, not market data.</t>
  </si>
  <si>
    <t>Department list (drives the dashboard dropdown)</t>
  </si>
  <si>
    <t>All Departments</t>
  </si>
  <si>
    <t>Engineering</t>
  </si>
  <si>
    <t>Operations</t>
  </si>
  <si>
    <t>Customer Support</t>
  </si>
  <si>
    <t>Sales</t>
  </si>
  <si>
    <t>Product</t>
  </si>
  <si>
    <t>Marketing</t>
  </si>
  <si>
    <t>Data &amp; Analytics</t>
  </si>
  <si>
    <t>Finance</t>
  </si>
  <si>
    <t>Human Resources</t>
  </si>
  <si>
    <t>Legal &amp; Compliance</t>
  </si>
  <si>
    <t>Rating scale</t>
  </si>
  <si>
    <t>Rating</t>
  </si>
  <si>
    <t>Label</t>
  </si>
  <si>
    <t>Unsatisfactory</t>
  </si>
  <si>
    <t>Needs Improvement</t>
  </si>
  <si>
    <t>Meets Expectations</t>
  </si>
  <si>
    <t>Exceeds Expectations</t>
  </si>
  <si>
    <t>Outstanding</t>
  </si>
  <si>
    <t>9-Box talent grid names (rows = performance, columns = potential)</t>
  </si>
  <si>
    <t>Perf \ Potential</t>
  </si>
  <si>
    <t>Low</t>
  </si>
  <si>
    <t>Medium</t>
  </si>
  <si>
    <t>High</t>
  </si>
  <si>
    <t>Underperformer</t>
  </si>
  <si>
    <t>Inconsistent Player</t>
  </si>
  <si>
    <t>Rough Diamond</t>
  </si>
  <si>
    <t>Mid</t>
  </si>
  <si>
    <t>Effective Contributor</t>
  </si>
  <si>
    <t>Core Player</t>
  </si>
  <si>
    <t>Future Star</t>
  </si>
  <si>
    <t>Trusted Professional</t>
  </si>
  <si>
    <t>High Performer</t>
  </si>
  <si>
    <t>Star</t>
  </si>
  <si>
    <t>Performance band: High = rating 4-5, Mid = 3, Low = 1-2.</t>
  </si>
  <si>
    <t>Flight-risk score (Engagement sheet): +1 each for engagement below threshold, eNPS 0-6, compa-ratio below threshold, rating 4-5. Score 3+ = High, 2 = Medium, else Low.</t>
  </si>
  <si>
    <t>Emp ID</t>
  </si>
  <si>
    <t>Employee Name</t>
  </si>
  <si>
    <t>Email</t>
  </si>
  <si>
    <t>Manager ID</t>
  </si>
  <si>
    <t>Designation</t>
  </si>
  <si>
    <t>Level No</t>
  </si>
  <si>
    <t>Department</t>
  </si>
  <si>
    <t>Gender</t>
  </si>
  <si>
    <t>Location</t>
  </si>
  <si>
    <t>Employment Type</t>
  </si>
  <si>
    <t>Date of Joining</t>
  </si>
  <si>
    <t>Age</t>
  </si>
  <si>
    <t>Status</t>
  </si>
  <si>
    <t>Exit Date</t>
  </si>
  <si>
    <t>Tenure (Yrs)</t>
  </si>
  <si>
    <t>Tenure Band</t>
  </si>
  <si>
    <t>Direct Reports</t>
  </si>
  <si>
    <t>EMP1001</t>
  </si>
  <si>
    <t>Vidya Kulkarni</t>
  </si>
  <si>
    <t>vidya.kulkarni@samplecorp.in</t>
  </si>
  <si>
    <t>Arvind Rao (CEO)</t>
  </si>
  <si>
    <t>EMP1000</t>
  </si>
  <si>
    <t>Head of People</t>
  </si>
  <si>
    <t>Female</t>
  </si>
  <si>
    <t>Bengaluru</t>
  </si>
  <si>
    <t>Full-time</t>
  </si>
  <si>
    <t>EMP1002</t>
  </si>
  <si>
    <t>Vikas Singh</t>
  </si>
  <si>
    <t>vikas.singh@samplecorp.in</t>
  </si>
  <si>
    <t>Yamini Nair</t>
  </si>
  <si>
    <t>EMP1247</t>
  </si>
  <si>
    <t>Engineering Manager</t>
  </si>
  <si>
    <t>Male</t>
  </si>
  <si>
    <t>Chennai</t>
  </si>
  <si>
    <t>EMP1003</t>
  </si>
  <si>
    <t>Prakash Das</t>
  </si>
  <si>
    <t>prakash.das@samplecorp.in</t>
  </si>
  <si>
    <t>Senior HR Manager</t>
  </si>
  <si>
    <t>EMP1004</t>
  </si>
  <si>
    <t>Fatima Choudhary</t>
  </si>
  <si>
    <t>fatima.choudhary@samplecorp.in</t>
  </si>
  <si>
    <t>EMP1005</t>
  </si>
  <si>
    <t>Gaurav Fernandes</t>
  </si>
  <si>
    <t>gaurav.fernandes@samplecorp.in</t>
  </si>
  <si>
    <t>EMP1006</t>
  </si>
  <si>
    <t>Yash Shah</t>
  </si>
  <si>
    <t>yash.shah@samplecorp.in</t>
  </si>
  <si>
    <t>Pallavi Shah</t>
  </si>
  <si>
    <t>EMP1158</t>
  </si>
  <si>
    <t>Operations Manager</t>
  </si>
  <si>
    <t>Mumbai</t>
  </si>
  <si>
    <t>EMP1007</t>
  </si>
  <si>
    <t>Imran Tiwari</t>
  </si>
  <si>
    <t>imran.tiwari@samplecorp.in</t>
  </si>
  <si>
    <t>Nandini Iyer</t>
  </si>
  <si>
    <t>EMP1238</t>
  </si>
  <si>
    <t>Marketing Lead</t>
  </si>
  <si>
    <t>EMP1008</t>
  </si>
  <si>
    <t>Aishwarya Khan</t>
  </si>
  <si>
    <t>aishwarya.khan@samplecorp.in</t>
  </si>
  <si>
    <t>Head of Engineering</t>
  </si>
  <si>
    <t>EMP1009</t>
  </si>
  <si>
    <t>Ankit Khanna</t>
  </si>
  <si>
    <t>ankit.khanna@samplecorp.in</t>
  </si>
  <si>
    <t>Imran Mishra</t>
  </si>
  <si>
    <t>EMP1373</t>
  </si>
  <si>
    <t>EMP1010</t>
  </si>
  <si>
    <t>Pooja Das</t>
  </si>
  <si>
    <t>pooja.das@samplecorp.in</t>
  </si>
  <si>
    <t>Head of Finance</t>
  </si>
  <si>
    <t>EMP1011</t>
  </si>
  <si>
    <t>Trisha Patel</t>
  </si>
  <si>
    <t>trisha.patel@samplecorp.in</t>
  </si>
  <si>
    <t>Dev Bose</t>
  </si>
  <si>
    <t>EMP1429</t>
  </si>
  <si>
    <t>Principal Product Manager</t>
  </si>
  <si>
    <t>EMP1012</t>
  </si>
  <si>
    <t>Krishna Kumar</t>
  </si>
  <si>
    <t>krishna.kumar@samplecorp.in</t>
  </si>
  <si>
    <t>Amit Kumar</t>
  </si>
  <si>
    <t>EMP1118</t>
  </si>
  <si>
    <t>Operations Lead</t>
  </si>
  <si>
    <t>Hyderabad</t>
  </si>
  <si>
    <t>EMP1013</t>
  </si>
  <si>
    <t>Ramya Khanna</t>
  </si>
  <si>
    <t>ramya.khanna@samplecorp.in</t>
  </si>
  <si>
    <t>Lakshmi Subramanian</t>
  </si>
  <si>
    <t>EMP1339</t>
  </si>
  <si>
    <t>Compliance Manager</t>
  </si>
  <si>
    <t>EMP1014</t>
  </si>
  <si>
    <t>Rashmi Jain</t>
  </si>
  <si>
    <t>rashmi.jain@samplecorp.in</t>
  </si>
  <si>
    <t>Akash Das</t>
  </si>
  <si>
    <t>EMP1083</t>
  </si>
  <si>
    <t>Senior HR Business Partner</t>
  </si>
  <si>
    <t>EMP1015</t>
  </si>
  <si>
    <t>Ajay Ansari</t>
  </si>
  <si>
    <t>ajay.ansari@samplecorp.in</t>
  </si>
  <si>
    <t>EMP1016</t>
  </si>
  <si>
    <t>Isha Verma</t>
  </si>
  <si>
    <t>isha.verma@samplecorp.in</t>
  </si>
  <si>
    <t>Akash Dsouza</t>
  </si>
  <si>
    <t>EMP1069</t>
  </si>
  <si>
    <t>Support Manager</t>
  </si>
  <si>
    <t>EMP1017</t>
  </si>
  <si>
    <t>Pooja Naidu</t>
  </si>
  <si>
    <t>pooja.naidu@samplecorp.in</t>
  </si>
  <si>
    <t>Harsh Siddiqui</t>
  </si>
  <si>
    <t>EMP1106</t>
  </si>
  <si>
    <t>Tech Lead</t>
  </si>
  <si>
    <t>EMP1018</t>
  </si>
  <si>
    <t>Isha Chatterjee</t>
  </si>
  <si>
    <t>isha.chatterjee@samplecorp.in</t>
  </si>
  <si>
    <t>Aishwarya Mukherjee</t>
  </si>
  <si>
    <t>EMP1110</t>
  </si>
  <si>
    <t>Marketing Manager</t>
  </si>
  <si>
    <t>Pune</t>
  </si>
  <si>
    <t>EMP1019</t>
  </si>
  <si>
    <t>Fatima Reddy</t>
  </si>
  <si>
    <t>fatima.reddy@samplecorp.in</t>
  </si>
  <si>
    <t>Srinivas Shah</t>
  </si>
  <si>
    <t>EMP1205</t>
  </si>
  <si>
    <t>Key Account Manager</t>
  </si>
  <si>
    <t>EMP1020</t>
  </si>
  <si>
    <t>Naveen Subramanian</t>
  </si>
  <si>
    <t>naveen.subramanian@samplecorp.in</t>
  </si>
  <si>
    <t>Ashish Varghese</t>
  </si>
  <si>
    <t>EMP1194</t>
  </si>
  <si>
    <t>Support Team Lead</t>
  </si>
  <si>
    <t>EMP1021</t>
  </si>
  <si>
    <t>Arun Mukherjee</t>
  </si>
  <si>
    <t>arun.mukherjee@samplecorp.in</t>
  </si>
  <si>
    <t>Trisha Jain</t>
  </si>
  <si>
    <t>EMP1043</t>
  </si>
  <si>
    <t>Analytics Manager</t>
  </si>
  <si>
    <t>EMP1022</t>
  </si>
  <si>
    <t>Arun Joshi</t>
  </si>
  <si>
    <t>arun.joshi@samplecorp.in</t>
  </si>
  <si>
    <t>Senior Data Analyst</t>
  </si>
  <si>
    <t>Delhi NCR</t>
  </si>
  <si>
    <t>EMP1023</t>
  </si>
  <si>
    <t>Ashish Prabhu</t>
  </si>
  <si>
    <t>ashish.prabhu@samplecorp.in</t>
  </si>
  <si>
    <t>Ajay Kumar</t>
  </si>
  <si>
    <t>EMP1049</t>
  </si>
  <si>
    <t>Senior Operations Executive</t>
  </si>
  <si>
    <t>Contract</t>
  </si>
  <si>
    <t>EMP1024</t>
  </si>
  <si>
    <t>Priyanka Naidu</t>
  </si>
  <si>
    <t>priyanka.naidu@samplecorp.in</t>
  </si>
  <si>
    <t>Ajay Patel</t>
  </si>
  <si>
    <t>EMP1111</t>
  </si>
  <si>
    <t>HR Business Partner</t>
  </si>
  <si>
    <t>EMP1025</t>
  </si>
  <si>
    <t>Nikhil Agarwal</t>
  </si>
  <si>
    <t>nikhil.agarwal@samplecorp.in</t>
  </si>
  <si>
    <t>Joseph Varghese</t>
  </si>
  <si>
    <t>EMP1051</t>
  </si>
  <si>
    <t>Sales Manager</t>
  </si>
  <si>
    <t>EMP1026</t>
  </si>
  <si>
    <t>Revathi Rao</t>
  </si>
  <si>
    <t>revathi.rao@samplecorp.in</t>
  </si>
  <si>
    <t>Yash Raghavan</t>
  </si>
  <si>
    <t>EMP1130</t>
  </si>
  <si>
    <t>Senior Sales Executive</t>
  </si>
  <si>
    <t>EMP1027</t>
  </si>
  <si>
    <t>Yash Yadav</t>
  </si>
  <si>
    <t>yash.yadav@samplecorp.in</t>
  </si>
  <si>
    <t>Bhavana Hegde</t>
  </si>
  <si>
    <t>EMP1086</t>
  </si>
  <si>
    <t>Senior Software Engineer</t>
  </si>
  <si>
    <t>EMP1028</t>
  </si>
  <si>
    <t>Gayatri Krishnan</t>
  </si>
  <si>
    <t>gayatri.krishnan@samplecorp.in</t>
  </si>
  <si>
    <t>EMP1029</t>
  </si>
  <si>
    <t>Nisha Jain</t>
  </si>
  <si>
    <t>nisha.jain@samplecorp.in</t>
  </si>
  <si>
    <t>Vidya Chatterjee</t>
  </si>
  <si>
    <t>EMP1150</t>
  </si>
  <si>
    <t>Senior Support Executive</t>
  </si>
  <si>
    <t>EMP1030</t>
  </si>
  <si>
    <t>Rashmi Ansari</t>
  </si>
  <si>
    <t>rashmi.ansari@samplecorp.in</t>
  </si>
  <si>
    <t>Ravi Prabhu</t>
  </si>
  <si>
    <t>EMP1410</t>
  </si>
  <si>
    <t>Senior Finance Executive</t>
  </si>
  <si>
    <t>EMP1031</t>
  </si>
  <si>
    <t>Prakash Krishnan</t>
  </si>
  <si>
    <t>prakash.krishnan@samplecorp.in</t>
  </si>
  <si>
    <t>Senior Marketing Executive</t>
  </si>
  <si>
    <t>EMP1032</t>
  </si>
  <si>
    <t>Vishal Prabhu</t>
  </si>
  <si>
    <t>vishal.prabhu@samplecorp.in</t>
  </si>
  <si>
    <t>EMP1033</t>
  </si>
  <si>
    <t>Gayatri Tiwari</t>
  </si>
  <si>
    <t>gayatri.tiwari@samplecorp.in</t>
  </si>
  <si>
    <t>Akash Bansal</t>
  </si>
  <si>
    <t>EMP1067</t>
  </si>
  <si>
    <t>Regional Sales Manager</t>
  </si>
  <si>
    <t>EMP1034</t>
  </si>
  <si>
    <t>Aditi Varghese</t>
  </si>
  <si>
    <t>aditi.varghese@samplecorp.in</t>
  </si>
  <si>
    <t>EMP1035</t>
  </si>
  <si>
    <t>Dev Gupta</t>
  </si>
  <si>
    <t>dev.gupta@samplecorp.in</t>
  </si>
  <si>
    <t>EMP1036</t>
  </si>
  <si>
    <t>Anjali Thomas</t>
  </si>
  <si>
    <t>anjali.thomas@samplecorp.in</t>
  </si>
  <si>
    <t>EMP1037</t>
  </si>
  <si>
    <t>Aniket Khanna</t>
  </si>
  <si>
    <t>aniket.khanna@samplecorp.in</t>
  </si>
  <si>
    <t>Mansi Pillai</t>
  </si>
  <si>
    <t>EMP1084</t>
  </si>
  <si>
    <t>Senior Product Manager</t>
  </si>
  <si>
    <t>EMP1038</t>
  </si>
  <si>
    <t>Varun Reddy</t>
  </si>
  <si>
    <t>varun.reddy@samplecorp.in</t>
  </si>
  <si>
    <t>Anjali Iyer</t>
  </si>
  <si>
    <t>EMP1446</t>
  </si>
  <si>
    <t>EMP1039</t>
  </si>
  <si>
    <t>Karan Patel</t>
  </si>
  <si>
    <t>karan.patel@samplecorp.in</t>
  </si>
  <si>
    <t>Senior Finance Manager</t>
  </si>
  <si>
    <t>EMP1040</t>
  </si>
  <si>
    <t>Sanjay Mehta</t>
  </si>
  <si>
    <t>sanjay.mehta@samplecorp.in</t>
  </si>
  <si>
    <t>EMP1041</t>
  </si>
  <si>
    <t>Nisha Mehta</t>
  </si>
  <si>
    <t>nisha.mehta@samplecorp.in</t>
  </si>
  <si>
    <t>EMP1042</t>
  </si>
  <si>
    <t>Tejaswini Hegde</t>
  </si>
  <si>
    <t>tejaswini.hegde@samplecorp.in</t>
  </si>
  <si>
    <t>trisha.jain@samplecorp.in</t>
  </si>
  <si>
    <t>Aishwarya Fernandes</t>
  </si>
  <si>
    <t>EMP1273</t>
  </si>
  <si>
    <t>Senior Analytics Manager</t>
  </si>
  <si>
    <t>EMP1044</t>
  </si>
  <si>
    <t>Rohan Patel</t>
  </si>
  <si>
    <t>rohan.patel@samplecorp.in</t>
  </si>
  <si>
    <t>Isha Jain</t>
  </si>
  <si>
    <t>EMP1060</t>
  </si>
  <si>
    <t>EMP1045</t>
  </si>
  <si>
    <t>Vikas Chatterjee</t>
  </si>
  <si>
    <t>vikas.chatterjee@samplecorp.in</t>
  </si>
  <si>
    <t>EMP1046</t>
  </si>
  <si>
    <t>Karan Gowda</t>
  </si>
  <si>
    <t>karan.gowda@samplecorp.in</t>
  </si>
  <si>
    <t>EMP1047</t>
  </si>
  <si>
    <t>Keerthi Gupta</t>
  </si>
  <si>
    <t>keerthi.gupta@samplecorp.in</t>
  </si>
  <si>
    <t>EMP1048</t>
  </si>
  <si>
    <t>Sindhu Sharma</t>
  </si>
  <si>
    <t>sindhu.sharma@samplecorp.in</t>
  </si>
  <si>
    <t>ajay.kumar@samplecorp.in</t>
  </si>
  <si>
    <t>EMP1050</t>
  </si>
  <si>
    <t>Harini Choudhary</t>
  </si>
  <si>
    <t>harini.choudhary@samplecorp.in</t>
  </si>
  <si>
    <t>joseph.varghese@samplecorp.in</t>
  </si>
  <si>
    <t>EMP1052</t>
  </si>
  <si>
    <t>Siddharth Mehta</t>
  </si>
  <si>
    <t>siddharth.mehta@samplecorp.in</t>
  </si>
  <si>
    <t>EMP1053</t>
  </si>
  <si>
    <t>Dev Jain</t>
  </si>
  <si>
    <t>dev.jain@samplecorp.in</t>
  </si>
  <si>
    <t>Kavya Krishnan</t>
  </si>
  <si>
    <t>EMP1458</t>
  </si>
  <si>
    <t>EMP1054</t>
  </si>
  <si>
    <t>Ritu Patel</t>
  </si>
  <si>
    <t>ritu.patel@samplecorp.in</t>
  </si>
  <si>
    <t>EMP1055</t>
  </si>
  <si>
    <t>Sachin Iyer</t>
  </si>
  <si>
    <t>sachin.iyer@samplecorp.in</t>
  </si>
  <si>
    <t>EMP1056</t>
  </si>
  <si>
    <t>Pallavi Menon</t>
  </si>
  <si>
    <t>pallavi.menon@samplecorp.in</t>
  </si>
  <si>
    <t>Prakash Desai</t>
  </si>
  <si>
    <t>EMP1444</t>
  </si>
  <si>
    <t>EMP1057</t>
  </si>
  <si>
    <t>Imran Jain</t>
  </si>
  <si>
    <t>imran.jain@samplecorp.in</t>
  </si>
  <si>
    <t>EMP1058</t>
  </si>
  <si>
    <t>Amit Gupta</t>
  </si>
  <si>
    <t>amit.gupta@samplecorp.in</t>
  </si>
  <si>
    <t>EMP1059</t>
  </si>
  <si>
    <t>Fatima Kulkarni</t>
  </si>
  <si>
    <t>fatima.kulkarni@samplecorp.in</t>
  </si>
  <si>
    <t>isha.jain@samplecorp.in</t>
  </si>
  <si>
    <t>Vikram Verma</t>
  </si>
  <si>
    <t>EMP1213</t>
  </si>
  <si>
    <t>EMP1061</t>
  </si>
  <si>
    <t>Sowmya Mishra</t>
  </si>
  <si>
    <t>sowmya.mishra@samplecorp.in</t>
  </si>
  <si>
    <t>EMP1062</t>
  </si>
  <si>
    <t>Mohit Kapoor</t>
  </si>
  <si>
    <t>mohit.kapoor@samplecorp.in</t>
  </si>
  <si>
    <t>EMP1063</t>
  </si>
  <si>
    <t>Akash Mukherjee</t>
  </si>
  <si>
    <t>akash.mukherjee@samplecorp.in</t>
  </si>
  <si>
    <t>EMP1064</t>
  </si>
  <si>
    <t>Swathi Bose</t>
  </si>
  <si>
    <t>swathi.bose@samplecorp.in</t>
  </si>
  <si>
    <t>EMP1065</t>
  </si>
  <si>
    <t>Rohit Iyer</t>
  </si>
  <si>
    <t>rohit.iyer@samplecorp.in</t>
  </si>
  <si>
    <t>Pallavi Nair</t>
  </si>
  <si>
    <t>EMP1101</t>
  </si>
  <si>
    <t>EMP1066</t>
  </si>
  <si>
    <t>Ajay Joshi</t>
  </si>
  <si>
    <t>ajay.joshi@samplecorp.in</t>
  </si>
  <si>
    <t>Nandini Fernandes</t>
  </si>
  <si>
    <t>EMP1225</t>
  </si>
  <si>
    <t>akash.bansal@samplecorp.in</t>
  </si>
  <si>
    <t>Head of Sales</t>
  </si>
  <si>
    <t>EMP1068</t>
  </si>
  <si>
    <t>Pooja Mehta</t>
  </si>
  <si>
    <t>pooja.mehta@samplecorp.in</t>
  </si>
  <si>
    <t>akash.dsouza@samplecorp.in</t>
  </si>
  <si>
    <t>Vikram Joshi</t>
  </si>
  <si>
    <t>EMP1124</t>
  </si>
  <si>
    <t>Senior Support Manager</t>
  </si>
  <si>
    <t>EMP1070</t>
  </si>
  <si>
    <t>Naveen Mehta</t>
  </si>
  <si>
    <t>naveen.mehta@samplecorp.in</t>
  </si>
  <si>
    <t>EMP1071</t>
  </si>
  <si>
    <t>Varsha Siddiqui</t>
  </si>
  <si>
    <t>varsha.siddiqui@samplecorp.in</t>
  </si>
  <si>
    <t>Madhuri Menon</t>
  </si>
  <si>
    <t>EMP1129</t>
  </si>
  <si>
    <t>EMP1072</t>
  </si>
  <si>
    <t>Rajesh Shah</t>
  </si>
  <si>
    <t>rajesh.shah@samplecorp.in</t>
  </si>
  <si>
    <t>EMP1073</t>
  </si>
  <si>
    <t>Vishal Ansari</t>
  </si>
  <si>
    <t>vishal.ansari@samplecorp.in</t>
  </si>
  <si>
    <t>Product Manager</t>
  </si>
  <si>
    <t>EMP1074</t>
  </si>
  <si>
    <t>Mansi Reddy</t>
  </si>
  <si>
    <t>mansi.reddy@samplecorp.in</t>
  </si>
  <si>
    <t>EMP1075</t>
  </si>
  <si>
    <t>Sandeep Gupta</t>
  </si>
  <si>
    <t>sandeep.gupta@samplecorp.in</t>
  </si>
  <si>
    <t>Ramya Menon</t>
  </si>
  <si>
    <t>EMP1189</t>
  </si>
  <si>
    <t>EMP1076</t>
  </si>
  <si>
    <t>Sneha Hegde</t>
  </si>
  <si>
    <t>sneha.hegde@samplecorp.in</t>
  </si>
  <si>
    <t>EMP1077</t>
  </si>
  <si>
    <t>Kiran Chatterjee</t>
  </si>
  <si>
    <t>kiran.chatterjee@samplecorp.in</t>
  </si>
  <si>
    <t>EMP1078</t>
  </si>
  <si>
    <t>Aishwarya Joshi</t>
  </si>
  <si>
    <t>aishwarya.joshi@samplecorp.in</t>
  </si>
  <si>
    <t>Finance Lead</t>
  </si>
  <si>
    <t>EMP1079</t>
  </si>
  <si>
    <t>Sindhu Das</t>
  </si>
  <si>
    <t>sindhu.das@samplecorp.in</t>
  </si>
  <si>
    <t>EMP1080</t>
  </si>
  <si>
    <t>Nandini Shetty</t>
  </si>
  <si>
    <t>nandini.shetty@samplecorp.in</t>
  </si>
  <si>
    <t>Karan Verma</t>
  </si>
  <si>
    <t>EMP1279</t>
  </si>
  <si>
    <t>EMP1081</t>
  </si>
  <si>
    <t>Deepak Thomas</t>
  </si>
  <si>
    <t>deepak.thomas@samplecorp.in</t>
  </si>
  <si>
    <t>EMP1082</t>
  </si>
  <si>
    <t>Mansi Dsouza</t>
  </si>
  <si>
    <t>mansi.dsouza@samplecorp.in</t>
  </si>
  <si>
    <t>akash.das@samplecorp.in</t>
  </si>
  <si>
    <t>HR Manager</t>
  </si>
  <si>
    <t>mansi.pillai@samplecorp.in</t>
  </si>
  <si>
    <t>Group Product Manager</t>
  </si>
  <si>
    <t>EMP1085</t>
  </si>
  <si>
    <t>Rohan Menon</t>
  </si>
  <si>
    <t>rohan.menon@samplecorp.in</t>
  </si>
  <si>
    <t>bhavana.hegde@samplecorp.in</t>
  </si>
  <si>
    <t>EMP1087</t>
  </si>
  <si>
    <t>Arun Choudhary</t>
  </si>
  <si>
    <t>arun.choudhary@samplecorp.in</t>
  </si>
  <si>
    <t>EMP1088</t>
  </si>
  <si>
    <t>Ankit Tiwari</t>
  </si>
  <si>
    <t>ankit.tiwari@samplecorp.in</t>
  </si>
  <si>
    <t>EMP1089</t>
  </si>
  <si>
    <t>Mary Varghese</t>
  </si>
  <si>
    <t>mary.varghese@samplecorp.in</t>
  </si>
  <si>
    <t>EMP1090</t>
  </si>
  <si>
    <t>Madhuri Malhotra</t>
  </si>
  <si>
    <t>madhuri.malhotra@samplecorp.in</t>
  </si>
  <si>
    <t>EMP1091</t>
  </si>
  <si>
    <t>Srinivas Bose</t>
  </si>
  <si>
    <t>srinivas.bose@samplecorp.in</t>
  </si>
  <si>
    <t>EMP1092</t>
  </si>
  <si>
    <t>Kunal Jain</t>
  </si>
  <si>
    <t>kunal.jain@samplecorp.in</t>
  </si>
  <si>
    <t>EMP1093</t>
  </si>
  <si>
    <t>Priyanka Hegde</t>
  </si>
  <si>
    <t>priyanka.hegde@samplecorp.in</t>
  </si>
  <si>
    <t>EMP1094</t>
  </si>
  <si>
    <t>Gayatri Thomas</t>
  </si>
  <si>
    <t>gayatri.thomas@samplecorp.in</t>
  </si>
  <si>
    <t>EMP1095</t>
  </si>
  <si>
    <t>Mary Banerjee</t>
  </si>
  <si>
    <t>mary.banerjee@samplecorp.in</t>
  </si>
  <si>
    <t>Lead Data Scientist</t>
  </si>
  <si>
    <t>EMP1096</t>
  </si>
  <si>
    <t>Pallavi Malhotra</t>
  </si>
  <si>
    <t>pallavi.malhotra@samplecorp.in</t>
  </si>
  <si>
    <t>EMP1097</t>
  </si>
  <si>
    <t>Sowmya Menon</t>
  </si>
  <si>
    <t>sowmya.menon@samplecorp.in</t>
  </si>
  <si>
    <t>Trisha Malhotra</t>
  </si>
  <si>
    <t>EMP1498</t>
  </si>
  <si>
    <t>EMP1098</t>
  </si>
  <si>
    <t>Sanjana Verma</t>
  </si>
  <si>
    <t>sanjana.verma@samplecorp.in</t>
  </si>
  <si>
    <t>EMP1099</t>
  </si>
  <si>
    <t>Karan Khan</t>
  </si>
  <si>
    <t>karan.khan@samplecorp.in</t>
  </si>
  <si>
    <t>EMP1100</t>
  </si>
  <si>
    <t>Arjun Iyer</t>
  </si>
  <si>
    <t>arjun.iyer@samplecorp.in</t>
  </si>
  <si>
    <t>pallavi.nair@samplecorp.in</t>
  </si>
  <si>
    <t>EMP1102</t>
  </si>
  <si>
    <t>Ravi Kumar</t>
  </si>
  <si>
    <t>ravi.kumar@samplecorp.in</t>
  </si>
  <si>
    <t>EMP1103</t>
  </si>
  <si>
    <t>Sowmya Verma</t>
  </si>
  <si>
    <t>sowmya.verma@samplecorp.in</t>
  </si>
  <si>
    <t>Kritika Pandey</t>
  </si>
  <si>
    <t>EMP1265</t>
  </si>
  <si>
    <t>EMP1104</t>
  </si>
  <si>
    <t>Arun Agarwal</t>
  </si>
  <si>
    <t>arun.agarwal@samplecorp.in</t>
  </si>
  <si>
    <t>EMP1105</t>
  </si>
  <si>
    <t>Shreya Gowda</t>
  </si>
  <si>
    <t>shreya.gowda@samplecorp.in</t>
  </si>
  <si>
    <t>harsh.siddiqui@samplecorp.in</t>
  </si>
  <si>
    <t>EMP1107</t>
  </si>
  <si>
    <t>Imran Subramanian</t>
  </si>
  <si>
    <t>imran.subramanian@samplecorp.in</t>
  </si>
  <si>
    <t>Sachin Shetty</t>
  </si>
  <si>
    <t>EMP1236</t>
  </si>
  <si>
    <t>EMP1108</t>
  </si>
  <si>
    <t>Keerthi Siddiqui</t>
  </si>
  <si>
    <t>keerthi.siddiqui@samplecorp.in</t>
  </si>
  <si>
    <t>EMP1109</t>
  </si>
  <si>
    <t>Nandini Choudhary</t>
  </si>
  <si>
    <t>nandini.choudhary@samplecorp.in</t>
  </si>
  <si>
    <t>aishwarya.mukherjee@samplecorp.in</t>
  </si>
  <si>
    <t>Arun Khan</t>
  </si>
  <si>
    <t>EMP1364</t>
  </si>
  <si>
    <t>Senior Marketing Manager</t>
  </si>
  <si>
    <t>ajay.patel@samplecorp.in</t>
  </si>
  <si>
    <t>EMP1112</t>
  </si>
  <si>
    <t>Trisha Saxena</t>
  </si>
  <si>
    <t>trisha.saxena@samplecorp.in</t>
  </si>
  <si>
    <t>EMP1113</t>
  </si>
  <si>
    <t>Vikas Shah</t>
  </si>
  <si>
    <t>vikas.shah@samplecorp.in</t>
  </si>
  <si>
    <t>EMP1114</t>
  </si>
  <si>
    <t>Aarav Thomas</t>
  </si>
  <si>
    <t>aarav.thomas@samplecorp.in</t>
  </si>
  <si>
    <t>EMP1115</t>
  </si>
  <si>
    <t>Naveen Verma</t>
  </si>
  <si>
    <t>naveen.verma@samplecorp.in</t>
  </si>
  <si>
    <t>EMP1116</t>
  </si>
  <si>
    <t>Tanvi Tiwari</t>
  </si>
  <si>
    <t>tanvi.tiwari@samplecorp.in</t>
  </si>
  <si>
    <t>Legal Counsel</t>
  </si>
  <si>
    <t>EMP1117</t>
  </si>
  <si>
    <t>Sneha Saxena</t>
  </si>
  <si>
    <t>sneha.saxena@samplecorp.in</t>
  </si>
  <si>
    <t>Product Analyst</t>
  </si>
  <si>
    <t>amit.kumar@samplecorp.in</t>
  </si>
  <si>
    <t>EMP1119</t>
  </si>
  <si>
    <t>Pranav Banerjee</t>
  </si>
  <si>
    <t>pranav.banerjee@samplecorp.in</t>
  </si>
  <si>
    <t>Operations Executive</t>
  </si>
  <si>
    <t>EMP1120</t>
  </si>
  <si>
    <t>Ayesha Reddy</t>
  </si>
  <si>
    <t>ayesha.reddy@samplecorp.in</t>
  </si>
  <si>
    <t>EMP1121</t>
  </si>
  <si>
    <t>Srinivas Kulkarni</t>
  </si>
  <si>
    <t>srinivas.kulkarni@samplecorp.in</t>
  </si>
  <si>
    <t>EMP1122</t>
  </si>
  <si>
    <t>Divya Kulkarni</t>
  </si>
  <si>
    <t>divya.kulkarni@samplecorp.in</t>
  </si>
  <si>
    <t>Support Executive</t>
  </si>
  <si>
    <t>EMP1123</t>
  </si>
  <si>
    <t>Arjun Bansal</t>
  </si>
  <si>
    <t>arjun.bansal@samplecorp.in</t>
  </si>
  <si>
    <t>vikram.joshi@samplecorp.in</t>
  </si>
  <si>
    <t>Head of Customer Experience</t>
  </si>
  <si>
    <t>EMP1125</t>
  </si>
  <si>
    <t>Rohan Pandey</t>
  </si>
  <si>
    <t>rohan.pandey@samplecorp.in</t>
  </si>
  <si>
    <t>Software Engineer</t>
  </si>
  <si>
    <t>EMP1126</t>
  </si>
  <si>
    <t>Imran Krishnan</t>
  </si>
  <si>
    <t>imran.krishnan@samplecorp.in</t>
  </si>
  <si>
    <t>EMP1127</t>
  </si>
  <si>
    <t>Ayesha Raghavan</t>
  </si>
  <si>
    <t>ayesha.raghavan@samplecorp.in</t>
  </si>
  <si>
    <t>Sales Executive</t>
  </si>
  <si>
    <t>EMP1128</t>
  </si>
  <si>
    <t>Abhishek Das</t>
  </si>
  <si>
    <t>abhishek.das@samplecorp.in</t>
  </si>
  <si>
    <t>madhuri.menon@samplecorp.in</t>
  </si>
  <si>
    <t>yash.raghavan@samplecorp.in</t>
  </si>
  <si>
    <t>EMP1131</t>
  </si>
  <si>
    <t>Vidya Saxena</t>
  </si>
  <si>
    <t>vidya.saxena@samplecorp.in</t>
  </si>
  <si>
    <t>EMP1132</t>
  </si>
  <si>
    <t>Ramya Mukherjee</t>
  </si>
  <si>
    <t>ramya.mukherjee@samplecorp.in</t>
  </si>
  <si>
    <t>EMP1133</t>
  </si>
  <si>
    <t>Meera Naidu</t>
  </si>
  <si>
    <t>meera.naidu@samplecorp.in</t>
  </si>
  <si>
    <t>EMP1134</t>
  </si>
  <si>
    <t>Krishna Shah</t>
  </si>
  <si>
    <t>krishna.shah@samplecorp.in</t>
  </si>
  <si>
    <t>EMP1135</t>
  </si>
  <si>
    <t>Neha Kamath</t>
  </si>
  <si>
    <t>neha.kamath@samplecorp.in</t>
  </si>
  <si>
    <t>EMP1136</t>
  </si>
  <si>
    <t>Lakshmi Iyer</t>
  </si>
  <si>
    <t>lakshmi.iyer@samplecorp.in</t>
  </si>
  <si>
    <t>EMP1137</t>
  </si>
  <si>
    <t>Aarav Choudhary</t>
  </si>
  <si>
    <t>aarav.choudhary@samplecorp.in</t>
  </si>
  <si>
    <t>EMP1138</t>
  </si>
  <si>
    <t>Ananya Banerjee</t>
  </si>
  <si>
    <t>ananya.banerjee@samplecorp.in</t>
  </si>
  <si>
    <t>EMP1139</t>
  </si>
  <si>
    <t>Prakash Kamath</t>
  </si>
  <si>
    <t>prakash.kamath@samplecorp.in</t>
  </si>
  <si>
    <t>EMP1140</t>
  </si>
  <si>
    <t>Anusha Jain</t>
  </si>
  <si>
    <t>anusha.jain@samplecorp.in</t>
  </si>
  <si>
    <t>EMP1141</t>
  </si>
  <si>
    <t>Abhishek Banerjee</t>
  </si>
  <si>
    <t>abhishek.banerjee@samplecorp.in</t>
  </si>
  <si>
    <t>EMP1142</t>
  </si>
  <si>
    <t>Nisha Naidu</t>
  </si>
  <si>
    <t>nisha.naidu@samplecorp.in</t>
  </si>
  <si>
    <t>EMP1143</t>
  </si>
  <si>
    <t>Tejaswini Naidu</t>
  </si>
  <si>
    <t>tejaswini.naidu@samplecorp.in</t>
  </si>
  <si>
    <t>Head of Operations</t>
  </si>
  <si>
    <t>EMP1144</t>
  </si>
  <si>
    <t>Nandini Bansal</t>
  </si>
  <si>
    <t>nandini.bansal@samplecorp.in</t>
  </si>
  <si>
    <t>Marketing Executive</t>
  </si>
  <si>
    <t>EMP1145</t>
  </si>
  <si>
    <t>Srinivas Bansal</t>
  </si>
  <si>
    <t>srinivas.bansal@samplecorp.in</t>
  </si>
  <si>
    <t>EMP1146</t>
  </si>
  <si>
    <t>Tejaswini Dsouza</t>
  </si>
  <si>
    <t>tejaswini.dsouza@samplecorp.in</t>
  </si>
  <si>
    <t>EMP1147</t>
  </si>
  <si>
    <t>Zara Krishnan</t>
  </si>
  <si>
    <t>zara.krishnan@samplecorp.in</t>
  </si>
  <si>
    <t>EMP1148</t>
  </si>
  <si>
    <t>Suresh Bansal</t>
  </si>
  <si>
    <t>suresh.bansal@samplecorp.in</t>
  </si>
  <si>
    <t>EMP1149</t>
  </si>
  <si>
    <t>Ashish Sharma</t>
  </si>
  <si>
    <t>ashish.sharma@samplecorp.in</t>
  </si>
  <si>
    <t>vidya.chatterjee@samplecorp.in</t>
  </si>
  <si>
    <t>Pooja Khanna</t>
  </si>
  <si>
    <t>EMP1260</t>
  </si>
  <si>
    <t>EMP1151</t>
  </si>
  <si>
    <t>Abhishek Verma</t>
  </si>
  <si>
    <t>abhishek.verma@samplecorp.in</t>
  </si>
  <si>
    <t>EMP1152</t>
  </si>
  <si>
    <t>Tarun Pillai</t>
  </si>
  <si>
    <t>tarun.pillai@samplecorp.in</t>
  </si>
  <si>
    <t>EMP1153</t>
  </si>
  <si>
    <t>Zara Bose</t>
  </si>
  <si>
    <t>zara.bose@samplecorp.in</t>
  </si>
  <si>
    <t>EMP1154</t>
  </si>
  <si>
    <t>Krishna Chatterjee</t>
  </si>
  <si>
    <t>krishna.chatterjee@samplecorp.in</t>
  </si>
  <si>
    <t>EMP1155</t>
  </si>
  <si>
    <t>Mary Singh</t>
  </si>
  <si>
    <t>mary.singh@samplecorp.in</t>
  </si>
  <si>
    <t>HR Executive</t>
  </si>
  <si>
    <t>EMP1156</t>
  </si>
  <si>
    <t>Lakshmi Pillai</t>
  </si>
  <si>
    <t>lakshmi.pillai@samplecorp.in</t>
  </si>
  <si>
    <t>EMP1157</t>
  </si>
  <si>
    <t>Varun Subramanian</t>
  </si>
  <si>
    <t>varun.subramanian@samplecorp.in</t>
  </si>
  <si>
    <t>pallavi.shah@samplecorp.in</t>
  </si>
  <si>
    <t>Senior Operations Manager</t>
  </si>
  <si>
    <t>EMP1159</t>
  </si>
  <si>
    <t>Sanjana Kamath</t>
  </si>
  <si>
    <t>sanjana.kamath@samplecorp.in</t>
  </si>
  <si>
    <t>Accounts Executive</t>
  </si>
  <si>
    <t>EMP1160</t>
  </si>
  <si>
    <t>Bhavana Varghese</t>
  </si>
  <si>
    <t>bhavana.varghese@samplecorp.in</t>
  </si>
  <si>
    <t>EMP1161</t>
  </si>
  <si>
    <t>Tanvi Siddiqui</t>
  </si>
  <si>
    <t>tanvi.siddiqui@samplecorp.in</t>
  </si>
  <si>
    <t>EMP1162</t>
  </si>
  <si>
    <t>Aditi Siddiqui</t>
  </si>
  <si>
    <t>aditi.siddiqui@samplecorp.in</t>
  </si>
  <si>
    <t>EMP1163</t>
  </si>
  <si>
    <t>Aditi Yadav</t>
  </si>
  <si>
    <t>aditi.yadav@samplecorp.in</t>
  </si>
  <si>
    <t>Swathi Mukherjee</t>
  </si>
  <si>
    <t>EMP1310</t>
  </si>
  <si>
    <t>Compliance Executive</t>
  </si>
  <si>
    <t>EMP1164</t>
  </si>
  <si>
    <t>Gaurav Saxena</t>
  </si>
  <si>
    <t>gaurav.saxena@samplecorp.in</t>
  </si>
  <si>
    <t>EMP1165</t>
  </si>
  <si>
    <t>Kiran Hegde</t>
  </si>
  <si>
    <t>kiran.hegde@samplecorp.in</t>
  </si>
  <si>
    <t>EMP1166</t>
  </si>
  <si>
    <t>Aditi Prabhu</t>
  </si>
  <si>
    <t>aditi.prabhu@samplecorp.in</t>
  </si>
  <si>
    <t>EMP1167</t>
  </si>
  <si>
    <t>Sanjay Krishnan</t>
  </si>
  <si>
    <t>sanjay.krishnan@samplecorp.in</t>
  </si>
  <si>
    <t>EMP1168</t>
  </si>
  <si>
    <t>Priya Fernandes</t>
  </si>
  <si>
    <t>priya.fernandes@samplecorp.in</t>
  </si>
  <si>
    <t>EMP1169</t>
  </si>
  <si>
    <t>Aniket Siddiqui</t>
  </si>
  <si>
    <t>aniket.siddiqui@samplecorp.in</t>
  </si>
  <si>
    <t>EMP1170</t>
  </si>
  <si>
    <t>Deepak Saxena</t>
  </si>
  <si>
    <t>deepak.saxena@samplecorp.in</t>
  </si>
  <si>
    <t>EMP1171</t>
  </si>
  <si>
    <t>Kritika Gowda</t>
  </si>
  <si>
    <t>kritika.gowda@samplecorp.in</t>
  </si>
  <si>
    <t>EMP1172</t>
  </si>
  <si>
    <t>Sai Desai</t>
  </si>
  <si>
    <t>sai.desai@samplecorp.in</t>
  </si>
  <si>
    <t>EMP1173</t>
  </si>
  <si>
    <t>Rashmi Kulkarni</t>
  </si>
  <si>
    <t>rashmi.kulkarni@samplecorp.in</t>
  </si>
  <si>
    <t>EMP1174</t>
  </si>
  <si>
    <t>Nikhil Desai</t>
  </si>
  <si>
    <t>nikhil.desai@samplecorp.in</t>
  </si>
  <si>
    <t>EMP1175</t>
  </si>
  <si>
    <t>Ananya Sharma</t>
  </si>
  <si>
    <t>ananya.sharma@samplecorp.in</t>
  </si>
  <si>
    <t>EMP1176</t>
  </si>
  <si>
    <t>Manish Khanna</t>
  </si>
  <si>
    <t>manish.khanna@samplecorp.in</t>
  </si>
  <si>
    <t>Imran Joshi</t>
  </si>
  <si>
    <t>EMP1241</t>
  </si>
  <si>
    <t>EMP1177</t>
  </si>
  <si>
    <t>Vinay Malhotra</t>
  </si>
  <si>
    <t>vinay.malhotra@samplecorp.in</t>
  </si>
  <si>
    <t>EMP1178</t>
  </si>
  <si>
    <t>Sai Kumar</t>
  </si>
  <si>
    <t>sai.kumar@samplecorp.in</t>
  </si>
  <si>
    <t>EMP1179</t>
  </si>
  <si>
    <t>Zara Chatterjee</t>
  </si>
  <si>
    <t>zara.chatterjee@samplecorp.in</t>
  </si>
  <si>
    <t>EMP1180</t>
  </si>
  <si>
    <t>Venkat Subramanian</t>
  </si>
  <si>
    <t>venkat.subramanian@samplecorp.in</t>
  </si>
  <si>
    <t>EMP1181</t>
  </si>
  <si>
    <t>Radhika Saxena</t>
  </si>
  <si>
    <t>radhika.saxena@samplecorp.in</t>
  </si>
  <si>
    <t>EMP1182</t>
  </si>
  <si>
    <t>Revathi Pandey</t>
  </si>
  <si>
    <t>revathi.pandey@samplecorp.in</t>
  </si>
  <si>
    <t>EMP1183</t>
  </si>
  <si>
    <t>Tarun Pandey</t>
  </si>
  <si>
    <t>tarun.pandey@samplecorp.in</t>
  </si>
  <si>
    <t>Data Analyst II</t>
  </si>
  <si>
    <t>EMP1184</t>
  </si>
  <si>
    <t>Amit Shah</t>
  </si>
  <si>
    <t>amit.shah@samplecorp.in</t>
  </si>
  <si>
    <t>EMP1185</t>
  </si>
  <si>
    <t>Arjun Nair</t>
  </si>
  <si>
    <t>arjun.nair@samplecorp.in</t>
  </si>
  <si>
    <t>EMP1186</t>
  </si>
  <si>
    <t>Yash Das</t>
  </si>
  <si>
    <t>yash.das@samplecorp.in</t>
  </si>
  <si>
    <t>EMP1187</t>
  </si>
  <si>
    <t>Manish Siddiqui</t>
  </si>
  <si>
    <t>manish.siddiqui@samplecorp.in</t>
  </si>
  <si>
    <t>EMP1188</t>
  </si>
  <si>
    <t>Gaurav Ansari</t>
  </si>
  <si>
    <t>gaurav.ansari@samplecorp.in</t>
  </si>
  <si>
    <t>ramya.menon@samplecorp.in</t>
  </si>
  <si>
    <t>EMP1190</t>
  </si>
  <si>
    <t>Imran Kapoor</t>
  </si>
  <si>
    <t>imran.kapoor@samplecorp.in</t>
  </si>
  <si>
    <t>EMP1191</t>
  </si>
  <si>
    <t>Pooja Choudhary</t>
  </si>
  <si>
    <t>pooja.choudhary@samplecorp.in</t>
  </si>
  <si>
    <t>EMP1192</t>
  </si>
  <si>
    <t>Ayesha Mishra</t>
  </si>
  <si>
    <t>ayesha.mishra@samplecorp.in</t>
  </si>
  <si>
    <t>EMP1193</t>
  </si>
  <si>
    <t>Rajesh Kapoor</t>
  </si>
  <si>
    <t>rajesh.kapoor@samplecorp.in</t>
  </si>
  <si>
    <t>ashish.varghese@samplecorp.in</t>
  </si>
  <si>
    <t>EMP1195</t>
  </si>
  <si>
    <t>Pallavi Das</t>
  </si>
  <si>
    <t>pallavi.das@samplecorp.in</t>
  </si>
  <si>
    <t>EMP1196</t>
  </si>
  <si>
    <t>Vikas Bansal</t>
  </si>
  <si>
    <t>vikas.bansal@samplecorp.in</t>
  </si>
  <si>
    <t>EMP1197</t>
  </si>
  <si>
    <t>Mansi Naidu</t>
  </si>
  <si>
    <t>mansi.naidu@samplecorp.in</t>
  </si>
  <si>
    <t>EMP1198</t>
  </si>
  <si>
    <t>Siddharth Dsouza</t>
  </si>
  <si>
    <t>siddharth.dsouza@samplecorp.in</t>
  </si>
  <si>
    <t>EMP1199</t>
  </si>
  <si>
    <t>Anjali Bansal</t>
  </si>
  <si>
    <t>anjali.bansal@samplecorp.in</t>
  </si>
  <si>
    <t>EMP1200</t>
  </si>
  <si>
    <t>Arun Jain</t>
  </si>
  <si>
    <t>arun.jain@samplecorp.in</t>
  </si>
  <si>
    <t>EMP1201</t>
  </si>
  <si>
    <t>Anjali Shah</t>
  </si>
  <si>
    <t>anjali.shah@samplecorp.in</t>
  </si>
  <si>
    <t>EMP1202</t>
  </si>
  <si>
    <t>Ankit Mukherjee</t>
  </si>
  <si>
    <t>ankit.mukherjee@samplecorp.in</t>
  </si>
  <si>
    <t>EMP1203</t>
  </si>
  <si>
    <t>Anjali Rao</t>
  </si>
  <si>
    <t>anjali.rao@samplecorp.in</t>
  </si>
  <si>
    <t>EMP1204</t>
  </si>
  <si>
    <t>Anand Shetty</t>
  </si>
  <si>
    <t>anand.shetty@samplecorp.in</t>
  </si>
  <si>
    <t>srinivas.shah@samplecorp.in</t>
  </si>
  <si>
    <t>EMP1206</t>
  </si>
  <si>
    <t>Meera Chatterjee</t>
  </si>
  <si>
    <t>meera.chatterjee@samplecorp.in</t>
  </si>
  <si>
    <t>EMP1207</t>
  </si>
  <si>
    <t>Tejaswini Nair</t>
  </si>
  <si>
    <t>tejaswini.nair@samplecorp.in</t>
  </si>
  <si>
    <t>EMP1208</t>
  </si>
  <si>
    <t>Ashish Fernandes</t>
  </si>
  <si>
    <t>ashish.fernandes@samplecorp.in</t>
  </si>
  <si>
    <t>EMP1209</t>
  </si>
  <si>
    <t>Ritu Hegde</t>
  </si>
  <si>
    <t>ritu.hegde@samplecorp.in</t>
  </si>
  <si>
    <t>Anand Naidu</t>
  </si>
  <si>
    <t>EMP1407</t>
  </si>
  <si>
    <t>EMP1210</t>
  </si>
  <si>
    <t>Srinivas Kumar</t>
  </si>
  <si>
    <t>srinivas.kumar@samplecorp.in</t>
  </si>
  <si>
    <t>EMP1211</t>
  </si>
  <si>
    <t>Tarun Das</t>
  </si>
  <si>
    <t>tarun.das@samplecorp.in</t>
  </si>
  <si>
    <t>EMP1212</t>
  </si>
  <si>
    <t>Arun Kamath</t>
  </si>
  <si>
    <t>arun.kamath@samplecorp.in</t>
  </si>
  <si>
    <t>vikram.verma@samplecorp.in</t>
  </si>
  <si>
    <t>Senior Engineering Manager</t>
  </si>
  <si>
    <t>EMP1214</t>
  </si>
  <si>
    <t>Kunal Subramanian</t>
  </si>
  <si>
    <t>kunal.subramanian@samplecorp.in</t>
  </si>
  <si>
    <t>EMP1215</t>
  </si>
  <si>
    <t>Krishna Siddiqui</t>
  </si>
  <si>
    <t>krishna.siddiqui@samplecorp.in</t>
  </si>
  <si>
    <t>EMP1216</t>
  </si>
  <si>
    <t>Bhavana Siddiqui</t>
  </si>
  <si>
    <t>bhavana.siddiqui@samplecorp.in</t>
  </si>
  <si>
    <t>EMP1217</t>
  </si>
  <si>
    <t>Krishna Pillai</t>
  </si>
  <si>
    <t>krishna.pillai@samplecorp.in</t>
  </si>
  <si>
    <t>EMP1218</t>
  </si>
  <si>
    <t>Nisha Subramanian</t>
  </si>
  <si>
    <t>nisha.subramanian@samplecorp.in</t>
  </si>
  <si>
    <t>EMP1219</t>
  </si>
  <si>
    <t>Neha Patel</t>
  </si>
  <si>
    <t>neha.patel@samplecorp.in</t>
  </si>
  <si>
    <t>EMP1220</t>
  </si>
  <si>
    <t>Madhuri Choudhary</t>
  </si>
  <si>
    <t>madhuri.choudhary@samplecorp.in</t>
  </si>
  <si>
    <t>EMP1221</t>
  </si>
  <si>
    <t>Sai Khanna</t>
  </si>
  <si>
    <t>sai.khanna@samplecorp.in</t>
  </si>
  <si>
    <t>EMP1222</t>
  </si>
  <si>
    <t>Karan Varghese</t>
  </si>
  <si>
    <t>karan.varghese@samplecorp.in</t>
  </si>
  <si>
    <t>EMP1223</t>
  </si>
  <si>
    <t>Meera Kumar</t>
  </si>
  <si>
    <t>meera.kumar@samplecorp.in</t>
  </si>
  <si>
    <t>EMP1224</t>
  </si>
  <si>
    <t>Aditya Bose</t>
  </si>
  <si>
    <t>aditya.bose@samplecorp.in</t>
  </si>
  <si>
    <t>nandini.fernandes@samplecorp.in</t>
  </si>
  <si>
    <t>EMP1226</t>
  </si>
  <si>
    <t>Revathi Thomas</t>
  </si>
  <si>
    <t>revathi.thomas@samplecorp.in</t>
  </si>
  <si>
    <t>EMP1227</t>
  </si>
  <si>
    <t>Akash Bose</t>
  </si>
  <si>
    <t>akash.bose@samplecorp.in</t>
  </si>
  <si>
    <t>EMP1228</t>
  </si>
  <si>
    <t>Venkat Menon</t>
  </si>
  <si>
    <t>venkat.menon@samplecorp.in</t>
  </si>
  <si>
    <t>EMP1229</t>
  </si>
  <si>
    <t>Vikram Shah</t>
  </si>
  <si>
    <t>vikram.shah@samplecorp.in</t>
  </si>
  <si>
    <t>EMP1230</t>
  </si>
  <si>
    <t>Sneha Chatterjee</t>
  </si>
  <si>
    <t>sneha.chatterjee@samplecorp.in</t>
  </si>
  <si>
    <t>EMP1231</t>
  </si>
  <si>
    <t>Lakshmi Raghavan</t>
  </si>
  <si>
    <t>lakshmi.raghavan@samplecorp.in</t>
  </si>
  <si>
    <t>EMP1232</t>
  </si>
  <si>
    <t>Nisha Reddy</t>
  </si>
  <si>
    <t>nisha.reddy@samplecorp.in</t>
  </si>
  <si>
    <t>Support Associate</t>
  </si>
  <si>
    <t>EMP1233</t>
  </si>
  <si>
    <t>Anand Yadav</t>
  </si>
  <si>
    <t>anand.yadav@samplecorp.in</t>
  </si>
  <si>
    <t>Associate Product Analyst</t>
  </si>
  <si>
    <t>EMP1234</t>
  </si>
  <si>
    <t>Arun Gupta</t>
  </si>
  <si>
    <t>arun.gupta@samplecorp.in</t>
  </si>
  <si>
    <t>Marketing Associate</t>
  </si>
  <si>
    <t>EMP1235</t>
  </si>
  <si>
    <t>Sanjay Chatterjee</t>
  </si>
  <si>
    <t>sanjay.chatterjee@samplecorp.in</t>
  </si>
  <si>
    <t>Operations Associate</t>
  </si>
  <si>
    <t>sachin.shetty@samplecorp.in</t>
  </si>
  <si>
    <t>EMP1237</t>
  </si>
  <si>
    <t>Sanjana Mukherjee</t>
  </si>
  <si>
    <t>sanjana.mukherjee@samplecorp.in</t>
  </si>
  <si>
    <t>nandini.iyer@samplecorp.in</t>
  </si>
  <si>
    <t>EMP1239</t>
  </si>
  <si>
    <t>Sakshi Mukherjee</t>
  </si>
  <si>
    <t>sakshi.mukherjee@samplecorp.in</t>
  </si>
  <si>
    <t>Associate Software Engineer</t>
  </si>
  <si>
    <t>EMP1240</t>
  </si>
  <si>
    <t>Ramya Khan</t>
  </si>
  <si>
    <t>ramya.khan@samplecorp.in</t>
  </si>
  <si>
    <t>Senior Legal Counsel</t>
  </si>
  <si>
    <t>imran.joshi@samplecorp.in</t>
  </si>
  <si>
    <t>EMP1242</t>
  </si>
  <si>
    <t>Aarav Das</t>
  </si>
  <si>
    <t>aarav.das@samplecorp.in</t>
  </si>
  <si>
    <t>EMP1243</t>
  </si>
  <si>
    <t>Tanvi Yadav</t>
  </si>
  <si>
    <t>tanvi.yadav@samplecorp.in</t>
  </si>
  <si>
    <t>EMP1244</t>
  </si>
  <si>
    <t>Yash Joshi</t>
  </si>
  <si>
    <t>yash.joshi@samplecorp.in</t>
  </si>
  <si>
    <t>EMP1245</t>
  </si>
  <si>
    <t>Rajesh Raghavan</t>
  </si>
  <si>
    <t>rajesh.raghavan@samplecorp.in</t>
  </si>
  <si>
    <t>EMP1246</t>
  </si>
  <si>
    <t>Pranav Gupta</t>
  </si>
  <si>
    <t>pranav.gupta@samplecorp.in</t>
  </si>
  <si>
    <t>yamini.nair@samplecorp.in</t>
  </si>
  <si>
    <t>EMP1248</t>
  </si>
  <si>
    <t>Ravi Khanna</t>
  </si>
  <si>
    <t>ravi.khanna@samplecorp.in</t>
  </si>
  <si>
    <t>HR Associate</t>
  </si>
  <si>
    <t>EMP1249</t>
  </si>
  <si>
    <t>Vishal Kamath</t>
  </si>
  <si>
    <t>vishal.kamath@samplecorp.in</t>
  </si>
  <si>
    <t>EMP1250</t>
  </si>
  <si>
    <t>Arjun Mishra</t>
  </si>
  <si>
    <t>arjun.mishra@samplecorp.in</t>
  </si>
  <si>
    <t>Finance Associate</t>
  </si>
  <si>
    <t>EMP1251</t>
  </si>
  <si>
    <t>Manish Shetty</t>
  </si>
  <si>
    <t>manish.shetty@samplecorp.in</t>
  </si>
  <si>
    <t>Data Analyst I</t>
  </si>
  <si>
    <t>EMP1252</t>
  </si>
  <si>
    <t>Anusha Verma</t>
  </si>
  <si>
    <t>anusha.verma@samplecorp.in</t>
  </si>
  <si>
    <t>EMP1253</t>
  </si>
  <si>
    <t>Swathi Banerjee</t>
  </si>
  <si>
    <t>swathi.banerjee@samplecorp.in</t>
  </si>
  <si>
    <t>EMP1254</t>
  </si>
  <si>
    <t>Aniket Bansal</t>
  </si>
  <si>
    <t>aniket.bansal@samplecorp.in</t>
  </si>
  <si>
    <t>EMP1255</t>
  </si>
  <si>
    <t>Sneha Desai</t>
  </si>
  <si>
    <t>sneha.desai@samplecorp.in</t>
  </si>
  <si>
    <t>EMP1256</t>
  </si>
  <si>
    <t>Deepak Chatterjee</t>
  </si>
  <si>
    <t>deepak.chatterjee@samplecorp.in</t>
  </si>
  <si>
    <t>EMP1257</t>
  </si>
  <si>
    <t>Ankit Menon</t>
  </si>
  <si>
    <t>ankit.menon@samplecorp.in</t>
  </si>
  <si>
    <t>EMP1258</t>
  </si>
  <si>
    <t>Abhishek Choudhary</t>
  </si>
  <si>
    <t>abhishek.choudhary@samplecorp.in</t>
  </si>
  <si>
    <t>EMP1259</t>
  </si>
  <si>
    <t>Priyanka Gowda</t>
  </si>
  <si>
    <t>priyanka.gowda@samplecorp.in</t>
  </si>
  <si>
    <t>pooja.khanna@samplecorp.in</t>
  </si>
  <si>
    <t>EMP1261</t>
  </si>
  <si>
    <t>Priya Krishnan</t>
  </si>
  <si>
    <t>priya.krishnan@samplecorp.in</t>
  </si>
  <si>
    <t>EMP1262</t>
  </si>
  <si>
    <t>Kritika Bose</t>
  </si>
  <si>
    <t>kritika.bose@samplecorp.in</t>
  </si>
  <si>
    <t>EMP1263</t>
  </si>
  <si>
    <t>Trisha Hegde</t>
  </si>
  <si>
    <t>trisha.hegde@samplecorp.in</t>
  </si>
  <si>
    <t>EMP1264</t>
  </si>
  <si>
    <t>Manish Mukherjee</t>
  </si>
  <si>
    <t>manish.mukherjee@samplecorp.in</t>
  </si>
  <si>
    <t>kritika.pandey@samplecorp.in</t>
  </si>
  <si>
    <t>Finance Manager</t>
  </si>
  <si>
    <t>EMP1266</t>
  </si>
  <si>
    <t>Manish Krishnan</t>
  </si>
  <si>
    <t>manish.krishnan@samplecorp.in</t>
  </si>
  <si>
    <t>EMP1267</t>
  </si>
  <si>
    <t>Abhishek Malhotra</t>
  </si>
  <si>
    <t>abhishek.malhotra@samplecorp.in</t>
  </si>
  <si>
    <t>EMP1268</t>
  </si>
  <si>
    <t>Kunal Agarwal</t>
  </si>
  <si>
    <t>kunal.agarwal@samplecorp.in</t>
  </si>
  <si>
    <t>EMP1269</t>
  </si>
  <si>
    <t>Kunal Pillai</t>
  </si>
  <si>
    <t>kunal.pillai@samplecorp.in</t>
  </si>
  <si>
    <t>EMP1270</t>
  </si>
  <si>
    <t>Varsha Patel</t>
  </si>
  <si>
    <t>varsha.patel@samplecorp.in</t>
  </si>
  <si>
    <t>EMP1271</t>
  </si>
  <si>
    <t>Ananya Desai</t>
  </si>
  <si>
    <t>ananya.desai@samplecorp.in</t>
  </si>
  <si>
    <t>EMP1272</t>
  </si>
  <si>
    <t>Vinay Agarwal</t>
  </si>
  <si>
    <t>vinay.agarwal@samplecorp.in</t>
  </si>
  <si>
    <t>aishwarya.fernandes@samplecorp.in</t>
  </si>
  <si>
    <t>Head of Data</t>
  </si>
  <si>
    <t>EMP1274</t>
  </si>
  <si>
    <t>Joseph Gowda</t>
  </si>
  <si>
    <t>joseph.gowda@samplecorp.in</t>
  </si>
  <si>
    <t>EMP1275</t>
  </si>
  <si>
    <t>Akash Patel</t>
  </si>
  <si>
    <t>akash.patel@samplecorp.in</t>
  </si>
  <si>
    <t>EMP1276</t>
  </si>
  <si>
    <t>Pooja Kamath</t>
  </si>
  <si>
    <t>pooja.kamath@samplecorp.in</t>
  </si>
  <si>
    <t>EMP1277</t>
  </si>
  <si>
    <t>Ankit Joshi</t>
  </si>
  <si>
    <t>ankit.joshi@samplecorp.in</t>
  </si>
  <si>
    <t>EMP1278</t>
  </si>
  <si>
    <t>Vikas Raghavan</t>
  </si>
  <si>
    <t>vikas.raghavan@samplecorp.in</t>
  </si>
  <si>
    <t>karan.verma@samplecorp.in</t>
  </si>
  <si>
    <t>EMP1280</t>
  </si>
  <si>
    <t>Tanvi Kamath</t>
  </si>
  <si>
    <t>tanvi.kamath@samplecorp.in</t>
  </si>
  <si>
    <t>EMP1281</t>
  </si>
  <si>
    <t>Srinivas Nair</t>
  </si>
  <si>
    <t>srinivas.nair@samplecorp.in</t>
  </si>
  <si>
    <t>EMP1282</t>
  </si>
  <si>
    <t>Priya Mishra</t>
  </si>
  <si>
    <t>priya.mishra@samplecorp.in</t>
  </si>
  <si>
    <t>EMP1283</t>
  </si>
  <si>
    <t>Isha Khanna</t>
  </si>
  <si>
    <t>isha.khanna@samplecorp.in</t>
  </si>
  <si>
    <t>EMP1284</t>
  </si>
  <si>
    <t>Kunal Fernandes</t>
  </si>
  <si>
    <t>kunal.fernandes@samplecorp.in</t>
  </si>
  <si>
    <t>EMP1285</t>
  </si>
  <si>
    <t>Tarun Siddiqui</t>
  </si>
  <si>
    <t>tarun.siddiqui@samplecorp.in</t>
  </si>
  <si>
    <t>EMP1286</t>
  </si>
  <si>
    <t>Farhan Thomas</t>
  </si>
  <si>
    <t>farhan.thomas@samplecorp.in</t>
  </si>
  <si>
    <t>EMP1287</t>
  </si>
  <si>
    <t>Sai Iyer</t>
  </si>
  <si>
    <t>sai.iyer@samplecorp.in</t>
  </si>
  <si>
    <t>EMP1288</t>
  </si>
  <si>
    <t>Joseph Pandey</t>
  </si>
  <si>
    <t>joseph.pandey@samplecorp.in</t>
  </si>
  <si>
    <t>EMP1289</t>
  </si>
  <si>
    <t>Tanvi Verma</t>
  </si>
  <si>
    <t>tanvi.verma@samplecorp.in</t>
  </si>
  <si>
    <t>EMP1290</t>
  </si>
  <si>
    <t>Revathi Das</t>
  </si>
  <si>
    <t>revathi.das@samplecorp.in</t>
  </si>
  <si>
    <t>EMP1291</t>
  </si>
  <si>
    <t>Swathi Fernandes</t>
  </si>
  <si>
    <t>swathi.fernandes@samplecorp.in</t>
  </si>
  <si>
    <t>Sales Associate</t>
  </si>
  <si>
    <t>EMP1292</t>
  </si>
  <si>
    <t>Arjun Shetty</t>
  </si>
  <si>
    <t>arjun.shetty@samplecorp.in</t>
  </si>
  <si>
    <t>EMP1293</t>
  </si>
  <si>
    <t>Ajay Jain</t>
  </si>
  <si>
    <t>ajay.jain@samplecorp.in</t>
  </si>
  <si>
    <t>EMP1294</t>
  </si>
  <si>
    <t>Rakesh Desai</t>
  </si>
  <si>
    <t>rakesh.desai@samplecorp.in</t>
  </si>
  <si>
    <t>EMP1295</t>
  </si>
  <si>
    <t>Sindhu Gowda</t>
  </si>
  <si>
    <t>sindhu.gowda@samplecorp.in</t>
  </si>
  <si>
    <t>EMP1296</t>
  </si>
  <si>
    <t>Farhan Shetty</t>
  </si>
  <si>
    <t>farhan.shetty@samplecorp.in</t>
  </si>
  <si>
    <t>EMP1297</t>
  </si>
  <si>
    <t>Rakesh Patel</t>
  </si>
  <si>
    <t>rakesh.patel@samplecorp.in</t>
  </si>
  <si>
    <t>EMP1298</t>
  </si>
  <si>
    <t>Vikram Bose</t>
  </si>
  <si>
    <t>vikram.bose@samplecorp.in</t>
  </si>
  <si>
    <t>EMP1299</t>
  </si>
  <si>
    <t>Sachin Singh</t>
  </si>
  <si>
    <t>sachin.singh@samplecorp.in</t>
  </si>
  <si>
    <t>EMP1300</t>
  </si>
  <si>
    <t>Rajesh Krishnan</t>
  </si>
  <si>
    <t>rajesh.krishnan@samplecorp.in</t>
  </si>
  <si>
    <t>EMP1301</t>
  </si>
  <si>
    <t>Gaurav Nair</t>
  </si>
  <si>
    <t>gaurav.nair@samplecorp.in</t>
  </si>
  <si>
    <t>EMP1302</t>
  </si>
  <si>
    <t>Shreya Thomas</t>
  </si>
  <si>
    <t>shreya.thomas@samplecorp.in</t>
  </si>
  <si>
    <t>EMP1303</t>
  </si>
  <si>
    <t>Rakesh Thomas</t>
  </si>
  <si>
    <t>rakesh.thomas@samplecorp.in</t>
  </si>
  <si>
    <t>EMP1304</t>
  </si>
  <si>
    <t>Harini Khan</t>
  </si>
  <si>
    <t>harini.khan@samplecorp.in</t>
  </si>
  <si>
    <t>EMP1305</t>
  </si>
  <si>
    <t>Abhishek Sharma</t>
  </si>
  <si>
    <t>abhishek.sharma@samplecorp.in</t>
  </si>
  <si>
    <t>EMP1306</t>
  </si>
  <si>
    <t>Ravi Pandey</t>
  </si>
  <si>
    <t>ravi.pandey@samplecorp.in</t>
  </si>
  <si>
    <t>EMP1307</t>
  </si>
  <si>
    <t>Anjali Mehta</t>
  </si>
  <si>
    <t>anjali.mehta@samplecorp.in</t>
  </si>
  <si>
    <t>EMP1308</t>
  </si>
  <si>
    <t>Sanjay Saxena</t>
  </si>
  <si>
    <t>sanjay.saxena@samplecorp.in</t>
  </si>
  <si>
    <t>EMP1309</t>
  </si>
  <si>
    <t>Kunal Mukherjee</t>
  </si>
  <si>
    <t>kunal.mukherjee@samplecorp.in</t>
  </si>
  <si>
    <t>swathi.mukherjee@samplecorp.in</t>
  </si>
  <si>
    <t>EMP1311</t>
  </si>
  <si>
    <t>Tarun Tiwari</t>
  </si>
  <si>
    <t>tarun.tiwari@samplecorp.in</t>
  </si>
  <si>
    <t>EMP1312</t>
  </si>
  <si>
    <t>Ritu Chatterjee</t>
  </si>
  <si>
    <t>ritu.chatterjee@samplecorp.in</t>
  </si>
  <si>
    <t>EMP1313</t>
  </si>
  <si>
    <t>Mohit Bose</t>
  </si>
  <si>
    <t>mohit.bose@samplecorp.in</t>
  </si>
  <si>
    <t>EMP1314</t>
  </si>
  <si>
    <t>Sanjay Thomas</t>
  </si>
  <si>
    <t>sanjay.thomas@samplecorp.in</t>
  </si>
  <si>
    <t>Legal Associate</t>
  </si>
  <si>
    <t>EMP1315</t>
  </si>
  <si>
    <t>Revathi Fernandes</t>
  </si>
  <si>
    <t>revathi.fernandes@samplecorp.in</t>
  </si>
  <si>
    <t>EMP1316</t>
  </si>
  <si>
    <t>Fatima Patel</t>
  </si>
  <si>
    <t>fatima.patel@samplecorp.in</t>
  </si>
  <si>
    <t>EMP1317</t>
  </si>
  <si>
    <t>Nisha Choudhary</t>
  </si>
  <si>
    <t>nisha.choudhary@samplecorp.in</t>
  </si>
  <si>
    <t>EMP1318</t>
  </si>
  <si>
    <t>Amit Desai</t>
  </si>
  <si>
    <t>amit.desai@samplecorp.in</t>
  </si>
  <si>
    <t>EMP1319</t>
  </si>
  <si>
    <t>Neha Siddiqui</t>
  </si>
  <si>
    <t>neha.siddiqui@samplecorp.in</t>
  </si>
  <si>
    <t>EMP1320</t>
  </si>
  <si>
    <t>Prakash Raghavan</t>
  </si>
  <si>
    <t>prakash.raghavan@samplecorp.in</t>
  </si>
  <si>
    <t>EMP1321</t>
  </si>
  <si>
    <t>Imran Gupta</t>
  </si>
  <si>
    <t>imran.gupta@samplecorp.in</t>
  </si>
  <si>
    <t>EMP1322</t>
  </si>
  <si>
    <t>Radhika Kapoor</t>
  </si>
  <si>
    <t>radhika.kapoor@samplecorp.in</t>
  </si>
  <si>
    <t>EMP1323</t>
  </si>
  <si>
    <t>Dev Bansal</t>
  </si>
  <si>
    <t>dev.bansal@samplecorp.in</t>
  </si>
  <si>
    <t>EMP1324</t>
  </si>
  <si>
    <t>Divya Banerjee</t>
  </si>
  <si>
    <t>divya.banerjee@samplecorp.in</t>
  </si>
  <si>
    <t>EMP1325</t>
  </si>
  <si>
    <t>Aditya Nair</t>
  </si>
  <si>
    <t>aditya.nair@samplecorp.in</t>
  </si>
  <si>
    <t>EMP1326</t>
  </si>
  <si>
    <t>Ramya Verma</t>
  </si>
  <si>
    <t>ramya.verma@samplecorp.in</t>
  </si>
  <si>
    <t>EMP1327</t>
  </si>
  <si>
    <t>Keerthi Agarwal</t>
  </si>
  <si>
    <t>keerthi.agarwal@samplecorp.in</t>
  </si>
  <si>
    <t>EMP1328</t>
  </si>
  <si>
    <t>Vishal Subramanian</t>
  </si>
  <si>
    <t>vishal.subramanian@samplecorp.in</t>
  </si>
  <si>
    <t>EMP1329</t>
  </si>
  <si>
    <t>Akash Fernandes</t>
  </si>
  <si>
    <t>akash.fernandes@samplecorp.in</t>
  </si>
  <si>
    <t>EMP1330</t>
  </si>
  <si>
    <t>Prakash Singh</t>
  </si>
  <si>
    <t>prakash.singh@samplecorp.in</t>
  </si>
  <si>
    <t>EMP1331</t>
  </si>
  <si>
    <t>Sindhu Kapoor</t>
  </si>
  <si>
    <t>sindhu.kapoor@samplecorp.in</t>
  </si>
  <si>
    <t>EMP1332</t>
  </si>
  <si>
    <t>Swathi Khanna</t>
  </si>
  <si>
    <t>swathi.khanna@samplecorp.in</t>
  </si>
  <si>
    <t>EMP1333</t>
  </si>
  <si>
    <t>Siddharth Reddy</t>
  </si>
  <si>
    <t>siddharth.reddy@samplecorp.in</t>
  </si>
  <si>
    <t>EMP1334</t>
  </si>
  <si>
    <t>Megha Subramanian</t>
  </si>
  <si>
    <t>megha.subramanian@samplecorp.in</t>
  </si>
  <si>
    <t>EMP1335</t>
  </si>
  <si>
    <t>Farhan Kamath</t>
  </si>
  <si>
    <t>farhan.kamath@samplecorp.in</t>
  </si>
  <si>
    <t>EMP1336</t>
  </si>
  <si>
    <t>Rahul Siddiqui</t>
  </si>
  <si>
    <t>rahul.siddiqui@samplecorp.in</t>
  </si>
  <si>
    <t>EMP1337</t>
  </si>
  <si>
    <t>Ajay Naidu</t>
  </si>
  <si>
    <t>ajay.naidu@samplecorp.in</t>
  </si>
  <si>
    <t>EMP1338</t>
  </si>
  <si>
    <t>Sai Kulkarni</t>
  </si>
  <si>
    <t>sai.kulkarni@samplecorp.in</t>
  </si>
  <si>
    <t>lakshmi.subramanian@samplecorp.in</t>
  </si>
  <si>
    <t>Aditi Nair</t>
  </si>
  <si>
    <t>EMP1369</t>
  </si>
  <si>
    <t>Senior Legal Manager</t>
  </si>
  <si>
    <t>EMP1340</t>
  </si>
  <si>
    <t>Rohan Raghavan</t>
  </si>
  <si>
    <t>rohan.raghavan@samplecorp.in</t>
  </si>
  <si>
    <t>EMP1341</t>
  </si>
  <si>
    <t>Gayatri Naidu</t>
  </si>
  <si>
    <t>gayatri.naidu@samplecorp.in</t>
  </si>
  <si>
    <t>EMP1342</t>
  </si>
  <si>
    <t>Kiran Bose</t>
  </si>
  <si>
    <t>kiran.bose@samplecorp.in</t>
  </si>
  <si>
    <t>EMP1343</t>
  </si>
  <si>
    <t>Trisha Gowda</t>
  </si>
  <si>
    <t>trisha.gowda@samplecorp.in</t>
  </si>
  <si>
    <t>EMP1344</t>
  </si>
  <si>
    <t>Pooja Subramanian</t>
  </si>
  <si>
    <t>pooja.subramanian@samplecorp.in</t>
  </si>
  <si>
    <t>EMP1345</t>
  </si>
  <si>
    <t>Nikhil Nair</t>
  </si>
  <si>
    <t>nikhil.nair@samplecorp.in</t>
  </si>
  <si>
    <t>EMP1346</t>
  </si>
  <si>
    <t>Imran Mukherjee</t>
  </si>
  <si>
    <t>imran.mukherjee@samplecorp.in</t>
  </si>
  <si>
    <t>EMP1347</t>
  </si>
  <si>
    <t>Vinay Krishnan</t>
  </si>
  <si>
    <t>vinay.krishnan@samplecorp.in</t>
  </si>
  <si>
    <t>EMP1348</t>
  </si>
  <si>
    <t>Tarun Mehta</t>
  </si>
  <si>
    <t>tarun.mehta@samplecorp.in</t>
  </si>
  <si>
    <t>EMP1349</t>
  </si>
  <si>
    <t>Mohit Nair</t>
  </si>
  <si>
    <t>mohit.nair@samplecorp.in</t>
  </si>
  <si>
    <t>EMP1350</t>
  </si>
  <si>
    <t>Akash Naidu</t>
  </si>
  <si>
    <t>akash.naidu@samplecorp.in</t>
  </si>
  <si>
    <t>EMP1351</t>
  </si>
  <si>
    <t>Pallavi Desai</t>
  </si>
  <si>
    <t>pallavi.desai@samplecorp.in</t>
  </si>
  <si>
    <t>EMP1352</t>
  </si>
  <si>
    <t>Imran Das</t>
  </si>
  <si>
    <t>imran.das@samplecorp.in</t>
  </si>
  <si>
    <t>EMP1353</t>
  </si>
  <si>
    <t>Anusha Das</t>
  </si>
  <si>
    <t>anusha.das@samplecorp.in</t>
  </si>
  <si>
    <t>EMP1354</t>
  </si>
  <si>
    <t>Imran Thomas</t>
  </si>
  <si>
    <t>imran.thomas@samplecorp.in</t>
  </si>
  <si>
    <t>EMP1355</t>
  </si>
  <si>
    <t>Vinay Nair</t>
  </si>
  <si>
    <t>vinay.nair@samplecorp.in</t>
  </si>
  <si>
    <t>EMP1356</t>
  </si>
  <si>
    <t>Trisha Menon</t>
  </si>
  <si>
    <t>trisha.menon@samplecorp.in</t>
  </si>
  <si>
    <t>EMP1357</t>
  </si>
  <si>
    <t>Abhishek Kapoor</t>
  </si>
  <si>
    <t>abhishek.kapoor@samplecorp.in</t>
  </si>
  <si>
    <t>EMP1358</t>
  </si>
  <si>
    <t>Rohit Patel</t>
  </si>
  <si>
    <t>rohit.patel@samplecorp.in</t>
  </si>
  <si>
    <t>EMP1359</t>
  </si>
  <si>
    <t>Rohan Banerjee</t>
  </si>
  <si>
    <t>rohan.banerjee@samplecorp.in</t>
  </si>
  <si>
    <t>EMP1360</t>
  </si>
  <si>
    <t>Amit Nair</t>
  </si>
  <si>
    <t>amit.nair@samplecorp.in</t>
  </si>
  <si>
    <t>EMP1361</t>
  </si>
  <si>
    <t>Ritu Joshi</t>
  </si>
  <si>
    <t>ritu.joshi@samplecorp.in</t>
  </si>
  <si>
    <t>EMP1362</t>
  </si>
  <si>
    <t>Ashish Rao</t>
  </si>
  <si>
    <t>ashish.rao@samplecorp.in</t>
  </si>
  <si>
    <t>EMP1363</t>
  </si>
  <si>
    <t>Nikhil Singh</t>
  </si>
  <si>
    <t>nikhil.singh@samplecorp.in</t>
  </si>
  <si>
    <t>arun.khan@samplecorp.in</t>
  </si>
  <si>
    <t>Head of Marketing</t>
  </si>
  <si>
    <t>EMP1365</t>
  </si>
  <si>
    <t>Rashmi Mishra</t>
  </si>
  <si>
    <t>rashmi.mishra@samplecorp.in</t>
  </si>
  <si>
    <t>EMP1366</t>
  </si>
  <si>
    <t>Anjali Gupta</t>
  </si>
  <si>
    <t>anjali.gupta@samplecorp.in</t>
  </si>
  <si>
    <t>EMP1367</t>
  </si>
  <si>
    <t>Mary Dsouza</t>
  </si>
  <si>
    <t>mary.dsouza@samplecorp.in</t>
  </si>
  <si>
    <t>EMP1368</t>
  </si>
  <si>
    <t>Ravi Kamath</t>
  </si>
  <si>
    <t>ravi.kamath@samplecorp.in</t>
  </si>
  <si>
    <t>aditi.nair@samplecorp.in</t>
  </si>
  <si>
    <t>Head of Legal</t>
  </si>
  <si>
    <t>EMP1370</t>
  </si>
  <si>
    <t>Venkat Bansal</t>
  </si>
  <si>
    <t>venkat.bansal@samplecorp.in</t>
  </si>
  <si>
    <t>EMP1371</t>
  </si>
  <si>
    <t>Shreya Varghese</t>
  </si>
  <si>
    <t>shreya.varghese@samplecorp.in</t>
  </si>
  <si>
    <t>EMP1372</t>
  </si>
  <si>
    <t>Joseph Gupta</t>
  </si>
  <si>
    <t>joseph.gupta@samplecorp.in</t>
  </si>
  <si>
    <t>imran.mishra@samplecorp.in</t>
  </si>
  <si>
    <t>EMP1374</t>
  </si>
  <si>
    <t>Isha Choudhary</t>
  </si>
  <si>
    <t>isha.choudhary@samplecorp.in</t>
  </si>
  <si>
    <t>EMP1375</t>
  </si>
  <si>
    <t>Rakesh Jain</t>
  </si>
  <si>
    <t>rakesh.jain@samplecorp.in</t>
  </si>
  <si>
    <t>EMP1376</t>
  </si>
  <si>
    <t>Mary Prabhu</t>
  </si>
  <si>
    <t>mary.prabhu@samplecorp.in</t>
  </si>
  <si>
    <t>EMP1377</t>
  </si>
  <si>
    <t>Anand Siddiqui</t>
  </si>
  <si>
    <t>anand.siddiqui@samplecorp.in</t>
  </si>
  <si>
    <t>EMP1378</t>
  </si>
  <si>
    <t>Sachin Raghavan</t>
  </si>
  <si>
    <t>sachin.raghavan@samplecorp.in</t>
  </si>
  <si>
    <t>EMP1379</t>
  </si>
  <si>
    <t>Dev Saxena</t>
  </si>
  <si>
    <t>dev.saxena@samplecorp.in</t>
  </si>
  <si>
    <t>EMP1380</t>
  </si>
  <si>
    <t>Siddharth Malhotra</t>
  </si>
  <si>
    <t>siddharth.malhotra@samplecorp.in</t>
  </si>
  <si>
    <t>EMP1381</t>
  </si>
  <si>
    <t>Ravi Gupta</t>
  </si>
  <si>
    <t>ravi.gupta@samplecorp.in</t>
  </si>
  <si>
    <t>EMP1382</t>
  </si>
  <si>
    <t>Ritu Nair</t>
  </si>
  <si>
    <t>ritu.nair@samplecorp.in</t>
  </si>
  <si>
    <t>EMP1383</t>
  </si>
  <si>
    <t>Keerthi Kamath</t>
  </si>
  <si>
    <t>keerthi.kamath@samplecorp.in</t>
  </si>
  <si>
    <t>EMP1384</t>
  </si>
  <si>
    <t>Sakshi Varghese</t>
  </si>
  <si>
    <t>sakshi.varghese@samplecorp.in</t>
  </si>
  <si>
    <t>EMP1385</t>
  </si>
  <si>
    <t>Mohit Desai</t>
  </si>
  <si>
    <t>mohit.desai@samplecorp.in</t>
  </si>
  <si>
    <t>EMP1386</t>
  </si>
  <si>
    <t>Ajay Bose</t>
  </si>
  <si>
    <t>ajay.bose@samplecorp.in</t>
  </si>
  <si>
    <t>EMP1387</t>
  </si>
  <si>
    <t>Rakesh Khanna</t>
  </si>
  <si>
    <t>rakesh.khanna@samplecorp.in</t>
  </si>
  <si>
    <t>EMP1388</t>
  </si>
  <si>
    <t>Shreya Jain</t>
  </si>
  <si>
    <t>shreya.jain@samplecorp.in</t>
  </si>
  <si>
    <t>EMP1389</t>
  </si>
  <si>
    <t>Sneha Yadav</t>
  </si>
  <si>
    <t>sneha.yadav@samplecorp.in</t>
  </si>
  <si>
    <t>EMP1390</t>
  </si>
  <si>
    <t>Harsh Kapoor</t>
  </si>
  <si>
    <t>harsh.kapoor@samplecorp.in</t>
  </si>
  <si>
    <t>EMP1391</t>
  </si>
  <si>
    <t>Venkat Iyer</t>
  </si>
  <si>
    <t>venkat.iyer@samplecorp.in</t>
  </si>
  <si>
    <t>EMP1392</t>
  </si>
  <si>
    <t>Sowmya Khan</t>
  </si>
  <si>
    <t>sowmya.khan@samplecorp.in</t>
  </si>
  <si>
    <t>EMP1393</t>
  </si>
  <si>
    <t>Suresh Chatterjee</t>
  </si>
  <si>
    <t>suresh.chatterjee@samplecorp.in</t>
  </si>
  <si>
    <t>EMP1394</t>
  </si>
  <si>
    <t>Aditya Das</t>
  </si>
  <si>
    <t>aditya.das@samplecorp.in</t>
  </si>
  <si>
    <t>EMP1395</t>
  </si>
  <si>
    <t>Ankit Banerjee</t>
  </si>
  <si>
    <t>ankit.banerjee@samplecorp.in</t>
  </si>
  <si>
    <t>EMP1396</t>
  </si>
  <si>
    <t>Aniket Hegde</t>
  </si>
  <si>
    <t>aniket.hegde@samplecorp.in</t>
  </si>
  <si>
    <t>EMP1397</t>
  </si>
  <si>
    <t>Bhavana Dsouza</t>
  </si>
  <si>
    <t>bhavana.dsouza@samplecorp.in</t>
  </si>
  <si>
    <t>EMP1398</t>
  </si>
  <si>
    <t>Vidya Desai</t>
  </si>
  <si>
    <t>vidya.desai@samplecorp.in</t>
  </si>
  <si>
    <t>EMP1399</t>
  </si>
  <si>
    <t>Vishal Kumar</t>
  </si>
  <si>
    <t>vishal.kumar@samplecorp.in</t>
  </si>
  <si>
    <t>EMP1400</t>
  </si>
  <si>
    <t>Suresh Singh</t>
  </si>
  <si>
    <t>suresh.singh@samplecorp.in</t>
  </si>
  <si>
    <t>EMP1401</t>
  </si>
  <si>
    <t>Mansi Yadav</t>
  </si>
  <si>
    <t>mansi.yadav@samplecorp.in</t>
  </si>
  <si>
    <t>EMP1402</t>
  </si>
  <si>
    <t>Tarun Prabhu</t>
  </si>
  <si>
    <t>tarun.prabhu@samplecorp.in</t>
  </si>
  <si>
    <t>EMP1403</t>
  </si>
  <si>
    <t>Tarun Naidu</t>
  </si>
  <si>
    <t>tarun.naidu@samplecorp.in</t>
  </si>
  <si>
    <t>EMP1404</t>
  </si>
  <si>
    <t>Meera Khanna</t>
  </si>
  <si>
    <t>meera.khanna@samplecorp.in</t>
  </si>
  <si>
    <t>EMP1405</t>
  </si>
  <si>
    <t>Rashmi Banerjee</t>
  </si>
  <si>
    <t>rashmi.banerjee@samplecorp.in</t>
  </si>
  <si>
    <t>EMP1406</t>
  </si>
  <si>
    <t>Anand Bose</t>
  </si>
  <si>
    <t>anand.bose@samplecorp.in</t>
  </si>
  <si>
    <t>anand.naidu@samplecorp.in</t>
  </si>
  <si>
    <t>EMP1408</t>
  </si>
  <si>
    <t>Rashmi Kamath</t>
  </si>
  <si>
    <t>rashmi.kamath@samplecorp.in</t>
  </si>
  <si>
    <t>EMP1409</t>
  </si>
  <si>
    <t>Radhika Menon</t>
  </si>
  <si>
    <t>radhika.menon@samplecorp.in</t>
  </si>
  <si>
    <t>ravi.prabhu@samplecorp.in</t>
  </si>
  <si>
    <t>EMP1411</t>
  </si>
  <si>
    <t>Kunal Joshi</t>
  </si>
  <si>
    <t>kunal.joshi@samplecorp.in</t>
  </si>
  <si>
    <t>EMP1412</t>
  </si>
  <si>
    <t>Ritu Varghese</t>
  </si>
  <si>
    <t>ritu.varghese@samplecorp.in</t>
  </si>
  <si>
    <t>EMP1413</t>
  </si>
  <si>
    <t>Joseph Ansari</t>
  </si>
  <si>
    <t>joseph.ansari@samplecorp.in</t>
  </si>
  <si>
    <t>EMP1414</t>
  </si>
  <si>
    <t>Nisha Saxena</t>
  </si>
  <si>
    <t>nisha.saxena@samplecorp.in</t>
  </si>
  <si>
    <t>EMP1415</t>
  </si>
  <si>
    <t>Arun Dsouza</t>
  </si>
  <si>
    <t>arun.dsouza@samplecorp.in</t>
  </si>
  <si>
    <t>EMP1416</t>
  </si>
  <si>
    <t>Yash Varghese</t>
  </si>
  <si>
    <t>yash.varghese@samplecorp.in</t>
  </si>
  <si>
    <t>EMP1417</t>
  </si>
  <si>
    <t>Prakash Pillai</t>
  </si>
  <si>
    <t>prakash.pillai@samplecorp.in</t>
  </si>
  <si>
    <t>EMP1418</t>
  </si>
  <si>
    <t>Imran Iyer</t>
  </si>
  <si>
    <t>imran.iyer@samplecorp.in</t>
  </si>
  <si>
    <t>EMP1419</t>
  </si>
  <si>
    <t>Kiran Raghavan</t>
  </si>
  <si>
    <t>kiran.raghavan@samplecorp.in</t>
  </si>
  <si>
    <t>EMP1420</t>
  </si>
  <si>
    <t>Abhishek Krishnan</t>
  </si>
  <si>
    <t>abhishek.krishnan@samplecorp.in</t>
  </si>
  <si>
    <t>EMP1421</t>
  </si>
  <si>
    <t>Aditya Rao</t>
  </si>
  <si>
    <t>aditya.rao@samplecorp.in</t>
  </si>
  <si>
    <t>EMP1422</t>
  </si>
  <si>
    <t>Anand Mukherjee</t>
  </si>
  <si>
    <t>anand.mukherjee@samplecorp.in</t>
  </si>
  <si>
    <t>EMP1423</t>
  </si>
  <si>
    <t>Lakshmi Rao</t>
  </si>
  <si>
    <t>lakshmi.rao@samplecorp.in</t>
  </si>
  <si>
    <t>EMP1424</t>
  </si>
  <si>
    <t>Naveen Kapoor</t>
  </si>
  <si>
    <t>naveen.kapoor@samplecorp.in</t>
  </si>
  <si>
    <t>EMP1425</t>
  </si>
  <si>
    <t>Pallavi Prabhu</t>
  </si>
  <si>
    <t>pallavi.prabhu@samplecorp.in</t>
  </si>
  <si>
    <t>EMP1426</t>
  </si>
  <si>
    <t>Deepak Bansal</t>
  </si>
  <si>
    <t>deepak.bansal@samplecorp.in</t>
  </si>
  <si>
    <t>EMP1427</t>
  </si>
  <si>
    <t>Shreya Tiwari</t>
  </si>
  <si>
    <t>shreya.tiwari@samplecorp.in</t>
  </si>
  <si>
    <t>EMP1428</t>
  </si>
  <si>
    <t>Anusha Kamath</t>
  </si>
  <si>
    <t>anusha.kamath@samplecorp.in</t>
  </si>
  <si>
    <t>dev.bose@samplecorp.in</t>
  </si>
  <si>
    <t>Head of Product</t>
  </si>
  <si>
    <t>EMP1430</t>
  </si>
  <si>
    <t>Divya Patel</t>
  </si>
  <si>
    <t>divya.patel@samplecorp.in</t>
  </si>
  <si>
    <t>EMP1431</t>
  </si>
  <si>
    <t>Nisha Kapoor</t>
  </si>
  <si>
    <t>nisha.kapoor@samplecorp.in</t>
  </si>
  <si>
    <t>EMP1432</t>
  </si>
  <si>
    <t>Gayatri Raghavan</t>
  </si>
  <si>
    <t>gayatri.raghavan@samplecorp.in</t>
  </si>
  <si>
    <t>EMP1433</t>
  </si>
  <si>
    <t>Mary Mishra</t>
  </si>
  <si>
    <t>mary.mishra@samplecorp.in</t>
  </si>
  <si>
    <t>EMP1434</t>
  </si>
  <si>
    <t>Ritu Saxena</t>
  </si>
  <si>
    <t>ritu.saxena@samplecorp.in</t>
  </si>
  <si>
    <t>EMP1435</t>
  </si>
  <si>
    <t>Rohan Hegde</t>
  </si>
  <si>
    <t>rohan.hegde@samplecorp.in</t>
  </si>
  <si>
    <t>EMP1436</t>
  </si>
  <si>
    <t>Gayatri Prabhu</t>
  </si>
  <si>
    <t>gayatri.prabhu@samplecorp.in</t>
  </si>
  <si>
    <t>EMP1437</t>
  </si>
  <si>
    <t>Ajay Bansal</t>
  </si>
  <si>
    <t>ajay.bansal@samplecorp.in</t>
  </si>
  <si>
    <t>EMP1438</t>
  </si>
  <si>
    <t>Sai Subramanian</t>
  </si>
  <si>
    <t>sai.subramanian@samplecorp.in</t>
  </si>
  <si>
    <t>EMP1439</t>
  </si>
  <si>
    <t>Priyanka Dsouza</t>
  </si>
  <si>
    <t>priyanka.dsouza@samplecorp.in</t>
  </si>
  <si>
    <t>EMP1440</t>
  </si>
  <si>
    <t>Ravi Mukherjee</t>
  </si>
  <si>
    <t>ravi.mukherjee@samplecorp.in</t>
  </si>
  <si>
    <t>EMP1441</t>
  </si>
  <si>
    <t>Ananya Menon</t>
  </si>
  <si>
    <t>ananya.menon@samplecorp.in</t>
  </si>
  <si>
    <t>EMP1442</t>
  </si>
  <si>
    <t>Vidya Pandey</t>
  </si>
  <si>
    <t>vidya.pandey@samplecorp.in</t>
  </si>
  <si>
    <t>EMP1443</t>
  </si>
  <si>
    <t>Vikram Khan</t>
  </si>
  <si>
    <t>vikram.khan@samplecorp.in</t>
  </si>
  <si>
    <t>prakash.desai@samplecorp.in</t>
  </si>
  <si>
    <t>EMP1445</t>
  </si>
  <si>
    <t>Sindhu Thomas</t>
  </si>
  <si>
    <t>sindhu.thomas@samplecorp.in</t>
  </si>
  <si>
    <t>anjali.iyer@samplecorp.in</t>
  </si>
  <si>
    <t>EMP1447</t>
  </si>
  <si>
    <t>Meera Pandey</t>
  </si>
  <si>
    <t>meera.pandey@samplecorp.in</t>
  </si>
  <si>
    <t>EMP1448</t>
  </si>
  <si>
    <t>Priya Verma</t>
  </si>
  <si>
    <t>priya.verma@samplecorp.in</t>
  </si>
  <si>
    <t>EMP1449</t>
  </si>
  <si>
    <t>Shruti Joshi</t>
  </si>
  <si>
    <t>shruti.joshi@samplecorp.in</t>
  </si>
  <si>
    <t>EMP1450</t>
  </si>
  <si>
    <t>Dev Sharma</t>
  </si>
  <si>
    <t>dev.sharma@samplecorp.in</t>
  </si>
  <si>
    <t>EMP1451</t>
  </si>
  <si>
    <t>Madhuri Jain</t>
  </si>
  <si>
    <t>madhuri.jain@samplecorp.in</t>
  </si>
  <si>
    <t>EMP1452</t>
  </si>
  <si>
    <t>Vikas Jain</t>
  </si>
  <si>
    <t>vikas.jain@samplecorp.in</t>
  </si>
  <si>
    <t>EMP1453</t>
  </si>
  <si>
    <t>Revathi Bansal</t>
  </si>
  <si>
    <t>revathi.bansal@samplecorp.in</t>
  </si>
  <si>
    <t>EMP1454</t>
  </si>
  <si>
    <t>Prakash Kapoor</t>
  </si>
  <si>
    <t>prakash.kapoor@samplecorp.in</t>
  </si>
  <si>
    <t>EMP1455</t>
  </si>
  <si>
    <t>Joseph Hegde</t>
  </si>
  <si>
    <t>joseph.hegde@samplecorp.in</t>
  </si>
  <si>
    <t>EMP1456</t>
  </si>
  <si>
    <t>Ananya Krishnan</t>
  </si>
  <si>
    <t>ananya.krishnan@samplecorp.in</t>
  </si>
  <si>
    <t>EMP1457</t>
  </si>
  <si>
    <t>Kiran Khanna</t>
  </si>
  <si>
    <t>kiran.khanna@samplecorp.in</t>
  </si>
  <si>
    <t>kavya.krishnan@samplecorp.in</t>
  </si>
  <si>
    <t>EMP1459</t>
  </si>
  <si>
    <t>Yamini Malhotra</t>
  </si>
  <si>
    <t>yamini.malhotra@samplecorp.in</t>
  </si>
  <si>
    <t>EMP1460</t>
  </si>
  <si>
    <t>Sowmya Yadav</t>
  </si>
  <si>
    <t>sowmya.yadav@samplecorp.in</t>
  </si>
  <si>
    <t>EMP1461</t>
  </si>
  <si>
    <t>Deepika Tiwari</t>
  </si>
  <si>
    <t>deepika.tiwari@samplecorp.in</t>
  </si>
  <si>
    <t>EMP1462</t>
  </si>
  <si>
    <t>Ashish Siddiqui</t>
  </si>
  <si>
    <t>ashish.siddiqui@samplecorp.in</t>
  </si>
  <si>
    <t>EMP1463</t>
  </si>
  <si>
    <t>Rajesh Agarwal</t>
  </si>
  <si>
    <t>rajesh.agarwal@samplecorp.in</t>
  </si>
  <si>
    <t>EMP1464</t>
  </si>
  <si>
    <t>Kritika Mehta</t>
  </si>
  <si>
    <t>kritika.mehta@samplecorp.in</t>
  </si>
  <si>
    <t>EMP1465</t>
  </si>
  <si>
    <t>Yash Rao</t>
  </si>
  <si>
    <t>yash.rao@samplecorp.in</t>
  </si>
  <si>
    <t>EMP1466</t>
  </si>
  <si>
    <t>Yamini Choudhary</t>
  </si>
  <si>
    <t>yamini.choudhary@samplecorp.in</t>
  </si>
  <si>
    <t>EMP1467</t>
  </si>
  <si>
    <t>Vikram Bansal</t>
  </si>
  <si>
    <t>vikram.bansal@samplecorp.in</t>
  </si>
  <si>
    <t>EMP1468</t>
  </si>
  <si>
    <t>Ramya Kapoor</t>
  </si>
  <si>
    <t>ramya.kapoor@samplecorp.in</t>
  </si>
  <si>
    <t>EMP1469</t>
  </si>
  <si>
    <t>Aniket Chatterjee</t>
  </si>
  <si>
    <t>aniket.chatterjee@samplecorp.in</t>
  </si>
  <si>
    <t>EMP1470</t>
  </si>
  <si>
    <t>Krishna Khan</t>
  </si>
  <si>
    <t>krishna.khan@samplecorp.in</t>
  </si>
  <si>
    <t>EMP1471</t>
  </si>
  <si>
    <t>Sowmya Prabhu</t>
  </si>
  <si>
    <t>sowmya.prabhu@samplecorp.in</t>
  </si>
  <si>
    <t>EMP1472</t>
  </si>
  <si>
    <t>Kritika Khan</t>
  </si>
  <si>
    <t>kritika.khan@samplecorp.in</t>
  </si>
  <si>
    <t>EMP1473</t>
  </si>
  <si>
    <t>Rashmi Gowda</t>
  </si>
  <si>
    <t>rashmi.gowda@samplecorp.in</t>
  </si>
  <si>
    <t>EMP1474</t>
  </si>
  <si>
    <t>Ananya Khanna</t>
  </si>
  <si>
    <t>ananya.khanna@samplecorp.in</t>
  </si>
  <si>
    <t>EMP1475</t>
  </si>
  <si>
    <t>Ritu Thomas</t>
  </si>
  <si>
    <t>ritu.thomas@samplecorp.in</t>
  </si>
  <si>
    <t>EMP1476</t>
  </si>
  <si>
    <t>Gayatri Subramanian</t>
  </si>
  <si>
    <t>gayatri.subramanian@samplecorp.in</t>
  </si>
  <si>
    <t>EMP1477</t>
  </si>
  <si>
    <t>Sanjay Rao</t>
  </si>
  <si>
    <t>sanjay.rao@samplecorp.in</t>
  </si>
  <si>
    <t>EMP1478</t>
  </si>
  <si>
    <t>Mohit Chatterjee</t>
  </si>
  <si>
    <t>mohit.chatterjee@samplecorp.in</t>
  </si>
  <si>
    <t>EMP1479</t>
  </si>
  <si>
    <t>Abhishek Agarwal</t>
  </si>
  <si>
    <t>abhishek.agarwal@samplecorp.in</t>
  </si>
  <si>
    <t>EMP1480</t>
  </si>
  <si>
    <t>Sanjay Bansal</t>
  </si>
  <si>
    <t>sanjay.bansal@samplecorp.in</t>
  </si>
  <si>
    <t>EMP1481</t>
  </si>
  <si>
    <t>Madhuri Banerjee</t>
  </si>
  <si>
    <t>madhuri.banerjee@samplecorp.in</t>
  </si>
  <si>
    <t>EMP1482</t>
  </si>
  <si>
    <t>Rashmi Khanna</t>
  </si>
  <si>
    <t>rashmi.khanna@samplecorp.in</t>
  </si>
  <si>
    <t>EMP1483</t>
  </si>
  <si>
    <t>Amit Chatterjee</t>
  </si>
  <si>
    <t>amit.chatterjee@samplecorp.in</t>
  </si>
  <si>
    <t>EMP1484</t>
  </si>
  <si>
    <t>Ankit Raghavan</t>
  </si>
  <si>
    <t>ankit.raghavan@samplecorp.in</t>
  </si>
  <si>
    <t>EMP1485</t>
  </si>
  <si>
    <t>Dev Reddy</t>
  </si>
  <si>
    <t>dev.reddy@samplecorp.in</t>
  </si>
  <si>
    <t>EMP1486</t>
  </si>
  <si>
    <t>Radhika Fernandes</t>
  </si>
  <si>
    <t>radhika.fernandes@samplecorp.in</t>
  </si>
  <si>
    <t>EMP1487</t>
  </si>
  <si>
    <t>Kiran Kulkarni</t>
  </si>
  <si>
    <t>kiran.kulkarni@samplecorp.in</t>
  </si>
  <si>
    <t>EMP1488</t>
  </si>
  <si>
    <t>Tarun Patel</t>
  </si>
  <si>
    <t>tarun.patel@samplecorp.in</t>
  </si>
  <si>
    <t>EMP1489</t>
  </si>
  <si>
    <t>Sanjay Das</t>
  </si>
  <si>
    <t>sanjay.das@samplecorp.in</t>
  </si>
  <si>
    <t>EMP1490</t>
  </si>
  <si>
    <t>Deepika Menon</t>
  </si>
  <si>
    <t>deepika.menon@samplecorp.in</t>
  </si>
  <si>
    <t>EMP1491</t>
  </si>
  <si>
    <t>Sowmya Subramanian</t>
  </si>
  <si>
    <t>sowmya.subramanian@samplecorp.in</t>
  </si>
  <si>
    <t>EMP1492</t>
  </si>
  <si>
    <t>Kunal Dsouza</t>
  </si>
  <si>
    <t>kunal.dsouza@samplecorp.in</t>
  </si>
  <si>
    <t>EMP1493</t>
  </si>
  <si>
    <t>Divya Kapoor</t>
  </si>
  <si>
    <t>divya.kapoor@samplecorp.in</t>
  </si>
  <si>
    <t>EMP1494</t>
  </si>
  <si>
    <t>Ayesha Kulkarni</t>
  </si>
  <si>
    <t>ayesha.kulkarni@samplecorp.in</t>
  </si>
  <si>
    <t>EMP1495</t>
  </si>
  <si>
    <t>Ayesha Menon</t>
  </si>
  <si>
    <t>ayesha.menon@samplecorp.in</t>
  </si>
  <si>
    <t>EMP1496</t>
  </si>
  <si>
    <t>Trisha Sharma</t>
  </si>
  <si>
    <t>trisha.sharma@samplecorp.in</t>
  </si>
  <si>
    <t>EMP1497</t>
  </si>
  <si>
    <t>Vishal Kulkarni</t>
  </si>
  <si>
    <t>vishal.kulkarni@samplecorp.in</t>
  </si>
  <si>
    <t>trisha.malhotra@samplecorp.in</t>
  </si>
  <si>
    <t>EMP1499</t>
  </si>
  <si>
    <t>Bhavana Singh</t>
  </si>
  <si>
    <t>bhavana.singh@samplecorp.in</t>
  </si>
  <si>
    <t>EMP1500</t>
  </si>
  <si>
    <t>Sowmya Patel</t>
  </si>
  <si>
    <t>sowmya.patel@samplecorp.in</t>
  </si>
  <si>
    <t>Rating (1-5)</t>
  </si>
  <si>
    <t>Rating Label</t>
  </si>
  <si>
    <t>Previous Rating</t>
  </si>
  <si>
    <t>Rating Trend</t>
  </si>
  <si>
    <t>Goals Achieved %</t>
  </si>
  <si>
    <t>Competency Score</t>
  </si>
  <si>
    <t>Potential</t>
  </si>
  <si>
    <t>Performance Band</t>
  </si>
  <si>
    <t>9-Box Category</t>
  </si>
  <si>
    <t>Last Promotion / Joining Date</t>
  </si>
  <si>
    <t>Yrs in Current Level</t>
  </si>
  <si>
    <t>Promotion Eligibility</t>
  </si>
  <si>
    <t>Eligibility Reason</t>
  </si>
  <si>
    <t>Review Status</t>
  </si>
  <si>
    <t>Completed</t>
  </si>
  <si>
    <t>Pending</t>
  </si>
  <si>
    <t>Annual CTC (₹)</t>
  </si>
  <si>
    <t>Band Min (₹)</t>
  </si>
  <si>
    <t>Band Mid (₹)</t>
  </si>
  <si>
    <t>Band Max (₹)</t>
  </si>
  <si>
    <t>Compa-Ratio</t>
  </si>
  <si>
    <t>Band Position</t>
  </si>
  <si>
    <t>Increment %</t>
  </si>
  <si>
    <t>Revised CTC (₹)</t>
  </si>
  <si>
    <t>Variable Bonus %</t>
  </si>
  <si>
    <t>Bonus Amount (₹)</t>
  </si>
  <si>
    <t>ESOP Eligible</t>
  </si>
  <si>
    <t>Yes</t>
  </si>
  <si>
    <t>No</t>
  </si>
  <si>
    <t>Working Days (12M)</t>
  </si>
  <si>
    <t>Planned Leave</t>
  </si>
  <si>
    <t>Sick Leave</t>
  </si>
  <si>
    <t>Unplanned Leave</t>
  </si>
  <si>
    <t>Total Leave</t>
  </si>
  <si>
    <t>Days Present</t>
  </si>
  <si>
    <t>Attendance %</t>
  </si>
  <si>
    <t>WFH Days</t>
  </si>
  <si>
    <t>Late Marks</t>
  </si>
  <si>
    <t>Overtime Hrs</t>
  </si>
  <si>
    <t>Absence Flag</t>
  </si>
  <si>
    <t>Key Program Attended</t>
  </si>
  <si>
    <t>Courses Completed</t>
  </si>
  <si>
    <t>Training Hours</t>
  </si>
  <si>
    <t>Training Cost (₹)</t>
  </si>
  <si>
    <t>Assessment Score</t>
  </si>
  <si>
    <t>POSH Training Done</t>
  </si>
  <si>
    <t>InfoSec Training Done</t>
  </si>
  <si>
    <t>Compliance Status</t>
  </si>
  <si>
    <t>Certification Earned</t>
  </si>
  <si>
    <t>Customer Centricity</t>
  </si>
  <si>
    <t>Agile Ways of Working</t>
  </si>
  <si>
    <t>Negotiation Skills</t>
  </si>
  <si>
    <t>Leadership Essentials</t>
  </si>
  <si>
    <t>Data Literacy</t>
  </si>
  <si>
    <t>Managerial Excellence</t>
  </si>
  <si>
    <t>Advanced Excel</t>
  </si>
  <si>
    <t>Cloud Fundamentals</t>
  </si>
  <si>
    <t>Effective Communication</t>
  </si>
  <si>
    <t>Financial Acumen</t>
  </si>
  <si>
    <t>Survey Participated</t>
  </si>
  <si>
    <t>Manager Support</t>
  </si>
  <si>
    <t>Career Growth</t>
  </si>
  <si>
    <t>Work-Life Balance</t>
  </si>
  <si>
    <t>Recognition</t>
  </si>
  <si>
    <t>Culture &amp; Belonging</t>
  </si>
  <si>
    <t>Pay Fairness</t>
  </si>
  <si>
    <t>Overall Engagement (1-5)</t>
  </si>
  <si>
    <t>eNPS Score (0-10)</t>
  </si>
  <si>
    <t>eNPS Category</t>
  </si>
  <si>
    <t>Risk Points</t>
  </si>
  <si>
    <t>Flight Risk</t>
  </si>
  <si>
    <t>Tenure at Exit (Yrs)</t>
  </si>
  <si>
    <t>Exit Type</t>
  </si>
  <si>
    <t>Primary Reason</t>
  </si>
  <si>
    <t>Regrettable Loss</t>
  </si>
  <si>
    <t>Notice Served (Days)</t>
  </si>
  <si>
    <t>Eligible for Rehire</t>
  </si>
  <si>
    <t>Exit Interview</t>
  </si>
  <si>
    <t>Exit Month</t>
  </si>
  <si>
    <t>Last Rating</t>
  </si>
  <si>
    <t>Voluntary</t>
  </si>
  <si>
    <t>Relocation</t>
  </si>
  <si>
    <t>Better Compensation</t>
  </si>
  <si>
    <t>Involuntary</t>
  </si>
  <si>
    <t>Role Redundancy</t>
  </si>
  <si>
    <t>Manager Relationship</t>
  </si>
  <si>
    <t>Higher Studies</t>
  </si>
  <si>
    <t>Declined</t>
  </si>
  <si>
    <t>Performance</t>
  </si>
  <si>
    <t>Health / Personal</t>
  </si>
  <si>
    <t>Req ID</t>
  </si>
  <si>
    <t>Position</t>
  </si>
  <si>
    <t>Priority</t>
  </si>
  <si>
    <t>Recruiter</t>
  </si>
  <si>
    <t>Open Date</t>
  </si>
  <si>
    <t>Close Date</t>
  </si>
  <si>
    <t>Hire Source</t>
  </si>
  <si>
    <t>Applicants</t>
  </si>
  <si>
    <t>Shortlisted</t>
  </si>
  <si>
    <t>Interviews</t>
  </si>
  <si>
    <t>Offers Made</t>
  </si>
  <si>
    <t>Offers Accepted</t>
  </si>
  <si>
    <t>Offer Acceptance %</t>
  </si>
  <si>
    <t>Time to Fill / Days Open</t>
  </si>
  <si>
    <t>Cost per Hire (₹)</t>
  </si>
  <si>
    <t>REQ2054</t>
  </si>
  <si>
    <t>Sonali K</t>
  </si>
  <si>
    <t>Filled</t>
  </si>
  <si>
    <t>LinkedIn</t>
  </si>
  <si>
    <t>REQ2091</t>
  </si>
  <si>
    <t>Rakesh Nair</t>
  </si>
  <si>
    <t>REQ2120</t>
  </si>
  <si>
    <t>Campus</t>
  </si>
  <si>
    <t>REQ2045</t>
  </si>
  <si>
    <t>Employee Referral</t>
  </si>
  <si>
    <t>REQ2088</t>
  </si>
  <si>
    <t>Farhan Siddiqui</t>
  </si>
  <si>
    <t>Careers Page</t>
  </si>
  <si>
    <t>REQ2035</t>
  </si>
  <si>
    <t>Divya Menon</t>
  </si>
  <si>
    <t>Open</t>
  </si>
  <si>
    <t>REQ2049</t>
  </si>
  <si>
    <t>REQ2082</t>
  </si>
  <si>
    <t>Cancelled</t>
  </si>
  <si>
    <t>REQ2103</t>
  </si>
  <si>
    <t>REQ2085</t>
  </si>
  <si>
    <t>REQ2036</t>
  </si>
  <si>
    <t>REQ2060</t>
  </si>
  <si>
    <t>REQ2128</t>
  </si>
  <si>
    <t>REQ2129</t>
  </si>
  <si>
    <t>REQ2139</t>
  </si>
  <si>
    <t>On Hold</t>
  </si>
  <si>
    <t>REQ2008</t>
  </si>
  <si>
    <t>REQ2093</t>
  </si>
  <si>
    <t>Job Portals</t>
  </si>
  <si>
    <t>REQ2072</t>
  </si>
  <si>
    <t>REQ2086</t>
  </si>
  <si>
    <t>REQ2113</t>
  </si>
  <si>
    <t>REQ2027</t>
  </si>
  <si>
    <t>REQ2025</t>
  </si>
  <si>
    <t>REQ2046</t>
  </si>
  <si>
    <t>REQ2090</t>
  </si>
  <si>
    <t>REQ2066</t>
  </si>
  <si>
    <t>REQ2135</t>
  </si>
  <si>
    <t>REQ2109</t>
  </si>
  <si>
    <t>REQ2039</t>
  </si>
  <si>
    <t>REQ2101</t>
  </si>
  <si>
    <t>REQ2136</t>
  </si>
  <si>
    <t>REQ2078</t>
  </si>
  <si>
    <t>REQ2015</t>
  </si>
  <si>
    <t>REQ2063</t>
  </si>
  <si>
    <t>REQ2014</t>
  </si>
  <si>
    <t>REQ2042</t>
  </si>
  <si>
    <t>REQ2033</t>
  </si>
  <si>
    <t>REQ2052</t>
  </si>
  <si>
    <t>REQ2126</t>
  </si>
  <si>
    <t>REQ2028</t>
  </si>
  <si>
    <t>Consultancy</t>
  </si>
  <si>
    <t>REQ2138</t>
  </si>
  <si>
    <t>REQ2098</t>
  </si>
  <si>
    <t>REQ2107</t>
  </si>
  <si>
    <t>REQ2041</t>
  </si>
  <si>
    <t>REQ2058</t>
  </si>
  <si>
    <t>REQ2040</t>
  </si>
  <si>
    <t>REQ2043</t>
  </si>
  <si>
    <t>REQ2119</t>
  </si>
  <si>
    <t>REQ2140</t>
  </si>
  <si>
    <t>REQ2117</t>
  </si>
  <si>
    <t>REQ2096</t>
  </si>
  <si>
    <t>REQ2131</t>
  </si>
  <si>
    <t>REQ2122</t>
  </si>
  <si>
    <t>REQ2004</t>
  </si>
  <si>
    <t>REQ2056</t>
  </si>
  <si>
    <t>REQ2094</t>
  </si>
  <si>
    <t>REQ2099</t>
  </si>
  <si>
    <t>REQ2067</t>
  </si>
  <si>
    <t>Internal Mobility</t>
  </si>
  <si>
    <t>REQ2100</t>
  </si>
  <si>
    <t>REQ2057</t>
  </si>
  <si>
    <t>REQ2132</t>
  </si>
  <si>
    <t>REQ2106</t>
  </si>
  <si>
    <t>REQ2108</t>
  </si>
  <si>
    <t>REQ2037</t>
  </si>
  <si>
    <t>REQ2105</t>
  </si>
  <si>
    <t>REQ2019</t>
  </si>
  <si>
    <t>REQ2020</t>
  </si>
  <si>
    <t>REQ2048</t>
  </si>
  <si>
    <t>REQ2123</t>
  </si>
  <si>
    <t>REQ2073</t>
  </si>
  <si>
    <t>REQ2006</t>
  </si>
  <si>
    <t>REQ2031</t>
  </si>
  <si>
    <t>REQ2065</t>
  </si>
  <si>
    <t>REQ2047</t>
  </si>
  <si>
    <t>REQ2053</t>
  </si>
  <si>
    <t>REQ2084</t>
  </si>
  <si>
    <t>REQ2102</t>
  </si>
  <si>
    <t>REQ2055</t>
  </si>
  <si>
    <t>REQ2079</t>
  </si>
  <si>
    <t>REQ2001</t>
  </si>
  <si>
    <t>REQ2130</t>
  </si>
  <si>
    <t>REQ2080</t>
  </si>
  <si>
    <t>REQ2074</t>
  </si>
  <si>
    <t>REQ2007</t>
  </si>
  <si>
    <t>REQ2068</t>
  </si>
  <si>
    <t>REQ2021</t>
  </si>
  <si>
    <t>REQ2115</t>
  </si>
  <si>
    <t>REQ2002</t>
  </si>
  <si>
    <t>REQ2075</t>
  </si>
  <si>
    <t>REQ2026</t>
  </si>
  <si>
    <t>REQ2069</t>
  </si>
  <si>
    <t>REQ2114</t>
  </si>
  <si>
    <t>REQ2011</t>
  </si>
  <si>
    <t>REQ2017</t>
  </si>
  <si>
    <t>REQ2024</t>
  </si>
  <si>
    <t>REQ2059</t>
  </si>
  <si>
    <t>REQ2081</t>
  </si>
  <si>
    <t>REQ2071</t>
  </si>
  <si>
    <t>REQ2051</t>
  </si>
  <si>
    <t>REQ2112</t>
  </si>
  <si>
    <t>REQ2012</t>
  </si>
  <si>
    <t>REQ2022</t>
  </si>
  <si>
    <t>REQ2111</t>
  </si>
  <si>
    <t>REQ2077</t>
  </si>
  <si>
    <t>REQ2127</t>
  </si>
  <si>
    <t>REQ2032</t>
  </si>
  <si>
    <t>REQ2018</t>
  </si>
  <si>
    <t>REQ2116</t>
  </si>
  <si>
    <t>REQ2118</t>
  </si>
  <si>
    <t>REQ2050</t>
  </si>
  <si>
    <t>REQ2076</t>
  </si>
  <si>
    <t>REQ2083</t>
  </si>
  <si>
    <t>REQ2087</t>
  </si>
  <si>
    <t>REQ2034</t>
  </si>
  <si>
    <t>REQ2029</t>
  </si>
  <si>
    <t>REQ2010</t>
  </si>
  <si>
    <t>REQ2092</t>
  </si>
  <si>
    <t>REQ2110</t>
  </si>
  <si>
    <t>REQ2016</t>
  </si>
  <si>
    <t>REQ2134</t>
  </si>
  <si>
    <t>REQ2124</t>
  </si>
  <si>
    <t>REQ2044</t>
  </si>
  <si>
    <t>REQ2062</t>
  </si>
  <si>
    <t>REQ2095</t>
  </si>
  <si>
    <t>REQ2125</t>
  </si>
  <si>
    <t>REQ2104</t>
  </si>
  <si>
    <t>REQ2133</t>
  </si>
  <si>
    <t>REQ2137</t>
  </si>
  <si>
    <t>REQ2064</t>
  </si>
  <si>
    <t>REQ2030</t>
  </si>
  <si>
    <t>REQ2061</t>
  </si>
  <si>
    <t>REQ2023</t>
  </si>
  <si>
    <t>REQ2013</t>
  </si>
  <si>
    <t>REQ2003</t>
  </si>
  <si>
    <t>REQ2089</t>
  </si>
  <si>
    <t>REQ2005</t>
  </si>
  <si>
    <t>REQ2097</t>
  </si>
  <si>
    <t>REQ2121</t>
  </si>
  <si>
    <t>REQ2009</t>
  </si>
  <si>
    <t>REQ2070</t>
  </si>
  <si>
    <t>REQ2038</t>
  </si>
  <si>
    <t>Selected department (from Dashboard)</t>
  </si>
  <si>
    <t>Criteria used in COUNTIFS/AVERAGEIFS</t>
  </si>
  <si>
    <t>Selected employee (from Dashboard)</t>
  </si>
  <si>
    <t>Employee ID shown on profile card</t>
  </si>
  <si>
    <t>Row of that employee in data sheets</t>
  </si>
  <si>
    <t>Label for titles</t>
  </si>
  <si>
    <t>Profile note</t>
  </si>
  <si>
    <t>How this sheet works</t>
  </si>
  <si>
    <t>Column H numbers each employee who matches the selected department. Column I lists their IDs in order, column J builds the dropdown text. The named range EmpList (an OFFSET over column J) feeds the Employee dropdown on the Dashboard, so it only shows people in the chosen department.</t>
  </si>
  <si>
    <t>Match #</t>
  </si>
  <si>
    <t>Dropdown text</t>
  </si>
  <si>
    <t>Category</t>
  </si>
  <si>
    <t>Selected</t>
  </si>
  <si>
    <t>Other</t>
  </si>
  <si>
    <t>Employees</t>
  </si>
  <si>
    <t>1 - Unsatisfactory</t>
  </si>
  <si>
    <t>2 - Needs Improvement</t>
  </si>
  <si>
    <t>3 - Meets Expectations</t>
  </si>
  <si>
    <t>4 - Exceeds Expectations</t>
  </si>
  <si>
    <t>5 - Outstanding</t>
  </si>
  <si>
    <t>Eligible</t>
  </si>
  <si>
    <t>Not Eligible</t>
  </si>
  <si>
    <t>Avg CTC (₹ L)</t>
  </si>
  <si>
    <t>Exits</t>
  </si>
  <si>
    <t>Hires</t>
  </si>
  <si>
    <t>Avg Score</t>
  </si>
  <si>
    <t>Under 1 Yr</t>
  </si>
  <si>
    <t>1-3 Yrs</t>
  </si>
  <si>
    <t>3-5 Yrs</t>
  </si>
  <si>
    <t>5+ Yrs</t>
  </si>
  <si>
    <t xml:space="preserve">  HR ANALYTICS DASHBOARD</t>
  </si>
  <si>
    <t>Department ▸</t>
  </si>
  <si>
    <t>Employee ▸</t>
  </si>
  <si>
    <t>EMP1001 | Vidya Kulkarni</t>
  </si>
  <si>
    <t>Pick a department, then an employee. Every tile, chart and the profile card update instantly (no macro needed).</t>
  </si>
  <si>
    <t>Macro buttons appear on this strip after you import HR_Dashboard_Macros.bas and run BuildDashboardButtons once (see Read_Me).</t>
  </si>
  <si>
    <t>Total Employees (12M)</t>
  </si>
  <si>
    <t>Active Headcount</t>
  </si>
  <si>
    <t>Exits (Last 12M)</t>
  </si>
  <si>
    <t>Attrition Rate (12M)</t>
  </si>
  <si>
    <t>New Hires (12M)</t>
  </si>
  <si>
    <t>Avg Tenure (Yrs)</t>
  </si>
  <si>
    <t>Female Representation</t>
  </si>
  <si>
    <t>Avg Performance Rating</t>
  </si>
  <si>
    <t>Promotion Eligible</t>
  </si>
  <si>
    <t>High Performers (4-5)</t>
  </si>
  <si>
    <t>Avg Annual CTC (₹ L)</t>
  </si>
  <si>
    <t>Avg Compa-Ratio</t>
  </si>
  <si>
    <t>Attendance Rate</t>
  </si>
  <si>
    <t>Employee NPS (eNPS)</t>
  </si>
  <si>
    <t>Avg Training Hours</t>
  </si>
  <si>
    <t>Compliance Training</t>
  </si>
  <si>
    <t>Engagement Score (/5)</t>
  </si>
  <si>
    <t>High Flight Risk</t>
  </si>
  <si>
    <t>Open Requisitions</t>
  </si>
  <si>
    <t>Avg Time to Fill (Days)</t>
  </si>
  <si>
    <t>Offer Acceptance</t>
  </si>
  <si>
    <t xml:space="preserve">  EMPLOYEE PROFILE</t>
  </si>
  <si>
    <t xml:space="preserve">  9-BOX TALENT GRID (active employees in view)</t>
  </si>
  <si>
    <t>Employee ID</t>
  </si>
  <si>
    <t>Name</t>
  </si>
  <si>
    <t>Previous · Trend</t>
  </si>
  <si>
    <t>Goals Achieved</t>
  </si>
  <si>
    <t>Potential · 9-Box</t>
  </si>
  <si>
    <t>Reason</t>
  </si>
  <si>
    <t>Annual CTC</t>
  </si>
  <si>
    <t>Compa-Ratio · Band</t>
  </si>
  <si>
    <t>Attendance · Leave</t>
  </si>
  <si>
    <t>Training · Compliance</t>
  </si>
  <si>
    <t>Engagement · eNPS</t>
  </si>
  <si>
    <t>Low Potential</t>
  </si>
  <si>
    <t>Medium Potential</t>
  </si>
  <si>
    <t>High Potential</t>
  </si>
  <si>
    <t>High
Performance</t>
  </si>
  <si>
    <t>Mid
Performance</t>
  </si>
  <si>
    <t>Low
Performance</t>
  </si>
  <si>
    <t>Grid counts active employees in the selected department. The selected employee's box turns bold italic with an amber outline. Performance band: High = rating 4-5, Mid = 3, Low = 1-2; potential comes from the Performance sheet.</t>
  </si>
  <si>
    <t xml:space="preserve">  WORKFORCE ANALYTICS (charts follow the department selection)</t>
  </si>
  <si>
    <t xml:space="preserve">  DEPARTMENT SCORECARD (all departments; selected department highlighted)</t>
  </si>
  <si>
    <t>Active HC</t>
  </si>
  <si>
    <t>Exits 12M</t>
  </si>
  <si>
    <t>Attrition %</t>
  </si>
  <si>
    <t>Avg Rating</t>
  </si>
  <si>
    <t>Promo Eligible</t>
  </si>
  <si>
    <t>Avg Compa</t>
  </si>
  <si>
    <t>Engagement</t>
  </si>
  <si>
    <t>eNPS</t>
  </si>
  <si>
    <t>Open Reqs</t>
  </si>
  <si>
    <t>Avg Time to Fill</t>
  </si>
  <si>
    <t>Female %</t>
  </si>
  <si>
    <t>Avg Training Hrs</t>
  </si>
  <si>
    <t>High Perf %</t>
  </si>
  <si>
    <t>Compliance %</t>
  </si>
  <si>
    <t>Avg Tenure</t>
  </si>
  <si>
    <t>Organisation Total</t>
  </si>
  <si>
    <t>Attrition = exits in last 12 months ÷ average of opening and closing headcount. eNPS = % promoters (9-10) minus % detractors (0-6) among active survey participants. All data is fictional.</t>
  </si>
  <si>
    <t xml:space="preserve">  EMPLOYEE EXPLORER</t>
  </si>
  <si>
    <t>#</t>
  </si>
  <si>
    <t>9-Box</t>
  </si>
  <si>
    <t>Promotion</t>
  </si>
  <si>
    <t>CTC (₹ L)</t>
  </si>
  <si>
    <t>Compa</t>
  </si>
  <si>
    <t>Attendance</t>
  </si>
  <si>
    <t>row</t>
  </si>
  <si>
    <t>Rows highlighted yellow = the employee selected on the Dashboard. Use the filter arrows to sort or slice this list.</t>
  </si>
  <si>
    <t xml:space="preserve">  HR Analytics Showcase Workbook</t>
  </si>
  <si>
    <t xml:space="preserve">   Built by Sonali K  ·  Excel formulas, named ranges, dynamic dropdowns, conditional formatting, charts and VBA macros  ·  all data is fictional</t>
  </si>
  <si>
    <t>HOW TO USE</t>
  </si>
  <si>
    <t>1. Dashboard</t>
  </si>
  <si>
    <t>Pick a Department in the yellow box (or All Departments for the whole organisation). All 21 KPI tiles, 12 charts, the 9-box grid and the scorecard recalculate instantly.</t>
  </si>
  <si>
    <t>2. Employee profile</t>
  </si>
  <si>
    <t>Pick an Employee in the second yellow box. The list only shows people in the selected department. The profile card pulls data from all eight data sheets.</t>
  </si>
  <si>
    <t>3. Employee_Explorer</t>
  </si>
  <si>
    <t>Lists every employee in the selected department with key metrics. Filter or sort with the header arrows.</t>
  </si>
  <si>
    <t>4. Settings</t>
  </si>
  <si>
    <t>Change the promotion rules, pay bands, flight-risk thresholds or the as-of date. Every formula uses these values.</t>
  </si>
  <si>
    <t>5. Macros (optional)</t>
  </si>
  <si>
    <t>Import HR_Dashboard_Macros.bas (Alt+F11 &gt; File &gt; Import File), save as .xlsm, then run BuildDashboardButtons once to add buttons. Macros add: next/previous employee, search by name, promotion list, department report export, flight-risk list, PDF export and reset.</t>
  </si>
  <si>
    <t>SHEETS</t>
  </si>
  <si>
    <t>Employee_Master</t>
  </si>
  <si>
    <t>500 employees: ID, name, email, manager, manager ID, designation, level, department, gender, location, type, joining date, age. Status, exit date, tenure and direct reports are formulas.</t>
  </si>
  <si>
    <t>Rating (1-5), label, previous rating and trend, goals achieved, competency, potential, 9-box category, time in level and a rules-based Promotion Eligibility with the reason.</t>
  </si>
  <si>
    <t>Compensation</t>
  </si>
  <si>
    <t>Annual CTC against level pay bands, compa-ratio, band position, increment %, revised CTC, bonus and ESOP eligibility.</t>
  </si>
  <si>
    <t>Attendance_Leave</t>
  </si>
  <si>
    <t>Working days, planned/sick/unplanned leave, attendance %, WFH, late marks, overtime and an absence flag.</t>
  </si>
  <si>
    <t>Training</t>
  </si>
  <si>
    <t>Programs, courses, hours, cost, assessment score, POSH and InfoSec completion, compliance status, certifications.</t>
  </si>
  <si>
    <t>Six survey dimensions, overall engagement, eNPS and category, plus a formula-based flight-risk score.</t>
  </si>
  <si>
    <t>Exits_Attrition</t>
  </si>
  <si>
    <t>64 exits in the last 12 months: type, reason, regrettable loss, notice, rehire eligibility, exit interview.</t>
  </si>
  <si>
    <t>Recruitment</t>
  </si>
  <si>
    <t>140 requisitions: funnel (applicants to offers), status, source, time to fill, offer acceptance and cost per hire.</t>
  </si>
  <si>
    <t>Calc_Engine</t>
  </si>
  <si>
    <t>Behind-the-scenes helper: selection criteria, the filtered employee list for the dropdown, and the data behind every chart.</t>
  </si>
  <si>
    <t>SKILLS SHOWN</t>
  </si>
  <si>
    <t>Excel techniques</t>
  </si>
  <si>
    <t>INDEX/MATCH lookups across sheets, COUNTIFS/AVERAGEIFS/SUMIFS with a wildcard 'All' filter, 60+ named ranges, dependent dropdown via OFFSET, 9-box matrix lookup, dynamic chart titles, conditional formatting (colour scales, data bars, formula rules), single-parameter model in Settings.</t>
  </si>
  <si>
    <t>HR analytics</t>
  </si>
  <si>
    <t>Headcount, attrition (average-headcount basis), regrettable loss, hiring funnel and source effectiveness, time to fill, pay equity (compa-ratio), promotion readiness, talent 9-box, engagement and eNPS, flight-risk scoring, compliance training coverage.</t>
  </si>
  <si>
    <t>COLOUR KEY</t>
  </si>
  <si>
    <t>Blue text / yellow fill</t>
  </si>
  <si>
    <t>Inputs you can change.</t>
  </si>
  <si>
    <t>Teal column headers</t>
  </si>
  <si>
    <t>Columns calculated by formulas (do not type over them).</t>
  </si>
  <si>
    <t>Green text</t>
  </si>
  <si>
    <t>Values pulled from another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</si>
</sst>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\+0;\-0;0"/>
    <numFmt numFmtId="167" formatCode="\₹#,##0"/>
    <numFmt numFmtId="168" formatCode="dd\-mmm\-yyyy"/>
    <numFmt numFmtId="169" formatCode="mmm\-yy"/>
  </numFmts>
  <fonts count="25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0"/>
      <color rgb="FFC9D6E8"/>
      <name val="Arial"/>
      <family val="2"/>
    </font>
    <font>
      <b/>
      <sz val="11"/>
      <color rgb="FF1F8A70"/>
      <name val="Arial"/>
      <family val="2"/>
    </font>
    <font>
      <b/>
      <sz val="10"/>
      <color rgb="FF1B2A41"/>
      <name val="Arial"/>
      <family val="2"/>
    </font>
    <font>
      <sz val="10"/>
      <color theme="1"/>
      <name val="Arial"/>
      <family val="2"/>
    </font>
    <font>
      <b/>
      <sz val="12"/>
      <color rgb="FF0000FF"/>
      <name val="Arial"/>
      <family val="2"/>
    </font>
    <font>
      <i/>
      <sz val="9"/>
      <color rgb="FF5B6B7F"/>
      <name val="Arial"/>
      <family val="2"/>
    </font>
    <font>
      <i/>
      <sz val="8"/>
      <color rgb="FFC9D1DC"/>
      <name val="Arial"/>
      <family val="2"/>
    </font>
    <font>
      <b/>
      <sz val="9"/>
      <color rgb="FFFFFFFF"/>
      <name val="Arial"/>
      <family val="2"/>
    </font>
    <font>
      <b/>
      <sz val="20"/>
      <color rgb="FF1B2A41"/>
      <name val="Arial"/>
      <family val="2"/>
    </font>
    <font>
      <sz val="8"/>
      <color rgb="FF5B6B7F"/>
      <name val="Arial"/>
      <family val="2"/>
    </font>
    <font>
      <b/>
      <sz val="20"/>
      <color rgb="FF1F8A70"/>
      <name val="Arial"/>
      <family val="2"/>
    </font>
    <font>
      <b/>
      <sz val="20"/>
      <color rgb="FF3C7DC4"/>
      <name val="Arial"/>
      <family val="2"/>
    </font>
    <font>
      <b/>
      <sz val="12"/>
      <color rgb="FFFFFFFF"/>
      <name val="Arial"/>
      <family val="2"/>
    </font>
    <font>
      <b/>
      <sz val="9"/>
      <color rgb="FF5B6B7F"/>
      <name val="Arial"/>
      <family val="2"/>
    </font>
    <font>
      <b/>
      <sz val="9"/>
      <color rgb="FF1B2A41"/>
      <name val="Arial"/>
      <family val="2"/>
    </font>
    <font>
      <b/>
      <sz val="8"/>
      <color rgb="FF1B2A41"/>
      <name val="Arial"/>
      <family val="2"/>
    </font>
    <font>
      <b/>
      <sz val="10"/>
      <color rgb="FFFFFFFF"/>
      <name val="Arial"/>
      <family val="2"/>
    </font>
    <font>
      <i/>
      <sz val="9"/>
      <color rgb="FFD1495B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A33"/>
      <name val="Arial"/>
      <family val="2"/>
    </font>
    <font>
      <sz val="10"/>
      <color rgb="FF0000FF"/>
      <name val="Arial"/>
      <family val="2"/>
    </font>
    <font>
      <b/>
      <sz val="16"/>
      <color rgb="FF1B2A4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1F8A70"/>
        <bgColor indexed="64"/>
      </patternFill>
    </fill>
    <fill>
      <patternFill patternType="solid">
        <fgColor rgb="FF3C7DC4"/>
        <bgColor indexed="64"/>
      </patternFill>
    </fill>
    <fill>
      <patternFill patternType="solid">
        <fgColor rgb="FFA7D8C2"/>
        <bgColor indexed="64"/>
      </patternFill>
    </fill>
    <fill>
      <patternFill patternType="solid">
        <fgColor rgb="FF5DB894"/>
        <bgColor indexed="64"/>
      </patternFill>
    </fill>
    <fill>
      <patternFill patternType="solid">
        <fgColor rgb="FFFFE3A3"/>
        <bgColor indexed="64"/>
      </patternFill>
    </fill>
    <fill>
      <patternFill patternType="solid">
        <fgColor rgb="FFE3EDF7"/>
        <bgColor indexed="64"/>
      </patternFill>
    </fill>
    <fill>
      <patternFill patternType="solid">
        <fgColor rgb="FFD1495B"/>
        <bgColor indexed="64"/>
      </patternFill>
    </fill>
    <fill>
      <patternFill patternType="solid">
        <fgColor rgb="FFF6B6B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8A70"/>
      </bottom>
      <diagonal/>
    </border>
    <border>
      <left style="medium">
        <color rgb="FFE9A23B"/>
      </left>
      <right style="medium">
        <color rgb="FFE9A23B"/>
      </right>
      <top style="medium">
        <color rgb="FFE9A23B"/>
      </top>
      <bottom style="medium">
        <color rgb="FFE9A23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EF2F7"/>
      </left>
      <right style="thin">
        <color rgb="FFEEF2F7"/>
      </right>
      <top style="thin">
        <color rgb="FFEEF2F7"/>
      </top>
      <bottom style="thin">
        <color rgb="FFEEF2F7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2E4263"/>
      </left>
      <right style="thin">
        <color rgb="FF2E4263"/>
      </right>
      <top style="thin">
        <color rgb="FF2E4263"/>
      </top>
      <bottom style="thin">
        <color rgb="FF2E426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6" fillId="5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18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20" fillId="4" borderId="0" xfId="0" applyNumberFormat="1" applyFont="1" applyFill="1" applyAlignment="1">
      <alignment horizontal="center" vertical="center"/>
    </xf>
    <xf numFmtId="164" fontId="20" fillId="4" borderId="0" xfId="0" applyNumberFormat="1" applyFont="1" applyFill="1" applyAlignment="1">
      <alignment horizontal="center" vertical="center"/>
    </xf>
    <xf numFmtId="2" fontId="20" fillId="4" borderId="0" xfId="0" applyNumberFormat="1" applyFont="1" applyFill="1" applyAlignment="1">
      <alignment horizontal="center" vertical="center"/>
    </xf>
    <xf numFmtId="165" fontId="20" fillId="4" borderId="0" xfId="0" applyNumberFormat="1" applyFont="1" applyFill="1" applyAlignment="1">
      <alignment horizontal="center" vertical="center"/>
    </xf>
    <xf numFmtId="166" fontId="20" fillId="4" borderId="0" xfId="0" applyNumberFormat="1" applyFont="1" applyFill="1" applyAlignment="1">
      <alignment horizontal="center" vertical="center"/>
    </xf>
    <xf numFmtId="1" fontId="20" fillId="4" borderId="0" xfId="0" applyNumberFormat="1" applyFont="1" applyFill="1" applyAlignment="1">
      <alignment horizontal="center" vertical="center"/>
    </xf>
    <xf numFmtId="9" fontId="20" fillId="4" borderId="0" xfId="0" applyNumberFormat="1" applyFont="1" applyFill="1" applyAlignment="1">
      <alignment horizontal="center" vertical="center"/>
    </xf>
    <xf numFmtId="3" fontId="21" fillId="5" borderId="7" xfId="0" applyNumberFormat="1" applyFont="1" applyFill="1" applyBorder="1" applyAlignment="1">
      <alignment horizontal="center" vertical="center"/>
    </xf>
    <xf numFmtId="164" fontId="21" fillId="5" borderId="7" xfId="0" applyNumberFormat="1" applyFont="1" applyFill="1" applyBorder="1" applyAlignment="1">
      <alignment horizontal="center" vertical="center"/>
    </xf>
    <xf numFmtId="2" fontId="21" fillId="5" borderId="7" xfId="0" applyNumberFormat="1" applyFont="1" applyFill="1" applyBorder="1" applyAlignment="1">
      <alignment horizontal="center" vertical="center"/>
    </xf>
    <xf numFmtId="165" fontId="21" fillId="5" borderId="7" xfId="0" applyNumberFormat="1" applyFont="1" applyFill="1" applyBorder="1" applyAlignment="1">
      <alignment horizontal="center" vertical="center"/>
    </xf>
    <xf numFmtId="166" fontId="21" fillId="5" borderId="7" xfId="0" applyNumberFormat="1" applyFont="1" applyFill="1" applyBorder="1" applyAlignment="1">
      <alignment horizontal="center" vertical="center"/>
    </xf>
    <xf numFmtId="1" fontId="21" fillId="5" borderId="7" xfId="0" applyNumberFormat="1" applyFont="1" applyFill="1" applyBorder="1" applyAlignment="1">
      <alignment horizontal="center" vertical="center"/>
    </xf>
    <xf numFmtId="9" fontId="21" fillId="5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8" fillId="6" borderId="6" xfId="0" applyFont="1" applyFill="1" applyBorder="1" applyAlignment="1">
      <alignment horizontal="center" vertical="center" wrapText="1"/>
    </xf>
    <xf numFmtId="168" fontId="5" fillId="0" borderId="0" xfId="0" applyNumberFormat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67" fontId="23" fillId="0" borderId="0" xfId="0" applyNumberFormat="1" applyFont="1" applyAlignment="1">
      <alignment vertical="center"/>
    </xf>
    <xf numFmtId="167" fontId="22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  <xf numFmtId="2" fontId="22" fillId="0" borderId="0" xfId="0" applyNumberFormat="1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168" fontId="23" fillId="3" borderId="8" xfId="0" applyNumberFormat="1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167" fontId="23" fillId="3" borderId="8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21" fillId="5" borderId="7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8" fillId="2" borderId="6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18" fillId="12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15" fillId="5" borderId="3" xfId="0" applyFont="1" applyFill="1" applyBorder="1" applyAlignment="1">
      <alignment vertical="center"/>
    </xf>
    <xf numFmtId="165" fontId="4" fillId="0" borderId="4" xfId="0" applyNumberFormat="1" applyFont="1" applyBorder="1" applyAlignment="1">
      <alignment horizontal="left" vertical="center" shrinkToFit="1"/>
    </xf>
    <xf numFmtId="0" fontId="4" fillId="0" borderId="4" xfId="0" applyFont="1" applyBorder="1" applyAlignment="1">
      <alignment vertical="center" shrinkToFit="1"/>
    </xf>
    <xf numFmtId="1" fontId="4" fillId="0" borderId="4" xfId="0" applyNumberFormat="1" applyFont="1" applyBorder="1" applyAlignment="1">
      <alignment horizontal="left" vertical="center" shrinkToFit="1"/>
    </xf>
    <xf numFmtId="167" fontId="4" fillId="0" borderId="4" xfId="0" applyNumberFormat="1" applyFont="1" applyBorder="1" applyAlignment="1">
      <alignment horizontal="left" vertical="center" shrinkToFit="1"/>
    </xf>
    <xf numFmtId="168" fontId="4" fillId="0" borderId="4" xfId="0" applyNumberFormat="1" applyFont="1" applyBorder="1" applyAlignment="1">
      <alignment horizontal="left" vertical="center" shrinkToFit="1"/>
    </xf>
    <xf numFmtId="9" fontId="4" fillId="0" borderId="4" xfId="0" applyNumberFormat="1" applyFont="1" applyBorder="1" applyAlignment="1">
      <alignment horizontal="left" vertical="center" shrinkToFit="1"/>
    </xf>
    <xf numFmtId="0" fontId="11" fillId="5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" fontId="13" fillId="4" borderId="0" xfId="0" applyNumberFormat="1" applyFont="1" applyFill="1" applyAlignment="1">
      <alignment horizontal="center" vertical="center"/>
    </xf>
    <xf numFmtId="9" fontId="13" fillId="4" borderId="0" xfId="0" applyNumberFormat="1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2" fontId="13" fillId="4" borderId="0" xfId="0" applyNumberFormat="1" applyFont="1" applyFill="1" applyAlignment="1">
      <alignment horizontal="center" vertical="center"/>
    </xf>
    <xf numFmtId="3" fontId="13" fillId="4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164" fontId="12" fillId="4" borderId="0" xfId="0" applyNumberFormat="1" applyFont="1" applyFill="1" applyAlignment="1">
      <alignment horizontal="center" vertical="center"/>
    </xf>
    <xf numFmtId="166" fontId="12" fillId="4" borderId="0" xfId="0" applyNumberFormat="1" applyFont="1" applyFill="1" applyAlignment="1">
      <alignment horizontal="center" vertical="center"/>
    </xf>
    <xf numFmtId="165" fontId="13" fillId="4" borderId="0" xfId="0" applyNumberFormat="1" applyFont="1" applyFill="1" applyAlignment="1">
      <alignment horizontal="center" vertical="center"/>
    </xf>
    <xf numFmtId="3" fontId="12" fillId="4" borderId="0" xfId="0" applyNumberFormat="1" applyFont="1" applyFill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65" fontId="10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37">
    <dxf>
      <font>
        <b/>
        <color rgb="FF3C7DC4"/>
      </font>
    </dxf>
    <dxf>
      <fill>
        <patternFill>
          <bgColor rgb="FFF4F7FB"/>
        </patternFill>
      </fill>
    </dxf>
    <dxf>
      <font>
        <b/>
        <color rgb="FFD1495B"/>
      </font>
    </dxf>
    <dxf>
      <fill>
        <patternFill>
          <bgColor rgb="FFF4F7FB"/>
        </patternFill>
      </fill>
    </dxf>
    <dxf>
      <fill>
        <patternFill>
          <bgColor rgb="FFFFF3CD"/>
        </patternFill>
      </fill>
    </dxf>
    <dxf>
      <font>
        <b/>
        <color rgb="FF8B1E2D"/>
      </font>
      <fill>
        <patternFill>
          <bgColor rgb="FFF8C9CF"/>
        </patternFill>
      </fill>
    </dxf>
    <dxf>
      <fill>
        <patternFill>
          <bgColor rgb="FFF4F7FB"/>
        </patternFill>
      </fill>
    </dxf>
    <dxf>
      <font>
        <b/>
        <color rgb="FFD1495B"/>
      </font>
    </dxf>
    <dxf>
      <fill>
        <patternFill>
          <bgColor rgb="FFF4F7FB"/>
        </patternFill>
      </fill>
    </dxf>
    <dxf>
      <font>
        <b/>
        <color rgb="FFD1495B"/>
      </font>
    </dxf>
    <dxf>
      <fill>
        <patternFill>
          <bgColor rgb="FFF4F7FB"/>
        </patternFill>
      </fill>
    </dxf>
    <dxf>
      <fill>
        <patternFill>
          <bgColor rgb="FFF4F7FB"/>
        </patternFill>
      </fill>
    </dxf>
    <dxf>
      <font>
        <b/>
        <color rgb="FF0B6B4B"/>
      </font>
      <fill>
        <patternFill>
          <bgColor rgb="FFD5F0E3"/>
        </patternFill>
      </fill>
    </dxf>
    <dxf>
      <font>
        <color rgb="FFD1495B"/>
      </font>
    </dxf>
    <dxf>
      <fill>
        <patternFill>
          <bgColor rgb="FFF4F7FB"/>
        </patternFill>
      </fill>
    </dxf>
    <dxf>
      <font>
        <b/>
        <color rgb="FFD1495B"/>
      </font>
    </dxf>
    <dxf>
      <fill>
        <patternFill>
          <bgColor rgb="FFF4F7FB"/>
        </patternFill>
      </fill>
    </dxf>
    <dxf>
      <font>
        <b/>
        <color rgb="FF8B1E2D"/>
      </font>
      <fill>
        <patternFill>
          <bgColor rgb="FFF8C9CF"/>
        </patternFill>
      </fill>
    </dxf>
    <dxf>
      <font>
        <b/>
        <color rgb="FF0B6B4B"/>
      </font>
      <fill>
        <patternFill>
          <bgColor rgb="FFD5F0E3"/>
        </patternFill>
      </fill>
    </dxf>
    <dxf>
      <font>
        <b/>
        <color rgb="FFD1495B"/>
      </font>
    </dxf>
    <dxf>
      <font>
        <b/>
        <color rgb="FF0B6B4B"/>
      </font>
    </dxf>
    <dxf>
      <font>
        <b/>
        <color rgb="FFD1495B"/>
      </font>
    </dxf>
    <dxf>
      <font>
        <b/>
      </font>
      <fill>
        <patternFill>
          <bgColor rgb="FFFFF59D"/>
        </patternFill>
      </fill>
    </dxf>
    <dxf>
      <fill>
        <patternFill>
          <bgColor rgb="FFF4F7FB"/>
        </patternFill>
      </fill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b/>
        <i/>
        <color rgb="FF1B2A41"/>
      </font>
      <border>
        <left style="thick">
          <color rgb="FFE9A23B"/>
        </left>
        <right style="thick">
          <color rgb="FFE9A23B"/>
        </right>
        <top style="thick">
          <color rgb="FFE9A23B"/>
        </top>
        <bottom style="thick">
          <color rgb="FFE9A23B"/>
        </bottom>
        <vertical/>
        <horizontal/>
      </border>
    </dxf>
    <dxf>
      <font>
        <color rgb="FF8B1E2D"/>
      </font>
      <fill>
        <patternFill>
          <bgColor rgb="FFF8C9CF"/>
        </patternFill>
      </fill>
    </dxf>
    <dxf>
      <font>
        <color rgb="FF0B6B4B"/>
      </font>
      <fill>
        <patternFill>
          <bgColor rgb="FFD5F0E3"/>
        </patternFill>
      </fill>
    </dxf>
    <dxf>
      <font>
        <color rgb="FF8B1E2D"/>
      </font>
      <fill>
        <patternFill>
          <bgColor rgb="FFF8C9CF"/>
        </patternFill>
      </fill>
    </dxf>
    <dxf>
      <font>
        <b/>
      </font>
      <fill>
        <patternFill>
          <b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Calc_Engine!$L$1</c:f>
          <c:strCache>
            <c:ptCount val="1"/>
            <c:pt idx="0">
              <c:v>Active Headcount by Department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Selected</c:v>
          </c:tx>
          <c:spPr>
            <a:solidFill>
              <a:srgbClr val="1F8A7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Calc_Engine!$L$3:$L$12</c:f>
              <c:strCache>
                <c:ptCount val="10"/>
                <c:pt idx="0">
                  <c:v>Engineering</c:v>
                </c:pt>
                <c:pt idx="1">
                  <c:v>Operations</c:v>
                </c:pt>
                <c:pt idx="2">
                  <c:v>Customer Support</c:v>
                </c:pt>
                <c:pt idx="3">
                  <c:v>Sales</c:v>
                </c:pt>
                <c:pt idx="4">
                  <c:v>Product</c:v>
                </c:pt>
                <c:pt idx="5">
                  <c:v>Marketing</c:v>
                </c:pt>
                <c:pt idx="6">
                  <c:v>Data &amp; Analytics</c:v>
                </c:pt>
                <c:pt idx="7">
                  <c:v>Finance</c:v>
                </c:pt>
                <c:pt idx="8">
                  <c:v>Human Resources</c:v>
                </c:pt>
                <c:pt idx="9">
                  <c:v>Legal &amp; Compliance</c:v>
                </c:pt>
              </c:strCache>
            </c:strRef>
          </c:cat>
          <c:val>
            <c:numRef>
              <c:f>Calc_Engine!$M$3:$M$12</c:f>
              <c:numCache>
                <c:formatCode>#,##0</c:formatCode>
                <c:ptCount val="10"/>
                <c:pt idx="0">
                  <c:v>97</c:v>
                </c:pt>
                <c:pt idx="1">
                  <c:v>77</c:v>
                </c:pt>
                <c:pt idx="2">
                  <c:v>61</c:v>
                </c:pt>
                <c:pt idx="3">
                  <c:v>51</c:v>
                </c:pt>
                <c:pt idx="4">
                  <c:v>33</c:v>
                </c:pt>
                <c:pt idx="5">
                  <c:v>27</c:v>
                </c:pt>
                <c:pt idx="6">
                  <c:v>23</c:v>
                </c:pt>
                <c:pt idx="7">
                  <c:v>22</c:v>
                </c:pt>
                <c:pt idx="8">
                  <c:v>22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F-4BDE-8F98-371F1DE1386D}"/>
            </c:ext>
          </c:extLst>
        </c:ser>
        <c:ser>
          <c:idx val="1"/>
          <c:order val="1"/>
          <c:tx>
            <c:v>Other departments</c:v>
          </c:tx>
          <c:spPr>
            <a:solidFill>
              <a:srgbClr val="C9D1DC"/>
            </a:solidFill>
          </c:spPr>
          <c:invertIfNegative val="0"/>
          <c:cat>
            <c:strRef>
              <c:f>Calc_Engine!$L$3:$L$12</c:f>
              <c:strCache>
                <c:ptCount val="10"/>
                <c:pt idx="0">
                  <c:v>Engineering</c:v>
                </c:pt>
                <c:pt idx="1">
                  <c:v>Operations</c:v>
                </c:pt>
                <c:pt idx="2">
                  <c:v>Customer Support</c:v>
                </c:pt>
                <c:pt idx="3">
                  <c:v>Sales</c:v>
                </c:pt>
                <c:pt idx="4">
                  <c:v>Product</c:v>
                </c:pt>
                <c:pt idx="5">
                  <c:v>Marketing</c:v>
                </c:pt>
                <c:pt idx="6">
                  <c:v>Data &amp; Analytics</c:v>
                </c:pt>
                <c:pt idx="7">
                  <c:v>Finance</c:v>
                </c:pt>
                <c:pt idx="8">
                  <c:v>Human Resources</c:v>
                </c:pt>
                <c:pt idx="9">
                  <c:v>Legal &amp; Compliance</c:v>
                </c:pt>
              </c:strCache>
            </c:strRef>
          </c:cat>
          <c:val>
            <c:numRef>
              <c:f>Calc_Engine!$N$3:$N$12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3F-4BDE-8F98-371F1DE13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Calc_Engine!$L$15</c:f>
          <c:strCache>
            <c:ptCount val="1"/>
            <c:pt idx="0">
              <c:v>Performance Rating Distribution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D1495B"/>
              </a:solidFill>
            </c:spPr>
            <c:extLst>
              <c:ext xmlns:c16="http://schemas.microsoft.com/office/drawing/2014/chart" uri="{C3380CC4-5D6E-409C-BE32-E72D297353CC}">
                <c16:uniqueId val="{00000000-46C3-486A-AAD5-F4707EB63C6E}"/>
              </c:ext>
            </c:extLst>
          </c:dPt>
          <c:dPt>
            <c:idx val="1"/>
            <c:invertIfNegative val="0"/>
            <c:bubble3D val="0"/>
            <c:spPr>
              <a:solidFill>
                <a:srgbClr val="F08A4B"/>
              </a:solidFill>
            </c:spPr>
            <c:extLst>
              <c:ext xmlns:c16="http://schemas.microsoft.com/office/drawing/2014/chart" uri="{C3380CC4-5D6E-409C-BE32-E72D297353CC}">
                <c16:uniqueId val="{00000001-46C3-486A-AAD5-F4707EB63C6E}"/>
              </c:ext>
            </c:extLst>
          </c:dPt>
          <c:dPt>
            <c:idx val="2"/>
            <c:invertIfNegative val="0"/>
            <c:bubble3D val="0"/>
            <c:spPr>
              <a:solidFill>
                <a:srgbClr val="E9A23B"/>
              </a:solidFill>
            </c:spPr>
            <c:extLst>
              <c:ext xmlns:c16="http://schemas.microsoft.com/office/drawing/2014/chart" uri="{C3380CC4-5D6E-409C-BE32-E72D297353CC}">
                <c16:uniqueId val="{00000002-46C3-486A-AAD5-F4707EB63C6E}"/>
              </c:ext>
            </c:extLst>
          </c:dPt>
          <c:dPt>
            <c:idx val="3"/>
            <c:invertIfNegative val="0"/>
            <c:bubble3D val="0"/>
            <c:spPr>
              <a:solidFill>
                <a:srgbClr val="5DB894"/>
              </a:solidFill>
            </c:spPr>
            <c:extLst>
              <c:ext xmlns:c16="http://schemas.microsoft.com/office/drawing/2014/chart" uri="{C3380CC4-5D6E-409C-BE32-E72D297353CC}">
                <c16:uniqueId val="{00000003-46C3-486A-AAD5-F4707EB63C6E}"/>
              </c:ext>
            </c:extLst>
          </c:dPt>
          <c:dPt>
            <c:idx val="4"/>
            <c:invertIfNegative val="0"/>
            <c:bubble3D val="0"/>
            <c:spPr>
              <a:solidFill>
                <a:srgbClr val="1F8A70"/>
              </a:solidFill>
            </c:spPr>
            <c:extLst>
              <c:ext xmlns:c16="http://schemas.microsoft.com/office/drawing/2014/chart" uri="{C3380CC4-5D6E-409C-BE32-E72D297353CC}">
                <c16:uniqueId val="{00000004-46C3-486A-AAD5-F4707EB63C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Calc_Engine!$L$17:$L$21</c:f>
              <c:strCache>
                <c:ptCount val="5"/>
                <c:pt idx="0">
                  <c:v>1 - Unsatisfactory</c:v>
                </c:pt>
                <c:pt idx="1">
                  <c:v>2 - Needs Improvement</c:v>
                </c:pt>
                <c:pt idx="2">
                  <c:v>3 - Meets Expectations</c:v>
                </c:pt>
                <c:pt idx="3">
                  <c:v>4 - Exceeds Expectations</c:v>
                </c:pt>
                <c:pt idx="4">
                  <c:v>5 - Outstanding</c:v>
                </c:pt>
              </c:strCache>
            </c:strRef>
          </c:cat>
          <c:val>
            <c:numRef>
              <c:f>Calc_Engine!$M$17:$M$21</c:f>
              <c:numCache>
                <c:formatCode>#,##0</c:formatCode>
                <c:ptCount val="5"/>
                <c:pt idx="0">
                  <c:v>26</c:v>
                </c:pt>
                <c:pt idx="1">
                  <c:v>69</c:v>
                </c:pt>
                <c:pt idx="2">
                  <c:v>217</c:v>
                </c:pt>
                <c:pt idx="3">
                  <c:v>138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C3-486A-AAD5-F4707EB63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Calc_Engine!$L$24</c:f>
          <c:strCache>
            <c:ptCount val="1"/>
            <c:pt idx="0">
              <c:v>Active Headcount by Level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C7D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Calc_Engine!$L$26:$L$32</c:f>
              <c:strCache>
                <c:ptCount val="7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</c:strCache>
            </c:strRef>
          </c:cat>
          <c:val>
            <c:numRef>
              <c:f>Calc_Engine!$M$26:$M$32</c:f>
              <c:numCache>
                <c:formatCode>#,##0</c:formatCode>
                <c:ptCount val="7"/>
                <c:pt idx="0">
                  <c:v>82</c:v>
                </c:pt>
                <c:pt idx="1">
                  <c:v>117</c:v>
                </c:pt>
                <c:pt idx="2">
                  <c:v>116</c:v>
                </c:pt>
                <c:pt idx="3">
                  <c:v>62</c:v>
                </c:pt>
                <c:pt idx="4">
                  <c:v>35</c:v>
                </c:pt>
                <c:pt idx="5">
                  <c:v>14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C-4EB2-B20C-93B30D72B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Calc_Engine!$L$35</c:f>
          <c:strCache>
            <c:ptCount val="1"/>
            <c:pt idx="0">
              <c:v>Gender Mix (Active)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B2A41"/>
              </a:solidFill>
            </c:spPr>
            <c:extLst>
              <c:ext xmlns:c16="http://schemas.microsoft.com/office/drawing/2014/chart" uri="{C3380CC4-5D6E-409C-BE32-E72D297353CC}">
                <c16:uniqueId val="{00000000-CC66-442B-AE6F-BD12FD9E0833}"/>
              </c:ext>
            </c:extLst>
          </c:dPt>
          <c:dPt>
            <c:idx val="1"/>
            <c:bubble3D val="0"/>
            <c:spPr>
              <a:solidFill>
                <a:srgbClr val="E9A23B"/>
              </a:solidFill>
            </c:spPr>
            <c:extLst>
              <c:ext xmlns:c16="http://schemas.microsoft.com/office/drawing/2014/chart" uri="{C3380CC4-5D6E-409C-BE32-E72D297353CC}">
                <c16:uniqueId val="{00000001-CC66-442B-AE6F-BD12FD9E08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Calc_Engine!$L$37:$L$38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Calc_Engine!$M$37:$M$38</c:f>
              <c:numCache>
                <c:formatCode>#,##0</c:formatCode>
                <c:ptCount val="2"/>
                <c:pt idx="0">
                  <c:v>233</c:v>
                </c:pt>
                <c:pt idx="1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66-442B-AE6F-BD12FD9E0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rtl="0">
            <a:defRPr sz="9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Calc_Engine!$L$41</c:f>
          <c:strCache>
            <c:ptCount val="1"/>
            <c:pt idx="0">
              <c:v>Promotion Eligibility by Level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Eligible</c:v>
          </c:tx>
          <c:spPr>
            <a:solidFill>
              <a:srgbClr val="1F8A70"/>
            </a:solidFill>
          </c:spPr>
          <c:invertIfNegative val="0"/>
          <c:cat>
            <c:strRef>
              <c:f>Calc_Engine!$L$43:$L$49</c:f>
              <c:strCache>
                <c:ptCount val="7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</c:strCache>
            </c:strRef>
          </c:cat>
          <c:val>
            <c:numRef>
              <c:f>Calc_Engine!$M$43:$M$49</c:f>
              <c:numCache>
                <c:formatCode>#,##0</c:formatCode>
                <c:ptCount val="7"/>
                <c:pt idx="0">
                  <c:v>11</c:v>
                </c:pt>
                <c:pt idx="1">
                  <c:v>20</c:v>
                </c:pt>
                <c:pt idx="2">
                  <c:v>27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50E-99E5-2293EDC4D0CF}"/>
            </c:ext>
          </c:extLst>
        </c:ser>
        <c:ser>
          <c:idx val="1"/>
          <c:order val="1"/>
          <c:tx>
            <c:v>Not Eligible (active)</c:v>
          </c:tx>
          <c:spPr>
            <a:solidFill>
              <a:srgbClr val="C9D1DC"/>
            </a:solidFill>
          </c:spPr>
          <c:invertIfNegative val="0"/>
          <c:cat>
            <c:strRef>
              <c:f>Calc_Engine!$L$43:$L$49</c:f>
              <c:strCache>
                <c:ptCount val="7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</c:strCache>
            </c:strRef>
          </c:cat>
          <c:val>
            <c:numRef>
              <c:f>Calc_Engine!$N$43:$N$49</c:f>
              <c:numCache>
                <c:formatCode>#,##0</c:formatCode>
                <c:ptCount val="7"/>
                <c:pt idx="0">
                  <c:v>71</c:v>
                </c:pt>
                <c:pt idx="1">
                  <c:v>97</c:v>
                </c:pt>
                <c:pt idx="2">
                  <c:v>89</c:v>
                </c:pt>
                <c:pt idx="3">
                  <c:v>50</c:v>
                </c:pt>
                <c:pt idx="4">
                  <c:v>26</c:v>
                </c:pt>
                <c:pt idx="5">
                  <c:v>11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9-450E-99E5-2293EDC4D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Calc_Engine!$L$52</c:f>
          <c:strCache>
            <c:ptCount val="1"/>
            <c:pt idx="0">
              <c:v>Average Annual CTC by Level (₹ Lakh)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B2A41"/>
            </a:solidFill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Calc_Engine!$L$54:$L$60</c:f>
              <c:strCache>
                <c:ptCount val="7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L4</c:v>
                </c:pt>
                <c:pt idx="4">
                  <c:v>L5</c:v>
                </c:pt>
                <c:pt idx="5">
                  <c:v>L6</c:v>
                </c:pt>
                <c:pt idx="6">
                  <c:v>L7</c:v>
                </c:pt>
              </c:strCache>
            </c:strRef>
          </c:cat>
          <c:val>
            <c:numRef>
              <c:f>Calc_Engine!$M$54:$M$60</c:f>
              <c:numCache>
                <c:formatCode>0.0</c:formatCode>
                <c:ptCount val="7"/>
                <c:pt idx="0">
                  <c:v>4.8945121951219512</c:v>
                </c:pt>
                <c:pt idx="1">
                  <c:v>8.2739316239316238</c:v>
                </c:pt>
                <c:pt idx="2">
                  <c:v>14.130258620689656</c:v>
                </c:pt>
                <c:pt idx="3">
                  <c:v>22.35161290322581</c:v>
                </c:pt>
                <c:pt idx="4">
                  <c:v>36.411714285714289</c:v>
                </c:pt>
                <c:pt idx="5">
                  <c:v>51.478571428571428</c:v>
                </c:pt>
                <c:pt idx="6">
                  <c:v>78.616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9-4373-8D8C-5B8FFEA0D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Calc_Engine!$L$63</c:f>
          <c:strCache>
            <c:ptCount val="1"/>
            <c:pt idx="0">
              <c:v>Exit Reasons (Last 12 Months)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1495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Calc_Engine!$L$65:$L$73</c:f>
              <c:strCache>
                <c:ptCount val="9"/>
                <c:pt idx="0">
                  <c:v>Better Compensation</c:v>
                </c:pt>
                <c:pt idx="1">
                  <c:v>Career Growth</c:v>
                </c:pt>
                <c:pt idx="2">
                  <c:v>Work-Life Balance</c:v>
                </c:pt>
                <c:pt idx="3">
                  <c:v>Manager Relationship</c:v>
                </c:pt>
                <c:pt idx="4">
                  <c:v>Relocation</c:v>
                </c:pt>
                <c:pt idx="5">
                  <c:v>Higher Studies</c:v>
                </c:pt>
                <c:pt idx="6">
                  <c:v>Health / Personal</c:v>
                </c:pt>
                <c:pt idx="7">
                  <c:v>Performance</c:v>
                </c:pt>
                <c:pt idx="8">
                  <c:v>Role Redundancy</c:v>
                </c:pt>
              </c:strCache>
            </c:strRef>
          </c:cat>
          <c:val>
            <c:numRef>
              <c:f>Calc_Engine!$M$65:$M$73</c:f>
              <c:numCache>
                <c:formatCode>#,##0</c:formatCode>
                <c:ptCount val="9"/>
                <c:pt idx="0">
                  <c:v>14</c:v>
                </c:pt>
                <c:pt idx="1">
                  <c:v>15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9-4BC8-8CF1-E0671E70A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Calc_Engine!$L$76</c:f>
          <c:strCache>
            <c:ptCount val="1"/>
            <c:pt idx="0">
              <c:v>Monthly Hires vs Exits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Hires</c:v>
          </c:tx>
          <c:spPr>
            <a:ln w="31750">
              <a:solidFill>
                <a:srgbClr val="1F8A70"/>
              </a:solidFill>
            </a:ln>
          </c:spPr>
          <c:marker>
            <c:symbol val="circle"/>
            <c:size val="5"/>
            <c:spPr>
              <a:solidFill>
                <a:srgbClr val="1F8A70"/>
              </a:solidFill>
              <a:ln>
                <a:solidFill>
                  <a:srgbClr val="1F8A70"/>
                </a:solidFill>
              </a:ln>
            </c:spPr>
          </c:marker>
          <c:cat>
            <c:numRef>
              <c:f>Calc_Engine!$L$78:$L$89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Calc_Engine!$M$78:$M$89</c:f>
              <c:numCache>
                <c:formatCode>#,##0</c:formatCode>
                <c:ptCount val="12"/>
                <c:pt idx="0">
                  <c:v>14</c:v>
                </c:pt>
                <c:pt idx="1">
                  <c:v>7</c:v>
                </c:pt>
                <c:pt idx="2">
                  <c:v>10</c:v>
                </c:pt>
                <c:pt idx="3">
                  <c:v>7</c:v>
                </c:pt>
                <c:pt idx="4">
                  <c:v>7</c:v>
                </c:pt>
                <c:pt idx="5">
                  <c:v>14</c:v>
                </c:pt>
                <c:pt idx="6">
                  <c:v>15</c:v>
                </c:pt>
                <c:pt idx="7">
                  <c:v>8</c:v>
                </c:pt>
                <c:pt idx="8">
                  <c:v>9</c:v>
                </c:pt>
                <c:pt idx="9">
                  <c:v>13</c:v>
                </c:pt>
                <c:pt idx="10">
                  <c:v>11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6-4BCD-AB49-7119D0DF2E6A}"/>
            </c:ext>
          </c:extLst>
        </c:ser>
        <c:ser>
          <c:idx val="1"/>
          <c:order val="1"/>
          <c:tx>
            <c:v>Exits</c:v>
          </c:tx>
          <c:spPr>
            <a:ln w="31750">
              <a:solidFill>
                <a:srgbClr val="D1495B"/>
              </a:solidFill>
            </a:ln>
          </c:spPr>
          <c:marker>
            <c:symbol val="circle"/>
            <c:size val="5"/>
            <c:spPr>
              <a:solidFill>
                <a:srgbClr val="D1495B"/>
              </a:solidFill>
              <a:ln>
                <a:solidFill>
                  <a:srgbClr val="D1495B"/>
                </a:solidFill>
              </a:ln>
            </c:spPr>
          </c:marker>
          <c:cat>
            <c:numRef>
              <c:f>Calc_Engine!$L$78:$L$89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cat>
          <c:val>
            <c:numRef>
              <c:f>Calc_Engine!$N$78:$N$89</c:f>
              <c:numCache>
                <c:formatCode>#,##0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13</c:v>
                </c:pt>
                <c:pt idx="7">
                  <c:v>3</c:v>
                </c:pt>
                <c:pt idx="8">
                  <c:v>4</c:v>
                </c:pt>
                <c:pt idx="9">
                  <c:v>12</c:v>
                </c:pt>
                <c:pt idx="10">
                  <c:v>9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6-4BCD-AB49-7119D0DF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80001"/>
        <c:axId val="50080002"/>
      </c:lineChart>
      <c:dateAx>
        <c:axId val="50080001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80002"/>
        <c:crosses val="autoZero"/>
        <c:auto val="1"/>
        <c:lblOffset val="100"/>
        <c:baseTimeUnit val="months"/>
      </c:dateAx>
      <c:valAx>
        <c:axId val="5008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Calc_Engine!$L$92</c:f>
          <c:strCache>
            <c:ptCount val="1"/>
            <c:pt idx="0">
              <c:v>Engagement by Dimension (1-5)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8A70"/>
            </a:solidFill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Calc_Engine!$L$94:$L$99</c:f>
              <c:strCache>
                <c:ptCount val="6"/>
                <c:pt idx="0">
                  <c:v>Manager Support</c:v>
                </c:pt>
                <c:pt idx="1">
                  <c:v>Career Growth</c:v>
                </c:pt>
                <c:pt idx="2">
                  <c:v>Work-Life Balance</c:v>
                </c:pt>
                <c:pt idx="3">
                  <c:v>Recognition</c:v>
                </c:pt>
                <c:pt idx="4">
                  <c:v>Culture &amp; Belonging</c:v>
                </c:pt>
                <c:pt idx="5">
                  <c:v>Pay Fairness</c:v>
                </c:pt>
              </c:strCache>
            </c:strRef>
          </c:cat>
          <c:val>
            <c:numRef>
              <c:f>Calc_Engine!$M$94:$M$99</c:f>
              <c:numCache>
                <c:formatCode>0.00</c:formatCode>
                <c:ptCount val="6"/>
                <c:pt idx="0">
                  <c:v>3.2399082568807325</c:v>
                </c:pt>
                <c:pt idx="1">
                  <c:v>3.2779816513761473</c:v>
                </c:pt>
                <c:pt idx="2">
                  <c:v>3.2637614678899105</c:v>
                </c:pt>
                <c:pt idx="3">
                  <c:v>3.2548165137614689</c:v>
                </c:pt>
                <c:pt idx="4">
                  <c:v>3.2305045871559637</c:v>
                </c:pt>
                <c:pt idx="5">
                  <c:v>3.2410550458715592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9-4B4C-B340-DE3CA758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90001"/>
        <c:axId val="50090002"/>
      </c:barChart>
      <c:catAx>
        <c:axId val="5009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  <c:max val="5"/>
          <c:min val="1"/>
        </c:scaling>
        <c:delete val="0"/>
        <c:axPos val="t"/>
        <c:majorGridlines>
          <c:spPr>
            <a:ln>
              <a:solidFill>
                <a:srgbClr val="EDF0F4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Calc_Engine!$L$102</c:f>
          <c:strCache>
            <c:ptCount val="1"/>
            <c:pt idx="0">
              <c:v>Hires by Source (Filled Requisitions)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3C7DC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Calc_Engine!$L$104:$L$110</c:f>
              <c:strCache>
                <c:ptCount val="7"/>
                <c:pt idx="0">
                  <c:v>Employee Referral</c:v>
                </c:pt>
                <c:pt idx="1">
                  <c:v>LinkedIn</c:v>
                </c:pt>
                <c:pt idx="2">
                  <c:v>Job Portals</c:v>
                </c:pt>
                <c:pt idx="3">
                  <c:v>Consultancy</c:v>
                </c:pt>
                <c:pt idx="4">
                  <c:v>Campus</c:v>
                </c:pt>
                <c:pt idx="5">
                  <c:v>Careers Page</c:v>
                </c:pt>
                <c:pt idx="6">
                  <c:v>Internal Mobility</c:v>
                </c:pt>
              </c:strCache>
            </c:strRef>
          </c:cat>
          <c:val>
            <c:numRef>
              <c:f>Calc_Engine!$M$104:$M$110</c:f>
              <c:numCache>
                <c:formatCode>#,##0</c:formatCode>
                <c:ptCount val="7"/>
                <c:pt idx="0">
                  <c:v>13</c:v>
                </c:pt>
                <c:pt idx="1">
                  <c:v>16</c:v>
                </c:pt>
                <c:pt idx="2">
                  <c:v>17</c:v>
                </c:pt>
                <c:pt idx="3">
                  <c:v>11</c:v>
                </c:pt>
                <c:pt idx="4">
                  <c:v>8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C-4C64-8998-1A088A61A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100001"/>
        <c:axId val="50100002"/>
      </c:barChart>
      <c:catAx>
        <c:axId val="5010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t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10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Calc_Engine!$L$113</c:f>
          <c:strCache>
            <c:ptCount val="1"/>
            <c:pt idx="0">
              <c:v>Tenure Profile (Active)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9A23B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aseline="0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Calc_Engine!$L$115:$L$118</c:f>
              <c:strCache>
                <c:ptCount val="4"/>
                <c:pt idx="0">
                  <c:v>Under 1 Yr</c:v>
                </c:pt>
                <c:pt idx="1">
                  <c:v>1-3 Yrs</c:v>
                </c:pt>
                <c:pt idx="2">
                  <c:v>3-5 Yrs</c:v>
                </c:pt>
                <c:pt idx="3">
                  <c:v>5+ Yrs</c:v>
                </c:pt>
              </c:strCache>
            </c:strRef>
          </c:cat>
          <c:val>
            <c:numRef>
              <c:f>Calc_Engine!$M$115:$M$118</c:f>
              <c:numCache>
                <c:formatCode>#,##0</c:formatCode>
                <c:ptCount val="4"/>
                <c:pt idx="0">
                  <c:v>101</c:v>
                </c:pt>
                <c:pt idx="1">
                  <c:v>165</c:v>
                </c:pt>
                <c:pt idx="2">
                  <c:v>107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F-4F1B-9A46-D33E560F3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110001"/>
        <c:axId val="50110002"/>
      </c:barChart>
      <c:catAx>
        <c:axId val="501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>
          <c:spPr>
            <a:ln>
              <a:solidFill>
                <a:srgbClr val="EDF0F4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spPr>
          <a:ln>
            <a:solidFill>
              <a:srgbClr val="C9D1DC"/>
            </a:solidFill>
          </a:ln>
        </c:spPr>
        <c:txPr>
          <a:bodyPr/>
          <a:lstStyle/>
          <a:p>
            <a:pPr>
              <a:defRPr sz="800" baseline="0">
                <a:solidFill>
                  <a:srgbClr val="5B6B7F"/>
                </a:solidFill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</c:valAx>
      <c:spPr>
        <a:solidFill>
          <a:srgbClr val="FFFF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Calc_Engine!$L$121</c:f>
          <c:strCache>
            <c:ptCount val="1"/>
            <c:pt idx="0">
              <c:v>Flight Risk (Active) · All Departments</c:v>
            </c:pt>
          </c:strCache>
        </c:strRef>
      </c:tx>
      <c:overlay val="0"/>
      <c:txPr>
        <a:bodyPr/>
        <a:lstStyle/>
        <a:p>
          <a:pPr>
            <a:defRPr sz="1100" b="1" baseline="0">
              <a:solidFill>
                <a:srgbClr val="1B2A41"/>
              </a:solidFill>
              <a:latin typeface="Arial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D1495B"/>
              </a:solidFill>
            </c:spPr>
            <c:extLst>
              <c:ext xmlns:c16="http://schemas.microsoft.com/office/drawing/2014/chart" uri="{C3380CC4-5D6E-409C-BE32-E72D297353CC}">
                <c16:uniqueId val="{00000000-62F5-4F7D-9AB2-596702A9EF7B}"/>
              </c:ext>
            </c:extLst>
          </c:dPt>
          <c:dPt>
            <c:idx val="1"/>
            <c:bubble3D val="0"/>
            <c:spPr>
              <a:solidFill>
                <a:srgbClr val="E9A23B"/>
              </a:solidFill>
            </c:spPr>
            <c:extLst>
              <c:ext xmlns:c16="http://schemas.microsoft.com/office/drawing/2014/chart" uri="{C3380CC4-5D6E-409C-BE32-E72D297353CC}">
                <c16:uniqueId val="{00000001-62F5-4F7D-9AB2-596702A9EF7B}"/>
              </c:ext>
            </c:extLst>
          </c:dPt>
          <c:dPt>
            <c:idx val="2"/>
            <c:bubble3D val="0"/>
            <c:spPr>
              <a:solidFill>
                <a:srgbClr val="1F8A70"/>
              </a:solidFill>
            </c:spPr>
            <c:extLst>
              <c:ext xmlns:c16="http://schemas.microsoft.com/office/drawing/2014/chart" uri="{C3380CC4-5D6E-409C-BE32-E72D297353CC}">
                <c16:uniqueId val="{00000002-62F5-4F7D-9AB2-596702A9EF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Calc_Engine!$L$123:$L$125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Calc_Engine!$M$123:$M$125</c:f>
              <c:numCache>
                <c:formatCode>#,##0</c:formatCode>
                <c:ptCount val="3"/>
                <c:pt idx="0">
                  <c:v>27</c:v>
                </c:pt>
                <c:pt idx="1">
                  <c:v>138</c:v>
                </c:pt>
                <c:pt idx="2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F5-4F7D-9AB2-596702A9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rtl="0">
            <a:defRPr sz="9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solidFill>
        <a:srgbClr val="C9D1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34</xdr:row>
      <xdr:rowOff>38100</xdr:rowOff>
    </xdr:from>
    <xdr:to>
      <xdr:col>7</xdr:col>
      <xdr:colOff>638175</xdr:colOff>
      <xdr:row>50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34</xdr:row>
      <xdr:rowOff>38100</xdr:rowOff>
    </xdr:from>
    <xdr:to>
      <xdr:col>14</xdr:col>
      <xdr:colOff>638175</xdr:colOff>
      <xdr:row>50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28575</xdr:colOff>
      <xdr:row>34</xdr:row>
      <xdr:rowOff>38100</xdr:rowOff>
    </xdr:from>
    <xdr:to>
      <xdr:col>21</xdr:col>
      <xdr:colOff>638175</xdr:colOff>
      <xdr:row>50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51</xdr:row>
      <xdr:rowOff>38100</xdr:rowOff>
    </xdr:from>
    <xdr:to>
      <xdr:col>7</xdr:col>
      <xdr:colOff>638175</xdr:colOff>
      <xdr:row>67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</xdr:colOff>
      <xdr:row>51</xdr:row>
      <xdr:rowOff>38100</xdr:rowOff>
    </xdr:from>
    <xdr:to>
      <xdr:col>14</xdr:col>
      <xdr:colOff>638175</xdr:colOff>
      <xdr:row>67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28575</xdr:colOff>
      <xdr:row>51</xdr:row>
      <xdr:rowOff>38100</xdr:rowOff>
    </xdr:from>
    <xdr:to>
      <xdr:col>21</xdr:col>
      <xdr:colOff>638175</xdr:colOff>
      <xdr:row>67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28575</xdr:colOff>
      <xdr:row>68</xdr:row>
      <xdr:rowOff>38100</xdr:rowOff>
    </xdr:from>
    <xdr:to>
      <xdr:col>7</xdr:col>
      <xdr:colOff>638175</xdr:colOff>
      <xdr:row>84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28575</xdr:colOff>
      <xdr:row>68</xdr:row>
      <xdr:rowOff>38100</xdr:rowOff>
    </xdr:from>
    <xdr:to>
      <xdr:col>14</xdr:col>
      <xdr:colOff>638175</xdr:colOff>
      <xdr:row>84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28575</xdr:colOff>
      <xdr:row>68</xdr:row>
      <xdr:rowOff>38100</xdr:rowOff>
    </xdr:from>
    <xdr:to>
      <xdr:col>21</xdr:col>
      <xdr:colOff>638175</xdr:colOff>
      <xdr:row>84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28575</xdr:colOff>
      <xdr:row>85</xdr:row>
      <xdr:rowOff>38100</xdr:rowOff>
    </xdr:from>
    <xdr:to>
      <xdr:col>7</xdr:col>
      <xdr:colOff>638175</xdr:colOff>
      <xdr:row>101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28575</xdr:colOff>
      <xdr:row>85</xdr:row>
      <xdr:rowOff>38100</xdr:rowOff>
    </xdr:from>
    <xdr:to>
      <xdr:col>14</xdr:col>
      <xdr:colOff>638175</xdr:colOff>
      <xdr:row>101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28575</xdr:colOff>
      <xdr:row>85</xdr:row>
      <xdr:rowOff>38100</xdr:rowOff>
    </xdr:from>
    <xdr:to>
      <xdr:col>21</xdr:col>
      <xdr:colOff>638175</xdr:colOff>
      <xdr:row>101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5B6B7F"/>
  </sheetPr>
  <dimension ref="B1:C30"/>
  <sheetViews>
    <sheetView showGridLines="0" workbookViewId="0"/>
  </sheetViews>
  <sheetFormatPr defaultRowHeight="14.4" x14ac:dyDescent="0.3"/>
  <cols>
    <col min="1" max="1" width="2.6640625" customWidth="1"/>
    <col min="2" max="2" width="26.6640625" customWidth="1"/>
    <col min="3" max="3" width="100.6640625" customWidth="1"/>
  </cols>
  <sheetData>
    <row r="1" spans="2:3" ht="37.950000000000003" customHeight="1" x14ac:dyDescent="0.3">
      <c r="B1" s="85" t="s">
        <v>2038</v>
      </c>
      <c r="C1" s="85"/>
    </row>
    <row r="2" spans="2:3" x14ac:dyDescent="0.3">
      <c r="B2" s="91" t="s">
        <v>2039</v>
      </c>
      <c r="C2" s="91"/>
    </row>
    <row r="5" spans="2:3" x14ac:dyDescent="0.3">
      <c r="B5" s="90" t="s">
        <v>2040</v>
      </c>
      <c r="C5" s="90"/>
    </row>
    <row r="6" spans="2:3" ht="34.049999999999997" customHeight="1" x14ac:dyDescent="0.3">
      <c r="B6" s="2" t="s">
        <v>2041</v>
      </c>
      <c r="C6" s="3" t="s">
        <v>2042</v>
      </c>
    </row>
    <row r="7" spans="2:3" ht="34.049999999999997" customHeight="1" x14ac:dyDescent="0.3">
      <c r="B7" s="2" t="s">
        <v>2043</v>
      </c>
      <c r="C7" s="3" t="s">
        <v>2044</v>
      </c>
    </row>
    <row r="8" spans="2:3" ht="34.049999999999997" customHeight="1" x14ac:dyDescent="0.3">
      <c r="B8" s="2" t="s">
        <v>2045</v>
      </c>
      <c r="C8" s="3" t="s">
        <v>2046</v>
      </c>
    </row>
    <row r="9" spans="2:3" ht="34.049999999999997" customHeight="1" x14ac:dyDescent="0.3">
      <c r="B9" s="2" t="s">
        <v>2047</v>
      </c>
      <c r="C9" s="3" t="s">
        <v>2048</v>
      </c>
    </row>
    <row r="10" spans="2:3" ht="49.05" customHeight="1" x14ac:dyDescent="0.3">
      <c r="B10" s="2" t="s">
        <v>2049</v>
      </c>
      <c r="C10" s="3" t="s">
        <v>2050</v>
      </c>
    </row>
    <row r="12" spans="2:3" x14ac:dyDescent="0.3">
      <c r="B12" s="90" t="s">
        <v>2051</v>
      </c>
      <c r="C12" s="90"/>
    </row>
    <row r="13" spans="2:3" ht="34.049999999999997" customHeight="1" x14ac:dyDescent="0.3">
      <c r="B13" s="2" t="s">
        <v>2052</v>
      </c>
      <c r="C13" s="3" t="s">
        <v>2053</v>
      </c>
    </row>
    <row r="14" spans="2:3" ht="34.049999999999997" customHeight="1" x14ac:dyDescent="0.3">
      <c r="B14" s="2" t="s">
        <v>1761</v>
      </c>
      <c r="C14" s="3" t="s">
        <v>2054</v>
      </c>
    </row>
    <row r="15" spans="2:3" ht="34.049999999999997" customHeight="1" x14ac:dyDescent="0.3">
      <c r="B15" s="2" t="s">
        <v>2055</v>
      </c>
      <c r="C15" s="3" t="s">
        <v>2056</v>
      </c>
    </row>
    <row r="16" spans="2:3" ht="34.049999999999997" customHeight="1" x14ac:dyDescent="0.3">
      <c r="B16" s="2" t="s">
        <v>2057</v>
      </c>
      <c r="C16" s="3" t="s">
        <v>2058</v>
      </c>
    </row>
    <row r="17" spans="2:3" ht="34.049999999999997" customHeight="1" x14ac:dyDescent="0.3">
      <c r="B17" s="2" t="s">
        <v>2059</v>
      </c>
      <c r="C17" s="3" t="s">
        <v>2060</v>
      </c>
    </row>
    <row r="18" spans="2:3" ht="34.049999999999997" customHeight="1" x14ac:dyDescent="0.3">
      <c r="B18" s="2" t="s">
        <v>2018</v>
      </c>
      <c r="C18" s="3" t="s">
        <v>2061</v>
      </c>
    </row>
    <row r="19" spans="2:3" ht="34.049999999999997" customHeight="1" x14ac:dyDescent="0.3">
      <c r="B19" s="2" t="s">
        <v>2062</v>
      </c>
      <c r="C19" s="3" t="s">
        <v>2063</v>
      </c>
    </row>
    <row r="20" spans="2:3" ht="34.049999999999997" customHeight="1" x14ac:dyDescent="0.3">
      <c r="B20" s="2" t="s">
        <v>2064</v>
      </c>
      <c r="C20" s="3" t="s">
        <v>2065</v>
      </c>
    </row>
    <row r="21" spans="2:3" ht="34.049999999999997" customHeight="1" x14ac:dyDescent="0.3">
      <c r="B21" s="2" t="s">
        <v>2066</v>
      </c>
      <c r="C21" s="3" t="s">
        <v>2067</v>
      </c>
    </row>
    <row r="23" spans="2:3" x14ac:dyDescent="0.3">
      <c r="B23" s="90" t="s">
        <v>2068</v>
      </c>
      <c r="C23" s="90"/>
    </row>
    <row r="24" spans="2:3" ht="64.05" customHeight="1" x14ac:dyDescent="0.3">
      <c r="B24" s="2" t="s">
        <v>2069</v>
      </c>
      <c r="C24" s="3" t="s">
        <v>2070</v>
      </c>
    </row>
    <row r="25" spans="2:3" ht="49.05" customHeight="1" x14ac:dyDescent="0.3">
      <c r="B25" s="2" t="s">
        <v>2071</v>
      </c>
      <c r="C25" s="3" t="s">
        <v>2072</v>
      </c>
    </row>
    <row r="27" spans="2:3" x14ac:dyDescent="0.3">
      <c r="B27" s="90" t="s">
        <v>2073</v>
      </c>
      <c r="C27" s="90"/>
    </row>
    <row r="28" spans="2:3" ht="19.05" customHeight="1" x14ac:dyDescent="0.3">
      <c r="B28" s="2" t="s">
        <v>2074</v>
      </c>
      <c r="C28" s="3" t="s">
        <v>2075</v>
      </c>
    </row>
    <row r="29" spans="2:3" ht="19.05" customHeight="1" x14ac:dyDescent="0.3">
      <c r="B29" s="2" t="s">
        <v>2076</v>
      </c>
      <c r="C29" s="3" t="s">
        <v>2077</v>
      </c>
    </row>
    <row r="30" spans="2:3" ht="19.05" customHeight="1" x14ac:dyDescent="0.3">
      <c r="B30" s="2" t="s">
        <v>2078</v>
      </c>
      <c r="C30" s="3" t="s">
        <v>2079</v>
      </c>
    </row>
  </sheetData>
  <mergeCells count="6">
    <mergeCell ref="B27:C27"/>
    <mergeCell ref="B1:C1"/>
    <mergeCell ref="B2:C2"/>
    <mergeCell ref="B5:C5"/>
    <mergeCell ref="B12:C12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1F8A70"/>
    <pageSetUpPr fitToPage="1"/>
  </sheetPr>
  <dimension ref="B1:V118"/>
  <sheetViews>
    <sheetView showGridLines="0" tabSelected="1" zoomScale="80" zoomScaleNormal="8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.6640625" customWidth="1"/>
    <col min="2" max="22" width="10" customWidth="1"/>
    <col min="23" max="23" width="2.6640625" customWidth="1"/>
  </cols>
  <sheetData>
    <row r="1" spans="2:22" ht="37.950000000000003" customHeight="1" x14ac:dyDescent="0.3">
      <c r="B1" s="85" t="s">
        <v>1963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2:22" ht="19.95" customHeight="1" x14ac:dyDescent="0.3">
      <c r="B2" s="1" t="str">
        <f>"   SampleCorp (fictional sample data)  ·  500 employees  ·  As of "&amp;TEXT(AsOf,"dd-mmm-yyyy")&amp;"  ·  Viewing: "&amp;SelLabel</f>
        <v xml:space="preserve">   SampleCorp (fictional sample data)  ·  500 employees  ·  As of 30-Sep-2026  ·  Viewing: All Departments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22" ht="7.95" customHeight="1" x14ac:dyDescent="0.3"/>
    <row r="4" spans="2:22" ht="28.05" customHeight="1" x14ac:dyDescent="0.3">
      <c r="B4" s="86" t="s">
        <v>1964</v>
      </c>
      <c r="C4" s="86"/>
      <c r="D4" s="87" t="s">
        <v>38</v>
      </c>
      <c r="E4" s="87"/>
      <c r="F4" s="87"/>
      <c r="G4" s="87"/>
      <c r="H4" s="86" t="s">
        <v>1965</v>
      </c>
      <c r="I4" s="86"/>
      <c r="J4" s="87" t="s">
        <v>1966</v>
      </c>
      <c r="K4" s="87"/>
      <c r="L4" s="87"/>
      <c r="M4" s="87"/>
      <c r="N4" s="87"/>
      <c r="O4" s="88" t="s">
        <v>1967</v>
      </c>
      <c r="P4" s="88"/>
      <c r="Q4" s="88"/>
      <c r="R4" s="88"/>
      <c r="S4" s="88"/>
      <c r="T4" s="88"/>
      <c r="U4" s="88"/>
      <c r="V4" s="88"/>
    </row>
    <row r="5" spans="2:22" ht="30" customHeight="1" x14ac:dyDescent="0.3">
      <c r="B5" s="89" t="s">
        <v>1968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2:22" ht="25.95" customHeight="1" x14ac:dyDescent="0.3">
      <c r="B6" s="80" t="s">
        <v>1969</v>
      </c>
      <c r="C6" s="80"/>
      <c r="D6" s="80"/>
      <c r="E6" s="80" t="s">
        <v>1970</v>
      </c>
      <c r="F6" s="80"/>
      <c r="G6" s="80"/>
      <c r="H6" s="80" t="s">
        <v>1971</v>
      </c>
      <c r="I6" s="80"/>
      <c r="J6" s="80"/>
      <c r="K6" s="80" t="s">
        <v>1972</v>
      </c>
      <c r="L6" s="80"/>
      <c r="M6" s="80"/>
      <c r="N6" s="80" t="s">
        <v>1973</v>
      </c>
      <c r="O6" s="80"/>
      <c r="P6" s="80"/>
      <c r="Q6" s="80" t="s">
        <v>1974</v>
      </c>
      <c r="R6" s="80"/>
      <c r="S6" s="80"/>
      <c r="T6" s="80" t="s">
        <v>1975</v>
      </c>
      <c r="U6" s="80"/>
      <c r="V6" s="80"/>
    </row>
    <row r="7" spans="2:22" ht="36" customHeight="1" x14ac:dyDescent="0.3">
      <c r="B7" s="84">
        <f>COUNTIFS(M_Dept,SelCrit)</f>
        <v>500</v>
      </c>
      <c r="C7" s="84"/>
      <c r="D7" s="84"/>
      <c r="E7" s="84">
        <f>COUNTIFS(M_Dept,SelCrit,M_Status,"Active")</f>
        <v>436</v>
      </c>
      <c r="F7" s="84"/>
      <c r="G7" s="84"/>
      <c r="H7" s="84">
        <f>COUNTIFS(X_Dept,SelCrit)</f>
        <v>64</v>
      </c>
      <c r="I7" s="84"/>
      <c r="J7" s="84"/>
      <c r="K7" s="82">
        <f>IFERROR(COUNTIFS(X_Dept,SelCrit)/((COUNTIFS(M_Dept,SelCrit,M_DOJ,"&lt;"&amp;PeriodStart)+COUNTIFS(M_Dept,SelCrit,M_Status,"Active"))/2),0)</f>
        <v>0.15705521472392639</v>
      </c>
      <c r="L7" s="82"/>
      <c r="M7" s="82"/>
      <c r="N7" s="84">
        <f>COUNTIFS(M_Dept,SelCrit,M_DOJ,"&gt;="&amp;PeriodStart)</f>
        <v>121</v>
      </c>
      <c r="O7" s="84"/>
      <c r="P7" s="84"/>
      <c r="Q7" s="81">
        <f>IFERROR(AVERAGEIFS(M_Tenure,M_Dept,SelCrit,M_Status,"Active"),0)</f>
        <v>2.6311926605504588</v>
      </c>
      <c r="R7" s="81"/>
      <c r="S7" s="81"/>
      <c r="T7" s="82">
        <f>IFERROR(COUNTIFS(M_Dept,SelCrit,M_Gender,"Female",M_Status,"Active")/COUNTIFS(M_Dept,SelCrit,M_Status,"Active"),0)</f>
        <v>0.46559633027522934</v>
      </c>
      <c r="U7" s="82"/>
      <c r="V7" s="82"/>
    </row>
    <row r="8" spans="2:22" ht="25.95" customHeight="1" x14ac:dyDescent="0.3">
      <c r="B8" s="67" t="str">
        <f>"Includes "&amp;COUNTIFS(X_Dept,SelCrit)&amp;" who exited"</f>
        <v>Includes 64 who exited</v>
      </c>
      <c r="C8" s="67"/>
      <c r="D8" s="67"/>
      <c r="E8" s="67" t="str">
        <f>"Contract staff: "&amp;COUNTIFS(M_Dept,SelCrit,M_Status,"Active",M_Type,"Contract")</f>
        <v>Contract staff: 28</v>
      </c>
      <c r="F8" s="67"/>
      <c r="G8" s="67"/>
      <c r="H8" s="67" t="str">
        <f>"Voluntary "&amp;COUNTIFS(X_Dept,SelCrit,X_Type,"Voluntary")&amp;" · Regrettable "&amp;COUNTIFS(X_Dept,SelCrit,X_Regret,"Yes")</f>
        <v>Voluntary 52 · Regrettable 28</v>
      </c>
      <c r="I8" s="67"/>
      <c r="J8" s="67"/>
      <c r="K8" s="67" t="str">
        <f>"Exits ÷ average headcount"</f>
        <v>Exits ÷ average headcount</v>
      </c>
      <c r="L8" s="67"/>
      <c r="M8" s="67"/>
      <c r="N8" s="67" t="str">
        <f>"Joined since "&amp;TEXT(PeriodStart,"dd-mmm-yy")</f>
        <v>Joined since 30-Sep-25</v>
      </c>
      <c r="O8" s="67"/>
      <c r="P8" s="67"/>
      <c r="Q8" s="67" t="str">
        <f>"Under 1 year: "&amp;COUNTIFS(M_Dept,SelCrit,M_TBand,"Under 1 Yr",M_Status,"Active")&amp;" people"</f>
        <v>Under 1 year: 101 people</v>
      </c>
      <c r="R8" s="67"/>
      <c r="S8" s="67"/>
      <c r="T8" s="67" t="str">
        <f>"Women "&amp;COUNTIFS(M_Dept,SelCrit,M_Gender,"Female",M_Status,"Active")&amp;" · Men "&amp;COUNTIFS(M_Dept,SelCrit,M_Gender,"Male",M_Status,"Active")</f>
        <v>Women 203 · Men 233</v>
      </c>
      <c r="U8" s="67"/>
      <c r="V8" s="67"/>
    </row>
    <row r="9" spans="2:22" ht="7.95" customHeight="1" x14ac:dyDescent="0.3"/>
    <row r="10" spans="2:22" ht="25.95" customHeight="1" x14ac:dyDescent="0.3">
      <c r="B10" s="74" t="s">
        <v>1976</v>
      </c>
      <c r="C10" s="74"/>
      <c r="D10" s="74"/>
      <c r="E10" s="74" t="s">
        <v>1977</v>
      </c>
      <c r="F10" s="74"/>
      <c r="G10" s="74"/>
      <c r="H10" s="74" t="s">
        <v>1978</v>
      </c>
      <c r="I10" s="74"/>
      <c r="J10" s="74"/>
      <c r="K10" s="74" t="s">
        <v>1979</v>
      </c>
      <c r="L10" s="74"/>
      <c r="M10" s="74"/>
      <c r="N10" s="74" t="s">
        <v>1980</v>
      </c>
      <c r="O10" s="74"/>
      <c r="P10" s="74"/>
      <c r="Q10" s="74" t="s">
        <v>1981</v>
      </c>
      <c r="R10" s="74"/>
      <c r="S10" s="74"/>
      <c r="T10" s="74" t="s">
        <v>1982</v>
      </c>
      <c r="U10" s="74"/>
      <c r="V10" s="74"/>
    </row>
    <row r="11" spans="2:22" ht="36" customHeight="1" x14ac:dyDescent="0.3">
      <c r="B11" s="83">
        <f>IFERROR(AVERAGEIFS(P_Rating,P_Dept,SelCrit),0)</f>
        <v>3.234</v>
      </c>
      <c r="C11" s="83"/>
      <c r="D11" s="83"/>
      <c r="E11" s="78">
        <f>COUNTIFS(P_Dept,SelCrit,P_Elig,"Eligible")</f>
        <v>82</v>
      </c>
      <c r="F11" s="78"/>
      <c r="G11" s="78"/>
      <c r="H11" s="75">
        <f>IFERROR(COUNTIFS(P_Dept,SelCrit,P_Rating,"&gt;=4",P_Status,"Active")/COUNTIFS(M_Dept,SelCrit,M_Status,"Active"),0)</f>
        <v>0.3922018348623853</v>
      </c>
      <c r="I11" s="75"/>
      <c r="J11" s="75"/>
      <c r="K11" s="79">
        <f>IFERROR(AVERAGEIFS(C_CTC,C_Dept,SelCrit,C_Status,"Active")/100000,0)</f>
        <v>16.457752293577983</v>
      </c>
      <c r="L11" s="79"/>
      <c r="M11" s="79"/>
      <c r="N11" s="83">
        <f>IFERROR(AVERAGEIFS(C_Compa,C_Dept,SelCrit,C_Status,"Active"),0)</f>
        <v>0.96871559633027549</v>
      </c>
      <c r="O11" s="83"/>
      <c r="P11" s="83"/>
      <c r="Q11" s="75">
        <f>IFERROR(AVERAGEIFS(A_Att,A_Dept,SelCrit,A_Status,"Active"),0)</f>
        <v>0.89245868251454119</v>
      </c>
      <c r="R11" s="75"/>
      <c r="S11" s="75"/>
      <c r="T11" s="76">
        <f>IFERROR((COUNTIFS(E_Dept,SelCrit,E_Cat,"Promoter",E_Status,"Active",E_Survey,"Yes")-COUNTIFS(E_Dept,SelCrit,E_Cat,"Detractor",E_Status,"Active",E_Survey,"Yes"))/COUNTIFS(E_Dept,SelCrit,E_Status,"Active",E_Survey,"Yes")*100,0)</f>
        <v>22.727272727272727</v>
      </c>
      <c r="U11" s="76"/>
      <c r="V11" s="76"/>
    </row>
    <row r="12" spans="2:22" ht="25.95" customHeight="1" x14ac:dyDescent="0.3">
      <c r="B12" s="67" t="str">
        <f>"Low performers (1-2): "&amp;COUNTIFS(P_Dept,SelCrit,P_Rating,"&lt;=2")</f>
        <v>Low performers (1-2): 95</v>
      </c>
      <c r="C12" s="67"/>
      <c r="D12" s="67"/>
      <c r="E12" s="67" t="str">
        <f>TEXT(IFERROR(COUNTIFS(P_Dept,SelCrit,P_Elig,"Eligible")/COUNTIFS(M_Dept,SelCrit,M_Status,"Active"),0),"0.0%")&amp;" of active headcount"</f>
        <v>18.8% of active headcount</v>
      </c>
      <c r="F12" s="67"/>
      <c r="G12" s="67"/>
      <c r="H12" s="67" t="str">
        <f>COUNTIFS(P_Dept,SelCrit,P_Rating,"&gt;=4",P_Status,"Active")&amp;" active employees"</f>
        <v>171 active employees</v>
      </c>
      <c r="I12" s="67"/>
      <c r="J12" s="67"/>
      <c r="K12" s="67" t="str">
        <f>"Annual payroll ₹"&amp;TEXT(SUMIFS(C_CTC,C_Dept,SelCrit,C_Status,"Active")/10000000,"0.00")&amp;" Cr"</f>
        <v>Annual payroll ₹71.76 Cr</v>
      </c>
      <c r="L12" s="67"/>
      <c r="M12" s="67"/>
      <c r="N12" s="67" t="str">
        <f>"Below band: "&amp;COUNTIFS(C_Dept,SelCrit,C_Pos,"Below Band",C_Status,"Active")&amp;" · Above: "&amp;COUNTIFS(C_Dept,SelCrit,C_Pos,"Above Band",C_Status,"Active")</f>
        <v>Below band: 10 · Above: 6</v>
      </c>
      <c r="O12" s="67"/>
      <c r="P12" s="67"/>
      <c r="Q12" s="67" t="str">
        <f>"Avg unplanned leave "&amp;TEXT(IFERROR(AVERAGEIFS(A_Unpl,A_Dept,SelCrit,A_Status,"Active"),0),"0.0")&amp;" days"</f>
        <v>Avg unplanned leave 3.1 days</v>
      </c>
      <c r="R12" s="67"/>
      <c r="S12" s="67"/>
      <c r="T12" s="67" t="str">
        <f>"Promoters "&amp;COUNTIFS(E_Dept,SelCrit,E_Cat,"Promoter",E_Status,"Active",E_Survey,"Yes")&amp;" · Detractors "&amp;COUNTIFS(E_Dept,SelCrit,E_Cat,"Detractor",E_Status,"Active",E_Survey,"Yes")</f>
        <v>Promoters 148 · Detractors 63</v>
      </c>
      <c r="U12" s="67"/>
      <c r="V12" s="67"/>
    </row>
    <row r="13" spans="2:22" ht="7.95" customHeight="1" x14ac:dyDescent="0.3"/>
    <row r="14" spans="2:22" ht="25.95" customHeight="1" x14ac:dyDescent="0.3">
      <c r="B14" s="68" t="s">
        <v>1983</v>
      </c>
      <c r="C14" s="68"/>
      <c r="D14" s="68"/>
      <c r="E14" s="68" t="s">
        <v>1984</v>
      </c>
      <c r="F14" s="68"/>
      <c r="G14" s="68"/>
      <c r="H14" s="68" t="s">
        <v>1985</v>
      </c>
      <c r="I14" s="68"/>
      <c r="J14" s="68"/>
      <c r="K14" s="68" t="s">
        <v>1986</v>
      </c>
      <c r="L14" s="68"/>
      <c r="M14" s="68"/>
      <c r="N14" s="68" t="s">
        <v>1987</v>
      </c>
      <c r="O14" s="68"/>
      <c r="P14" s="68"/>
      <c r="Q14" s="68" t="s">
        <v>1988</v>
      </c>
      <c r="R14" s="68"/>
      <c r="S14" s="68"/>
      <c r="T14" s="68" t="s">
        <v>1989</v>
      </c>
      <c r="U14" s="68"/>
      <c r="V14" s="68"/>
    </row>
    <row r="15" spans="2:22" ht="36" customHeight="1" x14ac:dyDescent="0.3">
      <c r="B15" s="77">
        <f>IFERROR(AVERAGEIFS(T_Hours,T_Dept,SelCrit),0)</f>
        <v>27.745999999999999</v>
      </c>
      <c r="C15" s="77"/>
      <c r="D15" s="77"/>
      <c r="E15" s="71">
        <f>IFERROR(COUNTIFS(T_Dept,SelCrit,T_Comp,"Compliant",T_Status,"Active")/COUNTIFS(M_Dept,SelCrit,M_Status,"Active"),0)</f>
        <v>0.86926605504587151</v>
      </c>
      <c r="F15" s="71"/>
      <c r="G15" s="71"/>
      <c r="H15" s="72">
        <f>IFERROR(AVERAGEIFS(E_Overall,E_Dept,SelCrit,E_Status,"Active"),0)</f>
        <v>3.251284403669723</v>
      </c>
      <c r="I15" s="72"/>
      <c r="J15" s="72"/>
      <c r="K15" s="73">
        <f>COUNTIFS(E_Dept,SelCrit,E_Risk,"High")</f>
        <v>27</v>
      </c>
      <c r="L15" s="73"/>
      <c r="M15" s="73"/>
      <c r="N15" s="73">
        <f>COUNTIFS(R_Dept,SelCrit,R_Status,"Open")</f>
        <v>43</v>
      </c>
      <c r="O15" s="73"/>
      <c r="P15" s="73"/>
      <c r="Q15" s="69">
        <f>IFERROR(AVERAGEIFS(R_TTF,R_Dept,SelCrit,R_Status,"Filled"),0)</f>
        <v>41.025974025974023</v>
      </c>
      <c r="R15" s="69"/>
      <c r="S15" s="69"/>
      <c r="T15" s="70">
        <f>IFERROR(SUMIFS(R_Acc,R_Dept,SelCrit)/SUMIFS(R_Offers,R_Dept,SelCrit),0)</f>
        <v>0.63114754098360659</v>
      </c>
      <c r="U15" s="70"/>
      <c r="V15" s="70"/>
    </row>
    <row r="16" spans="2:22" ht="25.95" customHeight="1" x14ac:dyDescent="0.3">
      <c r="B16" s="67" t="str">
        <f>"Spend ₹"&amp;TEXT(SUMIFS(T_Cost,T_Dept,SelCrit)/100000,"0.0")&amp;" L · "&amp;TEXT(SUMIFS(T_Hours,T_Dept,SelCrit),"#,##0")&amp;" hrs"</f>
        <v>Spend ₹98.6 L · 13,873 hrs</v>
      </c>
      <c r="C16" s="67"/>
      <c r="D16" s="67"/>
      <c r="E16" s="67" t="str">
        <f>"Pending (POSH / InfoSec): "&amp;COUNTIFS(T_Dept,SelCrit,T_Comp,"Pending",T_Status,"Active")</f>
        <v>Pending (POSH / InfoSec): 57</v>
      </c>
      <c r="F16" s="67"/>
      <c r="G16" s="67"/>
      <c r="H16" s="67" t="str">
        <f>"Survey participation "&amp;TEXT(IFERROR(COUNTIFS(E_Dept,SelCrit,E_Survey,"Yes",E_Status,"Active")/COUNTIFS(M_Dept,SelCrit,M_Status,"Active"),0),"0%")</f>
        <v>Survey participation 86%</v>
      </c>
      <c r="I16" s="67"/>
      <c r="J16" s="67"/>
      <c r="K16" s="67" t="str">
        <f>"Of which rated 4-5: "&amp;COUNTIFS(E_Dept,SelCrit,E_Risk,"High",E_Rating,"&gt;=4")</f>
        <v>Of which rated 4-5: 13</v>
      </c>
      <c r="L16" s="67"/>
      <c r="M16" s="67"/>
      <c r="N16" s="67" t="str">
        <f>"High priority: "&amp;COUNTIFS(R_Dept,SelCrit,R_Status,"Open",R_Prio,"High")&amp;" · On hold: "&amp;COUNTIFS(R_Dept,SelCrit,R_Status,"On Hold")</f>
        <v>High priority: 10 · On hold: 11</v>
      </c>
      <c r="O16" s="67"/>
      <c r="P16" s="67"/>
      <c r="Q16" s="67" t="str">
        <f>"Filled requisitions: "&amp;COUNTIFS(R_Dept,SelCrit,R_Status,"Filled")</f>
        <v>Filled requisitions: 77</v>
      </c>
      <c r="R16" s="67"/>
      <c r="S16" s="67"/>
      <c r="T16" s="67" t="str">
        <f>"Avg cost per hire ₹"&amp;TEXT(IFERROR(AVERAGEIFS(R_Cost,R_Dept,SelCrit,R_Status,"Filled"),0),"#,##0")</f>
        <v>Avg cost per hire ₹29,143</v>
      </c>
      <c r="U16" s="67"/>
      <c r="V16" s="67"/>
    </row>
    <row r="17" spans="2:22" ht="7.95" customHeight="1" x14ac:dyDescent="0.3"/>
    <row r="19" spans="2:22" ht="15.6" x14ac:dyDescent="0.3">
      <c r="B19" s="47" t="s">
        <v>1990</v>
      </c>
      <c r="C19" s="47"/>
      <c r="D19" s="47"/>
      <c r="E19" s="47"/>
      <c r="F19" s="47"/>
      <c r="G19" s="47"/>
      <c r="H19" s="47"/>
      <c r="I19" s="47"/>
      <c r="J19" s="47"/>
      <c r="K19" s="47"/>
      <c r="M19" s="47" t="s">
        <v>1991</v>
      </c>
      <c r="N19" s="47"/>
      <c r="O19" s="47"/>
      <c r="P19" s="47"/>
      <c r="Q19" s="47"/>
      <c r="R19" s="47"/>
      <c r="S19" s="47"/>
      <c r="T19" s="47"/>
      <c r="U19" s="47"/>
      <c r="V19" s="47"/>
    </row>
    <row r="20" spans="2:22" ht="21" customHeight="1" x14ac:dyDescent="0.3">
      <c r="B20" s="60" t="s">
        <v>1992</v>
      </c>
      <c r="C20" s="60"/>
      <c r="D20" s="62" t="str">
        <f>SelEmp</f>
        <v>EMP1001</v>
      </c>
      <c r="E20" s="62"/>
      <c r="F20" s="62"/>
      <c r="G20" s="60" t="s">
        <v>50</v>
      </c>
      <c r="H20" s="60"/>
      <c r="I20" s="62" t="str">
        <f>INDEX(P_Rating,SelRow)&amp;" - "&amp;INDEX(P_Label,SelRow)</f>
        <v>5 - Outstanding</v>
      </c>
      <c r="J20" s="62"/>
      <c r="K20" s="62"/>
      <c r="M20" s="4"/>
      <c r="N20" s="50" t="s">
        <v>2003</v>
      </c>
      <c r="O20" s="50"/>
      <c r="P20" s="50"/>
      <c r="Q20" s="50" t="s">
        <v>2004</v>
      </c>
      <c r="R20" s="50"/>
      <c r="S20" s="50"/>
      <c r="T20" s="50" t="s">
        <v>2005</v>
      </c>
      <c r="U20" s="50"/>
      <c r="V20" s="50"/>
    </row>
    <row r="21" spans="2:22" ht="21" customHeight="1" x14ac:dyDescent="0.3">
      <c r="B21" s="60" t="s">
        <v>1993</v>
      </c>
      <c r="C21" s="60"/>
      <c r="D21" s="62" t="str">
        <f>INDEX(M_Name,SelRow)</f>
        <v>Vidya Kulkarni</v>
      </c>
      <c r="E21" s="62"/>
      <c r="F21" s="62"/>
      <c r="G21" s="60" t="s">
        <v>1994</v>
      </c>
      <c r="H21" s="60"/>
      <c r="I21" s="62" t="str">
        <f>INDEX(P_Prev,SelRow)&amp;" · "&amp;INDEX(P_Trend,SelRow)</f>
        <v>5 · Stable</v>
      </c>
      <c r="J21" s="62"/>
      <c r="K21" s="62"/>
      <c r="M21" s="51" t="s">
        <v>2006</v>
      </c>
      <c r="N21" s="52" t="str">
        <f>"Trusted Professional"&amp;CHAR(10)&amp;COUNTIFS(P_Dept,SelCrit,P_9Box,"Trusted Professional",P_Status,"Active")&amp;" people"</f>
        <v>Trusted Professional
12 people</v>
      </c>
      <c r="O21" s="52"/>
      <c r="P21" s="52"/>
      <c r="Q21" s="53" t="str">
        <f>"High Performer"&amp;CHAR(10)&amp;COUNTIFS(P_Dept,SelCrit,P_9Box,"High Performer",P_Status,"Active")&amp;" people"</f>
        <v>High Performer
77 people</v>
      </c>
      <c r="R21" s="53"/>
      <c r="S21" s="53"/>
      <c r="T21" s="54" t="str">
        <f>"Star"&amp;CHAR(10)&amp;COUNTIFS(P_Dept,SelCrit,P_9Box,"Star",P_Status,"Active")&amp;" people"</f>
        <v>Star
82 people</v>
      </c>
      <c r="U21" s="54"/>
      <c r="V21" s="54"/>
    </row>
    <row r="22" spans="2:22" ht="21" customHeight="1" x14ac:dyDescent="0.3">
      <c r="B22" s="60" t="s">
        <v>76</v>
      </c>
      <c r="C22" s="60"/>
      <c r="D22" s="62" t="str">
        <f>INDEX(M_Email,SelRow)</f>
        <v>vidya.kulkarni@samplecorp.in</v>
      </c>
      <c r="E22" s="62"/>
      <c r="F22" s="62"/>
      <c r="G22" s="60" t="s">
        <v>1995</v>
      </c>
      <c r="H22" s="60"/>
      <c r="I22" s="66">
        <f>INDEX(P_Goals,SelRow)</f>
        <v>1.1000000000000001</v>
      </c>
      <c r="J22" s="66"/>
      <c r="K22" s="66"/>
      <c r="M22" s="51"/>
      <c r="N22" s="52"/>
      <c r="O22" s="52"/>
      <c r="P22" s="52"/>
      <c r="Q22" s="53"/>
      <c r="R22" s="53"/>
      <c r="S22" s="53"/>
      <c r="T22" s="54"/>
      <c r="U22" s="54"/>
      <c r="V22" s="54"/>
    </row>
    <row r="23" spans="2:22" ht="21" customHeight="1" x14ac:dyDescent="0.3">
      <c r="B23" s="60" t="s">
        <v>78</v>
      </c>
      <c r="C23" s="60"/>
      <c r="D23" s="62" t="str">
        <f>INDEX(M_Title,SelRow)</f>
        <v>Head of People</v>
      </c>
      <c r="E23" s="62"/>
      <c r="F23" s="62"/>
      <c r="G23" s="60" t="s">
        <v>1996</v>
      </c>
      <c r="H23" s="60"/>
      <c r="I23" s="62" t="str">
        <f>INDEX(P_Pot,SelRow)&amp;" · "&amp;INDEX(P_9Box,SelRow)</f>
        <v>High · Star</v>
      </c>
      <c r="J23" s="62"/>
      <c r="K23" s="62"/>
      <c r="M23" s="51"/>
      <c r="N23" s="52"/>
      <c r="O23" s="52"/>
      <c r="P23" s="52"/>
      <c r="Q23" s="53"/>
      <c r="R23" s="53"/>
      <c r="S23" s="53"/>
      <c r="T23" s="54"/>
      <c r="U23" s="54"/>
      <c r="V23" s="54"/>
    </row>
    <row r="24" spans="2:22" ht="21" customHeight="1" x14ac:dyDescent="0.3">
      <c r="B24" s="60" t="s">
        <v>17</v>
      </c>
      <c r="C24" s="60"/>
      <c r="D24" s="62" t="str">
        <f>INDEX(M_Level,SelRow)</f>
        <v>L7</v>
      </c>
      <c r="E24" s="62"/>
      <c r="F24" s="62"/>
      <c r="G24" s="60" t="s">
        <v>1684</v>
      </c>
      <c r="H24" s="60"/>
      <c r="I24" s="62" t="str">
        <f>INDEX(P_Elig,SelRow)</f>
        <v>Not Eligible</v>
      </c>
      <c r="J24" s="62"/>
      <c r="K24" s="62"/>
      <c r="M24" s="51" t="s">
        <v>2007</v>
      </c>
      <c r="N24" s="55" t="str">
        <f>"Effective Contributor"&amp;CHAR(10)&amp;COUNTIFS(P_Dept,SelCrit,P_9Box,"Effective Contributor",P_Status,"Active")&amp;" people"</f>
        <v>Effective Contributor
35 people</v>
      </c>
      <c r="O24" s="55"/>
      <c r="P24" s="55"/>
      <c r="Q24" s="56" t="str">
        <f>"Core Player"&amp;CHAR(10)&amp;COUNTIFS(P_Dept,SelCrit,P_9Box,"Core Player",P_Status,"Active")&amp;" people"</f>
        <v>Core Player
115 people</v>
      </c>
      <c r="R24" s="56"/>
      <c r="S24" s="56"/>
      <c r="T24" s="53" t="str">
        <f>"Future Star"&amp;CHAR(10)&amp;COUNTIFS(P_Dept,SelCrit,P_9Box,"Future Star",P_Status,"Active")&amp;" people"</f>
        <v>Future Star
33 people</v>
      </c>
      <c r="U24" s="53"/>
      <c r="V24" s="53"/>
    </row>
    <row r="25" spans="2:22" ht="21" customHeight="1" x14ac:dyDescent="0.3">
      <c r="B25" s="60" t="s">
        <v>80</v>
      </c>
      <c r="C25" s="60"/>
      <c r="D25" s="62" t="str">
        <f>INDEX(M_Dept,SelRow)</f>
        <v>Human Resources</v>
      </c>
      <c r="E25" s="62"/>
      <c r="F25" s="62"/>
      <c r="G25" s="60" t="s">
        <v>1997</v>
      </c>
      <c r="H25" s="60"/>
      <c r="I25" s="62" t="str">
        <f>INDEX(P_Reason,SelRow)</f>
        <v>Already at top level</v>
      </c>
      <c r="J25" s="62"/>
      <c r="K25" s="62"/>
      <c r="M25" s="51"/>
      <c r="N25" s="55"/>
      <c r="O25" s="55"/>
      <c r="P25" s="55"/>
      <c r="Q25" s="56"/>
      <c r="R25" s="56"/>
      <c r="S25" s="56"/>
      <c r="T25" s="53"/>
      <c r="U25" s="53"/>
      <c r="V25" s="53"/>
    </row>
    <row r="26" spans="2:22" ht="21" customHeight="1" x14ac:dyDescent="0.3">
      <c r="B26" s="60" t="s">
        <v>31</v>
      </c>
      <c r="C26" s="60"/>
      <c r="D26" s="62" t="str">
        <f>INDEX(M_Mgr,SelRow)</f>
        <v>Arvind Rao (CEO)</v>
      </c>
      <c r="E26" s="62"/>
      <c r="F26" s="62"/>
      <c r="G26" s="60" t="s">
        <v>1998</v>
      </c>
      <c r="H26" s="60"/>
      <c r="I26" s="64">
        <f>INDEX(C_CTC,SelRow)</f>
        <v>7632000</v>
      </c>
      <c r="J26" s="64"/>
      <c r="K26" s="64"/>
      <c r="M26" s="51"/>
      <c r="N26" s="55"/>
      <c r="O26" s="55"/>
      <c r="P26" s="55"/>
      <c r="Q26" s="56"/>
      <c r="R26" s="56"/>
      <c r="S26" s="56"/>
      <c r="T26" s="53"/>
      <c r="U26" s="53"/>
      <c r="V26" s="53"/>
    </row>
    <row r="27" spans="2:22" ht="21" customHeight="1" x14ac:dyDescent="0.3">
      <c r="B27" s="60" t="s">
        <v>82</v>
      </c>
      <c r="C27" s="60"/>
      <c r="D27" s="62" t="str">
        <f>INDEX(M_Loc,SelRow)</f>
        <v>Bengaluru</v>
      </c>
      <c r="E27" s="62"/>
      <c r="F27" s="62"/>
      <c r="G27" s="60" t="s">
        <v>1999</v>
      </c>
      <c r="H27" s="60"/>
      <c r="I27" s="62" t="str">
        <f>TEXT(INDEX(C_Compa,SelRow),"0.00")&amp;" · "&amp;INDEX(C_Pos,SelRow)</f>
        <v>0.93 · Within Band</v>
      </c>
      <c r="J27" s="62"/>
      <c r="K27" s="62"/>
      <c r="M27" s="51" t="s">
        <v>2008</v>
      </c>
      <c r="N27" s="57" t="str">
        <f>"Underperformer"&amp;CHAR(10)&amp;COUNTIFS(P_Dept,SelCrit,P_9Box,"Underperformer",P_Status,"Active")&amp;" people"</f>
        <v>Underperformer
41 people</v>
      </c>
      <c r="O27" s="57"/>
      <c r="P27" s="57"/>
      <c r="Q27" s="58" t="str">
        <f>"Inconsistent Player"&amp;CHAR(10)&amp;COUNTIFS(P_Dept,SelCrit,P_9Box,"Inconsistent Player",P_Status,"Active")&amp;" people"</f>
        <v>Inconsistent Player
35 people</v>
      </c>
      <c r="R27" s="58"/>
      <c r="S27" s="58"/>
      <c r="T27" s="55" t="str">
        <f>"Rough Diamond"&amp;CHAR(10)&amp;COUNTIFS(P_Dept,SelCrit,P_9Box,"Rough Diamond",P_Status,"Active")&amp;" people"</f>
        <v>Rough Diamond
6 people</v>
      </c>
      <c r="U27" s="55"/>
      <c r="V27" s="55"/>
    </row>
    <row r="28" spans="2:22" ht="21" customHeight="1" x14ac:dyDescent="0.3">
      <c r="B28" s="60" t="s">
        <v>84</v>
      </c>
      <c r="C28" s="60"/>
      <c r="D28" s="65">
        <f>INDEX(M_DOJ,SelRow)</f>
        <v>42718</v>
      </c>
      <c r="E28" s="65"/>
      <c r="F28" s="65"/>
      <c r="G28" s="60" t="s">
        <v>2000</v>
      </c>
      <c r="H28" s="60"/>
      <c r="I28" s="62" t="str">
        <f>TEXT(INDEX(A_Att,SelRow),"0.0%")&amp;" · "&amp;INDEX(A_Unpl,SelRow)&amp;" days"</f>
        <v>92.8% · 3 days</v>
      </c>
      <c r="J28" s="62"/>
      <c r="K28" s="62"/>
      <c r="M28" s="51"/>
      <c r="N28" s="57"/>
      <c r="O28" s="57"/>
      <c r="P28" s="57"/>
      <c r="Q28" s="58"/>
      <c r="R28" s="58"/>
      <c r="S28" s="58"/>
      <c r="T28" s="55"/>
      <c r="U28" s="55"/>
      <c r="V28" s="55"/>
    </row>
    <row r="29" spans="2:22" ht="21" customHeight="1" x14ac:dyDescent="0.3">
      <c r="B29" s="60" t="s">
        <v>88</v>
      </c>
      <c r="C29" s="60"/>
      <c r="D29" s="61">
        <f>INDEX(M_Tenure,SelRow)</f>
        <v>9.8000000000000007</v>
      </c>
      <c r="E29" s="61"/>
      <c r="F29" s="61"/>
      <c r="G29" s="60" t="s">
        <v>2001</v>
      </c>
      <c r="H29" s="60"/>
      <c r="I29" s="62" t="str">
        <f>INDEX(T_Hours,SelRow)&amp;" hrs · "&amp;INDEX(T_Comp,SelRow)</f>
        <v>7 hrs · Compliant</v>
      </c>
      <c r="J29" s="62"/>
      <c r="K29" s="62"/>
      <c r="M29" s="51"/>
      <c r="N29" s="57"/>
      <c r="O29" s="57"/>
      <c r="P29" s="57"/>
      <c r="Q29" s="58"/>
      <c r="R29" s="58"/>
      <c r="S29" s="58"/>
      <c r="T29" s="55"/>
      <c r="U29" s="55"/>
      <c r="V29" s="55"/>
    </row>
    <row r="30" spans="2:22" ht="21" customHeight="1" x14ac:dyDescent="0.3">
      <c r="B30" s="60" t="s">
        <v>86</v>
      </c>
      <c r="C30" s="60"/>
      <c r="D30" s="62" t="str">
        <f>INDEX(M_Status,SelRow)</f>
        <v>Active</v>
      </c>
      <c r="E30" s="62"/>
      <c r="F30" s="62"/>
      <c r="G30" s="60" t="s">
        <v>2002</v>
      </c>
      <c r="H30" s="60"/>
      <c r="I30" s="62" t="str">
        <f>TEXT(INDEX(E_Overall,SelRow),"0.00")&amp;" /5 · eNPS "&amp;INDEX(E_eNPS,SelRow)&amp;" ("&amp;INDEX(E_Cat,SelRow)&amp;")"</f>
        <v>3.73 /5 · eNPS 10 (Promoter)</v>
      </c>
      <c r="J30" s="62"/>
      <c r="K30" s="62"/>
      <c r="M30" s="59" t="s">
        <v>2009</v>
      </c>
      <c r="N30" s="59"/>
      <c r="O30" s="59"/>
      <c r="P30" s="59"/>
      <c r="Q30" s="59"/>
      <c r="R30" s="59"/>
      <c r="S30" s="59"/>
      <c r="T30" s="59"/>
      <c r="U30" s="59"/>
      <c r="V30" s="59"/>
    </row>
    <row r="31" spans="2:22" ht="21" customHeight="1" x14ac:dyDescent="0.3">
      <c r="B31" s="60" t="s">
        <v>90</v>
      </c>
      <c r="C31" s="60"/>
      <c r="D31" s="63">
        <f>INDEX(M_Reports,SelRow)</f>
        <v>1</v>
      </c>
      <c r="E31" s="63"/>
      <c r="F31" s="63"/>
      <c r="G31" s="60" t="s">
        <v>1743</v>
      </c>
      <c r="H31" s="60"/>
      <c r="I31" s="62" t="str">
        <f>INDEX(E_Risk,SelRow)</f>
        <v>Low</v>
      </c>
      <c r="J31" s="62"/>
      <c r="K31" s="62"/>
      <c r="M31" s="59"/>
      <c r="N31" s="59"/>
      <c r="O31" s="59"/>
      <c r="P31" s="59"/>
      <c r="Q31" s="59"/>
      <c r="R31" s="59"/>
      <c r="S31" s="59"/>
      <c r="T31" s="59"/>
      <c r="U31" s="59"/>
      <c r="V31" s="59"/>
    </row>
    <row r="32" spans="2:22" x14ac:dyDescent="0.3">
      <c r="B32" s="49" t="str">
        <f>Calc_Engine!$B$7</f>
        <v/>
      </c>
      <c r="C32" s="49"/>
      <c r="D32" s="49"/>
      <c r="E32" s="49"/>
      <c r="F32" s="49"/>
      <c r="G32" s="49"/>
      <c r="H32" s="49"/>
      <c r="I32" s="49"/>
      <c r="J32" s="49"/>
      <c r="K32" s="49"/>
      <c r="M32" s="59"/>
      <c r="N32" s="59"/>
      <c r="O32" s="59"/>
      <c r="P32" s="59"/>
      <c r="Q32" s="59"/>
      <c r="R32" s="59"/>
      <c r="S32" s="59"/>
      <c r="T32" s="59"/>
      <c r="U32" s="59"/>
      <c r="V32" s="59"/>
    </row>
    <row r="34" spans="2:22" ht="15.6" x14ac:dyDescent="0.3">
      <c r="B34" s="47" t="s">
        <v>2010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</row>
    <row r="104" spans="2:22" ht="15.6" x14ac:dyDescent="0.3">
      <c r="B104" s="47" t="s">
        <v>2011</v>
      </c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spans="2:22" ht="30" customHeight="1" x14ac:dyDescent="0.3">
      <c r="B105" s="48" t="s">
        <v>80</v>
      </c>
      <c r="C105" s="48"/>
      <c r="D105" s="6" t="s">
        <v>2012</v>
      </c>
      <c r="E105" s="6" t="s">
        <v>2013</v>
      </c>
      <c r="F105" s="6" t="s">
        <v>2014</v>
      </c>
      <c r="G105" s="6" t="s">
        <v>2015</v>
      </c>
      <c r="H105" s="6" t="s">
        <v>2016</v>
      </c>
      <c r="I105" s="6" t="s">
        <v>1955</v>
      </c>
      <c r="J105" s="6" t="s">
        <v>2017</v>
      </c>
      <c r="K105" s="6" t="s">
        <v>1708</v>
      </c>
      <c r="L105" s="6" t="s">
        <v>2018</v>
      </c>
      <c r="M105" s="6" t="s">
        <v>2019</v>
      </c>
      <c r="N105" s="6" t="s">
        <v>1986</v>
      </c>
      <c r="O105" s="6" t="s">
        <v>2020</v>
      </c>
      <c r="P105" s="6" t="s">
        <v>2021</v>
      </c>
      <c r="Q105" s="6" t="s">
        <v>2022</v>
      </c>
      <c r="R105" s="6" t="s">
        <v>2023</v>
      </c>
      <c r="S105" s="6" t="s">
        <v>2024</v>
      </c>
      <c r="T105" s="6" t="s">
        <v>2025</v>
      </c>
      <c r="U105" s="6" t="s">
        <v>2026</v>
      </c>
    </row>
    <row r="106" spans="2:22" x14ac:dyDescent="0.3">
      <c r="B106" s="45" t="s">
        <v>39</v>
      </c>
      <c r="C106" s="45"/>
      <c r="D106" s="8">
        <f>COUNTIFS(M_Dept,$B$106,M_Status,"Active")</f>
        <v>97</v>
      </c>
      <c r="E106" s="8">
        <f>COUNTIFS(X_Dept,$B$106)</f>
        <v>13</v>
      </c>
      <c r="F106" s="9">
        <f>IFERROR(COUNTIFS(X_Dept,$B$106)/((COUNTIFS(M_Dept,$B$106,M_DOJ,"&lt;"&amp;PeriodStart)+COUNTIFS(M_Dept,$B$106,M_Status,"Active"))/2),0)</f>
        <v>0.14285714285714285</v>
      </c>
      <c r="G106" s="10">
        <f>IFERROR(AVERAGEIFS(P_Rating,P_Dept,$B$106),0)</f>
        <v>3.2818181818181817</v>
      </c>
      <c r="H106" s="8">
        <f>COUNTIFS(P_Dept,$B$106,P_Elig,"Eligible")</f>
        <v>14</v>
      </c>
      <c r="I106" s="11">
        <f>IFERROR(AVERAGEIFS(C_CTC,C_Dept,$B$106,C_Status,"Active")/100000,0)</f>
        <v>18.47061855670103</v>
      </c>
      <c r="J106" s="10">
        <f>IFERROR(AVERAGEIFS(C_Compa,C_Dept,$B$106,C_Status,"Active"),0)</f>
        <v>1.1612371134020618</v>
      </c>
      <c r="K106" s="9">
        <f>IFERROR(AVERAGEIFS(A_Att,A_Dept,$B$106,A_Status,"Active"),0)</f>
        <v>0.89673349049421702</v>
      </c>
      <c r="L106" s="10">
        <f>IFERROR(AVERAGEIFS(E_Overall,E_Dept,$B$106,E_Status,"Active"),0)</f>
        <v>3.2355670103092775</v>
      </c>
      <c r="M106" s="12">
        <f>IFERROR((COUNTIFS(E_Dept,$B$106,E_Cat,"Promoter",E_Status,"Active",E_Survey,"Yes")-COUNTIFS(E_Dept,$B$106,E_Cat,"Detractor",E_Status,"Active",E_Survey,"Yes"))/COUNTIFS(E_Dept,$B$106,E_Status,"Active",E_Survey,"Yes")*100,0)</f>
        <v>16.470588235294116</v>
      </c>
      <c r="N106" s="8">
        <f>COUNTIFS(E_Dept,$B$106,E_Risk,"High")</f>
        <v>3</v>
      </c>
      <c r="O106" s="8">
        <f>COUNTIFS(R_Dept,$B$106,R_Status,"Open")</f>
        <v>8</v>
      </c>
      <c r="P106" s="13">
        <f>IFERROR(AVERAGEIFS(R_TTF,R_Dept,$B$106,R_Status,"Filled"),0)</f>
        <v>37.941176470588232</v>
      </c>
      <c r="Q106" s="14">
        <f>IFERROR(COUNTIFS(M_Dept,$B$106,M_Gender,"Female",M_Status,"Active")/COUNTIFS(M_Dept,$B$106,M_Status,"Active"),0)</f>
        <v>0.44329896907216493</v>
      </c>
      <c r="R106" s="11">
        <f>IFERROR(AVERAGEIFS(T_Hours,T_Dept,$B$106),0)</f>
        <v>27.681818181818183</v>
      </c>
      <c r="S106" s="14">
        <f>IFERROR(COUNTIFS(P_Dept,$B$106,P_Rating,"&gt;=4",P_Status,"Active")/COUNTIFS(M_Dept,$B$106,M_Status,"Active"),0)</f>
        <v>0.40206185567010311</v>
      </c>
      <c r="T106" s="14">
        <f>IFERROR(COUNTIFS(T_Dept,$B$106,T_Comp,"Compliant",T_Status,"Active")/COUNTIFS(M_Dept,$B$106,M_Status,"Active"),0)</f>
        <v>0.89690721649484539</v>
      </c>
      <c r="U106" s="11">
        <f>IFERROR(AVERAGEIFS(M_Tenure,M_Dept,$B$106,M_Status,"Active"),0)</f>
        <v>2.7257731958762892</v>
      </c>
    </row>
    <row r="107" spans="2:22" x14ac:dyDescent="0.3">
      <c r="B107" s="45" t="s">
        <v>40</v>
      </c>
      <c r="C107" s="45"/>
      <c r="D107" s="8">
        <f>COUNTIFS(M_Dept,$B$107,M_Status,"Active")</f>
        <v>77</v>
      </c>
      <c r="E107" s="8">
        <f>COUNTIFS(X_Dept,$B$107)</f>
        <v>13</v>
      </c>
      <c r="F107" s="9">
        <f>IFERROR(COUNTIFS(X_Dept,$B$107)/((COUNTIFS(M_Dept,$B$107,M_DOJ,"&lt;"&amp;PeriodStart)+COUNTIFS(M_Dept,$B$107,M_Status,"Active"))/2),0)</f>
        <v>0.17449664429530201</v>
      </c>
      <c r="G107" s="10">
        <f>IFERROR(AVERAGEIFS(P_Rating,P_Dept,$B$107),0)</f>
        <v>3.3444444444444446</v>
      </c>
      <c r="H107" s="8">
        <f>COUNTIFS(P_Dept,$B$107,P_Elig,"Eligible")</f>
        <v>16</v>
      </c>
      <c r="I107" s="11">
        <f>IFERROR(AVERAGEIFS(C_CTC,C_Dept,$B$107,C_Status,"Active")/100000,0)</f>
        <v>13.135714285714286</v>
      </c>
      <c r="J107" s="10">
        <f>IFERROR(AVERAGEIFS(C_Compa,C_Dept,$B$107,C_Status,"Active"),0)</f>
        <v>0.83350649350649342</v>
      </c>
      <c r="K107" s="9">
        <f>IFERROR(AVERAGEIFS(A_Att,A_Dept,$B$107,A_Status,"Active"),0)</f>
        <v>0.89956697568510635</v>
      </c>
      <c r="L107" s="10">
        <f>IFERROR(AVERAGEIFS(E_Overall,E_Dept,$B$107,E_Status,"Active"),0)</f>
        <v>3.2798701298701309</v>
      </c>
      <c r="M107" s="12">
        <f>IFERROR((COUNTIFS(E_Dept,$B$107,E_Cat,"Promoter",E_Status,"Active",E_Survey,"Yes")-COUNTIFS(E_Dept,$B$107,E_Cat,"Detractor",E_Status,"Active",E_Survey,"Yes"))/COUNTIFS(E_Dept,$B$107,E_Status,"Active",E_Survey,"Yes")*100,0)</f>
        <v>23.809523809523807</v>
      </c>
      <c r="N107" s="8">
        <f>COUNTIFS(E_Dept,$B$107,E_Risk,"High")</f>
        <v>8</v>
      </c>
      <c r="O107" s="8">
        <f>COUNTIFS(R_Dept,$B$107,R_Status,"Open")</f>
        <v>8</v>
      </c>
      <c r="P107" s="13">
        <f>IFERROR(AVERAGEIFS(R_TTF,R_Dept,$B$107,R_Status,"Filled"),0)</f>
        <v>42</v>
      </c>
      <c r="Q107" s="14">
        <f>IFERROR(COUNTIFS(M_Dept,$B$107,M_Gender,"Female",M_Status,"Active")/COUNTIFS(M_Dept,$B$107,M_Status,"Active"),0)</f>
        <v>0.31168831168831168</v>
      </c>
      <c r="R107" s="11">
        <f>IFERROR(AVERAGEIFS(T_Hours,T_Dept,$B$107),0)</f>
        <v>24.922222222222221</v>
      </c>
      <c r="S107" s="14">
        <f>IFERROR(COUNTIFS(P_Dept,$B$107,P_Rating,"&gt;=4",P_Status,"Active")/COUNTIFS(M_Dept,$B$107,M_Status,"Active"),0)</f>
        <v>0.41558441558441561</v>
      </c>
      <c r="T107" s="14">
        <f>IFERROR(COUNTIFS(T_Dept,$B$107,T_Comp,"Compliant",T_Status,"Active")/COUNTIFS(M_Dept,$B$107,M_Status,"Active"),0)</f>
        <v>0.8571428571428571</v>
      </c>
      <c r="U107" s="11">
        <f>IFERROR(AVERAGEIFS(M_Tenure,M_Dept,$B$107,M_Status,"Active"),0)</f>
        <v>2.8272727272727272</v>
      </c>
    </row>
    <row r="108" spans="2:22" x14ac:dyDescent="0.3">
      <c r="B108" s="45" t="s">
        <v>41</v>
      </c>
      <c r="C108" s="45"/>
      <c r="D108" s="8">
        <f>COUNTIFS(M_Dept,$B$108,M_Status,"Active")</f>
        <v>61</v>
      </c>
      <c r="E108" s="8">
        <f>COUNTIFS(X_Dept,$B$108)</f>
        <v>9</v>
      </c>
      <c r="F108" s="9">
        <f>IFERROR(COUNTIFS(X_Dept,$B$108)/((COUNTIFS(M_Dept,$B$108,M_DOJ,"&lt;"&amp;PeriodStart)+COUNTIFS(M_Dept,$B$108,M_Status,"Active"))/2),0)</f>
        <v>0.15929203539823009</v>
      </c>
      <c r="G108" s="10">
        <f>IFERROR(AVERAGEIFS(P_Rating,P_Dept,$B$108),0)</f>
        <v>3.2285714285714286</v>
      </c>
      <c r="H108" s="8">
        <f>COUNTIFS(P_Dept,$B$108,P_Elig,"Eligible")</f>
        <v>13</v>
      </c>
      <c r="I108" s="11">
        <f>IFERROR(AVERAGEIFS(C_CTC,C_Dept,$B$108,C_Status,"Active")/100000,0)</f>
        <v>12.293278688524591</v>
      </c>
      <c r="J108" s="10">
        <f>IFERROR(AVERAGEIFS(C_Compa,C_Dept,$B$108,C_Status,"Active"),0)</f>
        <v>0.73180327868852468</v>
      </c>
      <c r="K108" s="9">
        <f>IFERROR(AVERAGEIFS(A_Att,A_Dept,$B$108,A_Status,"Active"),0)</f>
        <v>0.89341680041039728</v>
      </c>
      <c r="L108" s="10">
        <f>IFERROR(AVERAGEIFS(E_Overall,E_Dept,$B$108,E_Status,"Active"),0)</f>
        <v>3.3244262295081981</v>
      </c>
      <c r="M108" s="12">
        <f>IFERROR((COUNTIFS(E_Dept,$B$108,E_Cat,"Promoter",E_Status,"Active",E_Survey,"Yes")-COUNTIFS(E_Dept,$B$108,E_Cat,"Detractor",E_Status,"Active",E_Survey,"Yes"))/COUNTIFS(E_Dept,$B$108,E_Status,"Active",E_Survey,"Yes")*100,0)</f>
        <v>31.372549019607842</v>
      </c>
      <c r="N108" s="8">
        <f>COUNTIFS(E_Dept,$B$108,E_Risk,"High")</f>
        <v>7</v>
      </c>
      <c r="O108" s="8">
        <f>COUNTIFS(R_Dept,$B$108,R_Status,"Open")</f>
        <v>6</v>
      </c>
      <c r="P108" s="13">
        <f>IFERROR(AVERAGEIFS(R_TTF,R_Dept,$B$108,R_Status,"Filled"),0)</f>
        <v>38.166666666666664</v>
      </c>
      <c r="Q108" s="14">
        <f>IFERROR(COUNTIFS(M_Dept,$B$108,M_Gender,"Female",M_Status,"Active")/COUNTIFS(M_Dept,$B$108,M_Status,"Active"),0)</f>
        <v>0.49180327868852458</v>
      </c>
      <c r="R108" s="11">
        <f>IFERROR(AVERAGEIFS(T_Hours,T_Dept,$B$108),0)</f>
        <v>27.771428571428572</v>
      </c>
      <c r="S108" s="14">
        <f>IFERROR(COUNTIFS(P_Dept,$B$108,P_Rating,"&gt;=4",P_Status,"Active")/COUNTIFS(M_Dept,$B$108,M_Status,"Active"),0)</f>
        <v>0.37704918032786883</v>
      </c>
      <c r="T108" s="14">
        <f>IFERROR(COUNTIFS(T_Dept,$B$108,T_Comp,"Compliant",T_Status,"Active")/COUNTIFS(M_Dept,$B$108,M_Status,"Active"),0)</f>
        <v>0.85245901639344257</v>
      </c>
      <c r="U108" s="11">
        <f>IFERROR(AVERAGEIFS(M_Tenure,M_Dept,$B$108,M_Status,"Active"),0)</f>
        <v>2.3278688524590163</v>
      </c>
    </row>
    <row r="109" spans="2:22" x14ac:dyDescent="0.3">
      <c r="B109" s="45" t="s">
        <v>42</v>
      </c>
      <c r="C109" s="45"/>
      <c r="D109" s="8">
        <f>COUNTIFS(M_Dept,$B$109,M_Status,"Active")</f>
        <v>51</v>
      </c>
      <c r="E109" s="8">
        <f>COUNTIFS(X_Dept,$B$109)</f>
        <v>9</v>
      </c>
      <c r="F109" s="9">
        <f>IFERROR(COUNTIFS(X_Dept,$B$109)/((COUNTIFS(M_Dept,$B$109,M_DOJ,"&lt;"&amp;PeriodStart)+COUNTIFS(M_Dept,$B$109,M_Status,"Active"))/2),0)</f>
        <v>0.18556701030927836</v>
      </c>
      <c r="G109" s="10">
        <f>IFERROR(AVERAGEIFS(P_Rating,P_Dept,$B$109),0)</f>
        <v>3.1</v>
      </c>
      <c r="H109" s="8">
        <f>COUNTIFS(P_Dept,$B$109,P_Elig,"Eligible")</f>
        <v>9</v>
      </c>
      <c r="I109" s="11">
        <f>IFERROR(AVERAGEIFS(C_CTC,C_Dept,$B$109,C_Status,"Active")/100000,0)</f>
        <v>15.844901960784313</v>
      </c>
      <c r="J109" s="10">
        <f>IFERROR(AVERAGEIFS(C_Compa,C_Dept,$B$109,C_Status,"Active"),0)</f>
        <v>0.92980392156862746</v>
      </c>
      <c r="K109" s="9">
        <f>IFERROR(AVERAGEIFS(A_Att,A_Dept,$B$109,A_Status,"Active"),0)</f>
        <v>0.89352406277252061</v>
      </c>
      <c r="L109" s="10">
        <f>IFERROR(AVERAGEIFS(E_Overall,E_Dept,$B$109,E_Status,"Active"),0)</f>
        <v>3.2901960784313729</v>
      </c>
      <c r="M109" s="12">
        <f>IFERROR((COUNTIFS(E_Dept,$B$109,E_Cat,"Promoter",E_Status,"Active",E_Survey,"Yes")-COUNTIFS(E_Dept,$B$109,E_Cat,"Detractor",E_Status,"Active",E_Survey,"Yes"))/COUNTIFS(E_Dept,$B$109,E_Status,"Active",E_Survey,"Yes")*100,0)</f>
        <v>18.604651162790699</v>
      </c>
      <c r="N109" s="8">
        <f>COUNTIFS(E_Dept,$B$109,E_Risk,"High")</f>
        <v>4</v>
      </c>
      <c r="O109" s="8">
        <f>COUNTIFS(R_Dept,$B$109,R_Status,"Open")</f>
        <v>4</v>
      </c>
      <c r="P109" s="13">
        <f>IFERROR(AVERAGEIFS(R_TTF,R_Dept,$B$109,R_Status,"Filled"),0)</f>
        <v>42.2</v>
      </c>
      <c r="Q109" s="14">
        <f>IFERROR(COUNTIFS(M_Dept,$B$109,M_Gender,"Female",M_Status,"Active")/COUNTIFS(M_Dept,$B$109,M_Status,"Active"),0)</f>
        <v>0.47058823529411764</v>
      </c>
      <c r="R109" s="11">
        <f>IFERROR(AVERAGEIFS(T_Hours,T_Dept,$B$109),0)</f>
        <v>25.033333333333335</v>
      </c>
      <c r="S109" s="14">
        <f>IFERROR(COUNTIFS(P_Dept,$B$109,P_Rating,"&gt;=4",P_Status,"Active")/COUNTIFS(M_Dept,$B$109,M_Status,"Active"),0)</f>
        <v>0.39215686274509803</v>
      </c>
      <c r="T109" s="14">
        <f>IFERROR(COUNTIFS(T_Dept,$B$109,T_Comp,"Compliant",T_Status,"Active")/COUNTIFS(M_Dept,$B$109,M_Status,"Active"),0)</f>
        <v>0.88235294117647056</v>
      </c>
      <c r="U109" s="11">
        <f>IFERROR(AVERAGEIFS(M_Tenure,M_Dept,$B$109,M_Status,"Active"),0)</f>
        <v>2.670588235294117</v>
      </c>
    </row>
    <row r="110" spans="2:22" x14ac:dyDescent="0.3">
      <c r="B110" s="45" t="s">
        <v>43</v>
      </c>
      <c r="C110" s="45"/>
      <c r="D110" s="8">
        <f>COUNTIFS(M_Dept,$B$110,M_Status,"Active")</f>
        <v>33</v>
      </c>
      <c r="E110" s="8">
        <f>COUNTIFS(X_Dept,$B$110)</f>
        <v>2</v>
      </c>
      <c r="F110" s="9">
        <f>IFERROR(COUNTIFS(X_Dept,$B$110)/((COUNTIFS(M_Dept,$B$110,M_DOJ,"&lt;"&amp;PeriodStart)+COUNTIFS(M_Dept,$B$110,M_Status,"Active"))/2),0)</f>
        <v>7.407407407407407E-2</v>
      </c>
      <c r="G110" s="10">
        <f>IFERROR(AVERAGEIFS(P_Rating,P_Dept,$B$110),0)</f>
        <v>3.3714285714285714</v>
      </c>
      <c r="H110" s="8">
        <f>COUNTIFS(P_Dept,$B$110,P_Elig,"Eligible")</f>
        <v>7</v>
      </c>
      <c r="I110" s="11">
        <f>IFERROR(AVERAGEIFS(C_CTC,C_Dept,$B$110,C_Status,"Active")/100000,0)</f>
        <v>19.370909090909091</v>
      </c>
      <c r="J110" s="10">
        <f>IFERROR(AVERAGEIFS(C_Compa,C_Dept,$B$110,C_Status,"Active"),0)</f>
        <v>1.1133333333333333</v>
      </c>
      <c r="K110" s="9">
        <f>IFERROR(AVERAGEIFS(A_Att,A_Dept,$B$110,A_Status,"Active"),0)</f>
        <v>0.87303213711186689</v>
      </c>
      <c r="L110" s="10">
        <f>IFERROR(AVERAGEIFS(E_Overall,E_Dept,$B$110,E_Status,"Active"),0)</f>
        <v>3.267575757575758</v>
      </c>
      <c r="M110" s="12">
        <f>IFERROR((COUNTIFS(E_Dept,$B$110,E_Cat,"Promoter",E_Status,"Active",E_Survey,"Yes")-COUNTIFS(E_Dept,$B$110,E_Cat,"Detractor",E_Status,"Active",E_Survey,"Yes"))/COUNTIFS(E_Dept,$B$110,E_Status,"Active",E_Survey,"Yes")*100,0)</f>
        <v>27.586206896551722</v>
      </c>
      <c r="N110" s="8">
        <f>COUNTIFS(E_Dept,$B$110,E_Risk,"High")</f>
        <v>0</v>
      </c>
      <c r="O110" s="8">
        <f>COUNTIFS(R_Dept,$B$110,R_Status,"Open")</f>
        <v>3</v>
      </c>
      <c r="P110" s="13">
        <f>IFERROR(AVERAGEIFS(R_TTF,R_Dept,$B$110,R_Status,"Filled"),0)</f>
        <v>49.166666666666664</v>
      </c>
      <c r="Q110" s="14">
        <f>IFERROR(COUNTIFS(M_Dept,$B$110,M_Gender,"Female",M_Status,"Active")/COUNTIFS(M_Dept,$B$110,M_Status,"Active"),0)</f>
        <v>0.48484848484848486</v>
      </c>
      <c r="R110" s="11">
        <f>IFERROR(AVERAGEIFS(T_Hours,T_Dept,$B$110),0)</f>
        <v>25.971428571428572</v>
      </c>
      <c r="S110" s="14">
        <f>IFERROR(COUNTIFS(P_Dept,$B$110,P_Rating,"&gt;=4",P_Status,"Active")/COUNTIFS(M_Dept,$B$110,M_Status,"Active"),0)</f>
        <v>0.42424242424242425</v>
      </c>
      <c r="T110" s="14">
        <f>IFERROR(COUNTIFS(T_Dept,$B$110,T_Comp,"Compliant",T_Status,"Active")/COUNTIFS(M_Dept,$B$110,M_Status,"Active"),0)</f>
        <v>0.81818181818181823</v>
      </c>
      <c r="U110" s="11">
        <f>IFERROR(AVERAGEIFS(M_Tenure,M_Dept,$B$110,M_Status,"Active"),0)</f>
        <v>2.23030303030303</v>
      </c>
    </row>
    <row r="111" spans="2:22" x14ac:dyDescent="0.3">
      <c r="B111" s="45" t="s">
        <v>44</v>
      </c>
      <c r="C111" s="45"/>
      <c r="D111" s="8">
        <f>COUNTIFS(M_Dept,$B$111,M_Status,"Active")</f>
        <v>27</v>
      </c>
      <c r="E111" s="8">
        <f>COUNTIFS(X_Dept,$B$111)</f>
        <v>3</v>
      </c>
      <c r="F111" s="9">
        <f>IFERROR(COUNTIFS(X_Dept,$B$111)/((COUNTIFS(M_Dept,$B$111,M_DOJ,"&lt;"&amp;PeriodStart)+COUNTIFS(M_Dept,$B$111,M_Status,"Active"))/2),0)</f>
        <v>0.11764705882352941</v>
      </c>
      <c r="G111" s="10">
        <f>IFERROR(AVERAGEIFS(P_Rating,P_Dept,$B$111),0)</f>
        <v>3.0666666666666669</v>
      </c>
      <c r="H111" s="8">
        <f>COUNTIFS(P_Dept,$B$111,P_Elig,"Eligible")</f>
        <v>3</v>
      </c>
      <c r="I111" s="11">
        <f>IFERROR(AVERAGEIFS(C_CTC,C_Dept,$B$111,C_Status,"Active")/100000,0)</f>
        <v>15.875185185185185</v>
      </c>
      <c r="J111" s="10">
        <f>IFERROR(AVERAGEIFS(C_Compa,C_Dept,$B$111,C_Status,"Active"),0)</f>
        <v>0.9303703703703704</v>
      </c>
      <c r="K111" s="9">
        <f>IFERROR(AVERAGEIFS(A_Att,A_Dept,$B$111,A_Status,"Active"),0)</f>
        <v>0.90353846071914523</v>
      </c>
      <c r="L111" s="10">
        <f>IFERROR(AVERAGEIFS(E_Overall,E_Dept,$B$111,E_Status,"Active"),0)</f>
        <v>3.2148148148148148</v>
      </c>
      <c r="M111" s="12">
        <f>IFERROR((COUNTIFS(E_Dept,$B$111,E_Cat,"Promoter",E_Status,"Active",E_Survey,"Yes")-COUNTIFS(E_Dept,$B$111,E_Cat,"Detractor",E_Status,"Active",E_Survey,"Yes"))/COUNTIFS(E_Dept,$B$111,E_Status,"Active",E_Survey,"Yes")*100,0)</f>
        <v>19.230769230769234</v>
      </c>
      <c r="N111" s="8">
        <f>COUNTIFS(E_Dept,$B$111,E_Risk,"High")</f>
        <v>1</v>
      </c>
      <c r="O111" s="8">
        <f>COUNTIFS(R_Dept,$B$111,R_Status,"Open")</f>
        <v>4</v>
      </c>
      <c r="P111" s="13">
        <f>IFERROR(AVERAGEIFS(R_TTF,R_Dept,$B$111,R_Status,"Filled"),0)</f>
        <v>40.428571428571431</v>
      </c>
      <c r="Q111" s="14">
        <f>IFERROR(COUNTIFS(M_Dept,$B$111,M_Gender,"Female",M_Status,"Active")/COUNTIFS(M_Dept,$B$111,M_Status,"Active"),0)</f>
        <v>0.51851851851851849</v>
      </c>
      <c r="R111" s="11">
        <f>IFERROR(AVERAGEIFS(T_Hours,T_Dept,$B$111),0)</f>
        <v>30.2</v>
      </c>
      <c r="S111" s="14">
        <f>IFERROR(COUNTIFS(P_Dept,$B$111,P_Rating,"&gt;=4",P_Status,"Active")/COUNTIFS(M_Dept,$B$111,M_Status,"Active"),0)</f>
        <v>0.29629629629629628</v>
      </c>
      <c r="T111" s="14">
        <f>IFERROR(COUNTIFS(T_Dept,$B$111,T_Comp,"Compliant",T_Status,"Active")/COUNTIFS(M_Dept,$B$111,M_Status,"Active"),0)</f>
        <v>0.92592592592592593</v>
      </c>
      <c r="U111" s="11">
        <f>IFERROR(AVERAGEIFS(M_Tenure,M_Dept,$B$111,M_Status,"Active"),0)</f>
        <v>2.4925925925925929</v>
      </c>
    </row>
    <row r="112" spans="2:22" x14ac:dyDescent="0.3">
      <c r="B112" s="45" t="s">
        <v>45</v>
      </c>
      <c r="C112" s="45"/>
      <c r="D112" s="8">
        <f>COUNTIFS(M_Dept,$B$112,M_Status,"Active")</f>
        <v>23</v>
      </c>
      <c r="E112" s="8">
        <f>COUNTIFS(X_Dept,$B$112)</f>
        <v>7</v>
      </c>
      <c r="F112" s="9">
        <f>IFERROR(COUNTIFS(X_Dept,$B$112)/((COUNTIFS(M_Dept,$B$112,M_DOJ,"&lt;"&amp;PeriodStart)+COUNTIFS(M_Dept,$B$112,M_Status,"Active"))/2),0)</f>
        <v>0.2978723404255319</v>
      </c>
      <c r="G112" s="10">
        <f>IFERROR(AVERAGEIFS(P_Rating,P_Dept,$B$112),0)</f>
        <v>3.2333333333333334</v>
      </c>
      <c r="H112" s="8">
        <f>COUNTIFS(P_Dept,$B$112,P_Elig,"Eligible")</f>
        <v>5</v>
      </c>
      <c r="I112" s="11">
        <f>IFERROR(AVERAGEIFS(C_CTC,C_Dept,$B$112,C_Status,"Active")/100000,0)</f>
        <v>20.200869565217392</v>
      </c>
      <c r="J112" s="10">
        <f>IFERROR(AVERAGEIFS(C_Compa,C_Dept,$B$112,C_Status,"Active"),0)</f>
        <v>1.1282608695652174</v>
      </c>
      <c r="K112" s="9">
        <f>IFERROR(AVERAGEIFS(A_Att,A_Dept,$B$112,A_Status,"Active"),0)</f>
        <v>0.91148952931640548</v>
      </c>
      <c r="L112" s="10">
        <f>IFERROR(AVERAGEIFS(E_Overall,E_Dept,$B$112,E_Status,"Active"),0)</f>
        <v>3.3030434782608693</v>
      </c>
      <c r="M112" s="12">
        <f>IFERROR((COUNTIFS(E_Dept,$B$112,E_Cat,"Promoter",E_Status,"Active",E_Survey,"Yes")-COUNTIFS(E_Dept,$B$112,E_Cat,"Detractor",E_Status,"Active",E_Survey,"Yes"))/COUNTIFS(E_Dept,$B$112,E_Status,"Active",E_Survey,"Yes")*100,0)</f>
        <v>40</v>
      </c>
      <c r="N112" s="8">
        <f>COUNTIFS(E_Dept,$B$112,E_Risk,"High")</f>
        <v>1</v>
      </c>
      <c r="O112" s="8">
        <f>COUNTIFS(R_Dept,$B$112,R_Status,"Open")</f>
        <v>3</v>
      </c>
      <c r="P112" s="13">
        <f>IFERROR(AVERAGEIFS(R_TTF,R_Dept,$B$112,R_Status,"Filled"),0)</f>
        <v>44</v>
      </c>
      <c r="Q112" s="14">
        <f>IFERROR(COUNTIFS(M_Dept,$B$112,M_Gender,"Female",M_Status,"Active")/COUNTIFS(M_Dept,$B$112,M_Status,"Active"),0)</f>
        <v>0.47826086956521741</v>
      </c>
      <c r="R112" s="11">
        <f>IFERROR(AVERAGEIFS(T_Hours,T_Dept,$B$112),0)</f>
        <v>38.700000000000003</v>
      </c>
      <c r="S112" s="14">
        <f>IFERROR(COUNTIFS(P_Dept,$B$112,P_Rating,"&gt;=4",P_Status,"Active")/COUNTIFS(M_Dept,$B$112,M_Status,"Active"),0)</f>
        <v>0.39130434782608697</v>
      </c>
      <c r="T112" s="14">
        <f>IFERROR(COUNTIFS(T_Dept,$B$112,T_Comp,"Compliant",T_Status,"Active")/COUNTIFS(M_Dept,$B$112,M_Status,"Active"),0)</f>
        <v>0.82608695652173914</v>
      </c>
      <c r="U112" s="11">
        <f>IFERROR(AVERAGEIFS(M_Tenure,M_Dept,$B$112,M_Status,"Active"),0)</f>
        <v>2.7130434782608694</v>
      </c>
    </row>
    <row r="113" spans="2:21" x14ac:dyDescent="0.3">
      <c r="B113" s="45" t="s">
        <v>46</v>
      </c>
      <c r="C113" s="45"/>
      <c r="D113" s="8">
        <f>COUNTIFS(M_Dept,$B$113,M_Status,"Active")</f>
        <v>22</v>
      </c>
      <c r="E113" s="8">
        <f>COUNTIFS(X_Dept,$B$113)</f>
        <v>3</v>
      </c>
      <c r="F113" s="9">
        <f>IFERROR(COUNTIFS(X_Dept,$B$113)/((COUNTIFS(M_Dept,$B$113,M_DOJ,"&lt;"&amp;PeriodStart)+COUNTIFS(M_Dept,$B$113,M_Status,"Active"))/2),0)</f>
        <v>0.14285714285714285</v>
      </c>
      <c r="G113" s="10">
        <f>IFERROR(AVERAGEIFS(P_Rating,P_Dept,$B$113),0)</f>
        <v>3.52</v>
      </c>
      <c r="H113" s="8">
        <f>COUNTIFS(P_Dept,$B$113,P_Elig,"Eligible")</f>
        <v>6</v>
      </c>
      <c r="I113" s="11">
        <f>IFERROR(AVERAGEIFS(C_CTC,C_Dept,$B$113,C_Status,"Active")/100000,0)</f>
        <v>19.805909090909093</v>
      </c>
      <c r="J113" s="10">
        <f>IFERROR(AVERAGEIFS(C_Compa,C_Dept,$B$113,C_Status,"Active"),0)</f>
        <v>0.99636363636363623</v>
      </c>
      <c r="K113" s="9">
        <f>IFERROR(AVERAGEIFS(A_Att,A_Dept,$B$113,A_Status,"Active"),0)</f>
        <v>0.89310765838049588</v>
      </c>
      <c r="L113" s="10">
        <f>IFERROR(AVERAGEIFS(E_Overall,E_Dept,$B$113,E_Status,"Active"),0)</f>
        <v>3.1359090909090908</v>
      </c>
      <c r="M113" s="12">
        <f>IFERROR((COUNTIFS(E_Dept,$B$113,E_Cat,"Promoter",E_Status,"Active",E_Survey,"Yes")-COUNTIFS(E_Dept,$B$113,E_Cat,"Detractor",E_Status,"Active",E_Survey,"Yes"))/COUNTIFS(E_Dept,$B$113,E_Status,"Active",E_Survey,"Yes")*100,0)</f>
        <v>25</v>
      </c>
      <c r="N113" s="8">
        <f>COUNTIFS(E_Dept,$B$113,E_Risk,"High")</f>
        <v>2</v>
      </c>
      <c r="O113" s="8">
        <f>COUNTIFS(R_Dept,$B$113,R_Status,"Open")</f>
        <v>2</v>
      </c>
      <c r="P113" s="13">
        <f>IFERROR(AVERAGEIFS(R_TTF,R_Dept,$B$113,R_Status,"Filled"),0)</f>
        <v>32</v>
      </c>
      <c r="Q113" s="14">
        <f>IFERROR(COUNTIFS(M_Dept,$B$113,M_Gender,"Female",M_Status,"Active")/COUNTIFS(M_Dept,$B$113,M_Status,"Active"),0)</f>
        <v>0.63636363636363635</v>
      </c>
      <c r="R113" s="11">
        <f>IFERROR(AVERAGEIFS(T_Hours,T_Dept,$B$113),0)</f>
        <v>30.48</v>
      </c>
      <c r="S113" s="14">
        <f>IFERROR(COUNTIFS(P_Dept,$B$113,P_Rating,"&gt;=4",P_Status,"Active")/COUNTIFS(M_Dept,$B$113,M_Status,"Active"),0)</f>
        <v>0.5</v>
      </c>
      <c r="T113" s="14">
        <f>IFERROR(COUNTIFS(T_Dept,$B$113,T_Comp,"Compliant",T_Status,"Active")/COUNTIFS(M_Dept,$B$113,M_Status,"Active"),0)</f>
        <v>0.77272727272727271</v>
      </c>
      <c r="U113" s="11">
        <f>IFERROR(AVERAGEIFS(M_Tenure,M_Dept,$B$113,M_Status,"Active"),0)</f>
        <v>2.7727272727272729</v>
      </c>
    </row>
    <row r="114" spans="2:21" x14ac:dyDescent="0.3">
      <c r="B114" s="45" t="s">
        <v>47</v>
      </c>
      <c r="C114" s="45"/>
      <c r="D114" s="8">
        <f>COUNTIFS(M_Dept,$B$114,M_Status,"Active")</f>
        <v>22</v>
      </c>
      <c r="E114" s="8">
        <f>COUNTIFS(X_Dept,$B$114)</f>
        <v>3</v>
      </c>
      <c r="F114" s="9">
        <f>IFERROR(COUNTIFS(X_Dept,$B$114)/((COUNTIFS(M_Dept,$B$114,M_DOJ,"&lt;"&amp;PeriodStart)+COUNTIFS(M_Dept,$B$114,M_Status,"Active"))/2),0)</f>
        <v>0.14285714285714285</v>
      </c>
      <c r="G114" s="10">
        <f>IFERROR(AVERAGEIFS(P_Rating,P_Dept,$B$114),0)</f>
        <v>3.08</v>
      </c>
      <c r="H114" s="8">
        <f>COUNTIFS(P_Dept,$B$114,P_Elig,"Eligible")</f>
        <v>4</v>
      </c>
      <c r="I114" s="11">
        <f>IFERROR(AVERAGEIFS(C_CTC,C_Dept,$B$114,C_Status,"Active")/100000,0)</f>
        <v>17.519545454545455</v>
      </c>
      <c r="J114" s="10">
        <f>IFERROR(AVERAGEIFS(C_Compa,C_Dept,$B$114,C_Status,"Active"),0)</f>
        <v>0.91772727272727261</v>
      </c>
      <c r="K114" s="9">
        <f>IFERROR(AVERAGEIFS(A_Att,A_Dept,$B$114,A_Status,"Active"),0)</f>
        <v>0.8943422300453765</v>
      </c>
      <c r="L114" s="10">
        <f>IFERROR(AVERAGEIFS(E_Overall,E_Dept,$B$114,E_Status,"Active"),0)</f>
        <v>3.1522727272727278</v>
      </c>
      <c r="M114" s="12">
        <f>IFERROR((COUNTIFS(E_Dept,$B$114,E_Cat,"Promoter",E_Status,"Active",E_Survey,"Yes")-COUNTIFS(E_Dept,$B$114,E_Cat,"Detractor",E_Status,"Active",E_Survey,"Yes"))/COUNTIFS(E_Dept,$B$114,E_Status,"Active",E_Survey,"Yes")*100,0)</f>
        <v>43.75</v>
      </c>
      <c r="N114" s="8">
        <f>COUNTIFS(E_Dept,$B$114,E_Risk,"High")</f>
        <v>1</v>
      </c>
      <c r="O114" s="8">
        <f>COUNTIFS(R_Dept,$B$114,R_Status,"Open")</f>
        <v>1</v>
      </c>
      <c r="P114" s="13">
        <f>IFERROR(AVERAGEIFS(R_TTF,R_Dept,$B$114,R_Status,"Filled"),0)</f>
        <v>17.5</v>
      </c>
      <c r="Q114" s="14">
        <f>IFERROR(COUNTIFS(M_Dept,$B$114,M_Gender,"Female",M_Status,"Active")/COUNTIFS(M_Dept,$B$114,M_Status,"Active"),0)</f>
        <v>0.5</v>
      </c>
      <c r="R114" s="11">
        <f>IFERROR(AVERAGEIFS(T_Hours,T_Dept,$B$114),0)</f>
        <v>30.08</v>
      </c>
      <c r="S114" s="14">
        <f>IFERROR(COUNTIFS(P_Dept,$B$114,P_Rating,"&gt;=4",P_Status,"Active")/COUNTIFS(M_Dept,$B$114,M_Status,"Active"),0)</f>
        <v>0.36363636363636365</v>
      </c>
      <c r="T114" s="14">
        <f>IFERROR(COUNTIFS(T_Dept,$B$114,T_Comp,"Compliant",T_Status,"Active")/COUNTIFS(M_Dept,$B$114,M_Status,"Active"),0)</f>
        <v>0.86363636363636365</v>
      </c>
      <c r="U114" s="11">
        <f>IFERROR(AVERAGEIFS(M_Tenure,M_Dept,$B$114,M_Status,"Active"),0)</f>
        <v>3.5818181818181825</v>
      </c>
    </row>
    <row r="115" spans="2:21" x14ac:dyDescent="0.3">
      <c r="B115" s="45" t="s">
        <v>48</v>
      </c>
      <c r="C115" s="45"/>
      <c r="D115" s="8">
        <f>COUNTIFS(M_Dept,$B$115,M_Status,"Active")</f>
        <v>23</v>
      </c>
      <c r="E115" s="8">
        <f>COUNTIFS(X_Dept,$B$115)</f>
        <v>2</v>
      </c>
      <c r="F115" s="9">
        <f>IFERROR(COUNTIFS(X_Dept,$B$115)/((COUNTIFS(M_Dept,$B$115,M_DOJ,"&lt;"&amp;PeriodStart)+COUNTIFS(M_Dept,$B$115,M_Status,"Active"))/2),0)</f>
        <v>0.10526315789473684</v>
      </c>
      <c r="G115" s="10">
        <f>IFERROR(AVERAGEIFS(P_Rating,P_Dept,$B$115),0)</f>
        <v>2.84</v>
      </c>
      <c r="H115" s="8">
        <f>COUNTIFS(P_Dept,$B$115,P_Elig,"Eligible")</f>
        <v>5</v>
      </c>
      <c r="I115" s="11">
        <f>IFERROR(AVERAGEIFS(C_CTC,C_Dept,$B$115,C_Status,"Active")/100000,0)</f>
        <v>20.036956521739132</v>
      </c>
      <c r="J115" s="10">
        <f>IFERROR(AVERAGEIFS(C_Compa,C_Dept,$B$115,C_Status,"Active"),0)</f>
        <v>1.0243478260869565</v>
      </c>
      <c r="K115" s="9">
        <f>IFERROR(AVERAGEIFS(A_Att,A_Dept,$B$115,A_Status,"Active"),0)</f>
        <v>0.83914226784609558</v>
      </c>
      <c r="L115" s="10">
        <f>IFERROR(AVERAGEIFS(E_Overall,E_Dept,$B$115,E_Status,"Active"),0)</f>
        <v>3.114347826086957</v>
      </c>
      <c r="M115" s="12">
        <f>IFERROR((COUNTIFS(E_Dept,$B$115,E_Cat,"Promoter",E_Status,"Active",E_Survey,"Yes")-COUNTIFS(E_Dept,$B$115,E_Cat,"Detractor",E_Status,"Active",E_Survey,"Yes"))/COUNTIFS(E_Dept,$B$115,E_Status,"Active",E_Survey,"Yes")*100,0)</f>
        <v>-4.7619047619047619</v>
      </c>
      <c r="N115" s="8">
        <f>COUNTIFS(E_Dept,$B$115,E_Risk,"High")</f>
        <v>0</v>
      </c>
      <c r="O115" s="8">
        <f>COUNTIFS(R_Dept,$B$115,R_Status,"Open")</f>
        <v>4</v>
      </c>
      <c r="P115" s="13">
        <f>IFERROR(AVERAGEIFS(R_TTF,R_Dept,$B$115,R_Status,"Filled"),0)</f>
        <v>52.8</v>
      </c>
      <c r="Q115" s="14">
        <f>IFERROR(COUNTIFS(M_Dept,$B$115,M_Gender,"Female",M_Status,"Active")/COUNTIFS(M_Dept,$B$115,M_Status,"Active"),0)</f>
        <v>0.69565217391304346</v>
      </c>
      <c r="R115" s="11">
        <f>IFERROR(AVERAGEIFS(T_Hours,T_Dept,$B$115),0)</f>
        <v>25.96</v>
      </c>
      <c r="S115" s="14">
        <f>IFERROR(COUNTIFS(P_Dept,$B$115,P_Rating,"&gt;=4",P_Status,"Active")/COUNTIFS(M_Dept,$B$115,M_Status,"Active"),0)</f>
        <v>0.30434782608695654</v>
      </c>
      <c r="T115" s="14">
        <f>IFERROR(COUNTIFS(T_Dept,$B$115,T_Comp,"Compliant",T_Status,"Active")/COUNTIFS(M_Dept,$B$115,M_Status,"Active"),0)</f>
        <v>0.95652173913043481</v>
      </c>
      <c r="U115" s="11">
        <f>IFERROR(AVERAGEIFS(M_Tenure,M_Dept,$B$115,M_Status,"Active"),0)</f>
        <v>1.9043478260869564</v>
      </c>
    </row>
    <row r="116" spans="2:21" x14ac:dyDescent="0.3">
      <c r="B116" s="46" t="s">
        <v>2027</v>
      </c>
      <c r="C116" s="46"/>
      <c r="D116" s="15">
        <f>COUNTIFS(M_Dept,"*",M_Status,"Active")</f>
        <v>436</v>
      </c>
      <c r="E116" s="15">
        <f>COUNTIFS(X_Dept,"*")</f>
        <v>64</v>
      </c>
      <c r="F116" s="16">
        <f>IFERROR(COUNTIFS(X_Dept,"*")/((COUNTIFS(M_Dept,"*",M_DOJ,"&lt;"&amp;PeriodStart)+COUNTIFS(M_Dept,"*",M_Status,"Active"))/2),0)</f>
        <v>0.15705521472392639</v>
      </c>
      <c r="G116" s="17">
        <f>IFERROR(AVERAGEIFS(P_Rating,P_Dept,"*"),0)</f>
        <v>3.234</v>
      </c>
      <c r="H116" s="15">
        <f>COUNTIFS(P_Dept,"*",P_Elig,"Eligible")</f>
        <v>82</v>
      </c>
      <c r="I116" s="18">
        <f>IFERROR(AVERAGEIFS(C_CTC,C_Dept,"*",C_Status,"Active")/100000,0)</f>
        <v>16.457752293577983</v>
      </c>
      <c r="J116" s="17">
        <f>IFERROR(AVERAGEIFS(C_Compa,C_Dept,"*",C_Status,"Active"),0)</f>
        <v>0.96871559633027549</v>
      </c>
      <c r="K116" s="16">
        <f>IFERROR(AVERAGEIFS(A_Att,A_Dept,"*",A_Status,"Active"),0)</f>
        <v>0.89245868251454119</v>
      </c>
      <c r="L116" s="17">
        <f>IFERROR(AVERAGEIFS(E_Overall,E_Dept,"*",E_Status,"Active"),0)</f>
        <v>3.251284403669723</v>
      </c>
      <c r="M116" s="19">
        <f>IFERROR((COUNTIFS(E_Dept,"*",E_Cat,"Promoter",E_Status,"Active",E_Survey,"Yes")-COUNTIFS(E_Dept,"*",E_Cat,"Detractor",E_Status,"Active",E_Survey,"Yes"))/COUNTIFS(E_Dept,"*",E_Status,"Active",E_Survey,"Yes")*100,0)</f>
        <v>22.727272727272727</v>
      </c>
      <c r="N116" s="15">
        <f>COUNTIFS(E_Dept,"*",E_Risk,"High")</f>
        <v>27</v>
      </c>
      <c r="O116" s="15">
        <f>COUNTIFS(R_Dept,"*",R_Status,"Open")</f>
        <v>43</v>
      </c>
      <c r="P116" s="20">
        <f>IFERROR(AVERAGEIFS(R_TTF,R_Dept,"*",R_Status,"Filled"),0)</f>
        <v>41.025974025974023</v>
      </c>
      <c r="Q116" s="21">
        <f>IFERROR(COUNTIFS(M_Dept,"*",M_Gender,"Female",M_Status,"Active")/COUNTIFS(M_Dept,"*",M_Status,"Active"),0)</f>
        <v>0.46559633027522934</v>
      </c>
      <c r="R116" s="18">
        <f>IFERROR(AVERAGEIFS(T_Hours,T_Dept,"*"),0)</f>
        <v>27.745999999999999</v>
      </c>
      <c r="S116" s="21">
        <f>IFERROR(COUNTIFS(P_Dept,"*",P_Rating,"&gt;=4",P_Status,"Active")/COUNTIFS(M_Dept,"*",M_Status,"Active"),0)</f>
        <v>0.3922018348623853</v>
      </c>
      <c r="T116" s="21">
        <f>IFERROR(COUNTIFS(T_Dept,"*",T_Comp,"Compliant",T_Status,"Active")/COUNTIFS(M_Dept,"*",M_Status,"Active"),0)</f>
        <v>0.86926605504587151</v>
      </c>
      <c r="U116" s="18">
        <f>IFERROR(AVERAGEIFS(M_Tenure,M_Dept,"*",M_Status,"Active"),0)</f>
        <v>2.6311926605504588</v>
      </c>
    </row>
    <row r="118" spans="2:21" ht="205.2" x14ac:dyDescent="0.3">
      <c r="B118" s="5" t="s">
        <v>2028</v>
      </c>
    </row>
  </sheetData>
  <mergeCells count="151">
    <mergeCell ref="B1:V1"/>
    <mergeCell ref="B4:C4"/>
    <mergeCell ref="D4:G4"/>
    <mergeCell ref="H4:I4"/>
    <mergeCell ref="J4:N4"/>
    <mergeCell ref="O4:V4"/>
    <mergeCell ref="B5:V5"/>
    <mergeCell ref="B6:D6"/>
    <mergeCell ref="B7:D7"/>
    <mergeCell ref="N6:P6"/>
    <mergeCell ref="N7:P7"/>
    <mergeCell ref="N8:P8"/>
    <mergeCell ref="Q6:S6"/>
    <mergeCell ref="Q7:S7"/>
    <mergeCell ref="Q8:S8"/>
    <mergeCell ref="T6:V6"/>
    <mergeCell ref="T7:V7"/>
    <mergeCell ref="T8:V8"/>
    <mergeCell ref="B10:D10"/>
    <mergeCell ref="B11:D11"/>
    <mergeCell ref="N10:P10"/>
    <mergeCell ref="N11:P11"/>
    <mergeCell ref="B8:D8"/>
    <mergeCell ref="E6:G6"/>
    <mergeCell ref="E7:G7"/>
    <mergeCell ref="E8:G8"/>
    <mergeCell ref="H6:J6"/>
    <mergeCell ref="H7:J7"/>
    <mergeCell ref="H8:J8"/>
    <mergeCell ref="K6:M6"/>
    <mergeCell ref="K7:M7"/>
    <mergeCell ref="K8:M8"/>
    <mergeCell ref="N12:P12"/>
    <mergeCell ref="Q10:S10"/>
    <mergeCell ref="Q11:S11"/>
    <mergeCell ref="Q12:S12"/>
    <mergeCell ref="T10:V10"/>
    <mergeCell ref="T11:V11"/>
    <mergeCell ref="T12:V12"/>
    <mergeCell ref="B14:D14"/>
    <mergeCell ref="B15:D15"/>
    <mergeCell ref="N14:P14"/>
    <mergeCell ref="N15:P15"/>
    <mergeCell ref="B12:D12"/>
    <mergeCell ref="E10:G10"/>
    <mergeCell ref="E11:G11"/>
    <mergeCell ref="E12:G12"/>
    <mergeCell ref="H10:J10"/>
    <mergeCell ref="H11:J11"/>
    <mergeCell ref="H12:J12"/>
    <mergeCell ref="K10:M10"/>
    <mergeCell ref="K11:M11"/>
    <mergeCell ref="K12:M12"/>
    <mergeCell ref="N16:P16"/>
    <mergeCell ref="Q14:S14"/>
    <mergeCell ref="Q15:S15"/>
    <mergeCell ref="Q16:S16"/>
    <mergeCell ref="T14:V14"/>
    <mergeCell ref="T15:V15"/>
    <mergeCell ref="T16:V16"/>
    <mergeCell ref="B19:K19"/>
    <mergeCell ref="M19:V19"/>
    <mergeCell ref="B16:D16"/>
    <mergeCell ref="E14:G14"/>
    <mergeCell ref="E15:G15"/>
    <mergeCell ref="E16:G16"/>
    <mergeCell ref="H14:J14"/>
    <mergeCell ref="H15:J15"/>
    <mergeCell ref="H16:J16"/>
    <mergeCell ref="K14:M14"/>
    <mergeCell ref="K15:M15"/>
    <mergeCell ref="K16:M16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4:C24"/>
    <mergeCell ref="D24:F24"/>
    <mergeCell ref="G24:H24"/>
    <mergeCell ref="I24:K24"/>
    <mergeCell ref="B25:C25"/>
    <mergeCell ref="D25:F25"/>
    <mergeCell ref="G25:H25"/>
    <mergeCell ref="I25:K25"/>
    <mergeCell ref="I30:K30"/>
    <mergeCell ref="B31:C31"/>
    <mergeCell ref="D31:F31"/>
    <mergeCell ref="G31:H31"/>
    <mergeCell ref="I31:K31"/>
    <mergeCell ref="B26:C26"/>
    <mergeCell ref="D26:F26"/>
    <mergeCell ref="G26:H26"/>
    <mergeCell ref="I26:K26"/>
    <mergeCell ref="B27:C27"/>
    <mergeCell ref="D27:F27"/>
    <mergeCell ref="G27:H27"/>
    <mergeCell ref="I27:K27"/>
    <mergeCell ref="B28:C28"/>
    <mergeCell ref="D28:F28"/>
    <mergeCell ref="G28:H28"/>
    <mergeCell ref="I28:K28"/>
    <mergeCell ref="B32:K32"/>
    <mergeCell ref="N20:P20"/>
    <mergeCell ref="Q20:S20"/>
    <mergeCell ref="T20:V20"/>
    <mergeCell ref="M21:M23"/>
    <mergeCell ref="N21:P23"/>
    <mergeCell ref="Q21:S23"/>
    <mergeCell ref="T21:V23"/>
    <mergeCell ref="M24:M26"/>
    <mergeCell ref="N24:P26"/>
    <mergeCell ref="Q24:S26"/>
    <mergeCell ref="T24:V26"/>
    <mergeCell ref="M27:M29"/>
    <mergeCell ref="N27:P29"/>
    <mergeCell ref="Q27:S29"/>
    <mergeCell ref="T27:V29"/>
    <mergeCell ref="M30:V32"/>
    <mergeCell ref="B29:C29"/>
    <mergeCell ref="D29:F29"/>
    <mergeCell ref="G29:H29"/>
    <mergeCell ref="I29:K29"/>
    <mergeCell ref="B30:C30"/>
    <mergeCell ref="D30:F30"/>
    <mergeCell ref="G30:H30"/>
    <mergeCell ref="B112:C112"/>
    <mergeCell ref="B113:C113"/>
    <mergeCell ref="B114:C114"/>
    <mergeCell ref="B115:C115"/>
    <mergeCell ref="B116:C116"/>
    <mergeCell ref="B34:V34"/>
    <mergeCell ref="B104:V104"/>
    <mergeCell ref="B105:C105"/>
    <mergeCell ref="B106:C106"/>
    <mergeCell ref="B107:C107"/>
    <mergeCell ref="B108:C108"/>
    <mergeCell ref="B109:C109"/>
    <mergeCell ref="B110:C110"/>
    <mergeCell ref="B111:C111"/>
  </mergeCells>
  <conditionalFormatting sqref="B106:U115">
    <cfRule type="expression" dxfId="36" priority="13">
      <formula>$B106=SelDept</formula>
    </cfRule>
  </conditionalFormatting>
  <conditionalFormatting sqref="D106:D115">
    <cfRule type="dataBar" priority="19">
      <dataBar>
        <cfvo type="min"/>
        <cfvo type="max"/>
        <color rgb="FF8EC3E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D30:F30">
    <cfRule type="cellIs" dxfId="35" priority="3" operator="equal">
      <formula>"Exited"</formula>
    </cfRule>
  </conditionalFormatting>
  <conditionalFormatting sqref="F106:F115">
    <cfRule type="colorScale" priority="14">
      <colorScale>
        <cfvo type="min"/>
        <cfvo type="percentile" val="50"/>
        <cfvo type="max"/>
        <color rgb="FFC8EBD9"/>
        <color rgb="FFFFFFFF"/>
        <color rgb="FFF8C9CF"/>
      </colorScale>
    </cfRule>
  </conditionalFormatting>
  <conditionalFormatting sqref="G106:G115">
    <cfRule type="colorScale" priority="15">
      <colorScale>
        <cfvo type="min"/>
        <cfvo type="percentile" val="50"/>
        <cfvo type="max"/>
        <color rgb="FFF8C9CF"/>
        <color rgb="FFFFFFFF"/>
        <color rgb="FFC8EBD9"/>
      </colorScale>
    </cfRule>
  </conditionalFormatting>
  <conditionalFormatting sqref="I24:K24">
    <cfRule type="cellIs" dxfId="34" priority="1" operator="equal">
      <formula>"Eligible"</formula>
    </cfRule>
  </conditionalFormatting>
  <conditionalFormatting sqref="I31:K31">
    <cfRule type="cellIs" dxfId="33" priority="2" operator="equal">
      <formula>"High"</formula>
    </cfRule>
  </conditionalFormatting>
  <conditionalFormatting sqref="M106:M115">
    <cfRule type="colorScale" priority="16">
      <colorScale>
        <cfvo type="min"/>
        <cfvo type="percentile" val="50"/>
        <cfvo type="max"/>
        <color rgb="FFF8C9CF"/>
        <color rgb="FFFFFFFF"/>
        <color rgb="FFC8EBD9"/>
      </colorScale>
    </cfRule>
  </conditionalFormatting>
  <conditionalFormatting sqref="N21:P23">
    <cfRule type="expression" dxfId="32" priority="4">
      <formula>INDEX(P_9Box,SelRow)="Trusted Professional"</formula>
    </cfRule>
  </conditionalFormatting>
  <conditionalFormatting sqref="N24:P26">
    <cfRule type="expression" dxfId="31" priority="7">
      <formula>INDEX(P_9Box,SelRow)="Effective Contributor"</formula>
    </cfRule>
  </conditionalFormatting>
  <conditionalFormatting sqref="N27:P29">
    <cfRule type="expression" dxfId="30" priority="10">
      <formula>INDEX(P_9Box,SelRow)="Underperformer"</formula>
    </cfRule>
  </conditionalFormatting>
  <conditionalFormatting sqref="O106:O115">
    <cfRule type="colorScale" priority="17">
      <colorScale>
        <cfvo type="min"/>
        <cfvo type="percentile" val="50"/>
        <cfvo type="max"/>
        <color rgb="FFC8EBD9"/>
        <color rgb="FFFFFFFF"/>
        <color rgb="FFF8C9CF"/>
      </colorScale>
    </cfRule>
  </conditionalFormatting>
  <conditionalFormatting sqref="Q21:S23">
    <cfRule type="expression" dxfId="29" priority="5">
      <formula>INDEX(P_9Box,SelRow)="High Performer"</formula>
    </cfRule>
  </conditionalFormatting>
  <conditionalFormatting sqref="Q24:S26">
    <cfRule type="expression" dxfId="28" priority="8">
      <formula>INDEX(P_9Box,SelRow)="Core Player"</formula>
    </cfRule>
  </conditionalFormatting>
  <conditionalFormatting sqref="Q27:S29">
    <cfRule type="expression" dxfId="27" priority="11">
      <formula>INDEX(P_9Box,SelRow)="Inconsistent Player"</formula>
    </cfRule>
  </conditionalFormatting>
  <conditionalFormatting sqref="T106:T115">
    <cfRule type="colorScale" priority="18">
      <colorScale>
        <cfvo type="min"/>
        <cfvo type="percentile" val="50"/>
        <cfvo type="max"/>
        <color rgb="FFF8C9CF"/>
        <color rgb="FFFFFFFF"/>
        <color rgb="FFC8EBD9"/>
      </colorScale>
    </cfRule>
  </conditionalFormatting>
  <conditionalFormatting sqref="T21:V23">
    <cfRule type="expression" dxfId="26" priority="6">
      <formula>INDEX(P_9Box,SelRow)="Star"</formula>
    </cfRule>
  </conditionalFormatting>
  <conditionalFormatting sqref="T24:V26">
    <cfRule type="expression" dxfId="25" priority="9">
      <formula>INDEX(P_9Box,SelRow)="Future Star"</formula>
    </cfRule>
  </conditionalFormatting>
  <conditionalFormatting sqref="T27:V29">
    <cfRule type="expression" dxfId="24" priority="12">
      <formula>INDEX(P_9Box,SelRow)="Rough Diamond"</formula>
    </cfRule>
  </conditionalFormatting>
  <dataValidations count="2">
    <dataValidation type="list" allowBlank="1" showInputMessage="1" showErrorMessage="1" promptTitle="Department" prompt="Pick a department, or All Departments for the full organisation." sqref="D4:G4" xr:uid="{00000000-0002-0000-0100-000000000000}">
      <formula1>DeptList</formula1>
    </dataValidation>
    <dataValidation type="list" allowBlank="1" showInputMessage="1" showErrorMessage="1" promptTitle="Employee" prompt="The list shows only employees in the selected department." sqref="J4:N4" xr:uid="{00000000-0002-0000-0100-000001000000}">
      <formula1>EmpList</formula1>
    </dataValidation>
  </dataValidations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8EC3E6"/>
              <x14:negativeFillColor rgb="FFFF0000"/>
              <x14:negativeBorderColor rgb="FFFF0000"/>
              <x14:axisColor rgb="FF000000"/>
            </x14:dataBar>
          </x14:cfRule>
          <xm:sqref>D106:D115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1F8A70"/>
  </sheetPr>
  <dimension ref="A1:R504"/>
  <sheetViews>
    <sheetView showGridLines="0"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4.4" x14ac:dyDescent="0.3"/>
  <cols>
    <col min="1" max="1" width="5.6640625" customWidth="1"/>
    <col min="2" max="2" width="10.6640625" customWidth="1"/>
    <col min="3" max="3" width="20.6640625" customWidth="1"/>
    <col min="4" max="4" width="28.6640625" customWidth="1"/>
    <col min="5" max="5" width="17.6640625" customWidth="1"/>
    <col min="6" max="6" width="6.6640625" customWidth="1"/>
    <col min="7" max="7" width="19.6640625" customWidth="1"/>
    <col min="8" max="9" width="8.6640625" customWidth="1"/>
    <col min="10" max="10" width="7.6640625" customWidth="1"/>
    <col min="11" max="11" width="19.6640625" customWidth="1"/>
    <col min="12" max="12" width="12.6640625" customWidth="1"/>
    <col min="13" max="13" width="9.6640625" customWidth="1"/>
    <col min="14" max="14" width="7.6640625" customWidth="1"/>
    <col min="15" max="17" width="9.6640625" customWidth="1"/>
    <col min="18" max="18" width="5.6640625" hidden="1" customWidth="1"/>
  </cols>
  <sheetData>
    <row r="1" spans="1:18" ht="34.049999999999997" customHeight="1" x14ac:dyDescent="0.3">
      <c r="A1" s="85" t="s">
        <v>2029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8" x14ac:dyDescent="0.3">
      <c r="A2" s="1" t="str">
        <f>"   Every employee in: "&amp;SelLabel&amp;"  ·  "&amp;COUNT(Calc_Engine!$H$2:$H$501)&amp;" people  ·  change the department on the Dashboard to switch the list"</f>
        <v xml:space="preserve">   Every employee in: All Departments  ·  500 people  ·  change the department on the Dashboard to switch the list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239.4" x14ac:dyDescent="0.3">
      <c r="A3" s="5" t="s">
        <v>2037</v>
      </c>
    </row>
    <row r="4" spans="1:18" ht="28.05" customHeight="1" x14ac:dyDescent="0.3">
      <c r="A4" s="6" t="s">
        <v>2030</v>
      </c>
      <c r="B4" s="6" t="s">
        <v>74</v>
      </c>
      <c r="C4" s="6" t="s">
        <v>75</v>
      </c>
      <c r="D4" s="6" t="s">
        <v>78</v>
      </c>
      <c r="E4" s="6" t="s">
        <v>80</v>
      </c>
      <c r="F4" s="6" t="s">
        <v>17</v>
      </c>
      <c r="G4" s="6" t="s">
        <v>31</v>
      </c>
      <c r="H4" s="6" t="s">
        <v>86</v>
      </c>
      <c r="I4" s="6" t="s">
        <v>88</v>
      </c>
      <c r="J4" s="6" t="s">
        <v>50</v>
      </c>
      <c r="K4" s="6" t="s">
        <v>2031</v>
      </c>
      <c r="L4" s="6" t="s">
        <v>2032</v>
      </c>
      <c r="M4" s="6" t="s">
        <v>2033</v>
      </c>
      <c r="N4" s="6" t="s">
        <v>2034</v>
      </c>
      <c r="O4" s="6" t="s">
        <v>2035</v>
      </c>
      <c r="P4" s="6" t="s">
        <v>2018</v>
      </c>
      <c r="Q4" s="6" t="s">
        <v>1743</v>
      </c>
      <c r="R4" s="6" t="s">
        <v>2036</v>
      </c>
    </row>
    <row r="5" spans="1:18" x14ac:dyDescent="0.3">
      <c r="A5" s="22">
        <f>IF(B5="","",1)</f>
        <v>1</v>
      </c>
      <c r="B5" s="22" t="str">
        <f>IF(Calc_Engine!I2="","",Calc_Engine!I2)</f>
        <v>EMP1001</v>
      </c>
      <c r="C5" s="23" t="str">
        <f t="shared" ref="C5:C68" si="0">IF($R5="","",INDEX(M_Name,$R5))</f>
        <v>Vidya Kulkarni</v>
      </c>
      <c r="D5" s="23" t="str">
        <f t="shared" ref="D5:D68" si="1">IF($R5="","",INDEX(M_Title,$R5))</f>
        <v>Head of People</v>
      </c>
      <c r="E5" s="23" t="str">
        <f t="shared" ref="E5:E68" si="2">IF($R5="","",INDEX(M_Dept,$R5))</f>
        <v>Human Resources</v>
      </c>
      <c r="F5" s="22" t="str">
        <f t="shared" ref="F5:F68" si="3">IF($R5="","",INDEX(M_Level,$R5))</f>
        <v>L7</v>
      </c>
      <c r="G5" s="23" t="str">
        <f t="shared" ref="G5:G68" si="4">IF($R5="","",INDEX(M_Mgr,$R5))</f>
        <v>Arvind Rao (CEO)</v>
      </c>
      <c r="H5" s="22" t="str">
        <f t="shared" ref="H5:H68" si="5">IF($R5="","",INDEX(M_Status,$R5))</f>
        <v>Active</v>
      </c>
      <c r="I5" s="24">
        <f t="shared" ref="I5:I68" si="6">IF($R5="","",INDEX(M_Tenure,$R5))</f>
        <v>9.8000000000000007</v>
      </c>
      <c r="J5" s="22">
        <f t="shared" ref="J5:J68" si="7">IF($R5="","",INDEX(P_Rating,$R5))</f>
        <v>5</v>
      </c>
      <c r="K5" s="23" t="str">
        <f t="shared" ref="K5:K68" si="8">IF($R5="","",INDEX(P_9Box,$R5))</f>
        <v>Star</v>
      </c>
      <c r="L5" s="22" t="str">
        <f t="shared" ref="L5:L68" si="9">IF($R5="","",INDEX(P_Elig,$R5))</f>
        <v>Not Eligible</v>
      </c>
      <c r="M5" s="24">
        <f t="shared" ref="M5:M68" si="10">IF($R5="","",INDEX(C_CTC,$R5)/100000)</f>
        <v>76.319999999999993</v>
      </c>
      <c r="N5" s="25">
        <f t="shared" ref="N5:N68" si="11">IF($R5="","",INDEX(C_Compa,$R5))</f>
        <v>0.93</v>
      </c>
      <c r="O5" s="26">
        <f t="shared" ref="O5:O68" si="12">IF($R5="","",INDEX(A_Att,$R5))</f>
        <v>0.92800000000000005</v>
      </c>
      <c r="P5" s="25">
        <f t="shared" ref="P5:P68" si="13">IF($R5="","",INDEX(E_Overall,$R5))</f>
        <v>3.73</v>
      </c>
      <c r="Q5" s="22" t="str">
        <f t="shared" ref="Q5:Q68" si="14">IF($R5="","",INDEX(E_Risk,$R5))</f>
        <v>Low</v>
      </c>
      <c r="R5">
        <f t="shared" ref="R5:R68" si="15">IF(B5="","",MATCH(B5,M_ID,0))</f>
        <v>1</v>
      </c>
    </row>
    <row r="6" spans="1:18" x14ac:dyDescent="0.3">
      <c r="A6" s="22">
        <f>IF(B6="","",2)</f>
        <v>2</v>
      </c>
      <c r="B6" s="22" t="str">
        <f>IF(Calc_Engine!I3="","",Calc_Engine!I3)</f>
        <v>EMP1002</v>
      </c>
      <c r="C6" s="23" t="str">
        <f t="shared" si="0"/>
        <v>Vikas Singh</v>
      </c>
      <c r="D6" s="23" t="str">
        <f t="shared" si="1"/>
        <v>Engineering Manager</v>
      </c>
      <c r="E6" s="23" t="str">
        <f t="shared" si="2"/>
        <v>Engineering</v>
      </c>
      <c r="F6" s="22" t="str">
        <f t="shared" si="3"/>
        <v>L5</v>
      </c>
      <c r="G6" s="23" t="str">
        <f t="shared" si="4"/>
        <v>Yamini Nair</v>
      </c>
      <c r="H6" s="22" t="str">
        <f t="shared" si="5"/>
        <v>Active</v>
      </c>
      <c r="I6" s="24">
        <f t="shared" si="6"/>
        <v>7.9</v>
      </c>
      <c r="J6" s="22">
        <f t="shared" si="7"/>
        <v>4</v>
      </c>
      <c r="K6" s="23" t="str">
        <f t="shared" si="8"/>
        <v>High Performer</v>
      </c>
      <c r="L6" s="22" t="str">
        <f t="shared" si="9"/>
        <v>Eligible</v>
      </c>
      <c r="M6" s="24">
        <f t="shared" si="10"/>
        <v>44.07</v>
      </c>
      <c r="N6" s="25">
        <f t="shared" si="11"/>
        <v>1.2</v>
      </c>
      <c r="O6" s="26">
        <f t="shared" si="12"/>
        <v>0.96</v>
      </c>
      <c r="P6" s="25">
        <f t="shared" si="13"/>
        <v>4.53</v>
      </c>
      <c r="Q6" s="22" t="str">
        <f t="shared" si="14"/>
        <v>Low</v>
      </c>
      <c r="R6">
        <f t="shared" si="15"/>
        <v>2</v>
      </c>
    </row>
    <row r="7" spans="1:18" x14ac:dyDescent="0.3">
      <c r="A7" s="22">
        <f>IF(B7="","",3)</f>
        <v>3</v>
      </c>
      <c r="B7" s="22" t="str">
        <f>IF(Calc_Engine!I4="","",Calc_Engine!I4)</f>
        <v>EMP1003</v>
      </c>
      <c r="C7" s="23" t="str">
        <f t="shared" si="0"/>
        <v>Prakash Das</v>
      </c>
      <c r="D7" s="23" t="str">
        <f t="shared" si="1"/>
        <v>Senior HR Manager</v>
      </c>
      <c r="E7" s="23" t="str">
        <f t="shared" si="2"/>
        <v>Human Resources</v>
      </c>
      <c r="F7" s="22" t="str">
        <f t="shared" si="3"/>
        <v>L6</v>
      </c>
      <c r="G7" s="23" t="str">
        <f t="shared" si="4"/>
        <v>Vidya Kulkarni</v>
      </c>
      <c r="H7" s="22" t="str">
        <f t="shared" si="5"/>
        <v>Active</v>
      </c>
      <c r="I7" s="24">
        <f t="shared" si="6"/>
        <v>7.5</v>
      </c>
      <c r="J7" s="22">
        <f t="shared" si="7"/>
        <v>2</v>
      </c>
      <c r="K7" s="23" t="str">
        <f t="shared" si="8"/>
        <v>Inconsistent Player</v>
      </c>
      <c r="L7" s="22" t="str">
        <f t="shared" si="9"/>
        <v>Not Eligible</v>
      </c>
      <c r="M7" s="24">
        <f t="shared" si="10"/>
        <v>51.06</v>
      </c>
      <c r="N7" s="25">
        <f t="shared" si="11"/>
        <v>0.95</v>
      </c>
      <c r="O7" s="26">
        <f t="shared" si="12"/>
        <v>0.93200000000000005</v>
      </c>
      <c r="P7" s="25">
        <f t="shared" si="13"/>
        <v>3.23</v>
      </c>
      <c r="Q7" s="22" t="str">
        <f t="shared" si="14"/>
        <v>Low</v>
      </c>
      <c r="R7">
        <f t="shared" si="15"/>
        <v>3</v>
      </c>
    </row>
    <row r="8" spans="1:18" x14ac:dyDescent="0.3">
      <c r="A8" s="22">
        <f>IF(B8="","",4)</f>
        <v>4</v>
      </c>
      <c r="B8" s="22" t="str">
        <f>IF(Calc_Engine!I5="","",Calc_Engine!I5)</f>
        <v>EMP1004</v>
      </c>
      <c r="C8" s="23" t="str">
        <f t="shared" si="0"/>
        <v>Fatima Choudhary</v>
      </c>
      <c r="D8" s="23" t="str">
        <f t="shared" si="1"/>
        <v>Engineering Manager</v>
      </c>
      <c r="E8" s="23" t="str">
        <f t="shared" si="2"/>
        <v>Engineering</v>
      </c>
      <c r="F8" s="22" t="str">
        <f t="shared" si="3"/>
        <v>L5</v>
      </c>
      <c r="G8" s="23" t="str">
        <f t="shared" si="4"/>
        <v>Yamini Nair</v>
      </c>
      <c r="H8" s="22" t="str">
        <f t="shared" si="5"/>
        <v>Active</v>
      </c>
      <c r="I8" s="24">
        <f t="shared" si="6"/>
        <v>7.5</v>
      </c>
      <c r="J8" s="22">
        <f t="shared" si="7"/>
        <v>2</v>
      </c>
      <c r="K8" s="23" t="str">
        <f t="shared" si="8"/>
        <v>Inconsistent Player</v>
      </c>
      <c r="L8" s="22" t="str">
        <f t="shared" si="9"/>
        <v>Not Eligible</v>
      </c>
      <c r="M8" s="24">
        <f t="shared" si="10"/>
        <v>44.89</v>
      </c>
      <c r="N8" s="25">
        <f t="shared" si="11"/>
        <v>1.22</v>
      </c>
      <c r="O8" s="26">
        <f t="shared" si="12"/>
        <v>0.88</v>
      </c>
      <c r="P8" s="25">
        <f t="shared" si="13"/>
        <v>3.12</v>
      </c>
      <c r="Q8" s="22" t="str">
        <f t="shared" si="14"/>
        <v>Low</v>
      </c>
      <c r="R8">
        <f t="shared" si="15"/>
        <v>4</v>
      </c>
    </row>
    <row r="9" spans="1:18" x14ac:dyDescent="0.3">
      <c r="A9" s="22">
        <f>IF(B9="","",5)</f>
        <v>5</v>
      </c>
      <c r="B9" s="22" t="str">
        <f>IF(Calc_Engine!I6="","",Calc_Engine!I6)</f>
        <v>EMP1005</v>
      </c>
      <c r="C9" s="23" t="str">
        <f t="shared" si="0"/>
        <v>Gaurav Fernandes</v>
      </c>
      <c r="D9" s="23" t="str">
        <f t="shared" si="1"/>
        <v>Engineering Manager</v>
      </c>
      <c r="E9" s="23" t="str">
        <f t="shared" si="2"/>
        <v>Engineering</v>
      </c>
      <c r="F9" s="22" t="str">
        <f t="shared" si="3"/>
        <v>L5</v>
      </c>
      <c r="G9" s="23" t="str">
        <f t="shared" si="4"/>
        <v>Yamini Nair</v>
      </c>
      <c r="H9" s="22" t="str">
        <f t="shared" si="5"/>
        <v>Active</v>
      </c>
      <c r="I9" s="24">
        <f t="shared" si="6"/>
        <v>7.2</v>
      </c>
      <c r="J9" s="22">
        <f t="shared" si="7"/>
        <v>3</v>
      </c>
      <c r="K9" s="23" t="str">
        <f t="shared" si="8"/>
        <v>Core Player</v>
      </c>
      <c r="L9" s="22" t="str">
        <f t="shared" si="9"/>
        <v>Not Eligible</v>
      </c>
      <c r="M9" s="24">
        <f t="shared" si="10"/>
        <v>49.38</v>
      </c>
      <c r="N9" s="25">
        <f t="shared" si="11"/>
        <v>1.35</v>
      </c>
      <c r="O9" s="26">
        <f t="shared" si="12"/>
        <v>0.94</v>
      </c>
      <c r="P9" s="25">
        <f t="shared" si="13"/>
        <v>3.82</v>
      </c>
      <c r="Q9" s="22" t="str">
        <f t="shared" si="14"/>
        <v>Low</v>
      </c>
      <c r="R9">
        <f t="shared" si="15"/>
        <v>5</v>
      </c>
    </row>
    <row r="10" spans="1:18" x14ac:dyDescent="0.3">
      <c r="A10" s="22">
        <f>IF(B10="","",6)</f>
        <v>6</v>
      </c>
      <c r="B10" s="22" t="str">
        <f>IF(Calc_Engine!I7="","",Calc_Engine!I7)</f>
        <v>EMP1006</v>
      </c>
      <c r="C10" s="23" t="str">
        <f t="shared" si="0"/>
        <v>Yash Shah</v>
      </c>
      <c r="D10" s="23" t="str">
        <f t="shared" si="1"/>
        <v>Operations Manager</v>
      </c>
      <c r="E10" s="23" t="str">
        <f t="shared" si="2"/>
        <v>Operations</v>
      </c>
      <c r="F10" s="22" t="str">
        <f t="shared" si="3"/>
        <v>L5</v>
      </c>
      <c r="G10" s="23" t="str">
        <f t="shared" si="4"/>
        <v>Pallavi Shah</v>
      </c>
      <c r="H10" s="22" t="str">
        <f t="shared" si="5"/>
        <v>Exited</v>
      </c>
      <c r="I10" s="24">
        <f t="shared" si="6"/>
        <v>7</v>
      </c>
      <c r="J10" s="22">
        <f t="shared" si="7"/>
        <v>4</v>
      </c>
      <c r="K10" s="23" t="str">
        <f t="shared" si="8"/>
        <v>High Performer</v>
      </c>
      <c r="L10" s="22" t="str">
        <f t="shared" si="9"/>
        <v>Not Eligible</v>
      </c>
      <c r="M10" s="24">
        <f t="shared" si="10"/>
        <v>27.14</v>
      </c>
      <c r="N10" s="25">
        <f t="shared" si="11"/>
        <v>0.74</v>
      </c>
      <c r="O10" s="26">
        <f t="shared" si="12"/>
        <v>0.90047393364928907</v>
      </c>
      <c r="P10" s="25">
        <f t="shared" si="13"/>
        <v>2.97</v>
      </c>
      <c r="Q10" s="22" t="str">
        <f t="shared" si="14"/>
        <v>Exited</v>
      </c>
      <c r="R10">
        <f t="shared" si="15"/>
        <v>6</v>
      </c>
    </row>
    <row r="11" spans="1:18" x14ac:dyDescent="0.3">
      <c r="A11" s="22">
        <f>IF(B11="","",7)</f>
        <v>7</v>
      </c>
      <c r="B11" s="22" t="str">
        <f>IF(Calc_Engine!I8="","",Calc_Engine!I8)</f>
        <v>EMP1007</v>
      </c>
      <c r="C11" s="23" t="str">
        <f t="shared" si="0"/>
        <v>Imran Tiwari</v>
      </c>
      <c r="D11" s="23" t="str">
        <f t="shared" si="1"/>
        <v>Marketing Lead</v>
      </c>
      <c r="E11" s="23" t="str">
        <f t="shared" si="2"/>
        <v>Marketing</v>
      </c>
      <c r="F11" s="22" t="str">
        <f t="shared" si="3"/>
        <v>L4</v>
      </c>
      <c r="G11" s="23" t="str">
        <f t="shared" si="4"/>
        <v>Nandini Iyer</v>
      </c>
      <c r="H11" s="22" t="str">
        <f t="shared" si="5"/>
        <v>Exited</v>
      </c>
      <c r="I11" s="24">
        <f t="shared" si="6"/>
        <v>6.4</v>
      </c>
      <c r="J11" s="22">
        <f t="shared" si="7"/>
        <v>1</v>
      </c>
      <c r="K11" s="23" t="str">
        <f t="shared" si="8"/>
        <v>Underperformer</v>
      </c>
      <c r="L11" s="22" t="str">
        <f t="shared" si="9"/>
        <v>Not Eligible</v>
      </c>
      <c r="M11" s="24">
        <f t="shared" si="10"/>
        <v>22.29</v>
      </c>
      <c r="N11" s="25">
        <f t="shared" si="11"/>
        <v>0.95</v>
      </c>
      <c r="O11" s="26">
        <f t="shared" si="12"/>
        <v>0.78448275862068961</v>
      </c>
      <c r="P11" s="25">
        <f t="shared" si="13"/>
        <v>2.4300000000000002</v>
      </c>
      <c r="Q11" s="22" t="str">
        <f t="shared" si="14"/>
        <v>Exited</v>
      </c>
      <c r="R11">
        <f t="shared" si="15"/>
        <v>7</v>
      </c>
    </row>
    <row r="12" spans="1:18" x14ac:dyDescent="0.3">
      <c r="A12" s="22">
        <f>IF(B12="","",8)</f>
        <v>8</v>
      </c>
      <c r="B12" s="22" t="str">
        <f>IF(Calc_Engine!I9="","",Calc_Engine!I9)</f>
        <v>EMP1008</v>
      </c>
      <c r="C12" s="23" t="str">
        <f t="shared" si="0"/>
        <v>Aishwarya Khan</v>
      </c>
      <c r="D12" s="23" t="str">
        <f t="shared" si="1"/>
        <v>Head of Engineering</v>
      </c>
      <c r="E12" s="23" t="str">
        <f t="shared" si="2"/>
        <v>Engineering</v>
      </c>
      <c r="F12" s="22" t="str">
        <f t="shared" si="3"/>
        <v>L7</v>
      </c>
      <c r="G12" s="23" t="str">
        <f t="shared" si="4"/>
        <v>Arvind Rao (CEO)</v>
      </c>
      <c r="H12" s="22" t="str">
        <f t="shared" si="5"/>
        <v>Active</v>
      </c>
      <c r="I12" s="24">
        <f t="shared" si="6"/>
        <v>6.9</v>
      </c>
      <c r="J12" s="22">
        <f t="shared" si="7"/>
        <v>3</v>
      </c>
      <c r="K12" s="23" t="str">
        <f t="shared" si="8"/>
        <v>Core Player</v>
      </c>
      <c r="L12" s="22" t="str">
        <f t="shared" si="9"/>
        <v>Not Eligible</v>
      </c>
      <c r="M12" s="24">
        <f t="shared" si="10"/>
        <v>92.08</v>
      </c>
      <c r="N12" s="25">
        <f t="shared" si="11"/>
        <v>1.1200000000000001</v>
      </c>
      <c r="O12" s="26">
        <f t="shared" si="12"/>
        <v>0.94399999999999995</v>
      </c>
      <c r="P12" s="25">
        <f t="shared" si="13"/>
        <v>2.0299999999999998</v>
      </c>
      <c r="Q12" s="22" t="str">
        <f t="shared" si="14"/>
        <v>Low</v>
      </c>
      <c r="R12">
        <f t="shared" si="15"/>
        <v>8</v>
      </c>
    </row>
    <row r="13" spans="1:18" x14ac:dyDescent="0.3">
      <c r="A13" s="22">
        <f>IF(B13="","",9)</f>
        <v>9</v>
      </c>
      <c r="B13" s="22" t="str">
        <f>IF(Calc_Engine!I10="","",Calc_Engine!I10)</f>
        <v>EMP1009</v>
      </c>
      <c r="C13" s="23" t="str">
        <f t="shared" si="0"/>
        <v>Ankit Khanna</v>
      </c>
      <c r="D13" s="23" t="str">
        <f t="shared" si="1"/>
        <v>Operations Manager</v>
      </c>
      <c r="E13" s="23" t="str">
        <f t="shared" si="2"/>
        <v>Operations</v>
      </c>
      <c r="F13" s="22" t="str">
        <f t="shared" si="3"/>
        <v>L5</v>
      </c>
      <c r="G13" s="23" t="str">
        <f t="shared" si="4"/>
        <v>Imran Mishra</v>
      </c>
      <c r="H13" s="22" t="str">
        <f t="shared" si="5"/>
        <v>Active</v>
      </c>
      <c r="I13" s="24">
        <f t="shared" si="6"/>
        <v>6.9</v>
      </c>
      <c r="J13" s="22">
        <f t="shared" si="7"/>
        <v>3</v>
      </c>
      <c r="K13" s="23" t="str">
        <f t="shared" si="8"/>
        <v>Core Player</v>
      </c>
      <c r="L13" s="22" t="str">
        <f t="shared" si="9"/>
        <v>Not Eligible</v>
      </c>
      <c r="M13" s="24">
        <f t="shared" si="10"/>
        <v>36.08</v>
      </c>
      <c r="N13" s="25">
        <f t="shared" si="11"/>
        <v>0.98</v>
      </c>
      <c r="O13" s="26">
        <f t="shared" si="12"/>
        <v>0.94399999999999995</v>
      </c>
      <c r="P13" s="25">
        <f t="shared" si="13"/>
        <v>3.2</v>
      </c>
      <c r="Q13" s="22" t="str">
        <f t="shared" si="14"/>
        <v>Low</v>
      </c>
      <c r="R13">
        <f t="shared" si="15"/>
        <v>9</v>
      </c>
    </row>
    <row r="14" spans="1:18" x14ac:dyDescent="0.3">
      <c r="A14" s="22">
        <f>IF(B14="","",10)</f>
        <v>10</v>
      </c>
      <c r="B14" s="22" t="str">
        <f>IF(Calc_Engine!I11="","",Calc_Engine!I11)</f>
        <v>EMP1010</v>
      </c>
      <c r="C14" s="23" t="str">
        <f t="shared" si="0"/>
        <v>Pooja Das</v>
      </c>
      <c r="D14" s="23" t="str">
        <f t="shared" si="1"/>
        <v>Head of Finance</v>
      </c>
      <c r="E14" s="23" t="str">
        <f t="shared" si="2"/>
        <v>Finance</v>
      </c>
      <c r="F14" s="22" t="str">
        <f t="shared" si="3"/>
        <v>L7</v>
      </c>
      <c r="G14" s="23" t="str">
        <f t="shared" si="4"/>
        <v>Arvind Rao (CEO)</v>
      </c>
      <c r="H14" s="22" t="str">
        <f t="shared" si="5"/>
        <v>Active</v>
      </c>
      <c r="I14" s="24">
        <f t="shared" si="6"/>
        <v>6.9</v>
      </c>
      <c r="J14" s="22">
        <f t="shared" si="7"/>
        <v>2</v>
      </c>
      <c r="K14" s="23" t="str">
        <f t="shared" si="8"/>
        <v>Inconsistent Player</v>
      </c>
      <c r="L14" s="22" t="str">
        <f t="shared" si="9"/>
        <v>Not Eligible</v>
      </c>
      <c r="M14" s="24">
        <f t="shared" si="10"/>
        <v>81.36</v>
      </c>
      <c r="N14" s="25">
        <f t="shared" si="11"/>
        <v>0.99</v>
      </c>
      <c r="O14" s="26">
        <f t="shared" si="12"/>
        <v>0.91200000000000003</v>
      </c>
      <c r="P14" s="25">
        <f t="shared" si="13"/>
        <v>3.4</v>
      </c>
      <c r="Q14" s="22" t="str">
        <f t="shared" si="14"/>
        <v>Low</v>
      </c>
      <c r="R14">
        <f t="shared" si="15"/>
        <v>10</v>
      </c>
    </row>
    <row r="15" spans="1:18" x14ac:dyDescent="0.3">
      <c r="A15" s="22">
        <f>IF(B15="","",11)</f>
        <v>11</v>
      </c>
      <c r="B15" s="22" t="str">
        <f>IF(Calc_Engine!I12="","",Calc_Engine!I12)</f>
        <v>EMP1011</v>
      </c>
      <c r="C15" s="23" t="str">
        <f t="shared" si="0"/>
        <v>Trisha Patel</v>
      </c>
      <c r="D15" s="23" t="str">
        <f t="shared" si="1"/>
        <v>Principal Product Manager</v>
      </c>
      <c r="E15" s="23" t="str">
        <f t="shared" si="2"/>
        <v>Product</v>
      </c>
      <c r="F15" s="22" t="str">
        <f t="shared" si="3"/>
        <v>L6</v>
      </c>
      <c r="G15" s="23" t="str">
        <f t="shared" si="4"/>
        <v>Dev Bose</v>
      </c>
      <c r="H15" s="22" t="str">
        <f t="shared" si="5"/>
        <v>Active</v>
      </c>
      <c r="I15" s="24">
        <f t="shared" si="6"/>
        <v>6.8</v>
      </c>
      <c r="J15" s="22">
        <f t="shared" si="7"/>
        <v>3</v>
      </c>
      <c r="K15" s="23" t="str">
        <f t="shared" si="8"/>
        <v>Core Player</v>
      </c>
      <c r="L15" s="22" t="str">
        <f t="shared" si="9"/>
        <v>Not Eligible</v>
      </c>
      <c r="M15" s="24">
        <f t="shared" si="10"/>
        <v>56.57</v>
      </c>
      <c r="N15" s="25">
        <f t="shared" si="11"/>
        <v>1.05</v>
      </c>
      <c r="O15" s="26">
        <f t="shared" si="12"/>
        <v>0.89200000000000002</v>
      </c>
      <c r="P15" s="25">
        <f t="shared" si="13"/>
        <v>2.9</v>
      </c>
      <c r="Q15" s="22" t="str">
        <f t="shared" si="14"/>
        <v>Medium</v>
      </c>
      <c r="R15">
        <f t="shared" si="15"/>
        <v>11</v>
      </c>
    </row>
    <row r="16" spans="1:18" x14ac:dyDescent="0.3">
      <c r="A16" s="22">
        <f>IF(B16="","",12)</f>
        <v>12</v>
      </c>
      <c r="B16" s="22" t="str">
        <f>IF(Calc_Engine!I13="","",Calc_Engine!I13)</f>
        <v>EMP1012</v>
      </c>
      <c r="C16" s="23" t="str">
        <f t="shared" si="0"/>
        <v>Krishna Kumar</v>
      </c>
      <c r="D16" s="23" t="str">
        <f t="shared" si="1"/>
        <v>Operations Lead</v>
      </c>
      <c r="E16" s="23" t="str">
        <f t="shared" si="2"/>
        <v>Operations</v>
      </c>
      <c r="F16" s="22" t="str">
        <f t="shared" si="3"/>
        <v>L4</v>
      </c>
      <c r="G16" s="23" t="str">
        <f t="shared" si="4"/>
        <v>Amit Kumar</v>
      </c>
      <c r="H16" s="22" t="str">
        <f t="shared" si="5"/>
        <v>Active</v>
      </c>
      <c r="I16" s="24">
        <f t="shared" si="6"/>
        <v>6.8</v>
      </c>
      <c r="J16" s="22">
        <f t="shared" si="7"/>
        <v>3</v>
      </c>
      <c r="K16" s="23" t="str">
        <f t="shared" si="8"/>
        <v>Core Player</v>
      </c>
      <c r="L16" s="22" t="str">
        <f t="shared" si="9"/>
        <v>Not Eligible</v>
      </c>
      <c r="M16" s="24">
        <f t="shared" si="10"/>
        <v>17.21</v>
      </c>
      <c r="N16" s="25">
        <f t="shared" si="11"/>
        <v>0.73</v>
      </c>
      <c r="O16" s="26">
        <f t="shared" si="12"/>
        <v>0.92800000000000005</v>
      </c>
      <c r="P16" s="25">
        <f t="shared" si="13"/>
        <v>2.83</v>
      </c>
      <c r="Q16" s="22" t="str">
        <f t="shared" si="14"/>
        <v>Medium</v>
      </c>
      <c r="R16">
        <f t="shared" si="15"/>
        <v>12</v>
      </c>
    </row>
    <row r="17" spans="1:18" x14ac:dyDescent="0.3">
      <c r="A17" s="22">
        <f>IF(B17="","",13)</f>
        <v>13</v>
      </c>
      <c r="B17" s="22" t="str">
        <f>IF(Calc_Engine!I14="","",Calc_Engine!I14)</f>
        <v>EMP1013</v>
      </c>
      <c r="C17" s="23" t="str">
        <f t="shared" si="0"/>
        <v>Ramya Khanna</v>
      </c>
      <c r="D17" s="23" t="str">
        <f t="shared" si="1"/>
        <v>Compliance Manager</v>
      </c>
      <c r="E17" s="23" t="str">
        <f t="shared" si="2"/>
        <v>Legal &amp; Compliance</v>
      </c>
      <c r="F17" s="22" t="str">
        <f t="shared" si="3"/>
        <v>L5</v>
      </c>
      <c r="G17" s="23" t="str">
        <f t="shared" si="4"/>
        <v>Lakshmi Subramanian</v>
      </c>
      <c r="H17" s="22" t="str">
        <f t="shared" si="5"/>
        <v>Active</v>
      </c>
      <c r="I17" s="24">
        <f t="shared" si="6"/>
        <v>6.7</v>
      </c>
      <c r="J17" s="22">
        <f t="shared" si="7"/>
        <v>3</v>
      </c>
      <c r="K17" s="23" t="str">
        <f t="shared" si="8"/>
        <v>Core Player</v>
      </c>
      <c r="L17" s="22" t="str">
        <f t="shared" si="9"/>
        <v>Not Eligible</v>
      </c>
      <c r="M17" s="24">
        <f t="shared" si="10"/>
        <v>34.07</v>
      </c>
      <c r="N17" s="25">
        <f t="shared" si="11"/>
        <v>0.93</v>
      </c>
      <c r="O17" s="26">
        <f t="shared" si="12"/>
        <v>0.92800000000000005</v>
      </c>
      <c r="P17" s="25">
        <f t="shared" si="13"/>
        <v>3.33</v>
      </c>
      <c r="Q17" s="22" t="str">
        <f t="shared" si="14"/>
        <v>Low</v>
      </c>
      <c r="R17">
        <f t="shared" si="15"/>
        <v>13</v>
      </c>
    </row>
    <row r="18" spans="1:18" x14ac:dyDescent="0.3">
      <c r="A18" s="22">
        <f>IF(B18="","",14)</f>
        <v>14</v>
      </c>
      <c r="B18" s="22" t="str">
        <f>IF(Calc_Engine!I15="","",Calc_Engine!I15)</f>
        <v>EMP1014</v>
      </c>
      <c r="C18" s="23" t="str">
        <f t="shared" si="0"/>
        <v>Rashmi Jain</v>
      </c>
      <c r="D18" s="23" t="str">
        <f t="shared" si="1"/>
        <v>Senior HR Business Partner</v>
      </c>
      <c r="E18" s="23" t="str">
        <f t="shared" si="2"/>
        <v>Human Resources</v>
      </c>
      <c r="F18" s="22" t="str">
        <f t="shared" si="3"/>
        <v>L4</v>
      </c>
      <c r="G18" s="23" t="str">
        <f t="shared" si="4"/>
        <v>Akash Das</v>
      </c>
      <c r="H18" s="22" t="str">
        <f t="shared" si="5"/>
        <v>Active</v>
      </c>
      <c r="I18" s="24">
        <f t="shared" si="6"/>
        <v>6.5</v>
      </c>
      <c r="J18" s="22">
        <f t="shared" si="7"/>
        <v>3</v>
      </c>
      <c r="K18" s="23" t="str">
        <f t="shared" si="8"/>
        <v>Future Star</v>
      </c>
      <c r="L18" s="22" t="str">
        <f t="shared" si="9"/>
        <v>Not Eligible</v>
      </c>
      <c r="M18" s="24">
        <f t="shared" si="10"/>
        <v>21.82</v>
      </c>
      <c r="N18" s="25">
        <f t="shared" si="11"/>
        <v>0.93</v>
      </c>
      <c r="O18" s="26">
        <f t="shared" si="12"/>
        <v>0.95599999999999996</v>
      </c>
      <c r="P18" s="25">
        <f t="shared" si="13"/>
        <v>3.28</v>
      </c>
      <c r="Q18" s="22" t="str">
        <f t="shared" si="14"/>
        <v>Low</v>
      </c>
      <c r="R18">
        <f t="shared" si="15"/>
        <v>14</v>
      </c>
    </row>
    <row r="19" spans="1:18" x14ac:dyDescent="0.3">
      <c r="A19" s="22">
        <f>IF(B19="","",15)</f>
        <v>15</v>
      </c>
      <c r="B19" s="22" t="str">
        <f>IF(Calc_Engine!I16="","",Calc_Engine!I16)</f>
        <v>EMP1015</v>
      </c>
      <c r="C19" s="23" t="str">
        <f t="shared" si="0"/>
        <v>Ajay Ansari</v>
      </c>
      <c r="D19" s="23" t="str">
        <f t="shared" si="1"/>
        <v>Operations Lead</v>
      </c>
      <c r="E19" s="23" t="str">
        <f t="shared" si="2"/>
        <v>Operations</v>
      </c>
      <c r="F19" s="22" t="str">
        <f t="shared" si="3"/>
        <v>L4</v>
      </c>
      <c r="G19" s="23" t="str">
        <f t="shared" si="4"/>
        <v>Ankit Khanna</v>
      </c>
      <c r="H19" s="22" t="str">
        <f t="shared" si="5"/>
        <v>Active</v>
      </c>
      <c r="I19" s="24">
        <f t="shared" si="6"/>
        <v>6.4</v>
      </c>
      <c r="J19" s="22">
        <f t="shared" si="7"/>
        <v>4</v>
      </c>
      <c r="K19" s="23" t="str">
        <f t="shared" si="8"/>
        <v>Star</v>
      </c>
      <c r="L19" s="22" t="str">
        <f t="shared" si="9"/>
        <v>Not Eligible</v>
      </c>
      <c r="M19" s="24">
        <f t="shared" si="10"/>
        <v>19.91</v>
      </c>
      <c r="N19" s="25">
        <f t="shared" si="11"/>
        <v>0.85</v>
      </c>
      <c r="O19" s="26">
        <f t="shared" si="12"/>
        <v>0.90800000000000003</v>
      </c>
      <c r="P19" s="25">
        <f t="shared" si="13"/>
        <v>3.48</v>
      </c>
      <c r="Q19" s="22" t="str">
        <f t="shared" si="14"/>
        <v>Medium</v>
      </c>
      <c r="R19">
        <f t="shared" si="15"/>
        <v>15</v>
      </c>
    </row>
    <row r="20" spans="1:18" x14ac:dyDescent="0.3">
      <c r="A20" s="22">
        <f>IF(B20="","",16)</f>
        <v>16</v>
      </c>
      <c r="B20" s="22" t="str">
        <f>IF(Calc_Engine!I17="","",Calc_Engine!I17)</f>
        <v>EMP1016</v>
      </c>
      <c r="C20" s="23" t="str">
        <f t="shared" si="0"/>
        <v>Isha Verma</v>
      </c>
      <c r="D20" s="23" t="str">
        <f t="shared" si="1"/>
        <v>Support Manager</v>
      </c>
      <c r="E20" s="23" t="str">
        <f t="shared" si="2"/>
        <v>Customer Support</v>
      </c>
      <c r="F20" s="22" t="str">
        <f t="shared" si="3"/>
        <v>L5</v>
      </c>
      <c r="G20" s="23" t="str">
        <f t="shared" si="4"/>
        <v>Akash Dsouza</v>
      </c>
      <c r="H20" s="22" t="str">
        <f t="shared" si="5"/>
        <v>Active</v>
      </c>
      <c r="I20" s="24">
        <f t="shared" si="6"/>
        <v>6.4</v>
      </c>
      <c r="J20" s="22">
        <f t="shared" si="7"/>
        <v>3</v>
      </c>
      <c r="K20" s="23" t="str">
        <f t="shared" si="8"/>
        <v>Future Star</v>
      </c>
      <c r="L20" s="22" t="str">
        <f t="shared" si="9"/>
        <v>Not Eligible</v>
      </c>
      <c r="M20" s="24">
        <f t="shared" si="10"/>
        <v>30.24</v>
      </c>
      <c r="N20" s="25">
        <f t="shared" si="11"/>
        <v>0.82</v>
      </c>
      <c r="O20" s="26">
        <f t="shared" si="12"/>
        <v>0.91600000000000004</v>
      </c>
      <c r="P20" s="25">
        <f t="shared" si="13"/>
        <v>3.17</v>
      </c>
      <c r="Q20" s="22" t="str">
        <f t="shared" si="14"/>
        <v>Low</v>
      </c>
      <c r="R20">
        <f t="shared" si="15"/>
        <v>16</v>
      </c>
    </row>
    <row r="21" spans="1:18" x14ac:dyDescent="0.3">
      <c r="A21" s="22">
        <f>IF(B21="","",17)</f>
        <v>17</v>
      </c>
      <c r="B21" s="22" t="str">
        <f>IF(Calc_Engine!I18="","",Calc_Engine!I18)</f>
        <v>EMP1017</v>
      </c>
      <c r="C21" s="23" t="str">
        <f t="shared" si="0"/>
        <v>Pooja Naidu</v>
      </c>
      <c r="D21" s="23" t="str">
        <f t="shared" si="1"/>
        <v>Tech Lead</v>
      </c>
      <c r="E21" s="23" t="str">
        <f t="shared" si="2"/>
        <v>Engineering</v>
      </c>
      <c r="F21" s="22" t="str">
        <f t="shared" si="3"/>
        <v>L4</v>
      </c>
      <c r="G21" s="23" t="str">
        <f t="shared" si="4"/>
        <v>Harsh Siddiqui</v>
      </c>
      <c r="H21" s="22" t="str">
        <f t="shared" si="5"/>
        <v>Active</v>
      </c>
      <c r="I21" s="24">
        <f t="shared" si="6"/>
        <v>6.3</v>
      </c>
      <c r="J21" s="22">
        <f t="shared" si="7"/>
        <v>5</v>
      </c>
      <c r="K21" s="23" t="str">
        <f t="shared" si="8"/>
        <v>Star</v>
      </c>
      <c r="L21" s="22" t="str">
        <f t="shared" si="9"/>
        <v>Eligible</v>
      </c>
      <c r="M21" s="24">
        <f t="shared" si="10"/>
        <v>30.05</v>
      </c>
      <c r="N21" s="25">
        <f t="shared" si="11"/>
        <v>1.28</v>
      </c>
      <c r="O21" s="26">
        <f t="shared" si="12"/>
        <v>0.90400000000000003</v>
      </c>
      <c r="P21" s="25">
        <f t="shared" si="13"/>
        <v>3.9</v>
      </c>
      <c r="Q21" s="22" t="str">
        <f t="shared" si="14"/>
        <v>Low</v>
      </c>
      <c r="R21">
        <f t="shared" si="15"/>
        <v>17</v>
      </c>
    </row>
    <row r="22" spans="1:18" x14ac:dyDescent="0.3">
      <c r="A22" s="22">
        <f>IF(B22="","",18)</f>
        <v>18</v>
      </c>
      <c r="B22" s="22" t="str">
        <f>IF(Calc_Engine!I19="","",Calc_Engine!I19)</f>
        <v>EMP1018</v>
      </c>
      <c r="C22" s="23" t="str">
        <f t="shared" si="0"/>
        <v>Isha Chatterjee</v>
      </c>
      <c r="D22" s="23" t="str">
        <f t="shared" si="1"/>
        <v>Marketing Manager</v>
      </c>
      <c r="E22" s="23" t="str">
        <f t="shared" si="2"/>
        <v>Marketing</v>
      </c>
      <c r="F22" s="22" t="str">
        <f t="shared" si="3"/>
        <v>L5</v>
      </c>
      <c r="G22" s="23" t="str">
        <f t="shared" si="4"/>
        <v>Aishwarya Mukherjee</v>
      </c>
      <c r="H22" s="22" t="str">
        <f t="shared" si="5"/>
        <v>Exited</v>
      </c>
      <c r="I22" s="24">
        <f t="shared" si="6"/>
        <v>5.8</v>
      </c>
      <c r="J22" s="22">
        <f t="shared" si="7"/>
        <v>5</v>
      </c>
      <c r="K22" s="23" t="str">
        <f t="shared" si="8"/>
        <v>High Performer</v>
      </c>
      <c r="L22" s="22" t="str">
        <f t="shared" si="9"/>
        <v>Not Eligible</v>
      </c>
      <c r="M22" s="24">
        <f t="shared" si="10"/>
        <v>34.299999999999997</v>
      </c>
      <c r="N22" s="25">
        <f t="shared" si="11"/>
        <v>0.94</v>
      </c>
      <c r="O22" s="26">
        <f t="shared" si="12"/>
        <v>0.83211678832116787</v>
      </c>
      <c r="P22" s="25">
        <f t="shared" si="13"/>
        <v>3.45</v>
      </c>
      <c r="Q22" s="22" t="str">
        <f t="shared" si="14"/>
        <v>Exited</v>
      </c>
      <c r="R22">
        <f t="shared" si="15"/>
        <v>18</v>
      </c>
    </row>
    <row r="23" spans="1:18" x14ac:dyDescent="0.3">
      <c r="A23" s="22">
        <f>IF(B23="","",19)</f>
        <v>19</v>
      </c>
      <c r="B23" s="22" t="str">
        <f>IF(Calc_Engine!I20="","",Calc_Engine!I20)</f>
        <v>EMP1019</v>
      </c>
      <c r="C23" s="23" t="str">
        <f t="shared" si="0"/>
        <v>Fatima Reddy</v>
      </c>
      <c r="D23" s="23" t="str">
        <f t="shared" si="1"/>
        <v>Key Account Manager</v>
      </c>
      <c r="E23" s="23" t="str">
        <f t="shared" si="2"/>
        <v>Sales</v>
      </c>
      <c r="F23" s="22" t="str">
        <f t="shared" si="3"/>
        <v>L4</v>
      </c>
      <c r="G23" s="23" t="str">
        <f t="shared" si="4"/>
        <v>Srinivas Shah</v>
      </c>
      <c r="H23" s="22" t="str">
        <f t="shared" si="5"/>
        <v>Active</v>
      </c>
      <c r="I23" s="24">
        <f t="shared" si="6"/>
        <v>6.2</v>
      </c>
      <c r="J23" s="22">
        <f t="shared" si="7"/>
        <v>3</v>
      </c>
      <c r="K23" s="23" t="str">
        <f t="shared" si="8"/>
        <v>Core Player</v>
      </c>
      <c r="L23" s="22" t="str">
        <f t="shared" si="9"/>
        <v>Not Eligible</v>
      </c>
      <c r="M23" s="24">
        <f t="shared" si="10"/>
        <v>24.22</v>
      </c>
      <c r="N23" s="25">
        <f t="shared" si="11"/>
        <v>1.03</v>
      </c>
      <c r="O23" s="26">
        <f t="shared" si="12"/>
        <v>0.92</v>
      </c>
      <c r="P23" s="25">
        <f t="shared" si="13"/>
        <v>2.33</v>
      </c>
      <c r="Q23" s="22" t="str">
        <f t="shared" si="14"/>
        <v>Medium</v>
      </c>
      <c r="R23">
        <f t="shared" si="15"/>
        <v>19</v>
      </c>
    </row>
    <row r="24" spans="1:18" x14ac:dyDescent="0.3">
      <c r="A24" s="22">
        <f>IF(B24="","",20)</f>
        <v>20</v>
      </c>
      <c r="B24" s="22" t="str">
        <f>IF(Calc_Engine!I21="","",Calc_Engine!I21)</f>
        <v>EMP1020</v>
      </c>
      <c r="C24" s="23" t="str">
        <f t="shared" si="0"/>
        <v>Naveen Subramanian</v>
      </c>
      <c r="D24" s="23" t="str">
        <f t="shared" si="1"/>
        <v>Support Team Lead</v>
      </c>
      <c r="E24" s="23" t="str">
        <f t="shared" si="2"/>
        <v>Customer Support</v>
      </c>
      <c r="F24" s="22" t="str">
        <f t="shared" si="3"/>
        <v>L4</v>
      </c>
      <c r="G24" s="23" t="str">
        <f t="shared" si="4"/>
        <v>Ashish Varghese</v>
      </c>
      <c r="H24" s="22" t="str">
        <f t="shared" si="5"/>
        <v>Active</v>
      </c>
      <c r="I24" s="24">
        <f t="shared" si="6"/>
        <v>6.2</v>
      </c>
      <c r="J24" s="22">
        <f t="shared" si="7"/>
        <v>3</v>
      </c>
      <c r="K24" s="23" t="str">
        <f t="shared" si="8"/>
        <v>Core Player</v>
      </c>
      <c r="L24" s="22" t="str">
        <f t="shared" si="9"/>
        <v>Not Eligible</v>
      </c>
      <c r="M24" s="24">
        <f t="shared" si="10"/>
        <v>17.309999999999999</v>
      </c>
      <c r="N24" s="25">
        <f t="shared" si="11"/>
        <v>0.74</v>
      </c>
      <c r="O24" s="26">
        <f t="shared" si="12"/>
        <v>0.95599999999999996</v>
      </c>
      <c r="P24" s="25">
        <f t="shared" si="13"/>
        <v>3.4</v>
      </c>
      <c r="Q24" s="22" t="str">
        <f t="shared" si="14"/>
        <v>Low</v>
      </c>
      <c r="R24">
        <f t="shared" si="15"/>
        <v>20</v>
      </c>
    </row>
    <row r="25" spans="1:18" x14ac:dyDescent="0.3">
      <c r="A25" s="22">
        <f>IF(B25="","",21)</f>
        <v>21</v>
      </c>
      <c r="B25" s="22" t="str">
        <f>IF(Calc_Engine!I22="","",Calc_Engine!I22)</f>
        <v>EMP1021</v>
      </c>
      <c r="C25" s="23" t="str">
        <f t="shared" si="0"/>
        <v>Arun Mukherjee</v>
      </c>
      <c r="D25" s="23" t="str">
        <f t="shared" si="1"/>
        <v>Analytics Manager</v>
      </c>
      <c r="E25" s="23" t="str">
        <f t="shared" si="2"/>
        <v>Data &amp; Analytics</v>
      </c>
      <c r="F25" s="22" t="str">
        <f t="shared" si="3"/>
        <v>L5</v>
      </c>
      <c r="G25" s="23" t="str">
        <f t="shared" si="4"/>
        <v>Trisha Jain</v>
      </c>
      <c r="H25" s="22" t="str">
        <f t="shared" si="5"/>
        <v>Active</v>
      </c>
      <c r="I25" s="24">
        <f t="shared" si="6"/>
        <v>6</v>
      </c>
      <c r="J25" s="22">
        <f t="shared" si="7"/>
        <v>3</v>
      </c>
      <c r="K25" s="23" t="str">
        <f t="shared" si="8"/>
        <v>Future Star</v>
      </c>
      <c r="L25" s="22" t="str">
        <f t="shared" si="9"/>
        <v>Not Eligible</v>
      </c>
      <c r="M25" s="24">
        <f t="shared" si="10"/>
        <v>43.9</v>
      </c>
      <c r="N25" s="25">
        <f t="shared" si="11"/>
        <v>1.2</v>
      </c>
      <c r="O25" s="26">
        <f t="shared" si="12"/>
        <v>0.95199999999999996</v>
      </c>
      <c r="P25" s="25">
        <f t="shared" si="13"/>
        <v>3.53</v>
      </c>
      <c r="Q25" s="22" t="str">
        <f t="shared" si="14"/>
        <v>Low</v>
      </c>
      <c r="R25">
        <f t="shared" si="15"/>
        <v>21</v>
      </c>
    </row>
    <row r="26" spans="1:18" x14ac:dyDescent="0.3">
      <c r="A26" s="22">
        <f>IF(B26="","",22)</f>
        <v>22</v>
      </c>
      <c r="B26" s="22" t="str">
        <f>IF(Calc_Engine!I23="","",Calc_Engine!I23)</f>
        <v>EMP1022</v>
      </c>
      <c r="C26" s="23" t="str">
        <f t="shared" si="0"/>
        <v>Arun Joshi</v>
      </c>
      <c r="D26" s="23" t="str">
        <f t="shared" si="1"/>
        <v>Senior Data Analyst</v>
      </c>
      <c r="E26" s="23" t="str">
        <f t="shared" si="2"/>
        <v>Data &amp; Analytics</v>
      </c>
      <c r="F26" s="22" t="str">
        <f t="shared" si="3"/>
        <v>L3</v>
      </c>
      <c r="G26" s="23" t="str">
        <f t="shared" si="4"/>
        <v>Arun Mukherjee</v>
      </c>
      <c r="H26" s="22" t="str">
        <f t="shared" si="5"/>
        <v>Active</v>
      </c>
      <c r="I26" s="24">
        <f t="shared" si="6"/>
        <v>6</v>
      </c>
      <c r="J26" s="22">
        <f t="shared" si="7"/>
        <v>3</v>
      </c>
      <c r="K26" s="23" t="str">
        <f t="shared" si="8"/>
        <v>Effective Contributor</v>
      </c>
      <c r="L26" s="22" t="str">
        <f t="shared" si="9"/>
        <v>Not Eligible</v>
      </c>
      <c r="M26" s="24">
        <f t="shared" si="10"/>
        <v>15.59</v>
      </c>
      <c r="N26" s="25">
        <f t="shared" si="11"/>
        <v>1.08</v>
      </c>
      <c r="O26" s="26">
        <f t="shared" si="12"/>
        <v>0.92800000000000005</v>
      </c>
      <c r="P26" s="25">
        <f t="shared" si="13"/>
        <v>3.07</v>
      </c>
      <c r="Q26" s="22" t="str">
        <f t="shared" si="14"/>
        <v>Low</v>
      </c>
      <c r="R26">
        <f t="shared" si="15"/>
        <v>22</v>
      </c>
    </row>
    <row r="27" spans="1:18" x14ac:dyDescent="0.3">
      <c r="A27" s="22">
        <f>IF(B27="","",23)</f>
        <v>23</v>
      </c>
      <c r="B27" s="22" t="str">
        <f>IF(Calc_Engine!I24="","",Calc_Engine!I24)</f>
        <v>EMP1023</v>
      </c>
      <c r="C27" s="23" t="str">
        <f t="shared" si="0"/>
        <v>Ashish Prabhu</v>
      </c>
      <c r="D27" s="23" t="str">
        <f t="shared" si="1"/>
        <v>Senior Operations Executive</v>
      </c>
      <c r="E27" s="23" t="str">
        <f t="shared" si="2"/>
        <v>Operations</v>
      </c>
      <c r="F27" s="22" t="str">
        <f t="shared" si="3"/>
        <v>L3</v>
      </c>
      <c r="G27" s="23" t="str">
        <f t="shared" si="4"/>
        <v>Ajay Kumar</v>
      </c>
      <c r="H27" s="22" t="str">
        <f t="shared" si="5"/>
        <v>Active</v>
      </c>
      <c r="I27" s="24">
        <f t="shared" si="6"/>
        <v>6</v>
      </c>
      <c r="J27" s="22">
        <f t="shared" si="7"/>
        <v>3</v>
      </c>
      <c r="K27" s="23" t="str">
        <f t="shared" si="8"/>
        <v>Core Player</v>
      </c>
      <c r="L27" s="22" t="str">
        <f t="shared" si="9"/>
        <v>Not Eligible</v>
      </c>
      <c r="M27" s="24">
        <f t="shared" si="10"/>
        <v>11.77</v>
      </c>
      <c r="N27" s="25">
        <f t="shared" si="11"/>
        <v>0.81</v>
      </c>
      <c r="O27" s="26">
        <f t="shared" si="12"/>
        <v>0.94399999999999995</v>
      </c>
      <c r="P27" s="25">
        <f t="shared" si="13"/>
        <v>3.48</v>
      </c>
      <c r="Q27" s="22" t="str">
        <f t="shared" si="14"/>
        <v>Low</v>
      </c>
      <c r="R27">
        <f t="shared" si="15"/>
        <v>23</v>
      </c>
    </row>
    <row r="28" spans="1:18" x14ac:dyDescent="0.3">
      <c r="A28" s="22">
        <f>IF(B28="","",24)</f>
        <v>24</v>
      </c>
      <c r="B28" s="22" t="str">
        <f>IF(Calc_Engine!I25="","",Calc_Engine!I25)</f>
        <v>EMP1024</v>
      </c>
      <c r="C28" s="23" t="str">
        <f t="shared" si="0"/>
        <v>Priyanka Naidu</v>
      </c>
      <c r="D28" s="23" t="str">
        <f t="shared" si="1"/>
        <v>HR Business Partner</v>
      </c>
      <c r="E28" s="23" t="str">
        <f t="shared" si="2"/>
        <v>Human Resources</v>
      </c>
      <c r="F28" s="22" t="str">
        <f t="shared" si="3"/>
        <v>L3</v>
      </c>
      <c r="G28" s="23" t="str">
        <f t="shared" si="4"/>
        <v>Ajay Patel</v>
      </c>
      <c r="H28" s="22" t="str">
        <f t="shared" si="5"/>
        <v>Active</v>
      </c>
      <c r="I28" s="24">
        <f t="shared" si="6"/>
        <v>6</v>
      </c>
      <c r="J28" s="22">
        <f t="shared" si="7"/>
        <v>4</v>
      </c>
      <c r="K28" s="23" t="str">
        <f t="shared" si="8"/>
        <v>Star</v>
      </c>
      <c r="L28" s="22" t="str">
        <f t="shared" si="9"/>
        <v>Eligible</v>
      </c>
      <c r="M28" s="24">
        <f t="shared" si="10"/>
        <v>14.71</v>
      </c>
      <c r="N28" s="25">
        <f t="shared" si="11"/>
        <v>1.02</v>
      </c>
      <c r="O28" s="26">
        <f t="shared" si="12"/>
        <v>0.95199999999999996</v>
      </c>
      <c r="P28" s="25">
        <f t="shared" si="13"/>
        <v>3.53</v>
      </c>
      <c r="Q28" s="22" t="str">
        <f t="shared" si="14"/>
        <v>Low</v>
      </c>
      <c r="R28">
        <f t="shared" si="15"/>
        <v>24</v>
      </c>
    </row>
    <row r="29" spans="1:18" x14ac:dyDescent="0.3">
      <c r="A29" s="22">
        <f>IF(B29="","",25)</f>
        <v>25</v>
      </c>
      <c r="B29" s="22" t="str">
        <f>IF(Calc_Engine!I26="","",Calc_Engine!I26)</f>
        <v>EMP1025</v>
      </c>
      <c r="C29" s="23" t="str">
        <f t="shared" si="0"/>
        <v>Nikhil Agarwal</v>
      </c>
      <c r="D29" s="23" t="str">
        <f t="shared" si="1"/>
        <v>Sales Manager</v>
      </c>
      <c r="E29" s="23" t="str">
        <f t="shared" si="2"/>
        <v>Sales</v>
      </c>
      <c r="F29" s="22" t="str">
        <f t="shared" si="3"/>
        <v>L5</v>
      </c>
      <c r="G29" s="23" t="str">
        <f t="shared" si="4"/>
        <v>Joseph Varghese</v>
      </c>
      <c r="H29" s="22" t="str">
        <f t="shared" si="5"/>
        <v>Active</v>
      </c>
      <c r="I29" s="24">
        <f t="shared" si="6"/>
        <v>5.9</v>
      </c>
      <c r="J29" s="22">
        <f t="shared" si="7"/>
        <v>2</v>
      </c>
      <c r="K29" s="23" t="str">
        <f t="shared" si="8"/>
        <v>Inconsistent Player</v>
      </c>
      <c r="L29" s="22" t="str">
        <f t="shared" si="9"/>
        <v>Not Eligible</v>
      </c>
      <c r="M29" s="24">
        <f t="shared" si="10"/>
        <v>35.26</v>
      </c>
      <c r="N29" s="25">
        <f t="shared" si="11"/>
        <v>0.96</v>
      </c>
      <c r="O29" s="26">
        <f t="shared" si="12"/>
        <v>0.88800000000000001</v>
      </c>
      <c r="P29" s="25">
        <f t="shared" si="13"/>
        <v>3.1</v>
      </c>
      <c r="Q29" s="22" t="str">
        <f t="shared" si="14"/>
        <v>Low</v>
      </c>
      <c r="R29">
        <f t="shared" si="15"/>
        <v>25</v>
      </c>
    </row>
    <row r="30" spans="1:18" x14ac:dyDescent="0.3">
      <c r="A30" s="22">
        <f>IF(B30="","",26)</f>
        <v>26</v>
      </c>
      <c r="B30" s="22" t="str">
        <f>IF(Calc_Engine!I27="","",Calc_Engine!I27)</f>
        <v>EMP1026</v>
      </c>
      <c r="C30" s="23" t="str">
        <f t="shared" si="0"/>
        <v>Revathi Rao</v>
      </c>
      <c r="D30" s="23" t="str">
        <f t="shared" si="1"/>
        <v>Senior Sales Executive</v>
      </c>
      <c r="E30" s="23" t="str">
        <f t="shared" si="2"/>
        <v>Sales</v>
      </c>
      <c r="F30" s="22" t="str">
        <f t="shared" si="3"/>
        <v>L3</v>
      </c>
      <c r="G30" s="23" t="str">
        <f t="shared" si="4"/>
        <v>Yash Raghavan</v>
      </c>
      <c r="H30" s="22" t="str">
        <f t="shared" si="5"/>
        <v>Exited</v>
      </c>
      <c r="I30" s="24">
        <f t="shared" si="6"/>
        <v>5.3</v>
      </c>
      <c r="J30" s="22">
        <f t="shared" si="7"/>
        <v>3</v>
      </c>
      <c r="K30" s="23" t="str">
        <f t="shared" si="8"/>
        <v>Core Player</v>
      </c>
      <c r="L30" s="22" t="str">
        <f t="shared" si="9"/>
        <v>Not Eligible</v>
      </c>
      <c r="M30" s="24">
        <f t="shared" si="10"/>
        <v>16.07</v>
      </c>
      <c r="N30" s="25">
        <f t="shared" si="11"/>
        <v>1.1100000000000001</v>
      </c>
      <c r="O30" s="26">
        <f t="shared" si="12"/>
        <v>0.797752808988764</v>
      </c>
      <c r="P30" s="25">
        <f t="shared" si="13"/>
        <v>2.7</v>
      </c>
      <c r="Q30" s="22" t="str">
        <f t="shared" si="14"/>
        <v>Exited</v>
      </c>
      <c r="R30">
        <f t="shared" si="15"/>
        <v>26</v>
      </c>
    </row>
    <row r="31" spans="1:18" x14ac:dyDescent="0.3">
      <c r="A31" s="22">
        <f>IF(B31="","",27)</f>
        <v>27</v>
      </c>
      <c r="B31" s="22" t="str">
        <f>IF(Calc_Engine!I28="","",Calc_Engine!I28)</f>
        <v>EMP1027</v>
      </c>
      <c r="C31" s="23" t="str">
        <f t="shared" si="0"/>
        <v>Yash Yadav</v>
      </c>
      <c r="D31" s="23" t="str">
        <f t="shared" si="1"/>
        <v>Senior Software Engineer</v>
      </c>
      <c r="E31" s="23" t="str">
        <f t="shared" si="2"/>
        <v>Engineering</v>
      </c>
      <c r="F31" s="22" t="str">
        <f t="shared" si="3"/>
        <v>L3</v>
      </c>
      <c r="G31" s="23" t="str">
        <f t="shared" si="4"/>
        <v>Bhavana Hegde</v>
      </c>
      <c r="H31" s="22" t="str">
        <f t="shared" si="5"/>
        <v>Active</v>
      </c>
      <c r="I31" s="24">
        <f t="shared" si="6"/>
        <v>5.9</v>
      </c>
      <c r="J31" s="22">
        <f t="shared" si="7"/>
        <v>3</v>
      </c>
      <c r="K31" s="23" t="str">
        <f t="shared" si="8"/>
        <v>Core Player</v>
      </c>
      <c r="L31" s="22" t="str">
        <f t="shared" si="9"/>
        <v>Not Eligible</v>
      </c>
      <c r="M31" s="24">
        <f t="shared" si="10"/>
        <v>14.29</v>
      </c>
      <c r="N31" s="25">
        <f t="shared" si="11"/>
        <v>0.99</v>
      </c>
      <c r="O31" s="26">
        <f t="shared" si="12"/>
        <v>0.92400000000000004</v>
      </c>
      <c r="P31" s="25">
        <f t="shared" si="13"/>
        <v>3.62</v>
      </c>
      <c r="Q31" s="22" t="str">
        <f t="shared" si="14"/>
        <v>Low</v>
      </c>
      <c r="R31">
        <f t="shared" si="15"/>
        <v>27</v>
      </c>
    </row>
    <row r="32" spans="1:18" x14ac:dyDescent="0.3">
      <c r="A32" s="22">
        <f>IF(B32="","",28)</f>
        <v>28</v>
      </c>
      <c r="B32" s="22" t="str">
        <f>IF(Calc_Engine!I29="","",Calc_Engine!I29)</f>
        <v>EMP1028</v>
      </c>
      <c r="C32" s="23" t="str">
        <f t="shared" si="0"/>
        <v>Gayatri Krishnan</v>
      </c>
      <c r="D32" s="23" t="str">
        <f t="shared" si="1"/>
        <v>Operations Lead</v>
      </c>
      <c r="E32" s="23" t="str">
        <f t="shared" si="2"/>
        <v>Operations</v>
      </c>
      <c r="F32" s="22" t="str">
        <f t="shared" si="3"/>
        <v>L4</v>
      </c>
      <c r="G32" s="23" t="str">
        <f t="shared" si="4"/>
        <v>Ajay Kumar</v>
      </c>
      <c r="H32" s="22" t="str">
        <f t="shared" si="5"/>
        <v>Exited</v>
      </c>
      <c r="I32" s="24">
        <f t="shared" si="6"/>
        <v>5.0999999999999996</v>
      </c>
      <c r="J32" s="22">
        <f t="shared" si="7"/>
        <v>3</v>
      </c>
      <c r="K32" s="23" t="str">
        <f t="shared" si="8"/>
        <v>Future Star</v>
      </c>
      <c r="L32" s="22" t="str">
        <f t="shared" si="9"/>
        <v>Not Eligible</v>
      </c>
      <c r="M32" s="24">
        <f t="shared" si="10"/>
        <v>18.79</v>
      </c>
      <c r="N32" s="25">
        <f t="shared" si="11"/>
        <v>0.8</v>
      </c>
      <c r="O32" s="26">
        <f t="shared" si="12"/>
        <v>0.69387755102040816</v>
      </c>
      <c r="P32" s="25">
        <f t="shared" si="13"/>
        <v>2.73</v>
      </c>
      <c r="Q32" s="22" t="str">
        <f t="shared" si="14"/>
        <v>Exited</v>
      </c>
      <c r="R32">
        <f t="shared" si="15"/>
        <v>28</v>
      </c>
    </row>
    <row r="33" spans="1:18" x14ac:dyDescent="0.3">
      <c r="A33" s="22">
        <f>IF(B33="","",29)</f>
        <v>29</v>
      </c>
      <c r="B33" s="22" t="str">
        <f>IF(Calc_Engine!I30="","",Calc_Engine!I30)</f>
        <v>EMP1029</v>
      </c>
      <c r="C33" s="23" t="str">
        <f t="shared" si="0"/>
        <v>Nisha Jain</v>
      </c>
      <c r="D33" s="23" t="str">
        <f t="shared" si="1"/>
        <v>Senior Support Executive</v>
      </c>
      <c r="E33" s="23" t="str">
        <f t="shared" si="2"/>
        <v>Customer Support</v>
      </c>
      <c r="F33" s="22" t="str">
        <f t="shared" si="3"/>
        <v>L3</v>
      </c>
      <c r="G33" s="23" t="str">
        <f t="shared" si="4"/>
        <v>Vidya Chatterjee</v>
      </c>
      <c r="H33" s="22" t="str">
        <f t="shared" si="5"/>
        <v>Active</v>
      </c>
      <c r="I33" s="24">
        <f t="shared" si="6"/>
        <v>5.9</v>
      </c>
      <c r="J33" s="22">
        <f t="shared" si="7"/>
        <v>4</v>
      </c>
      <c r="K33" s="23" t="str">
        <f t="shared" si="8"/>
        <v>High Performer</v>
      </c>
      <c r="L33" s="22" t="str">
        <f t="shared" si="9"/>
        <v>Eligible</v>
      </c>
      <c r="M33" s="24">
        <f t="shared" si="10"/>
        <v>8.91</v>
      </c>
      <c r="N33" s="25">
        <f t="shared" si="11"/>
        <v>0.62</v>
      </c>
      <c r="O33" s="26">
        <f t="shared" si="12"/>
        <v>0.94</v>
      </c>
      <c r="P33" s="25">
        <f t="shared" si="13"/>
        <v>3.75</v>
      </c>
      <c r="Q33" s="22" t="str">
        <f t="shared" si="14"/>
        <v>Medium</v>
      </c>
      <c r="R33">
        <f t="shared" si="15"/>
        <v>29</v>
      </c>
    </row>
    <row r="34" spans="1:18" x14ac:dyDescent="0.3">
      <c r="A34" s="22">
        <f>IF(B34="","",30)</f>
        <v>30</v>
      </c>
      <c r="B34" s="22" t="str">
        <f>IF(Calc_Engine!I31="","",Calc_Engine!I31)</f>
        <v>EMP1030</v>
      </c>
      <c r="C34" s="23" t="str">
        <f t="shared" si="0"/>
        <v>Rashmi Ansari</v>
      </c>
      <c r="D34" s="23" t="str">
        <f t="shared" si="1"/>
        <v>Senior Finance Executive</v>
      </c>
      <c r="E34" s="23" t="str">
        <f t="shared" si="2"/>
        <v>Finance</v>
      </c>
      <c r="F34" s="22" t="str">
        <f t="shared" si="3"/>
        <v>L3</v>
      </c>
      <c r="G34" s="23" t="str">
        <f t="shared" si="4"/>
        <v>Ravi Prabhu</v>
      </c>
      <c r="H34" s="22" t="str">
        <f t="shared" si="5"/>
        <v>Active</v>
      </c>
      <c r="I34" s="24">
        <f t="shared" si="6"/>
        <v>5.9</v>
      </c>
      <c r="J34" s="22">
        <f t="shared" si="7"/>
        <v>3</v>
      </c>
      <c r="K34" s="23" t="str">
        <f t="shared" si="8"/>
        <v>Effective Contributor</v>
      </c>
      <c r="L34" s="22" t="str">
        <f t="shared" si="9"/>
        <v>Not Eligible</v>
      </c>
      <c r="M34" s="24">
        <f t="shared" si="10"/>
        <v>12.25</v>
      </c>
      <c r="N34" s="25">
        <f t="shared" si="11"/>
        <v>0.85</v>
      </c>
      <c r="O34" s="26">
        <f t="shared" si="12"/>
        <v>0.94399999999999995</v>
      </c>
      <c r="P34" s="25">
        <f t="shared" si="13"/>
        <v>3.8</v>
      </c>
      <c r="Q34" s="22" t="str">
        <f t="shared" si="14"/>
        <v>Low</v>
      </c>
      <c r="R34">
        <f t="shared" si="15"/>
        <v>30</v>
      </c>
    </row>
    <row r="35" spans="1:18" x14ac:dyDescent="0.3">
      <c r="A35" s="22">
        <f>IF(B35="","",31)</f>
        <v>31</v>
      </c>
      <c r="B35" s="22" t="str">
        <f>IF(Calc_Engine!I32="","",Calc_Engine!I32)</f>
        <v>EMP1031</v>
      </c>
      <c r="C35" s="23" t="str">
        <f t="shared" si="0"/>
        <v>Prakash Krishnan</v>
      </c>
      <c r="D35" s="23" t="str">
        <f t="shared" si="1"/>
        <v>Senior Marketing Executive</v>
      </c>
      <c r="E35" s="23" t="str">
        <f t="shared" si="2"/>
        <v>Marketing</v>
      </c>
      <c r="F35" s="22" t="str">
        <f t="shared" si="3"/>
        <v>L3</v>
      </c>
      <c r="G35" s="23" t="str">
        <f t="shared" si="4"/>
        <v>Nandini Iyer</v>
      </c>
      <c r="H35" s="22" t="str">
        <f t="shared" si="5"/>
        <v>Active</v>
      </c>
      <c r="I35" s="24">
        <f t="shared" si="6"/>
        <v>5.9</v>
      </c>
      <c r="J35" s="22">
        <f t="shared" si="7"/>
        <v>4</v>
      </c>
      <c r="K35" s="23" t="str">
        <f t="shared" si="8"/>
        <v>High Performer</v>
      </c>
      <c r="L35" s="22" t="str">
        <f t="shared" si="9"/>
        <v>Eligible</v>
      </c>
      <c r="M35" s="24">
        <f t="shared" si="10"/>
        <v>15.51</v>
      </c>
      <c r="N35" s="25">
        <f t="shared" si="11"/>
        <v>1.07</v>
      </c>
      <c r="O35" s="26">
        <f t="shared" si="12"/>
        <v>0.91200000000000003</v>
      </c>
      <c r="P35" s="25">
        <f t="shared" si="13"/>
        <v>3.62</v>
      </c>
      <c r="Q35" s="22" t="str">
        <f t="shared" si="14"/>
        <v>Low</v>
      </c>
      <c r="R35">
        <f t="shared" si="15"/>
        <v>31</v>
      </c>
    </row>
    <row r="36" spans="1:18" x14ac:dyDescent="0.3">
      <c r="A36" s="22">
        <f>IF(B36="","",32)</f>
        <v>32</v>
      </c>
      <c r="B36" s="22" t="str">
        <f>IF(Calc_Engine!I33="","",Calc_Engine!I33)</f>
        <v>EMP1032</v>
      </c>
      <c r="C36" s="23" t="str">
        <f t="shared" si="0"/>
        <v>Vishal Prabhu</v>
      </c>
      <c r="D36" s="23" t="str">
        <f t="shared" si="1"/>
        <v>Senior Operations Executive</v>
      </c>
      <c r="E36" s="23" t="str">
        <f t="shared" si="2"/>
        <v>Operations</v>
      </c>
      <c r="F36" s="22" t="str">
        <f t="shared" si="3"/>
        <v>L3</v>
      </c>
      <c r="G36" s="23" t="str">
        <f t="shared" si="4"/>
        <v>Amit Kumar</v>
      </c>
      <c r="H36" s="22" t="str">
        <f t="shared" si="5"/>
        <v>Active</v>
      </c>
      <c r="I36" s="24">
        <f t="shared" si="6"/>
        <v>5.8</v>
      </c>
      <c r="J36" s="22">
        <f t="shared" si="7"/>
        <v>3</v>
      </c>
      <c r="K36" s="23" t="str">
        <f t="shared" si="8"/>
        <v>Core Player</v>
      </c>
      <c r="L36" s="22" t="str">
        <f t="shared" si="9"/>
        <v>Not Eligible</v>
      </c>
      <c r="M36" s="24">
        <f t="shared" si="10"/>
        <v>12.05</v>
      </c>
      <c r="N36" s="25">
        <f t="shared" si="11"/>
        <v>0.83</v>
      </c>
      <c r="O36" s="26">
        <f t="shared" si="12"/>
        <v>0.90800000000000003</v>
      </c>
      <c r="P36" s="25">
        <f t="shared" si="13"/>
        <v>3.23</v>
      </c>
      <c r="Q36" s="22" t="str">
        <f t="shared" si="14"/>
        <v>Medium</v>
      </c>
      <c r="R36">
        <f t="shared" si="15"/>
        <v>32</v>
      </c>
    </row>
    <row r="37" spans="1:18" x14ac:dyDescent="0.3">
      <c r="A37" s="22">
        <f>IF(B37="","",33)</f>
        <v>33</v>
      </c>
      <c r="B37" s="22" t="str">
        <f>IF(Calc_Engine!I34="","",Calc_Engine!I34)</f>
        <v>EMP1033</v>
      </c>
      <c r="C37" s="23" t="str">
        <f t="shared" si="0"/>
        <v>Gayatri Tiwari</v>
      </c>
      <c r="D37" s="23" t="str">
        <f t="shared" si="1"/>
        <v>Regional Sales Manager</v>
      </c>
      <c r="E37" s="23" t="str">
        <f t="shared" si="2"/>
        <v>Sales</v>
      </c>
      <c r="F37" s="22" t="str">
        <f t="shared" si="3"/>
        <v>L6</v>
      </c>
      <c r="G37" s="23" t="str">
        <f t="shared" si="4"/>
        <v>Akash Bansal</v>
      </c>
      <c r="H37" s="22" t="str">
        <f t="shared" si="5"/>
        <v>Active</v>
      </c>
      <c r="I37" s="24">
        <f t="shared" si="6"/>
        <v>5.8</v>
      </c>
      <c r="J37" s="22">
        <f t="shared" si="7"/>
        <v>4</v>
      </c>
      <c r="K37" s="23" t="str">
        <f t="shared" si="8"/>
        <v>Star</v>
      </c>
      <c r="L37" s="22" t="str">
        <f t="shared" si="9"/>
        <v>Eligible</v>
      </c>
      <c r="M37" s="24">
        <f t="shared" si="10"/>
        <v>43.45</v>
      </c>
      <c r="N37" s="25">
        <f t="shared" si="11"/>
        <v>0.81</v>
      </c>
      <c r="O37" s="26">
        <f t="shared" si="12"/>
        <v>0.95599999999999996</v>
      </c>
      <c r="P37" s="25">
        <f t="shared" si="13"/>
        <v>2.1</v>
      </c>
      <c r="Q37" s="22" t="str">
        <f t="shared" si="14"/>
        <v>High</v>
      </c>
      <c r="R37">
        <f t="shared" si="15"/>
        <v>33</v>
      </c>
    </row>
    <row r="38" spans="1:18" x14ac:dyDescent="0.3">
      <c r="A38" s="22">
        <f>IF(B38="","",34)</f>
        <v>34</v>
      </c>
      <c r="B38" s="22" t="str">
        <f>IF(Calc_Engine!I35="","",Calc_Engine!I35)</f>
        <v>EMP1034</v>
      </c>
      <c r="C38" s="23" t="str">
        <f t="shared" si="0"/>
        <v>Aditi Varghese</v>
      </c>
      <c r="D38" s="23" t="str">
        <f t="shared" si="1"/>
        <v>Tech Lead</v>
      </c>
      <c r="E38" s="23" t="str">
        <f t="shared" si="2"/>
        <v>Engineering</v>
      </c>
      <c r="F38" s="22" t="str">
        <f t="shared" si="3"/>
        <v>L4</v>
      </c>
      <c r="G38" s="23" t="str">
        <f t="shared" si="4"/>
        <v>Vikas Singh</v>
      </c>
      <c r="H38" s="22" t="str">
        <f t="shared" si="5"/>
        <v>Active</v>
      </c>
      <c r="I38" s="24">
        <f t="shared" si="6"/>
        <v>5.7</v>
      </c>
      <c r="J38" s="22">
        <f t="shared" si="7"/>
        <v>2</v>
      </c>
      <c r="K38" s="23" t="str">
        <f t="shared" si="8"/>
        <v>Underperformer</v>
      </c>
      <c r="L38" s="22" t="str">
        <f t="shared" si="9"/>
        <v>Not Eligible</v>
      </c>
      <c r="M38" s="24">
        <f t="shared" si="10"/>
        <v>24.27</v>
      </c>
      <c r="N38" s="25">
        <f t="shared" si="11"/>
        <v>1.04</v>
      </c>
      <c r="O38" s="26">
        <f t="shared" si="12"/>
        <v>0.91600000000000004</v>
      </c>
      <c r="P38" s="25">
        <f t="shared" si="13"/>
        <v>2.7</v>
      </c>
      <c r="Q38" s="22" t="str">
        <f t="shared" si="14"/>
        <v>Low</v>
      </c>
      <c r="R38">
        <f t="shared" si="15"/>
        <v>34</v>
      </c>
    </row>
    <row r="39" spans="1:18" x14ac:dyDescent="0.3">
      <c r="A39" s="22">
        <f>IF(B39="","",35)</f>
        <v>35</v>
      </c>
      <c r="B39" s="22" t="str">
        <f>IF(Calc_Engine!I36="","",Calc_Engine!I36)</f>
        <v>EMP1035</v>
      </c>
      <c r="C39" s="23" t="str">
        <f t="shared" si="0"/>
        <v>Dev Gupta</v>
      </c>
      <c r="D39" s="23" t="str">
        <f t="shared" si="1"/>
        <v>Senior Operations Executive</v>
      </c>
      <c r="E39" s="23" t="str">
        <f t="shared" si="2"/>
        <v>Operations</v>
      </c>
      <c r="F39" s="22" t="str">
        <f t="shared" si="3"/>
        <v>L3</v>
      </c>
      <c r="G39" s="23" t="str">
        <f t="shared" si="4"/>
        <v>Ankit Khanna</v>
      </c>
      <c r="H39" s="22" t="str">
        <f t="shared" si="5"/>
        <v>Active</v>
      </c>
      <c r="I39" s="24">
        <f t="shared" si="6"/>
        <v>5.7</v>
      </c>
      <c r="J39" s="22">
        <f t="shared" si="7"/>
        <v>4</v>
      </c>
      <c r="K39" s="23" t="str">
        <f t="shared" si="8"/>
        <v>Star</v>
      </c>
      <c r="L39" s="22" t="str">
        <f t="shared" si="9"/>
        <v>Not Eligible</v>
      </c>
      <c r="M39" s="24">
        <f t="shared" si="10"/>
        <v>11.85</v>
      </c>
      <c r="N39" s="25">
        <f t="shared" si="11"/>
        <v>0.82</v>
      </c>
      <c r="O39" s="26">
        <f t="shared" si="12"/>
        <v>0.92800000000000005</v>
      </c>
      <c r="P39" s="25">
        <f t="shared" si="13"/>
        <v>3.68</v>
      </c>
      <c r="Q39" s="22" t="str">
        <f t="shared" si="14"/>
        <v>Medium</v>
      </c>
      <c r="R39">
        <f t="shared" si="15"/>
        <v>35</v>
      </c>
    </row>
    <row r="40" spans="1:18" x14ac:dyDescent="0.3">
      <c r="A40" s="22">
        <f>IF(B40="","",36)</f>
        <v>36</v>
      </c>
      <c r="B40" s="22" t="str">
        <f>IF(Calc_Engine!I37="","",Calc_Engine!I37)</f>
        <v>EMP1036</v>
      </c>
      <c r="C40" s="23" t="str">
        <f t="shared" si="0"/>
        <v>Anjali Thomas</v>
      </c>
      <c r="D40" s="23" t="str">
        <f t="shared" si="1"/>
        <v>Senior HR Business Partner</v>
      </c>
      <c r="E40" s="23" t="str">
        <f t="shared" si="2"/>
        <v>Human Resources</v>
      </c>
      <c r="F40" s="22" t="str">
        <f t="shared" si="3"/>
        <v>L4</v>
      </c>
      <c r="G40" s="23" t="str">
        <f t="shared" si="4"/>
        <v>Akash Das</v>
      </c>
      <c r="H40" s="22" t="str">
        <f t="shared" si="5"/>
        <v>Active</v>
      </c>
      <c r="I40" s="24">
        <f t="shared" si="6"/>
        <v>5.7</v>
      </c>
      <c r="J40" s="22">
        <f t="shared" si="7"/>
        <v>2</v>
      </c>
      <c r="K40" s="23" t="str">
        <f t="shared" si="8"/>
        <v>Underperformer</v>
      </c>
      <c r="L40" s="22" t="str">
        <f t="shared" si="9"/>
        <v>Not Eligible</v>
      </c>
      <c r="M40" s="24">
        <f t="shared" si="10"/>
        <v>21.09</v>
      </c>
      <c r="N40" s="25">
        <f t="shared" si="11"/>
        <v>0.9</v>
      </c>
      <c r="O40" s="26">
        <f t="shared" si="12"/>
        <v>0.91200000000000003</v>
      </c>
      <c r="P40" s="25">
        <f t="shared" si="13"/>
        <v>2.9</v>
      </c>
      <c r="Q40" s="22" t="str">
        <f t="shared" si="14"/>
        <v>Low</v>
      </c>
      <c r="R40">
        <f t="shared" si="15"/>
        <v>36</v>
      </c>
    </row>
    <row r="41" spans="1:18" x14ac:dyDescent="0.3">
      <c r="A41" s="22">
        <f>IF(B41="","",37)</f>
        <v>37</v>
      </c>
      <c r="B41" s="22" t="str">
        <f>IF(Calc_Engine!I38="","",Calc_Engine!I38)</f>
        <v>EMP1037</v>
      </c>
      <c r="C41" s="23" t="str">
        <f t="shared" si="0"/>
        <v>Aniket Khanna</v>
      </c>
      <c r="D41" s="23" t="str">
        <f t="shared" si="1"/>
        <v>Senior Product Manager</v>
      </c>
      <c r="E41" s="23" t="str">
        <f t="shared" si="2"/>
        <v>Product</v>
      </c>
      <c r="F41" s="22" t="str">
        <f t="shared" si="3"/>
        <v>L4</v>
      </c>
      <c r="G41" s="23" t="str">
        <f t="shared" si="4"/>
        <v>Mansi Pillai</v>
      </c>
      <c r="H41" s="22" t="str">
        <f t="shared" si="5"/>
        <v>Active</v>
      </c>
      <c r="I41" s="24">
        <f t="shared" si="6"/>
        <v>5.7</v>
      </c>
      <c r="J41" s="22">
        <f t="shared" si="7"/>
        <v>4</v>
      </c>
      <c r="K41" s="23" t="str">
        <f t="shared" si="8"/>
        <v>High Performer</v>
      </c>
      <c r="L41" s="22" t="str">
        <f t="shared" si="9"/>
        <v>Eligible</v>
      </c>
      <c r="M41" s="24">
        <f t="shared" si="10"/>
        <v>21.22</v>
      </c>
      <c r="N41" s="25">
        <f t="shared" si="11"/>
        <v>0.91</v>
      </c>
      <c r="O41" s="26">
        <f t="shared" si="12"/>
        <v>0.89200000000000002</v>
      </c>
      <c r="P41" s="25">
        <f t="shared" si="13"/>
        <v>3.75</v>
      </c>
      <c r="Q41" s="22" t="str">
        <f t="shared" si="14"/>
        <v>Low</v>
      </c>
      <c r="R41">
        <f t="shared" si="15"/>
        <v>37</v>
      </c>
    </row>
    <row r="42" spans="1:18" x14ac:dyDescent="0.3">
      <c r="A42" s="22">
        <f>IF(B42="","",38)</f>
        <v>38</v>
      </c>
      <c r="B42" s="22" t="str">
        <f>IF(Calc_Engine!I39="","",Calc_Engine!I39)</f>
        <v>EMP1038</v>
      </c>
      <c r="C42" s="23" t="str">
        <f t="shared" si="0"/>
        <v>Varun Reddy</v>
      </c>
      <c r="D42" s="23" t="str">
        <f t="shared" si="1"/>
        <v>Senior Support Executive</v>
      </c>
      <c r="E42" s="23" t="str">
        <f t="shared" si="2"/>
        <v>Customer Support</v>
      </c>
      <c r="F42" s="22" t="str">
        <f t="shared" si="3"/>
        <v>L3</v>
      </c>
      <c r="G42" s="23" t="str">
        <f t="shared" si="4"/>
        <v>Anjali Iyer</v>
      </c>
      <c r="H42" s="22" t="str">
        <f t="shared" si="5"/>
        <v>Active</v>
      </c>
      <c r="I42" s="24">
        <f t="shared" si="6"/>
        <v>5.7</v>
      </c>
      <c r="J42" s="22">
        <f t="shared" si="7"/>
        <v>5</v>
      </c>
      <c r="K42" s="23" t="str">
        <f t="shared" si="8"/>
        <v>Star</v>
      </c>
      <c r="L42" s="22" t="str">
        <f t="shared" si="9"/>
        <v>Eligible</v>
      </c>
      <c r="M42" s="24">
        <f t="shared" si="10"/>
        <v>9.7799999999999994</v>
      </c>
      <c r="N42" s="25">
        <f t="shared" si="11"/>
        <v>0.68</v>
      </c>
      <c r="O42" s="26">
        <f t="shared" si="12"/>
        <v>0.94</v>
      </c>
      <c r="P42" s="25">
        <f t="shared" si="13"/>
        <v>4.3</v>
      </c>
      <c r="Q42" s="22" t="str">
        <f t="shared" si="14"/>
        <v>Medium</v>
      </c>
      <c r="R42">
        <f t="shared" si="15"/>
        <v>38</v>
      </c>
    </row>
    <row r="43" spans="1:18" x14ac:dyDescent="0.3">
      <c r="A43" s="22">
        <f>IF(B43="","",39)</f>
        <v>39</v>
      </c>
      <c r="B43" s="22" t="str">
        <f>IF(Calc_Engine!I40="","",Calc_Engine!I40)</f>
        <v>EMP1039</v>
      </c>
      <c r="C43" s="23" t="str">
        <f t="shared" si="0"/>
        <v>Karan Patel</v>
      </c>
      <c r="D43" s="23" t="str">
        <f t="shared" si="1"/>
        <v>Senior Finance Manager</v>
      </c>
      <c r="E43" s="23" t="str">
        <f t="shared" si="2"/>
        <v>Finance</v>
      </c>
      <c r="F43" s="22" t="str">
        <f t="shared" si="3"/>
        <v>L6</v>
      </c>
      <c r="G43" s="23" t="str">
        <f t="shared" si="4"/>
        <v>Pooja Das</v>
      </c>
      <c r="H43" s="22" t="str">
        <f t="shared" si="5"/>
        <v>Active</v>
      </c>
      <c r="I43" s="24">
        <f t="shared" si="6"/>
        <v>5.6</v>
      </c>
      <c r="J43" s="22">
        <f t="shared" si="7"/>
        <v>4</v>
      </c>
      <c r="K43" s="23" t="str">
        <f t="shared" si="8"/>
        <v>Star</v>
      </c>
      <c r="L43" s="22" t="str">
        <f t="shared" si="9"/>
        <v>Eligible</v>
      </c>
      <c r="M43" s="24">
        <f t="shared" si="10"/>
        <v>62.3</v>
      </c>
      <c r="N43" s="25">
        <f t="shared" si="11"/>
        <v>1.1599999999999999</v>
      </c>
      <c r="O43" s="26">
        <f t="shared" si="12"/>
        <v>0.92800000000000005</v>
      </c>
      <c r="P43" s="25">
        <f t="shared" si="13"/>
        <v>2.73</v>
      </c>
      <c r="Q43" s="22" t="str">
        <f t="shared" si="14"/>
        <v>Medium</v>
      </c>
      <c r="R43">
        <f t="shared" si="15"/>
        <v>39</v>
      </c>
    </row>
    <row r="44" spans="1:18" x14ac:dyDescent="0.3">
      <c r="A44" s="22">
        <f>IF(B44="","",40)</f>
        <v>40</v>
      </c>
      <c r="B44" s="22" t="str">
        <f>IF(Calc_Engine!I41="","",Calc_Engine!I41)</f>
        <v>EMP1040</v>
      </c>
      <c r="C44" s="23" t="str">
        <f t="shared" si="0"/>
        <v>Sanjay Mehta</v>
      </c>
      <c r="D44" s="23" t="str">
        <f t="shared" si="1"/>
        <v>Senior HR Business Partner</v>
      </c>
      <c r="E44" s="23" t="str">
        <f t="shared" si="2"/>
        <v>Human Resources</v>
      </c>
      <c r="F44" s="22" t="str">
        <f t="shared" si="3"/>
        <v>L4</v>
      </c>
      <c r="G44" s="23" t="str">
        <f t="shared" si="4"/>
        <v>Prakash Das</v>
      </c>
      <c r="H44" s="22" t="str">
        <f t="shared" si="5"/>
        <v>Active</v>
      </c>
      <c r="I44" s="24">
        <f t="shared" si="6"/>
        <v>5.6</v>
      </c>
      <c r="J44" s="22">
        <f t="shared" si="7"/>
        <v>2</v>
      </c>
      <c r="K44" s="23" t="str">
        <f t="shared" si="8"/>
        <v>Inconsistent Player</v>
      </c>
      <c r="L44" s="22" t="str">
        <f t="shared" si="9"/>
        <v>Not Eligible</v>
      </c>
      <c r="M44" s="24">
        <f t="shared" si="10"/>
        <v>21.13</v>
      </c>
      <c r="N44" s="25">
        <f t="shared" si="11"/>
        <v>0.9</v>
      </c>
      <c r="O44" s="26">
        <f t="shared" si="12"/>
        <v>0.89200000000000002</v>
      </c>
      <c r="P44" s="25">
        <f t="shared" si="13"/>
        <v>2.5</v>
      </c>
      <c r="Q44" s="22" t="str">
        <f t="shared" si="14"/>
        <v>Low</v>
      </c>
      <c r="R44">
        <f t="shared" si="15"/>
        <v>40</v>
      </c>
    </row>
    <row r="45" spans="1:18" x14ac:dyDescent="0.3">
      <c r="A45" s="22">
        <f>IF(B45="","",41)</f>
        <v>41</v>
      </c>
      <c r="B45" s="22" t="str">
        <f>IF(Calc_Engine!I42="","",Calc_Engine!I42)</f>
        <v>EMP1041</v>
      </c>
      <c r="C45" s="23" t="str">
        <f t="shared" si="0"/>
        <v>Nisha Mehta</v>
      </c>
      <c r="D45" s="23" t="str">
        <f t="shared" si="1"/>
        <v>HR Business Partner</v>
      </c>
      <c r="E45" s="23" t="str">
        <f t="shared" si="2"/>
        <v>Human Resources</v>
      </c>
      <c r="F45" s="22" t="str">
        <f t="shared" si="3"/>
        <v>L3</v>
      </c>
      <c r="G45" s="23" t="str">
        <f t="shared" si="4"/>
        <v>Akash Das</v>
      </c>
      <c r="H45" s="22" t="str">
        <f t="shared" si="5"/>
        <v>Exited</v>
      </c>
      <c r="I45" s="24">
        <f t="shared" si="6"/>
        <v>5.4</v>
      </c>
      <c r="J45" s="22">
        <f t="shared" si="7"/>
        <v>2</v>
      </c>
      <c r="K45" s="23" t="str">
        <f t="shared" si="8"/>
        <v>Underperformer</v>
      </c>
      <c r="L45" s="22" t="str">
        <f t="shared" si="9"/>
        <v>Not Eligible</v>
      </c>
      <c r="M45" s="24">
        <f t="shared" si="10"/>
        <v>10.119999999999999</v>
      </c>
      <c r="N45" s="25">
        <f t="shared" si="11"/>
        <v>0.7</v>
      </c>
      <c r="O45" s="26">
        <f t="shared" si="12"/>
        <v>0.81067961165048541</v>
      </c>
      <c r="P45" s="25">
        <f t="shared" si="13"/>
        <v>3.2</v>
      </c>
      <c r="Q45" s="22" t="str">
        <f t="shared" si="14"/>
        <v>Exited</v>
      </c>
      <c r="R45">
        <f t="shared" si="15"/>
        <v>41</v>
      </c>
    </row>
    <row r="46" spans="1:18" x14ac:dyDescent="0.3">
      <c r="A46" s="22">
        <f>IF(B46="","",42)</f>
        <v>42</v>
      </c>
      <c r="B46" s="22" t="str">
        <f>IF(Calc_Engine!I43="","",Calc_Engine!I43)</f>
        <v>EMP1042</v>
      </c>
      <c r="C46" s="23" t="str">
        <f t="shared" si="0"/>
        <v>Tejaswini Hegde</v>
      </c>
      <c r="D46" s="23" t="str">
        <f t="shared" si="1"/>
        <v>Engineering Manager</v>
      </c>
      <c r="E46" s="23" t="str">
        <f t="shared" si="2"/>
        <v>Engineering</v>
      </c>
      <c r="F46" s="22" t="str">
        <f t="shared" si="3"/>
        <v>L5</v>
      </c>
      <c r="G46" s="23" t="str">
        <f t="shared" si="4"/>
        <v>Yamini Nair</v>
      </c>
      <c r="H46" s="22" t="str">
        <f t="shared" si="5"/>
        <v>Active</v>
      </c>
      <c r="I46" s="24">
        <f t="shared" si="6"/>
        <v>5.5</v>
      </c>
      <c r="J46" s="22">
        <f t="shared" si="7"/>
        <v>2</v>
      </c>
      <c r="K46" s="23" t="str">
        <f t="shared" si="8"/>
        <v>Inconsistent Player</v>
      </c>
      <c r="L46" s="22" t="str">
        <f t="shared" si="9"/>
        <v>Not Eligible</v>
      </c>
      <c r="M46" s="24">
        <f t="shared" si="10"/>
        <v>36.25</v>
      </c>
      <c r="N46" s="25">
        <f t="shared" si="11"/>
        <v>0.99</v>
      </c>
      <c r="O46" s="26">
        <f t="shared" si="12"/>
        <v>0.94399999999999995</v>
      </c>
      <c r="P46" s="25">
        <f t="shared" si="13"/>
        <v>3.13</v>
      </c>
      <c r="Q46" s="22" t="str">
        <f t="shared" si="14"/>
        <v>Low</v>
      </c>
      <c r="R46">
        <f t="shared" si="15"/>
        <v>42</v>
      </c>
    </row>
    <row r="47" spans="1:18" x14ac:dyDescent="0.3">
      <c r="A47" s="22">
        <f>IF(B47="","",43)</f>
        <v>43</v>
      </c>
      <c r="B47" s="22" t="str">
        <f>IF(Calc_Engine!I44="","",Calc_Engine!I44)</f>
        <v>EMP1043</v>
      </c>
      <c r="C47" s="23" t="str">
        <f t="shared" si="0"/>
        <v>Trisha Jain</v>
      </c>
      <c r="D47" s="23" t="str">
        <f t="shared" si="1"/>
        <v>Senior Analytics Manager</v>
      </c>
      <c r="E47" s="23" t="str">
        <f t="shared" si="2"/>
        <v>Data &amp; Analytics</v>
      </c>
      <c r="F47" s="22" t="str">
        <f t="shared" si="3"/>
        <v>L6</v>
      </c>
      <c r="G47" s="23" t="str">
        <f t="shared" si="4"/>
        <v>Aishwarya Fernandes</v>
      </c>
      <c r="H47" s="22" t="str">
        <f t="shared" si="5"/>
        <v>Active</v>
      </c>
      <c r="I47" s="24">
        <f t="shared" si="6"/>
        <v>5.5</v>
      </c>
      <c r="J47" s="22">
        <f t="shared" si="7"/>
        <v>3</v>
      </c>
      <c r="K47" s="23" t="str">
        <f t="shared" si="8"/>
        <v>Core Player</v>
      </c>
      <c r="L47" s="22" t="str">
        <f t="shared" si="9"/>
        <v>Not Eligible</v>
      </c>
      <c r="M47" s="24">
        <f t="shared" si="10"/>
        <v>56.47</v>
      </c>
      <c r="N47" s="25">
        <f t="shared" si="11"/>
        <v>1.05</v>
      </c>
      <c r="O47" s="26">
        <f t="shared" si="12"/>
        <v>0.84799999999999998</v>
      </c>
      <c r="P47" s="25">
        <f t="shared" si="13"/>
        <v>2.42</v>
      </c>
      <c r="Q47" s="22" t="str">
        <f t="shared" si="14"/>
        <v>Low</v>
      </c>
      <c r="R47">
        <f t="shared" si="15"/>
        <v>43</v>
      </c>
    </row>
    <row r="48" spans="1:18" x14ac:dyDescent="0.3">
      <c r="A48" s="22">
        <f>IF(B48="","",44)</f>
        <v>44</v>
      </c>
      <c r="B48" s="22" t="str">
        <f>IF(Calc_Engine!I45="","",Calc_Engine!I45)</f>
        <v>EMP1044</v>
      </c>
      <c r="C48" s="23" t="str">
        <f t="shared" si="0"/>
        <v>Rohan Patel</v>
      </c>
      <c r="D48" s="23" t="str">
        <f t="shared" si="1"/>
        <v>Senior Software Engineer</v>
      </c>
      <c r="E48" s="23" t="str">
        <f t="shared" si="2"/>
        <v>Engineering</v>
      </c>
      <c r="F48" s="22" t="str">
        <f t="shared" si="3"/>
        <v>L3</v>
      </c>
      <c r="G48" s="23" t="str">
        <f t="shared" si="4"/>
        <v>Isha Jain</v>
      </c>
      <c r="H48" s="22" t="str">
        <f t="shared" si="5"/>
        <v>Active</v>
      </c>
      <c r="I48" s="24">
        <f t="shared" si="6"/>
        <v>5.5</v>
      </c>
      <c r="J48" s="22">
        <f t="shared" si="7"/>
        <v>3</v>
      </c>
      <c r="K48" s="23" t="str">
        <f t="shared" si="8"/>
        <v>Future Star</v>
      </c>
      <c r="L48" s="22" t="str">
        <f t="shared" si="9"/>
        <v>Not Eligible</v>
      </c>
      <c r="M48" s="24">
        <f t="shared" si="10"/>
        <v>15.14</v>
      </c>
      <c r="N48" s="25">
        <f t="shared" si="11"/>
        <v>1.05</v>
      </c>
      <c r="O48" s="26">
        <f t="shared" si="12"/>
        <v>0.89600000000000002</v>
      </c>
      <c r="P48" s="25">
        <f t="shared" si="13"/>
        <v>3.52</v>
      </c>
      <c r="Q48" s="22" t="str">
        <f t="shared" si="14"/>
        <v>Low</v>
      </c>
      <c r="R48">
        <f t="shared" si="15"/>
        <v>44</v>
      </c>
    </row>
    <row r="49" spans="1:18" x14ac:dyDescent="0.3">
      <c r="A49" s="22">
        <f>IF(B49="","",45)</f>
        <v>45</v>
      </c>
      <c r="B49" s="22" t="str">
        <f>IF(Calc_Engine!I46="","",Calc_Engine!I46)</f>
        <v>EMP1045</v>
      </c>
      <c r="C49" s="23" t="str">
        <f t="shared" si="0"/>
        <v>Vikas Chatterjee</v>
      </c>
      <c r="D49" s="23" t="str">
        <f t="shared" si="1"/>
        <v>Operations Lead</v>
      </c>
      <c r="E49" s="23" t="str">
        <f t="shared" si="2"/>
        <v>Operations</v>
      </c>
      <c r="F49" s="22" t="str">
        <f t="shared" si="3"/>
        <v>L4</v>
      </c>
      <c r="G49" s="23" t="str">
        <f t="shared" si="4"/>
        <v>Yash Shah</v>
      </c>
      <c r="H49" s="22" t="str">
        <f t="shared" si="5"/>
        <v>Exited</v>
      </c>
      <c r="I49" s="24">
        <f t="shared" si="6"/>
        <v>5.2</v>
      </c>
      <c r="J49" s="22">
        <f t="shared" si="7"/>
        <v>3</v>
      </c>
      <c r="K49" s="23" t="str">
        <f t="shared" si="8"/>
        <v>Core Player</v>
      </c>
      <c r="L49" s="22" t="str">
        <f t="shared" si="9"/>
        <v>Not Eligible</v>
      </c>
      <c r="M49" s="24">
        <f t="shared" si="10"/>
        <v>17.239999999999998</v>
      </c>
      <c r="N49" s="25">
        <f t="shared" si="11"/>
        <v>0.74</v>
      </c>
      <c r="O49" s="26">
        <f t="shared" si="12"/>
        <v>0.85795454545454541</v>
      </c>
      <c r="P49" s="25">
        <f t="shared" si="13"/>
        <v>2.68</v>
      </c>
      <c r="Q49" s="22" t="str">
        <f t="shared" si="14"/>
        <v>Exited</v>
      </c>
      <c r="R49">
        <f t="shared" si="15"/>
        <v>45</v>
      </c>
    </row>
    <row r="50" spans="1:18" x14ac:dyDescent="0.3">
      <c r="A50" s="22">
        <f>IF(B50="","",46)</f>
        <v>46</v>
      </c>
      <c r="B50" s="22" t="str">
        <f>IF(Calc_Engine!I47="","",Calc_Engine!I47)</f>
        <v>EMP1046</v>
      </c>
      <c r="C50" s="23" t="str">
        <f t="shared" si="0"/>
        <v>Karan Gowda</v>
      </c>
      <c r="D50" s="23" t="str">
        <f t="shared" si="1"/>
        <v>Senior Operations Executive</v>
      </c>
      <c r="E50" s="23" t="str">
        <f t="shared" si="2"/>
        <v>Operations</v>
      </c>
      <c r="F50" s="22" t="str">
        <f t="shared" si="3"/>
        <v>L3</v>
      </c>
      <c r="G50" s="23" t="str">
        <f t="shared" si="4"/>
        <v>Pallavi Shah</v>
      </c>
      <c r="H50" s="22" t="str">
        <f t="shared" si="5"/>
        <v>Active</v>
      </c>
      <c r="I50" s="24">
        <f t="shared" si="6"/>
        <v>5.5</v>
      </c>
      <c r="J50" s="22">
        <f t="shared" si="7"/>
        <v>3</v>
      </c>
      <c r="K50" s="23" t="str">
        <f t="shared" si="8"/>
        <v>Core Player</v>
      </c>
      <c r="L50" s="22" t="str">
        <f t="shared" si="9"/>
        <v>Not Eligible</v>
      </c>
      <c r="M50" s="24">
        <f t="shared" si="10"/>
        <v>13.6</v>
      </c>
      <c r="N50" s="25">
        <f t="shared" si="11"/>
        <v>0.94</v>
      </c>
      <c r="O50" s="26">
        <f t="shared" si="12"/>
        <v>0.92</v>
      </c>
      <c r="P50" s="25">
        <f t="shared" si="13"/>
        <v>3.57</v>
      </c>
      <c r="Q50" s="22" t="str">
        <f t="shared" si="14"/>
        <v>Low</v>
      </c>
      <c r="R50">
        <f t="shared" si="15"/>
        <v>46</v>
      </c>
    </row>
    <row r="51" spans="1:18" x14ac:dyDescent="0.3">
      <c r="A51" s="22">
        <f>IF(B51="","",47)</f>
        <v>47</v>
      </c>
      <c r="B51" s="22" t="str">
        <f>IF(Calc_Engine!I48="","",Calc_Engine!I48)</f>
        <v>EMP1047</v>
      </c>
      <c r="C51" s="23" t="str">
        <f t="shared" si="0"/>
        <v>Keerthi Gupta</v>
      </c>
      <c r="D51" s="23" t="str">
        <f t="shared" si="1"/>
        <v>Support Team Lead</v>
      </c>
      <c r="E51" s="23" t="str">
        <f t="shared" si="2"/>
        <v>Customer Support</v>
      </c>
      <c r="F51" s="22" t="str">
        <f t="shared" si="3"/>
        <v>L4</v>
      </c>
      <c r="G51" s="23" t="str">
        <f t="shared" si="4"/>
        <v>Vidya Chatterjee</v>
      </c>
      <c r="H51" s="22" t="str">
        <f t="shared" si="5"/>
        <v>Active</v>
      </c>
      <c r="I51" s="24">
        <f t="shared" si="6"/>
        <v>5.5</v>
      </c>
      <c r="J51" s="22">
        <f t="shared" si="7"/>
        <v>3</v>
      </c>
      <c r="K51" s="23" t="str">
        <f t="shared" si="8"/>
        <v>Future Star</v>
      </c>
      <c r="L51" s="22" t="str">
        <f t="shared" si="9"/>
        <v>Not Eligible</v>
      </c>
      <c r="M51" s="24">
        <f t="shared" si="10"/>
        <v>14.75</v>
      </c>
      <c r="N51" s="25">
        <f t="shared" si="11"/>
        <v>0.63</v>
      </c>
      <c r="O51" s="26">
        <f t="shared" si="12"/>
        <v>0.90800000000000003</v>
      </c>
      <c r="P51" s="25">
        <f t="shared" si="13"/>
        <v>2.97</v>
      </c>
      <c r="Q51" s="22" t="str">
        <f t="shared" si="14"/>
        <v>High</v>
      </c>
      <c r="R51">
        <f t="shared" si="15"/>
        <v>47</v>
      </c>
    </row>
    <row r="52" spans="1:18" x14ac:dyDescent="0.3">
      <c r="A52" s="22">
        <f>IF(B52="","",48)</f>
        <v>48</v>
      </c>
      <c r="B52" s="22" t="str">
        <f>IF(Calc_Engine!I49="","",Calc_Engine!I49)</f>
        <v>EMP1048</v>
      </c>
      <c r="C52" s="23" t="str">
        <f t="shared" si="0"/>
        <v>Sindhu Sharma</v>
      </c>
      <c r="D52" s="23" t="str">
        <f t="shared" si="1"/>
        <v>Senior Data Analyst</v>
      </c>
      <c r="E52" s="23" t="str">
        <f t="shared" si="2"/>
        <v>Data &amp; Analytics</v>
      </c>
      <c r="F52" s="22" t="str">
        <f t="shared" si="3"/>
        <v>L3</v>
      </c>
      <c r="G52" s="23" t="str">
        <f t="shared" si="4"/>
        <v>Arun Mukherjee</v>
      </c>
      <c r="H52" s="22" t="str">
        <f t="shared" si="5"/>
        <v>Active</v>
      </c>
      <c r="I52" s="24">
        <f t="shared" si="6"/>
        <v>5.5</v>
      </c>
      <c r="J52" s="22">
        <f t="shared" si="7"/>
        <v>4</v>
      </c>
      <c r="K52" s="23" t="str">
        <f t="shared" si="8"/>
        <v>Star</v>
      </c>
      <c r="L52" s="22" t="str">
        <f t="shared" si="9"/>
        <v>Not Eligible</v>
      </c>
      <c r="M52" s="24">
        <f t="shared" si="10"/>
        <v>13.14</v>
      </c>
      <c r="N52" s="25">
        <f t="shared" si="11"/>
        <v>0.91</v>
      </c>
      <c r="O52" s="26">
        <f t="shared" si="12"/>
        <v>0.86399999999999999</v>
      </c>
      <c r="P52" s="25">
        <f t="shared" si="13"/>
        <v>3.6</v>
      </c>
      <c r="Q52" s="22" t="str">
        <f t="shared" si="14"/>
        <v>Low</v>
      </c>
      <c r="R52">
        <f t="shared" si="15"/>
        <v>48</v>
      </c>
    </row>
    <row r="53" spans="1:18" x14ac:dyDescent="0.3">
      <c r="A53" s="22">
        <f>IF(B53="","",49)</f>
        <v>49</v>
      </c>
      <c r="B53" s="22" t="str">
        <f>IF(Calc_Engine!I50="","",Calc_Engine!I50)</f>
        <v>EMP1049</v>
      </c>
      <c r="C53" s="23" t="str">
        <f t="shared" si="0"/>
        <v>Ajay Kumar</v>
      </c>
      <c r="D53" s="23" t="str">
        <f t="shared" si="1"/>
        <v>Operations Manager</v>
      </c>
      <c r="E53" s="23" t="str">
        <f t="shared" si="2"/>
        <v>Operations</v>
      </c>
      <c r="F53" s="22" t="str">
        <f t="shared" si="3"/>
        <v>L5</v>
      </c>
      <c r="G53" s="23" t="str">
        <f t="shared" si="4"/>
        <v>Imran Mishra</v>
      </c>
      <c r="H53" s="22" t="str">
        <f t="shared" si="5"/>
        <v>Active</v>
      </c>
      <c r="I53" s="24">
        <f t="shared" si="6"/>
        <v>5.4</v>
      </c>
      <c r="J53" s="22">
        <f t="shared" si="7"/>
        <v>4</v>
      </c>
      <c r="K53" s="23" t="str">
        <f t="shared" si="8"/>
        <v>Star</v>
      </c>
      <c r="L53" s="22" t="str">
        <f t="shared" si="9"/>
        <v>Eligible</v>
      </c>
      <c r="M53" s="24">
        <f t="shared" si="10"/>
        <v>34.33</v>
      </c>
      <c r="N53" s="25">
        <f t="shared" si="11"/>
        <v>0.94</v>
      </c>
      <c r="O53" s="26">
        <f t="shared" si="12"/>
        <v>0.90800000000000003</v>
      </c>
      <c r="P53" s="25">
        <f t="shared" si="13"/>
        <v>2.83</v>
      </c>
      <c r="Q53" s="22" t="str">
        <f t="shared" si="14"/>
        <v>High</v>
      </c>
      <c r="R53">
        <f t="shared" si="15"/>
        <v>49</v>
      </c>
    </row>
    <row r="54" spans="1:18" x14ac:dyDescent="0.3">
      <c r="A54" s="22">
        <f>IF(B54="","",50)</f>
        <v>50</v>
      </c>
      <c r="B54" s="22" t="str">
        <f>IF(Calc_Engine!I51="","",Calc_Engine!I51)</f>
        <v>EMP1050</v>
      </c>
      <c r="C54" s="23" t="str">
        <f t="shared" si="0"/>
        <v>Harini Choudhary</v>
      </c>
      <c r="D54" s="23" t="str">
        <f t="shared" si="1"/>
        <v>Tech Lead</v>
      </c>
      <c r="E54" s="23" t="str">
        <f t="shared" si="2"/>
        <v>Engineering</v>
      </c>
      <c r="F54" s="22" t="str">
        <f t="shared" si="3"/>
        <v>L4</v>
      </c>
      <c r="G54" s="23" t="str">
        <f t="shared" si="4"/>
        <v>Vikas Singh</v>
      </c>
      <c r="H54" s="22" t="str">
        <f t="shared" si="5"/>
        <v>Active</v>
      </c>
      <c r="I54" s="24">
        <f t="shared" si="6"/>
        <v>5.4</v>
      </c>
      <c r="J54" s="22">
        <f t="shared" si="7"/>
        <v>3</v>
      </c>
      <c r="K54" s="23" t="str">
        <f t="shared" si="8"/>
        <v>Core Player</v>
      </c>
      <c r="L54" s="22" t="str">
        <f t="shared" si="9"/>
        <v>Not Eligible</v>
      </c>
      <c r="M54" s="24">
        <f t="shared" si="10"/>
        <v>24.07</v>
      </c>
      <c r="N54" s="25">
        <f t="shared" si="11"/>
        <v>1.03</v>
      </c>
      <c r="O54" s="26">
        <f t="shared" si="12"/>
        <v>0.95599999999999996</v>
      </c>
      <c r="P54" s="25">
        <f t="shared" si="13"/>
        <v>3.6</v>
      </c>
      <c r="Q54" s="22" t="str">
        <f t="shared" si="14"/>
        <v>Low</v>
      </c>
      <c r="R54">
        <f t="shared" si="15"/>
        <v>50</v>
      </c>
    </row>
    <row r="55" spans="1:18" x14ac:dyDescent="0.3">
      <c r="A55" s="22">
        <f>IF(B55="","",51)</f>
        <v>51</v>
      </c>
      <c r="B55" s="22" t="str">
        <f>IF(Calc_Engine!I52="","",Calc_Engine!I52)</f>
        <v>EMP1051</v>
      </c>
      <c r="C55" s="23" t="str">
        <f t="shared" si="0"/>
        <v>Joseph Varghese</v>
      </c>
      <c r="D55" s="23" t="str">
        <f t="shared" si="1"/>
        <v>Regional Sales Manager</v>
      </c>
      <c r="E55" s="23" t="str">
        <f t="shared" si="2"/>
        <v>Sales</v>
      </c>
      <c r="F55" s="22" t="str">
        <f t="shared" si="3"/>
        <v>L6</v>
      </c>
      <c r="G55" s="23" t="str">
        <f t="shared" si="4"/>
        <v>Akash Bansal</v>
      </c>
      <c r="H55" s="22" t="str">
        <f t="shared" si="5"/>
        <v>Active</v>
      </c>
      <c r="I55" s="24">
        <f t="shared" si="6"/>
        <v>5.4</v>
      </c>
      <c r="J55" s="22">
        <f t="shared" si="7"/>
        <v>1</v>
      </c>
      <c r="K55" s="23" t="str">
        <f t="shared" si="8"/>
        <v>Underperformer</v>
      </c>
      <c r="L55" s="22" t="str">
        <f t="shared" si="9"/>
        <v>Not Eligible</v>
      </c>
      <c r="M55" s="24">
        <f t="shared" si="10"/>
        <v>43.83</v>
      </c>
      <c r="N55" s="25">
        <f t="shared" si="11"/>
        <v>0.81</v>
      </c>
      <c r="O55" s="26">
        <f t="shared" si="12"/>
        <v>0.88800000000000001</v>
      </c>
      <c r="P55" s="25">
        <f t="shared" si="13"/>
        <v>3.48</v>
      </c>
      <c r="Q55" s="22" t="str">
        <f t="shared" si="14"/>
        <v>Low</v>
      </c>
      <c r="R55">
        <f t="shared" si="15"/>
        <v>51</v>
      </c>
    </row>
    <row r="56" spans="1:18" x14ac:dyDescent="0.3">
      <c r="A56" s="22">
        <f>IF(B56="","",52)</f>
        <v>52</v>
      </c>
      <c r="B56" s="22" t="str">
        <f>IF(Calc_Engine!I53="","",Calc_Engine!I53)</f>
        <v>EMP1052</v>
      </c>
      <c r="C56" s="23" t="str">
        <f t="shared" si="0"/>
        <v>Siddharth Mehta</v>
      </c>
      <c r="D56" s="23" t="str">
        <f t="shared" si="1"/>
        <v>Senior Software Engineer</v>
      </c>
      <c r="E56" s="23" t="str">
        <f t="shared" si="2"/>
        <v>Engineering</v>
      </c>
      <c r="F56" s="22" t="str">
        <f t="shared" si="3"/>
        <v>L3</v>
      </c>
      <c r="G56" s="23" t="str">
        <f t="shared" si="4"/>
        <v>Vikas Singh</v>
      </c>
      <c r="H56" s="22" t="str">
        <f t="shared" si="5"/>
        <v>Exited</v>
      </c>
      <c r="I56" s="24">
        <f t="shared" si="6"/>
        <v>4.5999999999999996</v>
      </c>
      <c r="J56" s="22">
        <f t="shared" si="7"/>
        <v>3</v>
      </c>
      <c r="K56" s="23" t="str">
        <f t="shared" si="8"/>
        <v>Core Player</v>
      </c>
      <c r="L56" s="22" t="str">
        <f t="shared" si="9"/>
        <v>Not Eligible</v>
      </c>
      <c r="M56" s="24">
        <f t="shared" si="10"/>
        <v>20.84</v>
      </c>
      <c r="N56" s="25">
        <f t="shared" si="11"/>
        <v>1.44</v>
      </c>
      <c r="O56" s="26">
        <f t="shared" si="12"/>
        <v>0.76190476190476186</v>
      </c>
      <c r="P56" s="25">
        <f t="shared" si="13"/>
        <v>2.2000000000000002</v>
      </c>
      <c r="Q56" s="22" t="str">
        <f t="shared" si="14"/>
        <v>Exited</v>
      </c>
      <c r="R56">
        <f t="shared" si="15"/>
        <v>52</v>
      </c>
    </row>
    <row r="57" spans="1:18" x14ac:dyDescent="0.3">
      <c r="A57" s="22">
        <f>IF(B57="","",53)</f>
        <v>53</v>
      </c>
      <c r="B57" s="22" t="str">
        <f>IF(Calc_Engine!I54="","",Calc_Engine!I54)</f>
        <v>EMP1053</v>
      </c>
      <c r="C57" s="23" t="str">
        <f t="shared" si="0"/>
        <v>Dev Jain</v>
      </c>
      <c r="D57" s="23" t="str">
        <f t="shared" si="1"/>
        <v>Senior Sales Executive</v>
      </c>
      <c r="E57" s="23" t="str">
        <f t="shared" si="2"/>
        <v>Sales</v>
      </c>
      <c r="F57" s="22" t="str">
        <f t="shared" si="3"/>
        <v>L3</v>
      </c>
      <c r="G57" s="23" t="str">
        <f t="shared" si="4"/>
        <v>Kavya Krishnan</v>
      </c>
      <c r="H57" s="22" t="str">
        <f t="shared" si="5"/>
        <v>Active</v>
      </c>
      <c r="I57" s="24">
        <f t="shared" si="6"/>
        <v>5.3</v>
      </c>
      <c r="J57" s="22">
        <f t="shared" si="7"/>
        <v>5</v>
      </c>
      <c r="K57" s="23" t="str">
        <f t="shared" si="8"/>
        <v>High Performer</v>
      </c>
      <c r="L57" s="22" t="str">
        <f t="shared" si="9"/>
        <v>Eligible</v>
      </c>
      <c r="M57" s="24">
        <f t="shared" si="10"/>
        <v>16.46</v>
      </c>
      <c r="N57" s="25">
        <f t="shared" si="11"/>
        <v>1.1399999999999999</v>
      </c>
      <c r="O57" s="26">
        <f t="shared" si="12"/>
        <v>0.94</v>
      </c>
      <c r="P57" s="25">
        <f t="shared" si="13"/>
        <v>3.52</v>
      </c>
      <c r="Q57" s="22" t="str">
        <f t="shared" si="14"/>
        <v>Low</v>
      </c>
      <c r="R57">
        <f t="shared" si="15"/>
        <v>53</v>
      </c>
    </row>
    <row r="58" spans="1:18" x14ac:dyDescent="0.3">
      <c r="A58" s="22">
        <f>IF(B58="","",54)</f>
        <v>54</v>
      </c>
      <c r="B58" s="22" t="str">
        <f>IF(Calc_Engine!I55="","",Calc_Engine!I55)</f>
        <v>EMP1054</v>
      </c>
      <c r="C58" s="23" t="str">
        <f t="shared" si="0"/>
        <v>Ritu Patel</v>
      </c>
      <c r="D58" s="23" t="str">
        <f t="shared" si="1"/>
        <v>Senior Operations Executive</v>
      </c>
      <c r="E58" s="23" t="str">
        <f t="shared" si="2"/>
        <v>Operations</v>
      </c>
      <c r="F58" s="22" t="str">
        <f t="shared" si="3"/>
        <v>L3</v>
      </c>
      <c r="G58" s="23" t="str">
        <f t="shared" si="4"/>
        <v>Ajay Kumar</v>
      </c>
      <c r="H58" s="22" t="str">
        <f t="shared" si="5"/>
        <v>Active</v>
      </c>
      <c r="I58" s="24">
        <f t="shared" si="6"/>
        <v>5.3</v>
      </c>
      <c r="J58" s="22">
        <f t="shared" si="7"/>
        <v>4</v>
      </c>
      <c r="K58" s="23" t="str">
        <f t="shared" si="8"/>
        <v>Trusted Professional</v>
      </c>
      <c r="L58" s="22" t="str">
        <f t="shared" si="9"/>
        <v>Eligible</v>
      </c>
      <c r="M58" s="24">
        <f t="shared" si="10"/>
        <v>9.17</v>
      </c>
      <c r="N58" s="25">
        <f t="shared" si="11"/>
        <v>0.63</v>
      </c>
      <c r="O58" s="26">
        <f t="shared" si="12"/>
        <v>0.95199999999999996</v>
      </c>
      <c r="P58" s="25">
        <f t="shared" si="13"/>
        <v>3.28</v>
      </c>
      <c r="Q58" s="22" t="str">
        <f t="shared" si="14"/>
        <v>Medium</v>
      </c>
      <c r="R58">
        <f t="shared" si="15"/>
        <v>54</v>
      </c>
    </row>
    <row r="59" spans="1:18" x14ac:dyDescent="0.3">
      <c r="A59" s="22">
        <f>IF(B59="","",55)</f>
        <v>55</v>
      </c>
      <c r="B59" s="22" t="str">
        <f>IF(Calc_Engine!I56="","",Calc_Engine!I56)</f>
        <v>EMP1055</v>
      </c>
      <c r="C59" s="23" t="str">
        <f t="shared" si="0"/>
        <v>Sachin Iyer</v>
      </c>
      <c r="D59" s="23" t="str">
        <f t="shared" si="1"/>
        <v>Senior Support Executive</v>
      </c>
      <c r="E59" s="23" t="str">
        <f t="shared" si="2"/>
        <v>Customer Support</v>
      </c>
      <c r="F59" s="22" t="str">
        <f t="shared" si="3"/>
        <v>L3</v>
      </c>
      <c r="G59" s="23" t="str">
        <f t="shared" si="4"/>
        <v>Ashish Varghese</v>
      </c>
      <c r="H59" s="22" t="str">
        <f t="shared" si="5"/>
        <v>Active</v>
      </c>
      <c r="I59" s="24">
        <f t="shared" si="6"/>
        <v>5.3</v>
      </c>
      <c r="J59" s="22">
        <f t="shared" si="7"/>
        <v>3</v>
      </c>
      <c r="K59" s="23" t="str">
        <f t="shared" si="8"/>
        <v>Core Player</v>
      </c>
      <c r="L59" s="22" t="str">
        <f t="shared" si="9"/>
        <v>Not Eligible</v>
      </c>
      <c r="M59" s="24">
        <f t="shared" si="10"/>
        <v>13.2</v>
      </c>
      <c r="N59" s="25">
        <f t="shared" si="11"/>
        <v>0.91</v>
      </c>
      <c r="O59" s="26">
        <f t="shared" si="12"/>
        <v>0.95199999999999996</v>
      </c>
      <c r="P59" s="25">
        <f t="shared" si="13"/>
        <v>3.38</v>
      </c>
      <c r="Q59" s="22" t="str">
        <f t="shared" si="14"/>
        <v>Low</v>
      </c>
      <c r="R59">
        <f t="shared" si="15"/>
        <v>55</v>
      </c>
    </row>
    <row r="60" spans="1:18" x14ac:dyDescent="0.3">
      <c r="A60" s="22">
        <f>IF(B60="","",56)</f>
        <v>56</v>
      </c>
      <c r="B60" s="22" t="str">
        <f>IF(Calc_Engine!I57="","",Calc_Engine!I57)</f>
        <v>EMP1056</v>
      </c>
      <c r="C60" s="23" t="str">
        <f t="shared" si="0"/>
        <v>Pallavi Menon</v>
      </c>
      <c r="D60" s="23" t="str">
        <f t="shared" si="1"/>
        <v>Senior Software Engineer</v>
      </c>
      <c r="E60" s="23" t="str">
        <f t="shared" si="2"/>
        <v>Engineering</v>
      </c>
      <c r="F60" s="22" t="str">
        <f t="shared" si="3"/>
        <v>L3</v>
      </c>
      <c r="G60" s="23" t="str">
        <f t="shared" si="4"/>
        <v>Prakash Desai</v>
      </c>
      <c r="H60" s="22" t="str">
        <f t="shared" si="5"/>
        <v>Active</v>
      </c>
      <c r="I60" s="24">
        <f t="shared" si="6"/>
        <v>5.3</v>
      </c>
      <c r="J60" s="22">
        <f t="shared" si="7"/>
        <v>3</v>
      </c>
      <c r="K60" s="23" t="str">
        <f t="shared" si="8"/>
        <v>Core Player</v>
      </c>
      <c r="L60" s="22" t="str">
        <f t="shared" si="9"/>
        <v>Not Eligible</v>
      </c>
      <c r="M60" s="24">
        <f t="shared" si="10"/>
        <v>19.71</v>
      </c>
      <c r="N60" s="25">
        <f t="shared" si="11"/>
        <v>1.36</v>
      </c>
      <c r="O60" s="26">
        <f t="shared" si="12"/>
        <v>0.94</v>
      </c>
      <c r="P60" s="25">
        <f t="shared" si="13"/>
        <v>2.95</v>
      </c>
      <c r="Q60" s="22" t="str">
        <f t="shared" si="14"/>
        <v>Low</v>
      </c>
      <c r="R60">
        <f t="shared" si="15"/>
        <v>56</v>
      </c>
    </row>
    <row r="61" spans="1:18" x14ac:dyDescent="0.3">
      <c r="A61" s="22">
        <f>IF(B61="","",57)</f>
        <v>57</v>
      </c>
      <c r="B61" s="22" t="str">
        <f>IF(Calc_Engine!I58="","",Calc_Engine!I58)</f>
        <v>EMP1057</v>
      </c>
      <c r="C61" s="23" t="str">
        <f t="shared" si="0"/>
        <v>Imran Jain</v>
      </c>
      <c r="D61" s="23" t="str">
        <f t="shared" si="1"/>
        <v>Senior Software Engineer</v>
      </c>
      <c r="E61" s="23" t="str">
        <f t="shared" si="2"/>
        <v>Engineering</v>
      </c>
      <c r="F61" s="22" t="str">
        <f t="shared" si="3"/>
        <v>L3</v>
      </c>
      <c r="G61" s="23" t="str">
        <f t="shared" si="4"/>
        <v>Tejaswini Hegde</v>
      </c>
      <c r="H61" s="22" t="str">
        <f t="shared" si="5"/>
        <v>Active</v>
      </c>
      <c r="I61" s="24">
        <f t="shared" si="6"/>
        <v>5.3</v>
      </c>
      <c r="J61" s="22">
        <f t="shared" si="7"/>
        <v>4</v>
      </c>
      <c r="K61" s="23" t="str">
        <f t="shared" si="8"/>
        <v>High Performer</v>
      </c>
      <c r="L61" s="22" t="str">
        <f t="shared" si="9"/>
        <v>Eligible</v>
      </c>
      <c r="M61" s="24">
        <f t="shared" si="10"/>
        <v>19.02</v>
      </c>
      <c r="N61" s="25">
        <f t="shared" si="11"/>
        <v>1.32</v>
      </c>
      <c r="O61" s="26">
        <f t="shared" si="12"/>
        <v>0.93600000000000005</v>
      </c>
      <c r="P61" s="25">
        <f t="shared" si="13"/>
        <v>3.93</v>
      </c>
      <c r="Q61" s="22" t="str">
        <f t="shared" si="14"/>
        <v>Low</v>
      </c>
      <c r="R61">
        <f t="shared" si="15"/>
        <v>57</v>
      </c>
    </row>
    <row r="62" spans="1:18" x14ac:dyDescent="0.3">
      <c r="A62" s="22">
        <f>IF(B62="","",58)</f>
        <v>58</v>
      </c>
      <c r="B62" s="22" t="str">
        <f>IF(Calc_Engine!I59="","",Calc_Engine!I59)</f>
        <v>EMP1058</v>
      </c>
      <c r="C62" s="23" t="str">
        <f t="shared" si="0"/>
        <v>Amit Gupta</v>
      </c>
      <c r="D62" s="23" t="str">
        <f t="shared" si="1"/>
        <v>Tech Lead</v>
      </c>
      <c r="E62" s="23" t="str">
        <f t="shared" si="2"/>
        <v>Engineering</v>
      </c>
      <c r="F62" s="22" t="str">
        <f t="shared" si="3"/>
        <v>L4</v>
      </c>
      <c r="G62" s="23" t="str">
        <f t="shared" si="4"/>
        <v>Fatima Choudhary</v>
      </c>
      <c r="H62" s="22" t="str">
        <f t="shared" si="5"/>
        <v>Active</v>
      </c>
      <c r="I62" s="24">
        <f t="shared" si="6"/>
        <v>5.3</v>
      </c>
      <c r="J62" s="22">
        <f t="shared" si="7"/>
        <v>3</v>
      </c>
      <c r="K62" s="23" t="str">
        <f t="shared" si="8"/>
        <v>Core Player</v>
      </c>
      <c r="L62" s="22" t="str">
        <f t="shared" si="9"/>
        <v>Not Eligible</v>
      </c>
      <c r="M62" s="24">
        <f t="shared" si="10"/>
        <v>23.73</v>
      </c>
      <c r="N62" s="25">
        <f t="shared" si="11"/>
        <v>1.01</v>
      </c>
      <c r="O62" s="26">
        <f t="shared" si="12"/>
        <v>0.92400000000000004</v>
      </c>
      <c r="P62" s="25">
        <f t="shared" si="13"/>
        <v>3.22</v>
      </c>
      <c r="Q62" s="22" t="str">
        <f t="shared" si="14"/>
        <v>Low</v>
      </c>
      <c r="R62">
        <f t="shared" si="15"/>
        <v>58</v>
      </c>
    </row>
    <row r="63" spans="1:18" x14ac:dyDescent="0.3">
      <c r="A63" s="22">
        <f>IF(B63="","",59)</f>
        <v>59</v>
      </c>
      <c r="B63" s="22" t="str">
        <f>IF(Calc_Engine!I60="","",Calc_Engine!I60)</f>
        <v>EMP1059</v>
      </c>
      <c r="C63" s="23" t="str">
        <f t="shared" si="0"/>
        <v>Fatima Kulkarni</v>
      </c>
      <c r="D63" s="23" t="str">
        <f t="shared" si="1"/>
        <v>Tech Lead</v>
      </c>
      <c r="E63" s="23" t="str">
        <f t="shared" si="2"/>
        <v>Engineering</v>
      </c>
      <c r="F63" s="22" t="str">
        <f t="shared" si="3"/>
        <v>L4</v>
      </c>
      <c r="G63" s="23" t="str">
        <f t="shared" si="4"/>
        <v>Vikas Singh</v>
      </c>
      <c r="H63" s="22" t="str">
        <f t="shared" si="5"/>
        <v>Exited</v>
      </c>
      <c r="I63" s="24">
        <f t="shared" si="6"/>
        <v>4.7</v>
      </c>
      <c r="J63" s="22">
        <f t="shared" si="7"/>
        <v>3</v>
      </c>
      <c r="K63" s="23" t="str">
        <f t="shared" si="8"/>
        <v>Core Player</v>
      </c>
      <c r="L63" s="22" t="str">
        <f t="shared" si="9"/>
        <v>Not Eligible</v>
      </c>
      <c r="M63" s="24">
        <f t="shared" si="10"/>
        <v>27.64</v>
      </c>
      <c r="N63" s="25">
        <f t="shared" si="11"/>
        <v>1.18</v>
      </c>
      <c r="O63" s="26">
        <f t="shared" si="12"/>
        <v>0.85</v>
      </c>
      <c r="P63" s="25">
        <f t="shared" si="13"/>
        <v>2.13</v>
      </c>
      <c r="Q63" s="22" t="str">
        <f t="shared" si="14"/>
        <v>Exited</v>
      </c>
      <c r="R63">
        <f t="shared" si="15"/>
        <v>59</v>
      </c>
    </row>
    <row r="64" spans="1:18" x14ac:dyDescent="0.3">
      <c r="A64" s="22">
        <f>IF(B64="","",60)</f>
        <v>60</v>
      </c>
      <c r="B64" s="22" t="str">
        <f>IF(Calc_Engine!I61="","",Calc_Engine!I61)</f>
        <v>EMP1060</v>
      </c>
      <c r="C64" s="23" t="str">
        <f t="shared" si="0"/>
        <v>Isha Jain</v>
      </c>
      <c r="D64" s="23" t="str">
        <f t="shared" si="1"/>
        <v>Engineering Manager</v>
      </c>
      <c r="E64" s="23" t="str">
        <f t="shared" si="2"/>
        <v>Engineering</v>
      </c>
      <c r="F64" s="22" t="str">
        <f t="shared" si="3"/>
        <v>L5</v>
      </c>
      <c r="G64" s="23" t="str">
        <f t="shared" si="4"/>
        <v>Vikram Verma</v>
      </c>
      <c r="H64" s="22" t="str">
        <f t="shared" si="5"/>
        <v>Active</v>
      </c>
      <c r="I64" s="24">
        <f t="shared" si="6"/>
        <v>5.3</v>
      </c>
      <c r="J64" s="22">
        <f t="shared" si="7"/>
        <v>5</v>
      </c>
      <c r="K64" s="23" t="str">
        <f t="shared" si="8"/>
        <v>Star</v>
      </c>
      <c r="L64" s="22" t="str">
        <f t="shared" si="9"/>
        <v>Eligible</v>
      </c>
      <c r="M64" s="24">
        <f t="shared" si="10"/>
        <v>50.9</v>
      </c>
      <c r="N64" s="25">
        <f t="shared" si="11"/>
        <v>1.39</v>
      </c>
      <c r="O64" s="26">
        <f t="shared" si="12"/>
        <v>0.90400000000000003</v>
      </c>
      <c r="P64" s="25">
        <f t="shared" si="13"/>
        <v>3.82</v>
      </c>
      <c r="Q64" s="22" t="str">
        <f t="shared" si="14"/>
        <v>Low</v>
      </c>
      <c r="R64">
        <f t="shared" si="15"/>
        <v>60</v>
      </c>
    </row>
    <row r="65" spans="1:18" x14ac:dyDescent="0.3">
      <c r="A65" s="22">
        <f>IF(B65="","",61)</f>
        <v>61</v>
      </c>
      <c r="B65" s="22" t="str">
        <f>IF(Calc_Engine!I62="","",Calc_Engine!I62)</f>
        <v>EMP1061</v>
      </c>
      <c r="C65" s="23" t="str">
        <f t="shared" si="0"/>
        <v>Sowmya Mishra</v>
      </c>
      <c r="D65" s="23" t="str">
        <f t="shared" si="1"/>
        <v>Senior Operations Executive</v>
      </c>
      <c r="E65" s="23" t="str">
        <f t="shared" si="2"/>
        <v>Operations</v>
      </c>
      <c r="F65" s="22" t="str">
        <f t="shared" si="3"/>
        <v>L3</v>
      </c>
      <c r="G65" s="23" t="str">
        <f t="shared" si="4"/>
        <v>Ankit Khanna</v>
      </c>
      <c r="H65" s="22" t="str">
        <f t="shared" si="5"/>
        <v>Active</v>
      </c>
      <c r="I65" s="24">
        <f t="shared" si="6"/>
        <v>5.2</v>
      </c>
      <c r="J65" s="22">
        <f t="shared" si="7"/>
        <v>3</v>
      </c>
      <c r="K65" s="23" t="str">
        <f t="shared" si="8"/>
        <v>Effective Contributor</v>
      </c>
      <c r="L65" s="22" t="str">
        <f t="shared" si="9"/>
        <v>Not Eligible</v>
      </c>
      <c r="M65" s="24">
        <f t="shared" si="10"/>
        <v>9.3699999999999992</v>
      </c>
      <c r="N65" s="25">
        <f t="shared" si="11"/>
        <v>0.65</v>
      </c>
      <c r="O65" s="26">
        <f t="shared" si="12"/>
        <v>0.91200000000000003</v>
      </c>
      <c r="P65" s="25">
        <f t="shared" si="13"/>
        <v>3.18</v>
      </c>
      <c r="Q65" s="22" t="str">
        <f t="shared" si="14"/>
        <v>Medium</v>
      </c>
      <c r="R65">
        <f t="shared" si="15"/>
        <v>61</v>
      </c>
    </row>
    <row r="66" spans="1:18" x14ac:dyDescent="0.3">
      <c r="A66" s="22">
        <f>IF(B66="","",62)</f>
        <v>62</v>
      </c>
      <c r="B66" s="22" t="str">
        <f>IF(Calc_Engine!I63="","",Calc_Engine!I63)</f>
        <v>EMP1062</v>
      </c>
      <c r="C66" s="23" t="str">
        <f t="shared" si="0"/>
        <v>Mohit Kapoor</v>
      </c>
      <c r="D66" s="23" t="str">
        <f t="shared" si="1"/>
        <v>Tech Lead</v>
      </c>
      <c r="E66" s="23" t="str">
        <f t="shared" si="2"/>
        <v>Engineering</v>
      </c>
      <c r="F66" s="22" t="str">
        <f t="shared" si="3"/>
        <v>L4</v>
      </c>
      <c r="G66" s="23" t="str">
        <f t="shared" si="4"/>
        <v>Isha Jain</v>
      </c>
      <c r="H66" s="22" t="str">
        <f t="shared" si="5"/>
        <v>Active</v>
      </c>
      <c r="I66" s="24">
        <f t="shared" si="6"/>
        <v>5.2</v>
      </c>
      <c r="J66" s="22">
        <f t="shared" si="7"/>
        <v>3</v>
      </c>
      <c r="K66" s="23" t="str">
        <f t="shared" si="8"/>
        <v>Core Player</v>
      </c>
      <c r="L66" s="22" t="str">
        <f t="shared" si="9"/>
        <v>Not Eligible</v>
      </c>
      <c r="M66" s="24">
        <f t="shared" si="10"/>
        <v>26.12</v>
      </c>
      <c r="N66" s="25">
        <f t="shared" si="11"/>
        <v>1.1200000000000001</v>
      </c>
      <c r="O66" s="26">
        <f t="shared" si="12"/>
        <v>0.92400000000000004</v>
      </c>
      <c r="P66" s="25">
        <f t="shared" si="13"/>
        <v>2.83</v>
      </c>
      <c r="Q66" s="22" t="str">
        <f t="shared" si="14"/>
        <v>Low</v>
      </c>
      <c r="R66">
        <f t="shared" si="15"/>
        <v>62</v>
      </c>
    </row>
    <row r="67" spans="1:18" x14ac:dyDescent="0.3">
      <c r="A67" s="22">
        <f>IF(B67="","",63)</f>
        <v>63</v>
      </c>
      <c r="B67" s="22" t="str">
        <f>IF(Calc_Engine!I64="","",Calc_Engine!I64)</f>
        <v>EMP1063</v>
      </c>
      <c r="C67" s="23" t="str">
        <f t="shared" si="0"/>
        <v>Akash Mukherjee</v>
      </c>
      <c r="D67" s="23" t="str">
        <f t="shared" si="1"/>
        <v>Senior Software Engineer</v>
      </c>
      <c r="E67" s="23" t="str">
        <f t="shared" si="2"/>
        <v>Engineering</v>
      </c>
      <c r="F67" s="22" t="str">
        <f t="shared" si="3"/>
        <v>L3</v>
      </c>
      <c r="G67" s="23" t="str">
        <f t="shared" si="4"/>
        <v>Bhavana Hegde</v>
      </c>
      <c r="H67" s="22" t="str">
        <f t="shared" si="5"/>
        <v>Exited</v>
      </c>
      <c r="I67" s="24">
        <f t="shared" si="6"/>
        <v>4.9000000000000004</v>
      </c>
      <c r="J67" s="22">
        <f t="shared" si="7"/>
        <v>3</v>
      </c>
      <c r="K67" s="23" t="str">
        <f t="shared" si="8"/>
        <v>Core Player</v>
      </c>
      <c r="L67" s="22" t="str">
        <f t="shared" si="9"/>
        <v>Not Eligible</v>
      </c>
      <c r="M67" s="24">
        <f t="shared" si="10"/>
        <v>15.86</v>
      </c>
      <c r="N67" s="25">
        <f t="shared" si="11"/>
        <v>1.1000000000000001</v>
      </c>
      <c r="O67" s="26">
        <f t="shared" si="12"/>
        <v>0.90909090909090906</v>
      </c>
      <c r="P67" s="25">
        <f t="shared" si="13"/>
        <v>2.95</v>
      </c>
      <c r="Q67" s="22" t="str">
        <f t="shared" si="14"/>
        <v>Exited</v>
      </c>
      <c r="R67">
        <f t="shared" si="15"/>
        <v>63</v>
      </c>
    </row>
    <row r="68" spans="1:18" x14ac:dyDescent="0.3">
      <c r="A68" s="22">
        <f>IF(B68="","",64)</f>
        <v>64</v>
      </c>
      <c r="B68" s="22" t="str">
        <f>IF(Calc_Engine!I65="","",Calc_Engine!I65)</f>
        <v>EMP1064</v>
      </c>
      <c r="C68" s="23" t="str">
        <f t="shared" si="0"/>
        <v>Swathi Bose</v>
      </c>
      <c r="D68" s="23" t="str">
        <f t="shared" si="1"/>
        <v>Senior Software Engineer</v>
      </c>
      <c r="E68" s="23" t="str">
        <f t="shared" si="2"/>
        <v>Engineering</v>
      </c>
      <c r="F68" s="22" t="str">
        <f t="shared" si="3"/>
        <v>L3</v>
      </c>
      <c r="G68" s="23" t="str">
        <f t="shared" si="4"/>
        <v>Isha Jain</v>
      </c>
      <c r="H68" s="22" t="str">
        <f t="shared" si="5"/>
        <v>Active</v>
      </c>
      <c r="I68" s="24">
        <f t="shared" si="6"/>
        <v>5.2</v>
      </c>
      <c r="J68" s="22">
        <f t="shared" si="7"/>
        <v>3</v>
      </c>
      <c r="K68" s="23" t="str">
        <f t="shared" si="8"/>
        <v>Core Player</v>
      </c>
      <c r="L68" s="22" t="str">
        <f t="shared" si="9"/>
        <v>Not Eligible</v>
      </c>
      <c r="M68" s="24">
        <f t="shared" si="10"/>
        <v>19.600000000000001</v>
      </c>
      <c r="N68" s="25">
        <f t="shared" si="11"/>
        <v>1.36</v>
      </c>
      <c r="O68" s="26">
        <f t="shared" si="12"/>
        <v>0.93600000000000005</v>
      </c>
      <c r="P68" s="25">
        <f t="shared" si="13"/>
        <v>2.68</v>
      </c>
      <c r="Q68" s="22" t="str">
        <f t="shared" si="14"/>
        <v>Low</v>
      </c>
      <c r="R68">
        <f t="shared" si="15"/>
        <v>64</v>
      </c>
    </row>
    <row r="69" spans="1:18" x14ac:dyDescent="0.3">
      <c r="A69" s="22">
        <f>IF(B69="","",65)</f>
        <v>65</v>
      </c>
      <c r="B69" s="22" t="str">
        <f>IF(Calc_Engine!I66="","",Calc_Engine!I66)</f>
        <v>EMP1065</v>
      </c>
      <c r="C69" s="23" t="str">
        <f t="shared" ref="C69:C132" si="16">IF($R69="","",INDEX(M_Name,$R69))</f>
        <v>Rohit Iyer</v>
      </c>
      <c r="D69" s="23" t="str">
        <f t="shared" ref="D69:D132" si="17">IF($R69="","",INDEX(M_Title,$R69))</f>
        <v>Senior Operations Executive</v>
      </c>
      <c r="E69" s="23" t="str">
        <f t="shared" ref="E69:E132" si="18">IF($R69="","",INDEX(M_Dept,$R69))</f>
        <v>Operations</v>
      </c>
      <c r="F69" s="22" t="str">
        <f t="shared" ref="F69:F132" si="19">IF($R69="","",INDEX(M_Level,$R69))</f>
        <v>L3</v>
      </c>
      <c r="G69" s="23" t="str">
        <f t="shared" ref="G69:G132" si="20">IF($R69="","",INDEX(M_Mgr,$R69))</f>
        <v>Pallavi Nair</v>
      </c>
      <c r="H69" s="22" t="str">
        <f t="shared" ref="H69:H132" si="21">IF($R69="","",INDEX(M_Status,$R69))</f>
        <v>Active</v>
      </c>
      <c r="I69" s="24">
        <f t="shared" ref="I69:I132" si="22">IF($R69="","",INDEX(M_Tenure,$R69))</f>
        <v>5.0999999999999996</v>
      </c>
      <c r="J69" s="22">
        <f t="shared" ref="J69:J132" si="23">IF($R69="","",INDEX(P_Rating,$R69))</f>
        <v>4</v>
      </c>
      <c r="K69" s="23" t="str">
        <f t="shared" ref="K69:K132" si="24">IF($R69="","",INDEX(P_9Box,$R69))</f>
        <v>Star</v>
      </c>
      <c r="L69" s="22" t="str">
        <f t="shared" ref="L69:L132" si="25">IF($R69="","",INDEX(P_Elig,$R69))</f>
        <v>Eligible</v>
      </c>
      <c r="M69" s="24">
        <f t="shared" ref="M69:M132" si="26">IF($R69="","",INDEX(C_CTC,$R69)/100000)</f>
        <v>9.98</v>
      </c>
      <c r="N69" s="25">
        <f t="shared" ref="N69:N132" si="27">IF($R69="","",INDEX(C_Compa,$R69))</f>
        <v>0.69</v>
      </c>
      <c r="O69" s="26">
        <f t="shared" ref="O69:O132" si="28">IF($R69="","",INDEX(A_Att,$R69))</f>
        <v>0.94</v>
      </c>
      <c r="P69" s="25">
        <f t="shared" ref="P69:P132" si="29">IF($R69="","",INDEX(E_Overall,$R69))</f>
        <v>3.97</v>
      </c>
      <c r="Q69" s="22" t="str">
        <f t="shared" ref="Q69:Q132" si="30">IF($R69="","",INDEX(E_Risk,$R69))</f>
        <v>Medium</v>
      </c>
      <c r="R69">
        <f t="shared" ref="R69:R132" si="31">IF(B69="","",MATCH(B69,M_ID,0))</f>
        <v>65</v>
      </c>
    </row>
    <row r="70" spans="1:18" x14ac:dyDescent="0.3">
      <c r="A70" s="22">
        <f>IF(B70="","",66)</f>
        <v>66</v>
      </c>
      <c r="B70" s="22" t="str">
        <f>IF(Calc_Engine!I67="","",Calc_Engine!I67)</f>
        <v>EMP1066</v>
      </c>
      <c r="C70" s="23" t="str">
        <f t="shared" si="16"/>
        <v>Ajay Joshi</v>
      </c>
      <c r="D70" s="23" t="str">
        <f t="shared" si="17"/>
        <v>Operations Lead</v>
      </c>
      <c r="E70" s="23" t="str">
        <f t="shared" si="18"/>
        <v>Operations</v>
      </c>
      <c r="F70" s="22" t="str">
        <f t="shared" si="19"/>
        <v>L4</v>
      </c>
      <c r="G70" s="23" t="str">
        <f t="shared" si="20"/>
        <v>Nandini Fernandes</v>
      </c>
      <c r="H70" s="22" t="str">
        <f t="shared" si="21"/>
        <v>Active</v>
      </c>
      <c r="I70" s="24">
        <f t="shared" si="22"/>
        <v>5.0999999999999996</v>
      </c>
      <c r="J70" s="22">
        <f t="shared" si="23"/>
        <v>2</v>
      </c>
      <c r="K70" s="23" t="str">
        <f t="shared" si="24"/>
        <v>Underperformer</v>
      </c>
      <c r="L70" s="22" t="str">
        <f t="shared" si="25"/>
        <v>Not Eligible</v>
      </c>
      <c r="M70" s="24">
        <f t="shared" si="26"/>
        <v>17.22</v>
      </c>
      <c r="N70" s="25">
        <f t="shared" si="27"/>
        <v>0.74</v>
      </c>
      <c r="O70" s="26">
        <f t="shared" si="28"/>
        <v>0.92400000000000004</v>
      </c>
      <c r="P70" s="25">
        <f t="shared" si="29"/>
        <v>3.02</v>
      </c>
      <c r="Q70" s="22" t="str">
        <f t="shared" si="30"/>
        <v>Low</v>
      </c>
      <c r="R70">
        <f t="shared" si="31"/>
        <v>66</v>
      </c>
    </row>
    <row r="71" spans="1:18" x14ac:dyDescent="0.3">
      <c r="A71" s="22">
        <f>IF(B71="","",67)</f>
        <v>67</v>
      </c>
      <c r="B71" s="22" t="str">
        <f>IF(Calc_Engine!I68="","",Calc_Engine!I68)</f>
        <v>EMP1067</v>
      </c>
      <c r="C71" s="23" t="str">
        <f t="shared" si="16"/>
        <v>Akash Bansal</v>
      </c>
      <c r="D71" s="23" t="str">
        <f t="shared" si="17"/>
        <v>Head of Sales</v>
      </c>
      <c r="E71" s="23" t="str">
        <f t="shared" si="18"/>
        <v>Sales</v>
      </c>
      <c r="F71" s="22" t="str">
        <f t="shared" si="19"/>
        <v>L7</v>
      </c>
      <c r="G71" s="23" t="str">
        <f t="shared" si="20"/>
        <v>Arvind Rao (CEO)</v>
      </c>
      <c r="H71" s="22" t="str">
        <f t="shared" si="21"/>
        <v>Active</v>
      </c>
      <c r="I71" s="24">
        <f t="shared" si="22"/>
        <v>5.0999999999999996</v>
      </c>
      <c r="J71" s="22">
        <f t="shared" si="23"/>
        <v>3</v>
      </c>
      <c r="K71" s="23" t="str">
        <f t="shared" si="24"/>
        <v>Core Player</v>
      </c>
      <c r="L71" s="22" t="str">
        <f t="shared" si="25"/>
        <v>Not Eligible</v>
      </c>
      <c r="M71" s="24">
        <f t="shared" si="26"/>
        <v>76.56</v>
      </c>
      <c r="N71" s="25">
        <f t="shared" si="27"/>
        <v>0.93</v>
      </c>
      <c r="O71" s="26">
        <f t="shared" si="28"/>
        <v>0.93200000000000005</v>
      </c>
      <c r="P71" s="25">
        <f t="shared" si="29"/>
        <v>3.15</v>
      </c>
      <c r="Q71" s="22" t="str">
        <f t="shared" si="30"/>
        <v>Low</v>
      </c>
      <c r="R71">
        <f t="shared" si="31"/>
        <v>67</v>
      </c>
    </row>
    <row r="72" spans="1:18" x14ac:dyDescent="0.3">
      <c r="A72" s="22">
        <f>IF(B72="","",68)</f>
        <v>68</v>
      </c>
      <c r="B72" s="22" t="str">
        <f>IF(Calc_Engine!I69="","",Calc_Engine!I69)</f>
        <v>EMP1068</v>
      </c>
      <c r="C72" s="23" t="str">
        <f t="shared" si="16"/>
        <v>Pooja Mehta</v>
      </c>
      <c r="D72" s="23" t="str">
        <f t="shared" si="17"/>
        <v>Support Team Lead</v>
      </c>
      <c r="E72" s="23" t="str">
        <f t="shared" si="18"/>
        <v>Customer Support</v>
      </c>
      <c r="F72" s="22" t="str">
        <f t="shared" si="19"/>
        <v>L4</v>
      </c>
      <c r="G72" s="23" t="str">
        <f t="shared" si="20"/>
        <v>Isha Verma</v>
      </c>
      <c r="H72" s="22" t="str">
        <f t="shared" si="21"/>
        <v>Active</v>
      </c>
      <c r="I72" s="24">
        <f t="shared" si="22"/>
        <v>5</v>
      </c>
      <c r="J72" s="22">
        <f t="shared" si="23"/>
        <v>3</v>
      </c>
      <c r="K72" s="23" t="str">
        <f t="shared" si="24"/>
        <v>Effective Contributor</v>
      </c>
      <c r="L72" s="22" t="str">
        <f t="shared" si="25"/>
        <v>Not Eligible</v>
      </c>
      <c r="M72" s="24">
        <f t="shared" si="26"/>
        <v>16.03</v>
      </c>
      <c r="N72" s="25">
        <f t="shared" si="27"/>
        <v>0.68</v>
      </c>
      <c r="O72" s="26">
        <f t="shared" si="28"/>
        <v>0.94399999999999995</v>
      </c>
      <c r="P72" s="25">
        <f t="shared" si="29"/>
        <v>3.37</v>
      </c>
      <c r="Q72" s="22" t="str">
        <f t="shared" si="30"/>
        <v>Low</v>
      </c>
      <c r="R72">
        <f t="shared" si="31"/>
        <v>68</v>
      </c>
    </row>
    <row r="73" spans="1:18" x14ac:dyDescent="0.3">
      <c r="A73" s="22">
        <f>IF(B73="","",69)</f>
        <v>69</v>
      </c>
      <c r="B73" s="22" t="str">
        <f>IF(Calc_Engine!I70="","",Calc_Engine!I70)</f>
        <v>EMP1069</v>
      </c>
      <c r="C73" s="23" t="str">
        <f t="shared" si="16"/>
        <v>Akash Dsouza</v>
      </c>
      <c r="D73" s="23" t="str">
        <f t="shared" si="17"/>
        <v>Senior Support Manager</v>
      </c>
      <c r="E73" s="23" t="str">
        <f t="shared" si="18"/>
        <v>Customer Support</v>
      </c>
      <c r="F73" s="22" t="str">
        <f t="shared" si="19"/>
        <v>L6</v>
      </c>
      <c r="G73" s="23" t="str">
        <f t="shared" si="20"/>
        <v>Vikram Joshi</v>
      </c>
      <c r="H73" s="22" t="str">
        <f t="shared" si="21"/>
        <v>Active</v>
      </c>
      <c r="I73" s="24">
        <f t="shared" si="22"/>
        <v>5</v>
      </c>
      <c r="J73" s="22">
        <f t="shared" si="23"/>
        <v>5</v>
      </c>
      <c r="K73" s="23" t="str">
        <f t="shared" si="24"/>
        <v>Star</v>
      </c>
      <c r="L73" s="22" t="str">
        <f t="shared" si="25"/>
        <v>Eligible</v>
      </c>
      <c r="M73" s="24">
        <f t="shared" si="26"/>
        <v>40.97</v>
      </c>
      <c r="N73" s="25">
        <f t="shared" si="27"/>
        <v>0.76</v>
      </c>
      <c r="O73" s="26">
        <f t="shared" si="28"/>
        <v>0.9</v>
      </c>
      <c r="P73" s="25">
        <f t="shared" si="29"/>
        <v>4.0999999999999996</v>
      </c>
      <c r="Q73" s="22" t="str">
        <f t="shared" si="30"/>
        <v>Medium</v>
      </c>
      <c r="R73">
        <f t="shared" si="31"/>
        <v>69</v>
      </c>
    </row>
    <row r="74" spans="1:18" x14ac:dyDescent="0.3">
      <c r="A74" s="22">
        <f>IF(B74="","",70)</f>
        <v>70</v>
      </c>
      <c r="B74" s="22" t="str">
        <f>IF(Calc_Engine!I71="","",Calc_Engine!I71)</f>
        <v>EMP1070</v>
      </c>
      <c r="C74" s="23" t="str">
        <f t="shared" si="16"/>
        <v>Naveen Mehta</v>
      </c>
      <c r="D74" s="23" t="str">
        <f t="shared" si="17"/>
        <v>Senior Data Analyst</v>
      </c>
      <c r="E74" s="23" t="str">
        <f t="shared" si="18"/>
        <v>Data &amp; Analytics</v>
      </c>
      <c r="F74" s="22" t="str">
        <f t="shared" si="19"/>
        <v>L3</v>
      </c>
      <c r="G74" s="23" t="str">
        <f t="shared" si="20"/>
        <v>Arun Mukherjee</v>
      </c>
      <c r="H74" s="22" t="str">
        <f t="shared" si="21"/>
        <v>Exited</v>
      </c>
      <c r="I74" s="24">
        <f t="shared" si="22"/>
        <v>4.4000000000000004</v>
      </c>
      <c r="J74" s="22">
        <f t="shared" si="23"/>
        <v>3</v>
      </c>
      <c r="K74" s="23" t="str">
        <f t="shared" si="24"/>
        <v>Core Player</v>
      </c>
      <c r="L74" s="22" t="str">
        <f t="shared" si="25"/>
        <v>Not Eligible</v>
      </c>
      <c r="M74" s="24">
        <f t="shared" si="26"/>
        <v>17.87</v>
      </c>
      <c r="N74" s="25">
        <f t="shared" si="27"/>
        <v>1.24</v>
      </c>
      <c r="O74" s="26">
        <f t="shared" si="28"/>
        <v>0.88636363636363635</v>
      </c>
      <c r="P74" s="25">
        <f t="shared" si="29"/>
        <v>3.25</v>
      </c>
      <c r="Q74" s="22" t="str">
        <f t="shared" si="30"/>
        <v>Exited</v>
      </c>
      <c r="R74">
        <f t="shared" si="31"/>
        <v>70</v>
      </c>
    </row>
    <row r="75" spans="1:18" x14ac:dyDescent="0.3">
      <c r="A75" s="22">
        <f>IF(B75="","",71)</f>
        <v>71</v>
      </c>
      <c r="B75" s="22" t="str">
        <f>IF(Calc_Engine!I72="","",Calc_Engine!I72)</f>
        <v>EMP1071</v>
      </c>
      <c r="C75" s="23" t="str">
        <f t="shared" si="16"/>
        <v>Varsha Siddiqui</v>
      </c>
      <c r="D75" s="23" t="str">
        <f t="shared" si="17"/>
        <v>Tech Lead</v>
      </c>
      <c r="E75" s="23" t="str">
        <f t="shared" si="18"/>
        <v>Engineering</v>
      </c>
      <c r="F75" s="22" t="str">
        <f t="shared" si="19"/>
        <v>L4</v>
      </c>
      <c r="G75" s="23" t="str">
        <f t="shared" si="20"/>
        <v>Madhuri Menon</v>
      </c>
      <c r="H75" s="22" t="str">
        <f t="shared" si="21"/>
        <v>Active</v>
      </c>
      <c r="I75" s="24">
        <f t="shared" si="22"/>
        <v>5</v>
      </c>
      <c r="J75" s="22">
        <f t="shared" si="23"/>
        <v>4</v>
      </c>
      <c r="K75" s="23" t="str">
        <f t="shared" si="24"/>
        <v>High Performer</v>
      </c>
      <c r="L75" s="22" t="str">
        <f t="shared" si="25"/>
        <v>Eligible</v>
      </c>
      <c r="M75" s="24">
        <f t="shared" si="26"/>
        <v>25.25</v>
      </c>
      <c r="N75" s="25">
        <f t="shared" si="27"/>
        <v>1.08</v>
      </c>
      <c r="O75" s="26">
        <f t="shared" si="28"/>
        <v>0.92800000000000005</v>
      </c>
      <c r="P75" s="25">
        <f t="shared" si="29"/>
        <v>2.68</v>
      </c>
      <c r="Q75" s="22" t="str">
        <f t="shared" si="30"/>
        <v>Medium</v>
      </c>
      <c r="R75">
        <f t="shared" si="31"/>
        <v>71</v>
      </c>
    </row>
    <row r="76" spans="1:18" x14ac:dyDescent="0.3">
      <c r="A76" s="22">
        <f>IF(B76="","",72)</f>
        <v>72</v>
      </c>
      <c r="B76" s="22" t="str">
        <f>IF(Calc_Engine!I73="","",Calc_Engine!I73)</f>
        <v>EMP1072</v>
      </c>
      <c r="C76" s="23" t="str">
        <f t="shared" si="16"/>
        <v>Rajesh Shah</v>
      </c>
      <c r="D76" s="23" t="str">
        <f t="shared" si="17"/>
        <v>Marketing Lead</v>
      </c>
      <c r="E76" s="23" t="str">
        <f t="shared" si="18"/>
        <v>Marketing</v>
      </c>
      <c r="F76" s="22" t="str">
        <f t="shared" si="19"/>
        <v>L4</v>
      </c>
      <c r="G76" s="23" t="str">
        <f t="shared" si="20"/>
        <v>Isha Chatterjee</v>
      </c>
      <c r="H76" s="22" t="str">
        <f t="shared" si="21"/>
        <v>Active</v>
      </c>
      <c r="I76" s="24">
        <f t="shared" si="22"/>
        <v>5</v>
      </c>
      <c r="J76" s="22">
        <f t="shared" si="23"/>
        <v>5</v>
      </c>
      <c r="K76" s="23" t="str">
        <f t="shared" si="24"/>
        <v>Star</v>
      </c>
      <c r="L76" s="22" t="str">
        <f t="shared" si="25"/>
        <v>Not Eligible</v>
      </c>
      <c r="M76" s="24">
        <f t="shared" si="26"/>
        <v>23.7</v>
      </c>
      <c r="N76" s="25">
        <f t="shared" si="27"/>
        <v>1.01</v>
      </c>
      <c r="O76" s="26">
        <f t="shared" si="28"/>
        <v>0.92400000000000004</v>
      </c>
      <c r="P76" s="25">
        <f t="shared" si="29"/>
        <v>3.17</v>
      </c>
      <c r="Q76" s="22" t="str">
        <f t="shared" si="30"/>
        <v>Low</v>
      </c>
      <c r="R76">
        <f t="shared" si="31"/>
        <v>72</v>
      </c>
    </row>
    <row r="77" spans="1:18" x14ac:dyDescent="0.3">
      <c r="A77" s="22">
        <f>IF(B77="","",73)</f>
        <v>73</v>
      </c>
      <c r="B77" s="22" t="str">
        <f>IF(Calc_Engine!I74="","",Calc_Engine!I74)</f>
        <v>EMP1073</v>
      </c>
      <c r="C77" s="23" t="str">
        <f t="shared" si="16"/>
        <v>Vishal Ansari</v>
      </c>
      <c r="D77" s="23" t="str">
        <f t="shared" si="17"/>
        <v>Product Manager</v>
      </c>
      <c r="E77" s="23" t="str">
        <f t="shared" si="18"/>
        <v>Product</v>
      </c>
      <c r="F77" s="22" t="str">
        <f t="shared" si="19"/>
        <v>L3</v>
      </c>
      <c r="G77" s="23" t="str">
        <f t="shared" si="20"/>
        <v>Mansi Pillai</v>
      </c>
      <c r="H77" s="22" t="str">
        <f t="shared" si="21"/>
        <v>Active</v>
      </c>
      <c r="I77" s="24">
        <f t="shared" si="22"/>
        <v>5</v>
      </c>
      <c r="J77" s="22">
        <f t="shared" si="23"/>
        <v>4</v>
      </c>
      <c r="K77" s="23" t="str">
        <f t="shared" si="24"/>
        <v>High Performer</v>
      </c>
      <c r="L77" s="22" t="str">
        <f t="shared" si="25"/>
        <v>Eligible</v>
      </c>
      <c r="M77" s="24">
        <f t="shared" si="26"/>
        <v>13.5</v>
      </c>
      <c r="N77" s="25">
        <f t="shared" si="27"/>
        <v>0.93</v>
      </c>
      <c r="O77" s="26">
        <f t="shared" si="28"/>
        <v>0.90400000000000003</v>
      </c>
      <c r="P77" s="25">
        <f t="shared" si="29"/>
        <v>4.13</v>
      </c>
      <c r="Q77" s="22" t="str">
        <f t="shared" si="30"/>
        <v>Low</v>
      </c>
      <c r="R77">
        <f t="shared" si="31"/>
        <v>73</v>
      </c>
    </row>
    <row r="78" spans="1:18" x14ac:dyDescent="0.3">
      <c r="A78" s="22">
        <f>IF(B78="","",74)</f>
        <v>74</v>
      </c>
      <c r="B78" s="22" t="str">
        <f>IF(Calc_Engine!I75="","",Calc_Engine!I75)</f>
        <v>EMP1074</v>
      </c>
      <c r="C78" s="23" t="str">
        <f t="shared" si="16"/>
        <v>Mansi Reddy</v>
      </c>
      <c r="D78" s="23" t="str">
        <f t="shared" si="17"/>
        <v>Senior Sales Executive</v>
      </c>
      <c r="E78" s="23" t="str">
        <f t="shared" si="18"/>
        <v>Sales</v>
      </c>
      <c r="F78" s="22" t="str">
        <f t="shared" si="19"/>
        <v>L3</v>
      </c>
      <c r="G78" s="23" t="str">
        <f t="shared" si="20"/>
        <v>Gayatri Tiwari</v>
      </c>
      <c r="H78" s="22" t="str">
        <f t="shared" si="21"/>
        <v>Active</v>
      </c>
      <c r="I78" s="24">
        <f t="shared" si="22"/>
        <v>5</v>
      </c>
      <c r="J78" s="22">
        <f t="shared" si="23"/>
        <v>2</v>
      </c>
      <c r="K78" s="23" t="str">
        <f t="shared" si="24"/>
        <v>Underperformer</v>
      </c>
      <c r="L78" s="22" t="str">
        <f t="shared" si="25"/>
        <v>Not Eligible</v>
      </c>
      <c r="M78" s="24">
        <f t="shared" si="26"/>
        <v>16.27</v>
      </c>
      <c r="N78" s="25">
        <f t="shared" si="27"/>
        <v>1.1299999999999999</v>
      </c>
      <c r="O78" s="26">
        <f t="shared" si="28"/>
        <v>0.88400000000000001</v>
      </c>
      <c r="P78" s="25">
        <f t="shared" si="29"/>
        <v>3.42</v>
      </c>
      <c r="Q78" s="22" t="str">
        <f t="shared" si="30"/>
        <v>Low</v>
      </c>
      <c r="R78">
        <f t="shared" si="31"/>
        <v>74</v>
      </c>
    </row>
    <row r="79" spans="1:18" x14ac:dyDescent="0.3">
      <c r="A79" s="22">
        <f>IF(B79="","",75)</f>
        <v>75</v>
      </c>
      <c r="B79" s="22" t="str">
        <f>IF(Calc_Engine!I76="","",Calc_Engine!I76)</f>
        <v>EMP1075</v>
      </c>
      <c r="C79" s="23" t="str">
        <f t="shared" si="16"/>
        <v>Sandeep Gupta</v>
      </c>
      <c r="D79" s="23" t="str">
        <f t="shared" si="17"/>
        <v>Senior Operations Executive</v>
      </c>
      <c r="E79" s="23" t="str">
        <f t="shared" si="18"/>
        <v>Operations</v>
      </c>
      <c r="F79" s="22" t="str">
        <f t="shared" si="19"/>
        <v>L3</v>
      </c>
      <c r="G79" s="23" t="str">
        <f t="shared" si="20"/>
        <v>Ramya Menon</v>
      </c>
      <c r="H79" s="22" t="str">
        <f t="shared" si="21"/>
        <v>Active</v>
      </c>
      <c r="I79" s="24">
        <f t="shared" si="22"/>
        <v>4.9000000000000004</v>
      </c>
      <c r="J79" s="22">
        <f t="shared" si="23"/>
        <v>3</v>
      </c>
      <c r="K79" s="23" t="str">
        <f t="shared" si="24"/>
        <v>Effective Contributor</v>
      </c>
      <c r="L79" s="22" t="str">
        <f t="shared" si="25"/>
        <v>Not Eligible</v>
      </c>
      <c r="M79" s="24">
        <f t="shared" si="26"/>
        <v>13.79</v>
      </c>
      <c r="N79" s="25">
        <f t="shared" si="27"/>
        <v>0.95</v>
      </c>
      <c r="O79" s="26">
        <f t="shared" si="28"/>
        <v>0.95599999999999996</v>
      </c>
      <c r="P79" s="25">
        <f t="shared" si="29"/>
        <v>3.27</v>
      </c>
      <c r="Q79" s="22" t="str">
        <f t="shared" si="30"/>
        <v>Low</v>
      </c>
      <c r="R79">
        <f t="shared" si="31"/>
        <v>75</v>
      </c>
    </row>
    <row r="80" spans="1:18" x14ac:dyDescent="0.3">
      <c r="A80" s="22">
        <f>IF(B80="","",76)</f>
        <v>76</v>
      </c>
      <c r="B80" s="22" t="str">
        <f>IF(Calc_Engine!I77="","",Calc_Engine!I77)</f>
        <v>EMP1076</v>
      </c>
      <c r="C80" s="23" t="str">
        <f t="shared" si="16"/>
        <v>Sneha Hegde</v>
      </c>
      <c r="D80" s="23" t="str">
        <f t="shared" si="17"/>
        <v>Senior Software Engineer</v>
      </c>
      <c r="E80" s="23" t="str">
        <f t="shared" si="18"/>
        <v>Engineering</v>
      </c>
      <c r="F80" s="22" t="str">
        <f t="shared" si="19"/>
        <v>L3</v>
      </c>
      <c r="G80" s="23" t="str">
        <f t="shared" si="20"/>
        <v>Harsh Siddiqui</v>
      </c>
      <c r="H80" s="22" t="str">
        <f t="shared" si="21"/>
        <v>Active</v>
      </c>
      <c r="I80" s="24">
        <f t="shared" si="22"/>
        <v>4.9000000000000004</v>
      </c>
      <c r="J80" s="22">
        <f t="shared" si="23"/>
        <v>4</v>
      </c>
      <c r="K80" s="23" t="str">
        <f t="shared" si="24"/>
        <v>Trusted Professional</v>
      </c>
      <c r="L80" s="22" t="str">
        <f t="shared" si="25"/>
        <v>Eligible</v>
      </c>
      <c r="M80" s="24">
        <f t="shared" si="26"/>
        <v>17.7</v>
      </c>
      <c r="N80" s="25">
        <f t="shared" si="27"/>
        <v>1.22</v>
      </c>
      <c r="O80" s="26">
        <f t="shared" si="28"/>
        <v>0.95199999999999996</v>
      </c>
      <c r="P80" s="25">
        <f t="shared" si="29"/>
        <v>2.4</v>
      </c>
      <c r="Q80" s="22" t="str">
        <f t="shared" si="30"/>
        <v>Medium</v>
      </c>
      <c r="R80">
        <f t="shared" si="31"/>
        <v>76</v>
      </c>
    </row>
    <row r="81" spans="1:18" x14ac:dyDescent="0.3">
      <c r="A81" s="22">
        <f>IF(B81="","",77)</f>
        <v>77</v>
      </c>
      <c r="B81" s="22" t="str">
        <f>IF(Calc_Engine!I78="","",Calc_Engine!I78)</f>
        <v>EMP1077</v>
      </c>
      <c r="C81" s="23" t="str">
        <f t="shared" si="16"/>
        <v>Kiran Chatterjee</v>
      </c>
      <c r="D81" s="23" t="str">
        <f t="shared" si="17"/>
        <v>Senior Operations Executive</v>
      </c>
      <c r="E81" s="23" t="str">
        <f t="shared" si="18"/>
        <v>Operations</v>
      </c>
      <c r="F81" s="22" t="str">
        <f t="shared" si="19"/>
        <v>L3</v>
      </c>
      <c r="G81" s="23" t="str">
        <f t="shared" si="20"/>
        <v>Yash Shah</v>
      </c>
      <c r="H81" s="22" t="str">
        <f t="shared" si="21"/>
        <v>Active</v>
      </c>
      <c r="I81" s="24">
        <f t="shared" si="22"/>
        <v>4.9000000000000004</v>
      </c>
      <c r="J81" s="22">
        <f t="shared" si="23"/>
        <v>3</v>
      </c>
      <c r="K81" s="23" t="str">
        <f t="shared" si="24"/>
        <v>Core Player</v>
      </c>
      <c r="L81" s="22" t="str">
        <f t="shared" si="25"/>
        <v>Not Eligible</v>
      </c>
      <c r="M81" s="24">
        <f t="shared" si="26"/>
        <v>11.2</v>
      </c>
      <c r="N81" s="25">
        <f t="shared" si="27"/>
        <v>0.78</v>
      </c>
      <c r="O81" s="26">
        <f t="shared" si="28"/>
        <v>0.92</v>
      </c>
      <c r="P81" s="25">
        <f t="shared" si="29"/>
        <v>3.95</v>
      </c>
      <c r="Q81" s="22" t="str">
        <f t="shared" si="30"/>
        <v>Low</v>
      </c>
      <c r="R81">
        <f t="shared" si="31"/>
        <v>77</v>
      </c>
    </row>
    <row r="82" spans="1:18" x14ac:dyDescent="0.3">
      <c r="A82" s="22">
        <f>IF(B82="","",78)</f>
        <v>78</v>
      </c>
      <c r="B82" s="22" t="str">
        <f>IF(Calc_Engine!I79="","",Calc_Engine!I79)</f>
        <v>EMP1078</v>
      </c>
      <c r="C82" s="23" t="str">
        <f t="shared" si="16"/>
        <v>Aishwarya Joshi</v>
      </c>
      <c r="D82" s="23" t="str">
        <f t="shared" si="17"/>
        <v>Finance Lead</v>
      </c>
      <c r="E82" s="23" t="str">
        <f t="shared" si="18"/>
        <v>Finance</v>
      </c>
      <c r="F82" s="22" t="str">
        <f t="shared" si="19"/>
        <v>L4</v>
      </c>
      <c r="G82" s="23" t="str">
        <f t="shared" si="20"/>
        <v>Karan Patel</v>
      </c>
      <c r="H82" s="22" t="str">
        <f t="shared" si="21"/>
        <v>Active</v>
      </c>
      <c r="I82" s="24">
        <f t="shared" si="22"/>
        <v>4.8</v>
      </c>
      <c r="J82" s="22">
        <f t="shared" si="23"/>
        <v>4</v>
      </c>
      <c r="K82" s="23" t="str">
        <f t="shared" si="24"/>
        <v>High Performer</v>
      </c>
      <c r="L82" s="22" t="str">
        <f t="shared" si="25"/>
        <v>Eligible</v>
      </c>
      <c r="M82" s="24">
        <f t="shared" si="26"/>
        <v>18.87</v>
      </c>
      <c r="N82" s="25">
        <f t="shared" si="27"/>
        <v>0.81</v>
      </c>
      <c r="O82" s="26">
        <f t="shared" si="28"/>
        <v>0.90800000000000003</v>
      </c>
      <c r="P82" s="25">
        <f t="shared" si="29"/>
        <v>3.73</v>
      </c>
      <c r="Q82" s="22" t="str">
        <f t="shared" si="30"/>
        <v>Medium</v>
      </c>
      <c r="R82">
        <f t="shared" si="31"/>
        <v>78</v>
      </c>
    </row>
    <row r="83" spans="1:18" x14ac:dyDescent="0.3">
      <c r="A83" s="22">
        <f>IF(B83="","",79)</f>
        <v>79</v>
      </c>
      <c r="B83" s="22" t="str">
        <f>IF(Calc_Engine!I80="","",Calc_Engine!I80)</f>
        <v>EMP1079</v>
      </c>
      <c r="C83" s="23" t="str">
        <f t="shared" si="16"/>
        <v>Sindhu Das</v>
      </c>
      <c r="D83" s="23" t="str">
        <f t="shared" si="17"/>
        <v>Senior Marketing Executive</v>
      </c>
      <c r="E83" s="23" t="str">
        <f t="shared" si="18"/>
        <v>Marketing</v>
      </c>
      <c r="F83" s="22" t="str">
        <f t="shared" si="19"/>
        <v>L3</v>
      </c>
      <c r="G83" s="23" t="str">
        <f t="shared" si="20"/>
        <v>Nandini Iyer</v>
      </c>
      <c r="H83" s="22" t="str">
        <f t="shared" si="21"/>
        <v>Active</v>
      </c>
      <c r="I83" s="24">
        <f t="shared" si="22"/>
        <v>4.8</v>
      </c>
      <c r="J83" s="22">
        <f t="shared" si="23"/>
        <v>3</v>
      </c>
      <c r="K83" s="23" t="str">
        <f t="shared" si="24"/>
        <v>Core Player</v>
      </c>
      <c r="L83" s="22" t="str">
        <f t="shared" si="25"/>
        <v>Not Eligible</v>
      </c>
      <c r="M83" s="24">
        <f t="shared" si="26"/>
        <v>13.16</v>
      </c>
      <c r="N83" s="25">
        <f t="shared" si="27"/>
        <v>0.91</v>
      </c>
      <c r="O83" s="26">
        <f t="shared" si="28"/>
        <v>0.93600000000000005</v>
      </c>
      <c r="P83" s="25">
        <f t="shared" si="29"/>
        <v>1.88</v>
      </c>
      <c r="Q83" s="22" t="str">
        <f t="shared" si="30"/>
        <v>Medium</v>
      </c>
      <c r="R83">
        <f t="shared" si="31"/>
        <v>79</v>
      </c>
    </row>
    <row r="84" spans="1:18" x14ac:dyDescent="0.3">
      <c r="A84" s="22">
        <f>IF(B84="","",80)</f>
        <v>80</v>
      </c>
      <c r="B84" s="22" t="str">
        <f>IF(Calc_Engine!I81="","",Calc_Engine!I81)</f>
        <v>EMP1080</v>
      </c>
      <c r="C84" s="23" t="str">
        <f t="shared" si="16"/>
        <v>Nandini Shetty</v>
      </c>
      <c r="D84" s="23" t="str">
        <f t="shared" si="17"/>
        <v>Senior Data Analyst</v>
      </c>
      <c r="E84" s="23" t="str">
        <f t="shared" si="18"/>
        <v>Data &amp; Analytics</v>
      </c>
      <c r="F84" s="22" t="str">
        <f t="shared" si="19"/>
        <v>L3</v>
      </c>
      <c r="G84" s="23" t="str">
        <f t="shared" si="20"/>
        <v>Karan Verma</v>
      </c>
      <c r="H84" s="22" t="str">
        <f t="shared" si="21"/>
        <v>Active</v>
      </c>
      <c r="I84" s="24">
        <f t="shared" si="22"/>
        <v>4.8</v>
      </c>
      <c r="J84" s="22">
        <f t="shared" si="23"/>
        <v>4</v>
      </c>
      <c r="K84" s="23" t="str">
        <f t="shared" si="24"/>
        <v>Star</v>
      </c>
      <c r="L84" s="22" t="str">
        <f t="shared" si="25"/>
        <v>Eligible</v>
      </c>
      <c r="M84" s="24">
        <f t="shared" si="26"/>
        <v>20.05</v>
      </c>
      <c r="N84" s="25">
        <f t="shared" si="27"/>
        <v>1.39</v>
      </c>
      <c r="O84" s="26">
        <f t="shared" si="28"/>
        <v>0.89200000000000002</v>
      </c>
      <c r="P84" s="25">
        <f t="shared" si="29"/>
        <v>3.27</v>
      </c>
      <c r="Q84" s="22" t="str">
        <f t="shared" si="30"/>
        <v>Low</v>
      </c>
      <c r="R84">
        <f t="shared" si="31"/>
        <v>80</v>
      </c>
    </row>
    <row r="85" spans="1:18" x14ac:dyDescent="0.3">
      <c r="A85" s="22">
        <f>IF(B85="","",81)</f>
        <v>81</v>
      </c>
      <c r="B85" s="22" t="str">
        <f>IF(Calc_Engine!I82="","",Calc_Engine!I82)</f>
        <v>EMP1081</v>
      </c>
      <c r="C85" s="23" t="str">
        <f t="shared" si="16"/>
        <v>Deepak Thomas</v>
      </c>
      <c r="D85" s="23" t="str">
        <f t="shared" si="17"/>
        <v>Senior Software Engineer</v>
      </c>
      <c r="E85" s="23" t="str">
        <f t="shared" si="18"/>
        <v>Engineering</v>
      </c>
      <c r="F85" s="22" t="str">
        <f t="shared" si="19"/>
        <v>L3</v>
      </c>
      <c r="G85" s="23" t="str">
        <f t="shared" si="20"/>
        <v>Vikas Singh</v>
      </c>
      <c r="H85" s="22" t="str">
        <f t="shared" si="21"/>
        <v>Active</v>
      </c>
      <c r="I85" s="24">
        <f t="shared" si="22"/>
        <v>4.8</v>
      </c>
      <c r="J85" s="22">
        <f t="shared" si="23"/>
        <v>3</v>
      </c>
      <c r="K85" s="23" t="str">
        <f t="shared" si="24"/>
        <v>Core Player</v>
      </c>
      <c r="L85" s="22" t="str">
        <f t="shared" si="25"/>
        <v>Not Eligible</v>
      </c>
      <c r="M85" s="24">
        <f t="shared" si="26"/>
        <v>14.89</v>
      </c>
      <c r="N85" s="25">
        <f t="shared" si="27"/>
        <v>1.03</v>
      </c>
      <c r="O85" s="26">
        <f t="shared" si="28"/>
        <v>0.94399999999999995</v>
      </c>
      <c r="P85" s="25">
        <f t="shared" si="29"/>
        <v>3.43</v>
      </c>
      <c r="Q85" s="22" t="str">
        <f t="shared" si="30"/>
        <v>Low</v>
      </c>
      <c r="R85">
        <f t="shared" si="31"/>
        <v>81</v>
      </c>
    </row>
    <row r="86" spans="1:18" x14ac:dyDescent="0.3">
      <c r="A86" s="22">
        <f>IF(B86="","",82)</f>
        <v>82</v>
      </c>
      <c r="B86" s="22" t="str">
        <f>IF(Calc_Engine!I83="","",Calc_Engine!I83)</f>
        <v>EMP1082</v>
      </c>
      <c r="C86" s="23" t="str">
        <f t="shared" si="16"/>
        <v>Mansi Dsouza</v>
      </c>
      <c r="D86" s="23" t="str">
        <f t="shared" si="17"/>
        <v>Tech Lead</v>
      </c>
      <c r="E86" s="23" t="str">
        <f t="shared" si="18"/>
        <v>Engineering</v>
      </c>
      <c r="F86" s="22" t="str">
        <f t="shared" si="19"/>
        <v>L4</v>
      </c>
      <c r="G86" s="23" t="str">
        <f t="shared" si="20"/>
        <v>Gaurav Fernandes</v>
      </c>
      <c r="H86" s="22" t="str">
        <f t="shared" si="21"/>
        <v>Active</v>
      </c>
      <c r="I86" s="24">
        <f t="shared" si="22"/>
        <v>4.7</v>
      </c>
      <c r="J86" s="22">
        <f t="shared" si="23"/>
        <v>3</v>
      </c>
      <c r="K86" s="23" t="str">
        <f t="shared" si="24"/>
        <v>Core Player</v>
      </c>
      <c r="L86" s="22" t="str">
        <f t="shared" si="25"/>
        <v>Not Eligible</v>
      </c>
      <c r="M86" s="24">
        <f t="shared" si="26"/>
        <v>29.14</v>
      </c>
      <c r="N86" s="25">
        <f t="shared" si="27"/>
        <v>1.24</v>
      </c>
      <c r="O86" s="26">
        <f t="shared" si="28"/>
        <v>0.89600000000000002</v>
      </c>
      <c r="P86" s="25">
        <f t="shared" si="29"/>
        <v>3.68</v>
      </c>
      <c r="Q86" s="22" t="str">
        <f t="shared" si="30"/>
        <v>Low</v>
      </c>
      <c r="R86">
        <f t="shared" si="31"/>
        <v>82</v>
      </c>
    </row>
    <row r="87" spans="1:18" x14ac:dyDescent="0.3">
      <c r="A87" s="22">
        <f>IF(B87="","",83)</f>
        <v>83</v>
      </c>
      <c r="B87" s="22" t="str">
        <f>IF(Calc_Engine!I84="","",Calc_Engine!I84)</f>
        <v>EMP1083</v>
      </c>
      <c r="C87" s="23" t="str">
        <f t="shared" si="16"/>
        <v>Akash Das</v>
      </c>
      <c r="D87" s="23" t="str">
        <f t="shared" si="17"/>
        <v>HR Manager</v>
      </c>
      <c r="E87" s="23" t="str">
        <f t="shared" si="18"/>
        <v>Human Resources</v>
      </c>
      <c r="F87" s="22" t="str">
        <f t="shared" si="19"/>
        <v>L5</v>
      </c>
      <c r="G87" s="23" t="str">
        <f t="shared" si="20"/>
        <v>Prakash Das</v>
      </c>
      <c r="H87" s="22" t="str">
        <f t="shared" si="21"/>
        <v>Active</v>
      </c>
      <c r="I87" s="24">
        <f t="shared" si="22"/>
        <v>4.7</v>
      </c>
      <c r="J87" s="22">
        <f t="shared" si="23"/>
        <v>4</v>
      </c>
      <c r="K87" s="23" t="str">
        <f t="shared" si="24"/>
        <v>Star</v>
      </c>
      <c r="L87" s="22" t="str">
        <f t="shared" si="25"/>
        <v>Eligible</v>
      </c>
      <c r="M87" s="24">
        <f t="shared" si="26"/>
        <v>40.049999999999997</v>
      </c>
      <c r="N87" s="25">
        <f t="shared" si="27"/>
        <v>1.0900000000000001</v>
      </c>
      <c r="O87" s="26">
        <f t="shared" si="28"/>
        <v>0.91600000000000004</v>
      </c>
      <c r="P87" s="25">
        <f t="shared" si="29"/>
        <v>3.37</v>
      </c>
      <c r="Q87" s="22" t="str">
        <f t="shared" si="30"/>
        <v>Low</v>
      </c>
      <c r="R87">
        <f t="shared" si="31"/>
        <v>83</v>
      </c>
    </row>
    <row r="88" spans="1:18" x14ac:dyDescent="0.3">
      <c r="A88" s="22">
        <f>IF(B88="","",84)</f>
        <v>84</v>
      </c>
      <c r="B88" s="22" t="str">
        <f>IF(Calc_Engine!I85="","",Calc_Engine!I85)</f>
        <v>EMP1084</v>
      </c>
      <c r="C88" s="23" t="str">
        <f t="shared" si="16"/>
        <v>Mansi Pillai</v>
      </c>
      <c r="D88" s="23" t="str">
        <f t="shared" si="17"/>
        <v>Group Product Manager</v>
      </c>
      <c r="E88" s="23" t="str">
        <f t="shared" si="18"/>
        <v>Product</v>
      </c>
      <c r="F88" s="22" t="str">
        <f t="shared" si="19"/>
        <v>L5</v>
      </c>
      <c r="G88" s="23" t="str">
        <f t="shared" si="20"/>
        <v>Trisha Patel</v>
      </c>
      <c r="H88" s="22" t="str">
        <f t="shared" si="21"/>
        <v>Active</v>
      </c>
      <c r="I88" s="24">
        <f t="shared" si="22"/>
        <v>4.7</v>
      </c>
      <c r="J88" s="22">
        <f t="shared" si="23"/>
        <v>4</v>
      </c>
      <c r="K88" s="23" t="str">
        <f t="shared" si="24"/>
        <v>High Performer</v>
      </c>
      <c r="L88" s="22" t="str">
        <f t="shared" si="25"/>
        <v>Eligible</v>
      </c>
      <c r="M88" s="24">
        <f t="shared" si="26"/>
        <v>33.72</v>
      </c>
      <c r="N88" s="25">
        <f t="shared" si="27"/>
        <v>0.92</v>
      </c>
      <c r="O88" s="26">
        <f t="shared" si="28"/>
        <v>0.94399999999999995</v>
      </c>
      <c r="P88" s="25">
        <f t="shared" si="29"/>
        <v>3.72</v>
      </c>
      <c r="Q88" s="22" t="str">
        <f t="shared" si="30"/>
        <v>Low</v>
      </c>
      <c r="R88">
        <f t="shared" si="31"/>
        <v>84</v>
      </c>
    </row>
    <row r="89" spans="1:18" x14ac:dyDescent="0.3">
      <c r="A89" s="22">
        <f>IF(B89="","",85)</f>
        <v>85</v>
      </c>
      <c r="B89" s="22" t="str">
        <f>IF(Calc_Engine!I86="","",Calc_Engine!I86)</f>
        <v>EMP1085</v>
      </c>
      <c r="C89" s="23" t="str">
        <f t="shared" si="16"/>
        <v>Rohan Menon</v>
      </c>
      <c r="D89" s="23" t="str">
        <f t="shared" si="17"/>
        <v>Senior Operations Executive</v>
      </c>
      <c r="E89" s="23" t="str">
        <f t="shared" si="18"/>
        <v>Operations</v>
      </c>
      <c r="F89" s="22" t="str">
        <f t="shared" si="19"/>
        <v>L3</v>
      </c>
      <c r="G89" s="23" t="str">
        <f t="shared" si="20"/>
        <v>Amit Kumar</v>
      </c>
      <c r="H89" s="22" t="str">
        <f t="shared" si="21"/>
        <v>Active</v>
      </c>
      <c r="I89" s="24">
        <f t="shared" si="22"/>
        <v>4.7</v>
      </c>
      <c r="J89" s="22">
        <f t="shared" si="23"/>
        <v>2</v>
      </c>
      <c r="K89" s="23" t="str">
        <f t="shared" si="24"/>
        <v>Inconsistent Player</v>
      </c>
      <c r="L89" s="22" t="str">
        <f t="shared" si="25"/>
        <v>Not Eligible</v>
      </c>
      <c r="M89" s="24">
        <f t="shared" si="26"/>
        <v>14.06</v>
      </c>
      <c r="N89" s="25">
        <f t="shared" si="27"/>
        <v>0.97</v>
      </c>
      <c r="O89" s="26">
        <f t="shared" si="28"/>
        <v>0.90400000000000003</v>
      </c>
      <c r="P89" s="25">
        <f t="shared" si="29"/>
        <v>2.62</v>
      </c>
      <c r="Q89" s="22" t="str">
        <f t="shared" si="30"/>
        <v>Low</v>
      </c>
      <c r="R89">
        <f t="shared" si="31"/>
        <v>85</v>
      </c>
    </row>
    <row r="90" spans="1:18" x14ac:dyDescent="0.3">
      <c r="A90" s="22">
        <f>IF(B90="","",86)</f>
        <v>86</v>
      </c>
      <c r="B90" s="22" t="str">
        <f>IF(Calc_Engine!I87="","",Calc_Engine!I87)</f>
        <v>EMP1086</v>
      </c>
      <c r="C90" s="23" t="str">
        <f t="shared" si="16"/>
        <v>Bhavana Hegde</v>
      </c>
      <c r="D90" s="23" t="str">
        <f t="shared" si="17"/>
        <v>Engineering Manager</v>
      </c>
      <c r="E90" s="23" t="str">
        <f t="shared" si="18"/>
        <v>Engineering</v>
      </c>
      <c r="F90" s="22" t="str">
        <f t="shared" si="19"/>
        <v>L5</v>
      </c>
      <c r="G90" s="23" t="str">
        <f t="shared" si="20"/>
        <v>Vikram Verma</v>
      </c>
      <c r="H90" s="22" t="str">
        <f t="shared" si="21"/>
        <v>Active</v>
      </c>
      <c r="I90" s="24">
        <f t="shared" si="22"/>
        <v>4.7</v>
      </c>
      <c r="J90" s="22">
        <f t="shared" si="23"/>
        <v>3</v>
      </c>
      <c r="K90" s="23" t="str">
        <f t="shared" si="24"/>
        <v>Core Player</v>
      </c>
      <c r="L90" s="22" t="str">
        <f t="shared" si="25"/>
        <v>Not Eligible</v>
      </c>
      <c r="M90" s="24">
        <f t="shared" si="26"/>
        <v>36.92</v>
      </c>
      <c r="N90" s="25">
        <f t="shared" si="27"/>
        <v>1.01</v>
      </c>
      <c r="O90" s="26">
        <f t="shared" si="28"/>
        <v>0.91200000000000003</v>
      </c>
      <c r="P90" s="25">
        <f t="shared" si="29"/>
        <v>3.18</v>
      </c>
      <c r="Q90" s="22" t="str">
        <f t="shared" si="30"/>
        <v>Low</v>
      </c>
      <c r="R90">
        <f t="shared" si="31"/>
        <v>86</v>
      </c>
    </row>
    <row r="91" spans="1:18" x14ac:dyDescent="0.3">
      <c r="A91" s="22">
        <f>IF(B91="","",87)</f>
        <v>87</v>
      </c>
      <c r="B91" s="22" t="str">
        <f>IF(Calc_Engine!I88="","",Calc_Engine!I88)</f>
        <v>EMP1087</v>
      </c>
      <c r="C91" s="23" t="str">
        <f t="shared" si="16"/>
        <v>Arun Choudhary</v>
      </c>
      <c r="D91" s="23" t="str">
        <f t="shared" si="17"/>
        <v>Senior Software Engineer</v>
      </c>
      <c r="E91" s="23" t="str">
        <f t="shared" si="18"/>
        <v>Engineering</v>
      </c>
      <c r="F91" s="22" t="str">
        <f t="shared" si="19"/>
        <v>L3</v>
      </c>
      <c r="G91" s="23" t="str">
        <f t="shared" si="20"/>
        <v>Tejaswini Hegde</v>
      </c>
      <c r="H91" s="22" t="str">
        <f t="shared" si="21"/>
        <v>Active</v>
      </c>
      <c r="I91" s="24">
        <f t="shared" si="22"/>
        <v>4.7</v>
      </c>
      <c r="J91" s="22">
        <f t="shared" si="23"/>
        <v>3</v>
      </c>
      <c r="K91" s="23" t="str">
        <f t="shared" si="24"/>
        <v>Core Player</v>
      </c>
      <c r="L91" s="22" t="str">
        <f t="shared" si="25"/>
        <v>Not Eligible</v>
      </c>
      <c r="M91" s="24">
        <f t="shared" si="26"/>
        <v>16.78</v>
      </c>
      <c r="N91" s="25">
        <f t="shared" si="27"/>
        <v>1.1599999999999999</v>
      </c>
      <c r="O91" s="26">
        <f t="shared" si="28"/>
        <v>0.94799999999999995</v>
      </c>
      <c r="P91" s="25">
        <f t="shared" si="29"/>
        <v>2.4500000000000002</v>
      </c>
      <c r="Q91" s="22" t="str">
        <f t="shared" si="30"/>
        <v>Medium</v>
      </c>
      <c r="R91">
        <f t="shared" si="31"/>
        <v>87</v>
      </c>
    </row>
    <row r="92" spans="1:18" x14ac:dyDescent="0.3">
      <c r="A92" s="22">
        <f>IF(B92="","",88)</f>
        <v>88</v>
      </c>
      <c r="B92" s="22" t="str">
        <f>IF(Calc_Engine!I89="","",Calc_Engine!I89)</f>
        <v>EMP1088</v>
      </c>
      <c r="C92" s="23" t="str">
        <f t="shared" si="16"/>
        <v>Ankit Tiwari</v>
      </c>
      <c r="D92" s="23" t="str">
        <f t="shared" si="17"/>
        <v>HR Business Partner</v>
      </c>
      <c r="E92" s="23" t="str">
        <f t="shared" si="18"/>
        <v>Human Resources</v>
      </c>
      <c r="F92" s="22" t="str">
        <f t="shared" si="19"/>
        <v>L3</v>
      </c>
      <c r="G92" s="23" t="str">
        <f t="shared" si="20"/>
        <v>Akash Das</v>
      </c>
      <c r="H92" s="22" t="str">
        <f t="shared" si="21"/>
        <v>Active</v>
      </c>
      <c r="I92" s="24">
        <f t="shared" si="22"/>
        <v>4.7</v>
      </c>
      <c r="J92" s="22">
        <f t="shared" si="23"/>
        <v>5</v>
      </c>
      <c r="K92" s="23" t="str">
        <f t="shared" si="24"/>
        <v>High Performer</v>
      </c>
      <c r="L92" s="22" t="str">
        <f t="shared" si="25"/>
        <v>Not Eligible</v>
      </c>
      <c r="M92" s="24">
        <f t="shared" si="26"/>
        <v>13.15</v>
      </c>
      <c r="N92" s="25">
        <f t="shared" si="27"/>
        <v>0.91</v>
      </c>
      <c r="O92" s="26">
        <f t="shared" si="28"/>
        <v>0.88</v>
      </c>
      <c r="P92" s="25">
        <f t="shared" si="29"/>
        <v>3.27</v>
      </c>
      <c r="Q92" s="22" t="str">
        <f t="shared" si="30"/>
        <v>Low</v>
      </c>
      <c r="R92">
        <f t="shared" si="31"/>
        <v>88</v>
      </c>
    </row>
    <row r="93" spans="1:18" x14ac:dyDescent="0.3">
      <c r="A93" s="22">
        <f>IF(B93="","",89)</f>
        <v>89</v>
      </c>
      <c r="B93" s="22" t="str">
        <f>IF(Calc_Engine!I90="","",Calc_Engine!I90)</f>
        <v>EMP1089</v>
      </c>
      <c r="C93" s="23" t="str">
        <f t="shared" si="16"/>
        <v>Mary Varghese</v>
      </c>
      <c r="D93" s="23" t="str">
        <f t="shared" si="17"/>
        <v>Senior Support Executive</v>
      </c>
      <c r="E93" s="23" t="str">
        <f t="shared" si="18"/>
        <v>Customer Support</v>
      </c>
      <c r="F93" s="22" t="str">
        <f t="shared" si="19"/>
        <v>L3</v>
      </c>
      <c r="G93" s="23" t="str">
        <f t="shared" si="20"/>
        <v>Ashish Varghese</v>
      </c>
      <c r="H93" s="22" t="str">
        <f t="shared" si="21"/>
        <v>Active</v>
      </c>
      <c r="I93" s="24">
        <f t="shared" si="22"/>
        <v>4.7</v>
      </c>
      <c r="J93" s="22">
        <f t="shared" si="23"/>
        <v>2</v>
      </c>
      <c r="K93" s="23" t="str">
        <f t="shared" si="24"/>
        <v>Underperformer</v>
      </c>
      <c r="L93" s="22" t="str">
        <f t="shared" si="25"/>
        <v>Not Eligible</v>
      </c>
      <c r="M93" s="24">
        <f t="shared" si="26"/>
        <v>9.31</v>
      </c>
      <c r="N93" s="25">
        <f t="shared" si="27"/>
        <v>0.64</v>
      </c>
      <c r="O93" s="26">
        <f t="shared" si="28"/>
        <v>0.9</v>
      </c>
      <c r="P93" s="25">
        <f t="shared" si="29"/>
        <v>3.12</v>
      </c>
      <c r="Q93" s="22" t="str">
        <f t="shared" si="30"/>
        <v>Low</v>
      </c>
      <c r="R93">
        <f t="shared" si="31"/>
        <v>89</v>
      </c>
    </row>
    <row r="94" spans="1:18" x14ac:dyDescent="0.3">
      <c r="A94" s="22">
        <f>IF(B94="","",90)</f>
        <v>90</v>
      </c>
      <c r="B94" s="22" t="str">
        <f>IF(Calc_Engine!I91="","",Calc_Engine!I91)</f>
        <v>EMP1090</v>
      </c>
      <c r="C94" s="23" t="str">
        <f t="shared" si="16"/>
        <v>Madhuri Malhotra</v>
      </c>
      <c r="D94" s="23" t="str">
        <f t="shared" si="17"/>
        <v>Sales Manager</v>
      </c>
      <c r="E94" s="23" t="str">
        <f t="shared" si="18"/>
        <v>Sales</v>
      </c>
      <c r="F94" s="22" t="str">
        <f t="shared" si="19"/>
        <v>L5</v>
      </c>
      <c r="G94" s="23" t="str">
        <f t="shared" si="20"/>
        <v>Gayatri Tiwari</v>
      </c>
      <c r="H94" s="22" t="str">
        <f t="shared" si="21"/>
        <v>Exited</v>
      </c>
      <c r="I94" s="24">
        <f t="shared" si="22"/>
        <v>4.5</v>
      </c>
      <c r="J94" s="22">
        <f t="shared" si="23"/>
        <v>3</v>
      </c>
      <c r="K94" s="23" t="str">
        <f t="shared" si="24"/>
        <v>Effective Contributor</v>
      </c>
      <c r="L94" s="22" t="str">
        <f t="shared" si="25"/>
        <v>Not Eligible</v>
      </c>
      <c r="M94" s="24">
        <f t="shared" si="26"/>
        <v>32.47</v>
      </c>
      <c r="N94" s="25">
        <f t="shared" si="27"/>
        <v>0.89</v>
      </c>
      <c r="O94" s="26">
        <f t="shared" si="28"/>
        <v>0.91891891891891897</v>
      </c>
      <c r="P94" s="25">
        <f t="shared" si="29"/>
        <v>2.2999999999999998</v>
      </c>
      <c r="Q94" s="22" t="str">
        <f t="shared" si="30"/>
        <v>Exited</v>
      </c>
      <c r="R94">
        <f t="shared" si="31"/>
        <v>90</v>
      </c>
    </row>
    <row r="95" spans="1:18" x14ac:dyDescent="0.3">
      <c r="A95" s="22">
        <f>IF(B95="","",91)</f>
        <v>91</v>
      </c>
      <c r="B95" s="22" t="str">
        <f>IF(Calc_Engine!I92="","",Calc_Engine!I92)</f>
        <v>EMP1091</v>
      </c>
      <c r="C95" s="23" t="str">
        <f t="shared" si="16"/>
        <v>Srinivas Bose</v>
      </c>
      <c r="D95" s="23" t="str">
        <f t="shared" si="17"/>
        <v>Tech Lead</v>
      </c>
      <c r="E95" s="23" t="str">
        <f t="shared" si="18"/>
        <v>Engineering</v>
      </c>
      <c r="F95" s="22" t="str">
        <f t="shared" si="19"/>
        <v>L4</v>
      </c>
      <c r="G95" s="23" t="str">
        <f t="shared" si="20"/>
        <v>Tejaswini Hegde</v>
      </c>
      <c r="H95" s="22" t="str">
        <f t="shared" si="21"/>
        <v>Active</v>
      </c>
      <c r="I95" s="24">
        <f t="shared" si="22"/>
        <v>4.5999999999999996</v>
      </c>
      <c r="J95" s="22">
        <f t="shared" si="23"/>
        <v>3</v>
      </c>
      <c r="K95" s="23" t="str">
        <f t="shared" si="24"/>
        <v>Core Player</v>
      </c>
      <c r="L95" s="22" t="str">
        <f t="shared" si="25"/>
        <v>Not Eligible</v>
      </c>
      <c r="M95" s="24">
        <f t="shared" si="26"/>
        <v>22.45</v>
      </c>
      <c r="N95" s="25">
        <f t="shared" si="27"/>
        <v>0.96</v>
      </c>
      <c r="O95" s="26">
        <f t="shared" si="28"/>
        <v>0.92</v>
      </c>
      <c r="P95" s="25">
        <f t="shared" si="29"/>
        <v>3.28</v>
      </c>
      <c r="Q95" s="22" t="str">
        <f t="shared" si="30"/>
        <v>Low</v>
      </c>
      <c r="R95">
        <f t="shared" si="31"/>
        <v>91</v>
      </c>
    </row>
    <row r="96" spans="1:18" x14ac:dyDescent="0.3">
      <c r="A96" s="22">
        <f>IF(B96="","",92)</f>
        <v>92</v>
      </c>
      <c r="B96" s="22" t="str">
        <f>IF(Calc_Engine!I93="","",Calc_Engine!I93)</f>
        <v>EMP1092</v>
      </c>
      <c r="C96" s="23" t="str">
        <f t="shared" si="16"/>
        <v>Kunal Jain</v>
      </c>
      <c r="D96" s="23" t="str">
        <f t="shared" si="17"/>
        <v>Senior Operations Executive</v>
      </c>
      <c r="E96" s="23" t="str">
        <f t="shared" si="18"/>
        <v>Operations</v>
      </c>
      <c r="F96" s="22" t="str">
        <f t="shared" si="19"/>
        <v>L3</v>
      </c>
      <c r="G96" s="23" t="str">
        <f t="shared" si="20"/>
        <v>Pallavi Nair</v>
      </c>
      <c r="H96" s="22" t="str">
        <f t="shared" si="21"/>
        <v>Active</v>
      </c>
      <c r="I96" s="24">
        <f t="shared" si="22"/>
        <v>4.5999999999999996</v>
      </c>
      <c r="J96" s="22">
        <f t="shared" si="23"/>
        <v>3</v>
      </c>
      <c r="K96" s="23" t="str">
        <f t="shared" si="24"/>
        <v>Effective Contributor</v>
      </c>
      <c r="L96" s="22" t="str">
        <f t="shared" si="25"/>
        <v>Not Eligible</v>
      </c>
      <c r="M96" s="24">
        <f t="shared" si="26"/>
        <v>13.44</v>
      </c>
      <c r="N96" s="25">
        <f t="shared" si="27"/>
        <v>0.93</v>
      </c>
      <c r="O96" s="26">
        <f t="shared" si="28"/>
        <v>0.90800000000000003</v>
      </c>
      <c r="P96" s="25">
        <f t="shared" si="29"/>
        <v>3.72</v>
      </c>
      <c r="Q96" s="22" t="str">
        <f t="shared" si="30"/>
        <v>Low</v>
      </c>
      <c r="R96">
        <f t="shared" si="31"/>
        <v>92</v>
      </c>
    </row>
    <row r="97" spans="1:18" x14ac:dyDescent="0.3">
      <c r="A97" s="22">
        <f>IF(B97="","",93)</f>
        <v>93</v>
      </c>
      <c r="B97" s="22" t="str">
        <f>IF(Calc_Engine!I94="","",Calc_Engine!I94)</f>
        <v>EMP1093</v>
      </c>
      <c r="C97" s="23" t="str">
        <f t="shared" si="16"/>
        <v>Priyanka Hegde</v>
      </c>
      <c r="D97" s="23" t="str">
        <f t="shared" si="17"/>
        <v>Product Manager</v>
      </c>
      <c r="E97" s="23" t="str">
        <f t="shared" si="18"/>
        <v>Product</v>
      </c>
      <c r="F97" s="22" t="str">
        <f t="shared" si="19"/>
        <v>L3</v>
      </c>
      <c r="G97" s="23" t="str">
        <f t="shared" si="20"/>
        <v>Mansi Pillai</v>
      </c>
      <c r="H97" s="22" t="str">
        <f t="shared" si="21"/>
        <v>Active</v>
      </c>
      <c r="I97" s="24">
        <f t="shared" si="22"/>
        <v>4.5</v>
      </c>
      <c r="J97" s="22">
        <f t="shared" si="23"/>
        <v>3</v>
      </c>
      <c r="K97" s="23" t="str">
        <f t="shared" si="24"/>
        <v>Future Star</v>
      </c>
      <c r="L97" s="22" t="str">
        <f t="shared" si="25"/>
        <v>Not Eligible</v>
      </c>
      <c r="M97" s="24">
        <f t="shared" si="26"/>
        <v>19.52</v>
      </c>
      <c r="N97" s="25">
        <f t="shared" si="27"/>
        <v>1.35</v>
      </c>
      <c r="O97" s="26">
        <f t="shared" si="28"/>
        <v>0.90800000000000003</v>
      </c>
      <c r="P97" s="25">
        <f t="shared" si="29"/>
        <v>2.77</v>
      </c>
      <c r="Q97" s="22" t="str">
        <f t="shared" si="30"/>
        <v>Low</v>
      </c>
      <c r="R97">
        <f t="shared" si="31"/>
        <v>93</v>
      </c>
    </row>
    <row r="98" spans="1:18" x14ac:dyDescent="0.3">
      <c r="A98" s="22">
        <f>IF(B98="","",94)</f>
        <v>94</v>
      </c>
      <c r="B98" s="22" t="str">
        <f>IF(Calc_Engine!I95="","",Calc_Engine!I95)</f>
        <v>EMP1094</v>
      </c>
      <c r="C98" s="23" t="str">
        <f t="shared" si="16"/>
        <v>Gayatri Thomas</v>
      </c>
      <c r="D98" s="23" t="str">
        <f t="shared" si="17"/>
        <v>Product Manager</v>
      </c>
      <c r="E98" s="23" t="str">
        <f t="shared" si="18"/>
        <v>Product</v>
      </c>
      <c r="F98" s="22" t="str">
        <f t="shared" si="19"/>
        <v>L3</v>
      </c>
      <c r="G98" s="23" t="str">
        <f t="shared" si="20"/>
        <v>Trisha Patel</v>
      </c>
      <c r="H98" s="22" t="str">
        <f t="shared" si="21"/>
        <v>Active</v>
      </c>
      <c r="I98" s="24">
        <f t="shared" si="22"/>
        <v>4.5</v>
      </c>
      <c r="J98" s="22">
        <f t="shared" si="23"/>
        <v>4</v>
      </c>
      <c r="K98" s="23" t="str">
        <f t="shared" si="24"/>
        <v>Star</v>
      </c>
      <c r="L98" s="22" t="str">
        <f t="shared" si="25"/>
        <v>Eligible</v>
      </c>
      <c r="M98" s="24">
        <f t="shared" si="26"/>
        <v>19.8</v>
      </c>
      <c r="N98" s="25">
        <f t="shared" si="27"/>
        <v>1.37</v>
      </c>
      <c r="O98" s="26">
        <f t="shared" si="28"/>
        <v>0.92</v>
      </c>
      <c r="P98" s="25">
        <f t="shared" si="29"/>
        <v>4.05</v>
      </c>
      <c r="Q98" s="22" t="str">
        <f t="shared" si="30"/>
        <v>Low</v>
      </c>
      <c r="R98">
        <f t="shared" si="31"/>
        <v>94</v>
      </c>
    </row>
    <row r="99" spans="1:18" x14ac:dyDescent="0.3">
      <c r="A99" s="22">
        <f>IF(B99="","",95)</f>
        <v>95</v>
      </c>
      <c r="B99" s="22" t="str">
        <f>IF(Calc_Engine!I96="","",Calc_Engine!I96)</f>
        <v>EMP1095</v>
      </c>
      <c r="C99" s="23" t="str">
        <f t="shared" si="16"/>
        <v>Mary Banerjee</v>
      </c>
      <c r="D99" s="23" t="str">
        <f t="shared" si="17"/>
        <v>Lead Data Scientist</v>
      </c>
      <c r="E99" s="23" t="str">
        <f t="shared" si="18"/>
        <v>Data &amp; Analytics</v>
      </c>
      <c r="F99" s="22" t="str">
        <f t="shared" si="19"/>
        <v>L4</v>
      </c>
      <c r="G99" s="23" t="str">
        <f t="shared" si="20"/>
        <v>Karan Verma</v>
      </c>
      <c r="H99" s="22" t="str">
        <f t="shared" si="21"/>
        <v>Active</v>
      </c>
      <c r="I99" s="24">
        <f t="shared" si="22"/>
        <v>4.5</v>
      </c>
      <c r="J99" s="22">
        <f t="shared" si="23"/>
        <v>3</v>
      </c>
      <c r="K99" s="23" t="str">
        <f t="shared" si="24"/>
        <v>Core Player</v>
      </c>
      <c r="L99" s="22" t="str">
        <f t="shared" si="25"/>
        <v>Not Eligible</v>
      </c>
      <c r="M99" s="24">
        <f t="shared" si="26"/>
        <v>29.33</v>
      </c>
      <c r="N99" s="25">
        <f t="shared" si="27"/>
        <v>1.25</v>
      </c>
      <c r="O99" s="26">
        <f t="shared" si="28"/>
        <v>0.96</v>
      </c>
      <c r="P99" s="25">
        <f t="shared" si="29"/>
        <v>3.88</v>
      </c>
      <c r="Q99" s="22" t="str">
        <f t="shared" si="30"/>
        <v>Low</v>
      </c>
      <c r="R99">
        <f t="shared" si="31"/>
        <v>95</v>
      </c>
    </row>
    <row r="100" spans="1:18" x14ac:dyDescent="0.3">
      <c r="A100" s="22">
        <f>IF(B100="","",96)</f>
        <v>96</v>
      </c>
      <c r="B100" s="22" t="str">
        <f>IF(Calc_Engine!I97="","",Calc_Engine!I97)</f>
        <v>EMP1096</v>
      </c>
      <c r="C100" s="23" t="str">
        <f t="shared" si="16"/>
        <v>Pallavi Malhotra</v>
      </c>
      <c r="D100" s="23" t="str">
        <f t="shared" si="17"/>
        <v>Marketing Lead</v>
      </c>
      <c r="E100" s="23" t="str">
        <f t="shared" si="18"/>
        <v>Marketing</v>
      </c>
      <c r="F100" s="22" t="str">
        <f t="shared" si="19"/>
        <v>L4</v>
      </c>
      <c r="G100" s="23" t="str">
        <f t="shared" si="20"/>
        <v>Nandini Iyer</v>
      </c>
      <c r="H100" s="22" t="str">
        <f t="shared" si="21"/>
        <v>Active</v>
      </c>
      <c r="I100" s="24">
        <f t="shared" si="22"/>
        <v>4.5</v>
      </c>
      <c r="J100" s="22">
        <f t="shared" si="23"/>
        <v>4</v>
      </c>
      <c r="K100" s="23" t="str">
        <f t="shared" si="24"/>
        <v>High Performer</v>
      </c>
      <c r="L100" s="22" t="str">
        <f t="shared" si="25"/>
        <v>Eligible</v>
      </c>
      <c r="M100" s="24">
        <f t="shared" si="26"/>
        <v>18.89</v>
      </c>
      <c r="N100" s="25">
        <f t="shared" si="27"/>
        <v>0.81</v>
      </c>
      <c r="O100" s="26">
        <f t="shared" si="28"/>
        <v>0.95199999999999996</v>
      </c>
      <c r="P100" s="25">
        <f t="shared" si="29"/>
        <v>3.05</v>
      </c>
      <c r="Q100" s="22" t="str">
        <f t="shared" si="30"/>
        <v>Medium</v>
      </c>
      <c r="R100">
        <f t="shared" si="31"/>
        <v>96</v>
      </c>
    </row>
    <row r="101" spans="1:18" x14ac:dyDescent="0.3">
      <c r="A101" s="22">
        <f>IF(B101="","",97)</f>
        <v>97</v>
      </c>
      <c r="B101" s="22" t="str">
        <f>IF(Calc_Engine!I98="","",Calc_Engine!I98)</f>
        <v>EMP1097</v>
      </c>
      <c r="C101" s="23" t="str">
        <f t="shared" si="16"/>
        <v>Sowmya Menon</v>
      </c>
      <c r="D101" s="23" t="str">
        <f t="shared" si="17"/>
        <v>Product Manager</v>
      </c>
      <c r="E101" s="23" t="str">
        <f t="shared" si="18"/>
        <v>Product</v>
      </c>
      <c r="F101" s="22" t="str">
        <f t="shared" si="19"/>
        <v>L3</v>
      </c>
      <c r="G101" s="23" t="str">
        <f t="shared" si="20"/>
        <v>Trisha Malhotra</v>
      </c>
      <c r="H101" s="22" t="str">
        <f t="shared" si="21"/>
        <v>Exited</v>
      </c>
      <c r="I101" s="24">
        <f t="shared" si="22"/>
        <v>4.0999999999999996</v>
      </c>
      <c r="J101" s="22">
        <f t="shared" si="23"/>
        <v>3</v>
      </c>
      <c r="K101" s="23" t="str">
        <f t="shared" si="24"/>
        <v>Core Player</v>
      </c>
      <c r="L101" s="22" t="str">
        <f t="shared" si="25"/>
        <v>Not Eligible</v>
      </c>
      <c r="M101" s="24">
        <f t="shared" si="26"/>
        <v>14.56</v>
      </c>
      <c r="N101" s="25">
        <f t="shared" si="27"/>
        <v>1.01</v>
      </c>
      <c r="O101" s="26">
        <f t="shared" si="28"/>
        <v>0.80555555555555558</v>
      </c>
      <c r="P101" s="25">
        <f t="shared" si="29"/>
        <v>2.82</v>
      </c>
      <c r="Q101" s="22" t="str">
        <f t="shared" si="30"/>
        <v>Exited</v>
      </c>
      <c r="R101">
        <f t="shared" si="31"/>
        <v>97</v>
      </c>
    </row>
    <row r="102" spans="1:18" x14ac:dyDescent="0.3">
      <c r="A102" s="22">
        <f>IF(B102="","",98)</f>
        <v>98</v>
      </c>
      <c r="B102" s="22" t="str">
        <f>IF(Calc_Engine!I99="","",Calc_Engine!I99)</f>
        <v>EMP1098</v>
      </c>
      <c r="C102" s="23" t="str">
        <f t="shared" si="16"/>
        <v>Sanjana Verma</v>
      </c>
      <c r="D102" s="23" t="str">
        <f t="shared" si="17"/>
        <v>Senior HR Business Partner</v>
      </c>
      <c r="E102" s="23" t="str">
        <f t="shared" si="18"/>
        <v>Human Resources</v>
      </c>
      <c r="F102" s="22" t="str">
        <f t="shared" si="19"/>
        <v>L4</v>
      </c>
      <c r="G102" s="23" t="str">
        <f t="shared" si="20"/>
        <v>Prakash Das</v>
      </c>
      <c r="H102" s="22" t="str">
        <f t="shared" si="21"/>
        <v>Active</v>
      </c>
      <c r="I102" s="24">
        <f t="shared" si="22"/>
        <v>4.4000000000000004</v>
      </c>
      <c r="J102" s="22">
        <f t="shared" si="23"/>
        <v>3</v>
      </c>
      <c r="K102" s="23" t="str">
        <f t="shared" si="24"/>
        <v>Future Star</v>
      </c>
      <c r="L102" s="22" t="str">
        <f t="shared" si="25"/>
        <v>Not Eligible</v>
      </c>
      <c r="M102" s="24">
        <f t="shared" si="26"/>
        <v>23.88</v>
      </c>
      <c r="N102" s="25">
        <f t="shared" si="27"/>
        <v>1.02</v>
      </c>
      <c r="O102" s="26">
        <f t="shared" si="28"/>
        <v>0.91200000000000003</v>
      </c>
      <c r="P102" s="25">
        <f t="shared" si="29"/>
        <v>3.42</v>
      </c>
      <c r="Q102" s="22" t="str">
        <f t="shared" si="30"/>
        <v>Low</v>
      </c>
      <c r="R102">
        <f t="shared" si="31"/>
        <v>98</v>
      </c>
    </row>
    <row r="103" spans="1:18" x14ac:dyDescent="0.3">
      <c r="A103" s="22">
        <f>IF(B103="","",99)</f>
        <v>99</v>
      </c>
      <c r="B103" s="22" t="str">
        <f>IF(Calc_Engine!I100="","",Calc_Engine!I100)</f>
        <v>EMP1099</v>
      </c>
      <c r="C103" s="23" t="str">
        <f t="shared" si="16"/>
        <v>Karan Khan</v>
      </c>
      <c r="D103" s="23" t="str">
        <f t="shared" si="17"/>
        <v>Senior Sales Executive</v>
      </c>
      <c r="E103" s="23" t="str">
        <f t="shared" si="18"/>
        <v>Sales</v>
      </c>
      <c r="F103" s="22" t="str">
        <f t="shared" si="19"/>
        <v>L3</v>
      </c>
      <c r="G103" s="23" t="str">
        <f t="shared" si="20"/>
        <v>Yash Raghavan</v>
      </c>
      <c r="H103" s="22" t="str">
        <f t="shared" si="21"/>
        <v>Active</v>
      </c>
      <c r="I103" s="24">
        <f t="shared" si="22"/>
        <v>4.4000000000000004</v>
      </c>
      <c r="J103" s="22">
        <f t="shared" si="23"/>
        <v>2</v>
      </c>
      <c r="K103" s="23" t="str">
        <f t="shared" si="24"/>
        <v>Inconsistent Player</v>
      </c>
      <c r="L103" s="22" t="str">
        <f t="shared" si="25"/>
        <v>Not Eligible</v>
      </c>
      <c r="M103" s="24">
        <f t="shared" si="26"/>
        <v>10.95</v>
      </c>
      <c r="N103" s="25">
        <f t="shared" si="27"/>
        <v>0.76</v>
      </c>
      <c r="O103" s="26">
        <f t="shared" si="28"/>
        <v>0.92</v>
      </c>
      <c r="P103" s="25">
        <f t="shared" si="29"/>
        <v>2.85</v>
      </c>
      <c r="Q103" s="22" t="str">
        <f t="shared" si="30"/>
        <v>Medium</v>
      </c>
      <c r="R103">
        <f t="shared" si="31"/>
        <v>99</v>
      </c>
    </row>
    <row r="104" spans="1:18" x14ac:dyDescent="0.3">
      <c r="A104" s="22">
        <f>IF(B104="","",100)</f>
        <v>100</v>
      </c>
      <c r="B104" s="22" t="str">
        <f>IF(Calc_Engine!I101="","",Calc_Engine!I101)</f>
        <v>EMP1100</v>
      </c>
      <c r="C104" s="23" t="str">
        <f t="shared" si="16"/>
        <v>Arjun Iyer</v>
      </c>
      <c r="D104" s="23" t="str">
        <f t="shared" si="17"/>
        <v>Senior Software Engineer</v>
      </c>
      <c r="E104" s="23" t="str">
        <f t="shared" si="18"/>
        <v>Engineering</v>
      </c>
      <c r="F104" s="22" t="str">
        <f t="shared" si="19"/>
        <v>L3</v>
      </c>
      <c r="G104" s="23" t="str">
        <f t="shared" si="20"/>
        <v>Gaurav Fernandes</v>
      </c>
      <c r="H104" s="22" t="str">
        <f t="shared" si="21"/>
        <v>Active</v>
      </c>
      <c r="I104" s="24">
        <f t="shared" si="22"/>
        <v>4.3</v>
      </c>
      <c r="J104" s="22">
        <f t="shared" si="23"/>
        <v>3</v>
      </c>
      <c r="K104" s="23" t="str">
        <f t="shared" si="24"/>
        <v>Core Player</v>
      </c>
      <c r="L104" s="22" t="str">
        <f t="shared" si="25"/>
        <v>Not Eligible</v>
      </c>
      <c r="M104" s="24">
        <f t="shared" si="26"/>
        <v>16.100000000000001</v>
      </c>
      <c r="N104" s="25">
        <f t="shared" si="27"/>
        <v>1.1100000000000001</v>
      </c>
      <c r="O104" s="26">
        <f t="shared" si="28"/>
        <v>0.92400000000000004</v>
      </c>
      <c r="P104" s="25">
        <f t="shared" si="29"/>
        <v>4.22</v>
      </c>
      <c r="Q104" s="22" t="str">
        <f t="shared" si="30"/>
        <v>Low</v>
      </c>
      <c r="R104">
        <f t="shared" si="31"/>
        <v>100</v>
      </c>
    </row>
    <row r="105" spans="1:18" x14ac:dyDescent="0.3">
      <c r="A105" s="22">
        <f>IF(B105="","",101)</f>
        <v>101</v>
      </c>
      <c r="B105" s="22" t="str">
        <f>IF(Calc_Engine!I102="","",Calc_Engine!I102)</f>
        <v>EMP1101</v>
      </c>
      <c r="C105" s="23" t="str">
        <f t="shared" si="16"/>
        <v>Pallavi Nair</v>
      </c>
      <c r="D105" s="23" t="str">
        <f t="shared" si="17"/>
        <v>Operations Manager</v>
      </c>
      <c r="E105" s="23" t="str">
        <f t="shared" si="18"/>
        <v>Operations</v>
      </c>
      <c r="F105" s="22" t="str">
        <f t="shared" si="19"/>
        <v>L5</v>
      </c>
      <c r="G105" s="23" t="str">
        <f t="shared" si="20"/>
        <v>Imran Mishra</v>
      </c>
      <c r="H105" s="22" t="str">
        <f t="shared" si="21"/>
        <v>Active</v>
      </c>
      <c r="I105" s="24">
        <f t="shared" si="22"/>
        <v>4.3</v>
      </c>
      <c r="J105" s="22">
        <f t="shared" si="23"/>
        <v>1</v>
      </c>
      <c r="K105" s="23" t="str">
        <f t="shared" si="24"/>
        <v>Underperformer</v>
      </c>
      <c r="L105" s="22" t="str">
        <f t="shared" si="25"/>
        <v>Not Eligible</v>
      </c>
      <c r="M105" s="24">
        <f t="shared" si="26"/>
        <v>30.05</v>
      </c>
      <c r="N105" s="25">
        <f t="shared" si="27"/>
        <v>0.82</v>
      </c>
      <c r="O105" s="26">
        <f t="shared" si="28"/>
        <v>0.95599999999999996</v>
      </c>
      <c r="P105" s="25">
        <f t="shared" si="29"/>
        <v>2.97</v>
      </c>
      <c r="Q105" s="22" t="str">
        <f t="shared" si="30"/>
        <v>Medium</v>
      </c>
      <c r="R105">
        <f t="shared" si="31"/>
        <v>101</v>
      </c>
    </row>
    <row r="106" spans="1:18" x14ac:dyDescent="0.3">
      <c r="A106" s="22">
        <f>IF(B106="","",102)</f>
        <v>102</v>
      </c>
      <c r="B106" s="22" t="str">
        <f>IF(Calc_Engine!I103="","",Calc_Engine!I103)</f>
        <v>EMP1102</v>
      </c>
      <c r="C106" s="23" t="str">
        <f t="shared" si="16"/>
        <v>Ravi Kumar</v>
      </c>
      <c r="D106" s="23" t="str">
        <f t="shared" si="17"/>
        <v>Senior Sales Executive</v>
      </c>
      <c r="E106" s="23" t="str">
        <f t="shared" si="18"/>
        <v>Sales</v>
      </c>
      <c r="F106" s="22" t="str">
        <f t="shared" si="19"/>
        <v>L3</v>
      </c>
      <c r="G106" s="23" t="str">
        <f t="shared" si="20"/>
        <v>Madhuri Malhotra</v>
      </c>
      <c r="H106" s="22" t="str">
        <f t="shared" si="21"/>
        <v>Active</v>
      </c>
      <c r="I106" s="24">
        <f t="shared" si="22"/>
        <v>4.3</v>
      </c>
      <c r="J106" s="22">
        <f t="shared" si="23"/>
        <v>4</v>
      </c>
      <c r="K106" s="23" t="str">
        <f t="shared" si="24"/>
        <v>High Performer</v>
      </c>
      <c r="L106" s="22" t="str">
        <f t="shared" si="25"/>
        <v>Not Eligible</v>
      </c>
      <c r="M106" s="24">
        <f t="shared" si="26"/>
        <v>12.51</v>
      </c>
      <c r="N106" s="25">
        <f t="shared" si="27"/>
        <v>0.87</v>
      </c>
      <c r="O106" s="26">
        <f t="shared" si="28"/>
        <v>0.91600000000000004</v>
      </c>
      <c r="P106" s="25">
        <f t="shared" si="29"/>
        <v>4.12</v>
      </c>
      <c r="Q106" s="22" t="str">
        <f t="shared" si="30"/>
        <v>Medium</v>
      </c>
      <c r="R106">
        <f t="shared" si="31"/>
        <v>102</v>
      </c>
    </row>
    <row r="107" spans="1:18" x14ac:dyDescent="0.3">
      <c r="A107" s="22">
        <f>IF(B107="","",103)</f>
        <v>103</v>
      </c>
      <c r="B107" s="22" t="str">
        <f>IF(Calc_Engine!I104="","",Calc_Engine!I104)</f>
        <v>EMP1103</v>
      </c>
      <c r="C107" s="23" t="str">
        <f t="shared" si="16"/>
        <v>Sowmya Verma</v>
      </c>
      <c r="D107" s="23" t="str">
        <f t="shared" si="17"/>
        <v>Finance Lead</v>
      </c>
      <c r="E107" s="23" t="str">
        <f t="shared" si="18"/>
        <v>Finance</v>
      </c>
      <c r="F107" s="22" t="str">
        <f t="shared" si="19"/>
        <v>L4</v>
      </c>
      <c r="G107" s="23" t="str">
        <f t="shared" si="20"/>
        <v>Kritika Pandey</v>
      </c>
      <c r="H107" s="22" t="str">
        <f t="shared" si="21"/>
        <v>Active</v>
      </c>
      <c r="I107" s="24">
        <f t="shared" si="22"/>
        <v>4.3</v>
      </c>
      <c r="J107" s="22">
        <f t="shared" si="23"/>
        <v>4</v>
      </c>
      <c r="K107" s="23" t="str">
        <f t="shared" si="24"/>
        <v>High Performer</v>
      </c>
      <c r="L107" s="22" t="str">
        <f t="shared" si="25"/>
        <v>Eligible</v>
      </c>
      <c r="M107" s="24">
        <f t="shared" si="26"/>
        <v>23.44</v>
      </c>
      <c r="N107" s="25">
        <f t="shared" si="27"/>
        <v>1</v>
      </c>
      <c r="O107" s="26">
        <f t="shared" si="28"/>
        <v>0.88800000000000001</v>
      </c>
      <c r="P107" s="25">
        <f t="shared" si="29"/>
        <v>3.7</v>
      </c>
      <c r="Q107" s="22" t="str">
        <f t="shared" si="30"/>
        <v>Low</v>
      </c>
      <c r="R107">
        <f t="shared" si="31"/>
        <v>103</v>
      </c>
    </row>
    <row r="108" spans="1:18" x14ac:dyDescent="0.3">
      <c r="A108" s="22">
        <f>IF(B108="","",104)</f>
        <v>104</v>
      </c>
      <c r="B108" s="22" t="str">
        <f>IF(Calc_Engine!I105="","",Calc_Engine!I105)</f>
        <v>EMP1104</v>
      </c>
      <c r="C108" s="23" t="str">
        <f t="shared" si="16"/>
        <v>Arun Agarwal</v>
      </c>
      <c r="D108" s="23" t="str">
        <f t="shared" si="17"/>
        <v>Key Account Manager</v>
      </c>
      <c r="E108" s="23" t="str">
        <f t="shared" si="18"/>
        <v>Sales</v>
      </c>
      <c r="F108" s="22" t="str">
        <f t="shared" si="19"/>
        <v>L4</v>
      </c>
      <c r="G108" s="23" t="str">
        <f t="shared" si="20"/>
        <v>Madhuri Malhotra</v>
      </c>
      <c r="H108" s="22" t="str">
        <f t="shared" si="21"/>
        <v>Active</v>
      </c>
      <c r="I108" s="24">
        <f t="shared" si="22"/>
        <v>4.3</v>
      </c>
      <c r="J108" s="22">
        <f t="shared" si="23"/>
        <v>3</v>
      </c>
      <c r="K108" s="23" t="str">
        <f t="shared" si="24"/>
        <v>Core Player</v>
      </c>
      <c r="L108" s="22" t="str">
        <f t="shared" si="25"/>
        <v>Not Eligible</v>
      </c>
      <c r="M108" s="24">
        <f t="shared" si="26"/>
        <v>17.18</v>
      </c>
      <c r="N108" s="25">
        <f t="shared" si="27"/>
        <v>0.73</v>
      </c>
      <c r="O108" s="26">
        <f t="shared" si="28"/>
        <v>0.90800000000000003</v>
      </c>
      <c r="P108" s="25">
        <f t="shared" si="29"/>
        <v>3.58</v>
      </c>
      <c r="Q108" s="22" t="str">
        <f t="shared" si="30"/>
        <v>Low</v>
      </c>
      <c r="R108">
        <f t="shared" si="31"/>
        <v>104</v>
      </c>
    </row>
    <row r="109" spans="1:18" x14ac:dyDescent="0.3">
      <c r="A109" s="22">
        <f>IF(B109="","",105)</f>
        <v>105</v>
      </c>
      <c r="B109" s="22" t="str">
        <f>IF(Calc_Engine!I106="","",Calc_Engine!I106)</f>
        <v>EMP1105</v>
      </c>
      <c r="C109" s="23" t="str">
        <f t="shared" si="16"/>
        <v>Shreya Gowda</v>
      </c>
      <c r="D109" s="23" t="str">
        <f t="shared" si="17"/>
        <v>Senior Software Engineer</v>
      </c>
      <c r="E109" s="23" t="str">
        <f t="shared" si="18"/>
        <v>Engineering</v>
      </c>
      <c r="F109" s="22" t="str">
        <f t="shared" si="19"/>
        <v>L3</v>
      </c>
      <c r="G109" s="23" t="str">
        <f t="shared" si="20"/>
        <v>Tejaswini Hegde</v>
      </c>
      <c r="H109" s="22" t="str">
        <f t="shared" si="21"/>
        <v>Active</v>
      </c>
      <c r="I109" s="24">
        <f t="shared" si="22"/>
        <v>4.3</v>
      </c>
      <c r="J109" s="22">
        <f t="shared" si="23"/>
        <v>4</v>
      </c>
      <c r="K109" s="23" t="str">
        <f t="shared" si="24"/>
        <v>Star</v>
      </c>
      <c r="L109" s="22" t="str">
        <f t="shared" si="25"/>
        <v>Eligible</v>
      </c>
      <c r="M109" s="24">
        <f t="shared" si="26"/>
        <v>18.34</v>
      </c>
      <c r="N109" s="25">
        <f t="shared" si="27"/>
        <v>1.27</v>
      </c>
      <c r="O109" s="26">
        <f t="shared" si="28"/>
        <v>0.94799999999999995</v>
      </c>
      <c r="P109" s="25">
        <f t="shared" si="29"/>
        <v>3.33</v>
      </c>
      <c r="Q109" s="22" t="str">
        <f t="shared" si="30"/>
        <v>Low</v>
      </c>
      <c r="R109">
        <f t="shared" si="31"/>
        <v>105</v>
      </c>
    </row>
    <row r="110" spans="1:18" x14ac:dyDescent="0.3">
      <c r="A110" s="22">
        <f>IF(B110="","",106)</f>
        <v>106</v>
      </c>
      <c r="B110" s="22" t="str">
        <f>IF(Calc_Engine!I107="","",Calc_Engine!I107)</f>
        <v>EMP1106</v>
      </c>
      <c r="C110" s="23" t="str">
        <f t="shared" si="16"/>
        <v>Harsh Siddiqui</v>
      </c>
      <c r="D110" s="23" t="str">
        <f t="shared" si="17"/>
        <v>Engineering Manager</v>
      </c>
      <c r="E110" s="23" t="str">
        <f t="shared" si="18"/>
        <v>Engineering</v>
      </c>
      <c r="F110" s="22" t="str">
        <f t="shared" si="19"/>
        <v>L5</v>
      </c>
      <c r="G110" s="23" t="str">
        <f t="shared" si="20"/>
        <v>Vikram Verma</v>
      </c>
      <c r="H110" s="22" t="str">
        <f t="shared" si="21"/>
        <v>Active</v>
      </c>
      <c r="I110" s="24">
        <f t="shared" si="22"/>
        <v>4.2</v>
      </c>
      <c r="J110" s="22">
        <f t="shared" si="23"/>
        <v>4</v>
      </c>
      <c r="K110" s="23" t="str">
        <f t="shared" si="24"/>
        <v>High Performer</v>
      </c>
      <c r="L110" s="22" t="str">
        <f t="shared" si="25"/>
        <v>Not Eligible</v>
      </c>
      <c r="M110" s="24">
        <f t="shared" si="26"/>
        <v>40.659999999999997</v>
      </c>
      <c r="N110" s="25">
        <f t="shared" si="27"/>
        <v>1.1100000000000001</v>
      </c>
      <c r="O110" s="26">
        <f t="shared" si="28"/>
        <v>0.93600000000000005</v>
      </c>
      <c r="P110" s="25">
        <f t="shared" si="29"/>
        <v>2.92</v>
      </c>
      <c r="Q110" s="22" t="str">
        <f t="shared" si="30"/>
        <v>Medium</v>
      </c>
      <c r="R110">
        <f t="shared" si="31"/>
        <v>106</v>
      </c>
    </row>
    <row r="111" spans="1:18" x14ac:dyDescent="0.3">
      <c r="A111" s="22">
        <f>IF(B111="","",107)</f>
        <v>107</v>
      </c>
      <c r="B111" s="22" t="str">
        <f>IF(Calc_Engine!I108="","",Calc_Engine!I108)</f>
        <v>EMP1107</v>
      </c>
      <c r="C111" s="23" t="str">
        <f t="shared" si="16"/>
        <v>Imran Subramanian</v>
      </c>
      <c r="D111" s="23" t="str">
        <f t="shared" si="17"/>
        <v>Senior Product Manager</v>
      </c>
      <c r="E111" s="23" t="str">
        <f t="shared" si="18"/>
        <v>Product</v>
      </c>
      <c r="F111" s="22" t="str">
        <f t="shared" si="19"/>
        <v>L4</v>
      </c>
      <c r="G111" s="23" t="str">
        <f t="shared" si="20"/>
        <v>Sachin Shetty</v>
      </c>
      <c r="H111" s="22" t="str">
        <f t="shared" si="21"/>
        <v>Active</v>
      </c>
      <c r="I111" s="24">
        <f t="shared" si="22"/>
        <v>4.2</v>
      </c>
      <c r="J111" s="22">
        <f t="shared" si="23"/>
        <v>3</v>
      </c>
      <c r="K111" s="23" t="str">
        <f t="shared" si="24"/>
        <v>Core Player</v>
      </c>
      <c r="L111" s="22" t="str">
        <f t="shared" si="25"/>
        <v>Not Eligible</v>
      </c>
      <c r="M111" s="24">
        <f t="shared" si="26"/>
        <v>29.81</v>
      </c>
      <c r="N111" s="25">
        <f t="shared" si="27"/>
        <v>1.27</v>
      </c>
      <c r="O111" s="26">
        <f t="shared" si="28"/>
        <v>0.9</v>
      </c>
      <c r="P111" s="25">
        <f t="shared" si="29"/>
        <v>3.35</v>
      </c>
      <c r="Q111" s="22" t="str">
        <f t="shared" si="30"/>
        <v>Low</v>
      </c>
      <c r="R111">
        <f t="shared" si="31"/>
        <v>107</v>
      </c>
    </row>
    <row r="112" spans="1:18" x14ac:dyDescent="0.3">
      <c r="A112" s="22">
        <f>IF(B112="","",108)</f>
        <v>108</v>
      </c>
      <c r="B112" s="22" t="str">
        <f>IF(Calc_Engine!I109="","",Calc_Engine!I109)</f>
        <v>EMP1108</v>
      </c>
      <c r="C112" s="23" t="str">
        <f t="shared" si="16"/>
        <v>Keerthi Siddiqui</v>
      </c>
      <c r="D112" s="23" t="str">
        <f t="shared" si="17"/>
        <v>Senior Support Executive</v>
      </c>
      <c r="E112" s="23" t="str">
        <f t="shared" si="18"/>
        <v>Customer Support</v>
      </c>
      <c r="F112" s="22" t="str">
        <f t="shared" si="19"/>
        <v>L3</v>
      </c>
      <c r="G112" s="23" t="str">
        <f t="shared" si="20"/>
        <v>Vidya Chatterjee</v>
      </c>
      <c r="H112" s="22" t="str">
        <f t="shared" si="21"/>
        <v>Active</v>
      </c>
      <c r="I112" s="24">
        <f t="shared" si="22"/>
        <v>4.2</v>
      </c>
      <c r="J112" s="22">
        <f t="shared" si="23"/>
        <v>3</v>
      </c>
      <c r="K112" s="23" t="str">
        <f t="shared" si="24"/>
        <v>Core Player</v>
      </c>
      <c r="L112" s="22" t="str">
        <f t="shared" si="25"/>
        <v>Not Eligible</v>
      </c>
      <c r="M112" s="24">
        <f t="shared" si="26"/>
        <v>12.3</v>
      </c>
      <c r="N112" s="25">
        <f t="shared" si="27"/>
        <v>0.85</v>
      </c>
      <c r="O112" s="26">
        <f t="shared" si="28"/>
        <v>0.91600000000000004</v>
      </c>
      <c r="P112" s="25">
        <f t="shared" si="29"/>
        <v>3.22</v>
      </c>
      <c r="Q112" s="22" t="str">
        <f t="shared" si="30"/>
        <v>Low</v>
      </c>
      <c r="R112">
        <f t="shared" si="31"/>
        <v>108</v>
      </c>
    </row>
    <row r="113" spans="1:18" x14ac:dyDescent="0.3">
      <c r="A113" s="22">
        <f>IF(B113="","",109)</f>
        <v>109</v>
      </c>
      <c r="B113" s="22" t="str">
        <f>IF(Calc_Engine!I110="","",Calc_Engine!I110)</f>
        <v>EMP1109</v>
      </c>
      <c r="C113" s="23" t="str">
        <f t="shared" si="16"/>
        <v>Nandini Choudhary</v>
      </c>
      <c r="D113" s="23" t="str">
        <f t="shared" si="17"/>
        <v>Senior Software Engineer</v>
      </c>
      <c r="E113" s="23" t="str">
        <f t="shared" si="18"/>
        <v>Engineering</v>
      </c>
      <c r="F113" s="22" t="str">
        <f t="shared" si="19"/>
        <v>L3</v>
      </c>
      <c r="G113" s="23" t="str">
        <f t="shared" si="20"/>
        <v>Fatima Choudhary</v>
      </c>
      <c r="H113" s="22" t="str">
        <f t="shared" si="21"/>
        <v>Active</v>
      </c>
      <c r="I113" s="24">
        <f t="shared" si="22"/>
        <v>4.2</v>
      </c>
      <c r="J113" s="22">
        <f t="shared" si="23"/>
        <v>4</v>
      </c>
      <c r="K113" s="23" t="str">
        <f t="shared" si="24"/>
        <v>High Performer</v>
      </c>
      <c r="L113" s="22" t="str">
        <f t="shared" si="25"/>
        <v>Eligible</v>
      </c>
      <c r="M113" s="24">
        <f t="shared" si="26"/>
        <v>16.29</v>
      </c>
      <c r="N113" s="25">
        <f t="shared" si="27"/>
        <v>1.1299999999999999</v>
      </c>
      <c r="O113" s="26">
        <f t="shared" si="28"/>
        <v>0.94799999999999995</v>
      </c>
      <c r="P113" s="25">
        <f t="shared" si="29"/>
        <v>3.58</v>
      </c>
      <c r="Q113" s="22" t="str">
        <f t="shared" si="30"/>
        <v>Low</v>
      </c>
      <c r="R113">
        <f t="shared" si="31"/>
        <v>109</v>
      </c>
    </row>
    <row r="114" spans="1:18" x14ac:dyDescent="0.3">
      <c r="A114" s="22">
        <f>IF(B114="","",110)</f>
        <v>110</v>
      </c>
      <c r="B114" s="22" t="str">
        <f>IF(Calc_Engine!I111="","",Calc_Engine!I111)</f>
        <v>EMP1110</v>
      </c>
      <c r="C114" s="23" t="str">
        <f t="shared" si="16"/>
        <v>Aishwarya Mukherjee</v>
      </c>
      <c r="D114" s="23" t="str">
        <f t="shared" si="17"/>
        <v>Senior Marketing Manager</v>
      </c>
      <c r="E114" s="23" t="str">
        <f t="shared" si="18"/>
        <v>Marketing</v>
      </c>
      <c r="F114" s="22" t="str">
        <f t="shared" si="19"/>
        <v>L6</v>
      </c>
      <c r="G114" s="23" t="str">
        <f t="shared" si="20"/>
        <v>Arun Khan</v>
      </c>
      <c r="H114" s="22" t="str">
        <f t="shared" si="21"/>
        <v>Active</v>
      </c>
      <c r="I114" s="24">
        <f t="shared" si="22"/>
        <v>4.2</v>
      </c>
      <c r="J114" s="22">
        <f t="shared" si="23"/>
        <v>3</v>
      </c>
      <c r="K114" s="23" t="str">
        <f t="shared" si="24"/>
        <v>Future Star</v>
      </c>
      <c r="L114" s="22" t="str">
        <f t="shared" si="25"/>
        <v>Not Eligible</v>
      </c>
      <c r="M114" s="24">
        <f t="shared" si="26"/>
        <v>52.48</v>
      </c>
      <c r="N114" s="25">
        <f t="shared" si="27"/>
        <v>0.97</v>
      </c>
      <c r="O114" s="26">
        <f t="shared" si="28"/>
        <v>0.94799999999999995</v>
      </c>
      <c r="P114" s="25">
        <f t="shared" si="29"/>
        <v>3.33</v>
      </c>
      <c r="Q114" s="22" t="str">
        <f t="shared" si="30"/>
        <v>Low</v>
      </c>
      <c r="R114">
        <f t="shared" si="31"/>
        <v>110</v>
      </c>
    </row>
    <row r="115" spans="1:18" x14ac:dyDescent="0.3">
      <c r="A115" s="22">
        <f>IF(B115="","",111)</f>
        <v>111</v>
      </c>
      <c r="B115" s="22" t="str">
        <f>IF(Calc_Engine!I112="","",Calc_Engine!I112)</f>
        <v>EMP1111</v>
      </c>
      <c r="C115" s="23" t="str">
        <f t="shared" si="16"/>
        <v>Ajay Patel</v>
      </c>
      <c r="D115" s="23" t="str">
        <f t="shared" si="17"/>
        <v>HR Manager</v>
      </c>
      <c r="E115" s="23" t="str">
        <f t="shared" si="18"/>
        <v>Human Resources</v>
      </c>
      <c r="F115" s="22" t="str">
        <f t="shared" si="19"/>
        <v>L5</v>
      </c>
      <c r="G115" s="23" t="str">
        <f t="shared" si="20"/>
        <v>Prakash Das</v>
      </c>
      <c r="H115" s="22" t="str">
        <f t="shared" si="21"/>
        <v>Exited</v>
      </c>
      <c r="I115" s="24">
        <f t="shared" si="22"/>
        <v>4</v>
      </c>
      <c r="J115" s="22">
        <f t="shared" si="23"/>
        <v>1</v>
      </c>
      <c r="K115" s="23" t="str">
        <f t="shared" si="24"/>
        <v>Inconsistent Player</v>
      </c>
      <c r="L115" s="22" t="str">
        <f t="shared" si="25"/>
        <v>Not Eligible</v>
      </c>
      <c r="M115" s="24">
        <f t="shared" si="26"/>
        <v>30.51</v>
      </c>
      <c r="N115" s="25">
        <f t="shared" si="27"/>
        <v>0.83</v>
      </c>
      <c r="O115" s="26">
        <f t="shared" si="28"/>
        <v>0.87064676616915426</v>
      </c>
      <c r="P115" s="25">
        <f t="shared" si="29"/>
        <v>2.4700000000000002</v>
      </c>
      <c r="Q115" s="22" t="str">
        <f t="shared" si="30"/>
        <v>Exited</v>
      </c>
      <c r="R115">
        <f t="shared" si="31"/>
        <v>111</v>
      </c>
    </row>
    <row r="116" spans="1:18" x14ac:dyDescent="0.3">
      <c r="A116" s="22">
        <f>IF(B116="","",112)</f>
        <v>112</v>
      </c>
      <c r="B116" s="22" t="str">
        <f>IF(Calc_Engine!I113="","",Calc_Engine!I113)</f>
        <v>EMP1112</v>
      </c>
      <c r="C116" s="23" t="str">
        <f t="shared" si="16"/>
        <v>Trisha Saxena</v>
      </c>
      <c r="D116" s="23" t="str">
        <f t="shared" si="17"/>
        <v>Senior Sales Executive</v>
      </c>
      <c r="E116" s="23" t="str">
        <f t="shared" si="18"/>
        <v>Sales</v>
      </c>
      <c r="F116" s="22" t="str">
        <f t="shared" si="19"/>
        <v>L3</v>
      </c>
      <c r="G116" s="23" t="str">
        <f t="shared" si="20"/>
        <v>Yash Raghavan</v>
      </c>
      <c r="H116" s="22" t="str">
        <f t="shared" si="21"/>
        <v>Active</v>
      </c>
      <c r="I116" s="24">
        <f t="shared" si="22"/>
        <v>4.0999999999999996</v>
      </c>
      <c r="J116" s="22">
        <f t="shared" si="23"/>
        <v>2</v>
      </c>
      <c r="K116" s="23" t="str">
        <f t="shared" si="24"/>
        <v>Underperformer</v>
      </c>
      <c r="L116" s="22" t="str">
        <f t="shared" si="25"/>
        <v>Not Eligible</v>
      </c>
      <c r="M116" s="24">
        <f t="shared" si="26"/>
        <v>14.29</v>
      </c>
      <c r="N116" s="25">
        <f t="shared" si="27"/>
        <v>0.99</v>
      </c>
      <c r="O116" s="26">
        <f t="shared" si="28"/>
        <v>0.88400000000000001</v>
      </c>
      <c r="P116" s="25">
        <f t="shared" si="29"/>
        <v>3.27</v>
      </c>
      <c r="Q116" s="22" t="str">
        <f t="shared" si="30"/>
        <v>Low</v>
      </c>
      <c r="R116">
        <f t="shared" si="31"/>
        <v>112</v>
      </c>
    </row>
    <row r="117" spans="1:18" x14ac:dyDescent="0.3">
      <c r="A117" s="22">
        <f>IF(B117="","",113)</f>
        <v>113</v>
      </c>
      <c r="B117" s="22" t="str">
        <f>IF(Calc_Engine!I114="","",Calc_Engine!I114)</f>
        <v>EMP1113</v>
      </c>
      <c r="C117" s="23" t="str">
        <f t="shared" si="16"/>
        <v>Vikas Shah</v>
      </c>
      <c r="D117" s="23" t="str">
        <f t="shared" si="17"/>
        <v>Senior Support Executive</v>
      </c>
      <c r="E117" s="23" t="str">
        <f t="shared" si="18"/>
        <v>Customer Support</v>
      </c>
      <c r="F117" s="22" t="str">
        <f t="shared" si="19"/>
        <v>L3</v>
      </c>
      <c r="G117" s="23" t="str">
        <f t="shared" si="20"/>
        <v>Vidya Chatterjee</v>
      </c>
      <c r="H117" s="22" t="str">
        <f t="shared" si="21"/>
        <v>Active</v>
      </c>
      <c r="I117" s="24">
        <f t="shared" si="22"/>
        <v>4.0999999999999996</v>
      </c>
      <c r="J117" s="22">
        <f t="shared" si="23"/>
        <v>3</v>
      </c>
      <c r="K117" s="23" t="str">
        <f t="shared" si="24"/>
        <v>Core Player</v>
      </c>
      <c r="L117" s="22" t="str">
        <f t="shared" si="25"/>
        <v>Not Eligible</v>
      </c>
      <c r="M117" s="24">
        <f t="shared" si="26"/>
        <v>11.61</v>
      </c>
      <c r="N117" s="25">
        <f t="shared" si="27"/>
        <v>0.8</v>
      </c>
      <c r="O117" s="26">
        <f t="shared" si="28"/>
        <v>0.96799999999999997</v>
      </c>
      <c r="P117" s="25">
        <f t="shared" si="29"/>
        <v>4.2</v>
      </c>
      <c r="Q117" s="22" t="str">
        <f t="shared" si="30"/>
        <v>Low</v>
      </c>
      <c r="R117">
        <f t="shared" si="31"/>
        <v>113</v>
      </c>
    </row>
    <row r="118" spans="1:18" x14ac:dyDescent="0.3">
      <c r="A118" s="22">
        <f>IF(B118="","",114)</f>
        <v>114</v>
      </c>
      <c r="B118" s="22" t="str">
        <f>IF(Calc_Engine!I115="","",Calc_Engine!I115)</f>
        <v>EMP1114</v>
      </c>
      <c r="C118" s="23" t="str">
        <f t="shared" si="16"/>
        <v>Aarav Thomas</v>
      </c>
      <c r="D118" s="23" t="str">
        <f t="shared" si="17"/>
        <v>Senior Sales Executive</v>
      </c>
      <c r="E118" s="23" t="str">
        <f t="shared" si="18"/>
        <v>Sales</v>
      </c>
      <c r="F118" s="22" t="str">
        <f t="shared" si="19"/>
        <v>L3</v>
      </c>
      <c r="G118" s="23" t="str">
        <f t="shared" si="20"/>
        <v>Kavya Krishnan</v>
      </c>
      <c r="H118" s="22" t="str">
        <f t="shared" si="21"/>
        <v>Active</v>
      </c>
      <c r="I118" s="24">
        <f t="shared" si="22"/>
        <v>4.0999999999999996</v>
      </c>
      <c r="J118" s="22">
        <f t="shared" si="23"/>
        <v>4</v>
      </c>
      <c r="K118" s="23" t="str">
        <f t="shared" si="24"/>
        <v>High Performer</v>
      </c>
      <c r="L118" s="22" t="str">
        <f t="shared" si="25"/>
        <v>Not Eligible</v>
      </c>
      <c r="M118" s="24">
        <f t="shared" si="26"/>
        <v>16.47</v>
      </c>
      <c r="N118" s="25">
        <f t="shared" si="27"/>
        <v>1.1399999999999999</v>
      </c>
      <c r="O118" s="26">
        <f t="shared" si="28"/>
        <v>0.95199999999999996</v>
      </c>
      <c r="P118" s="25">
        <f t="shared" si="29"/>
        <v>3.35</v>
      </c>
      <c r="Q118" s="22" t="str">
        <f t="shared" si="30"/>
        <v>Low</v>
      </c>
      <c r="R118">
        <f t="shared" si="31"/>
        <v>114</v>
      </c>
    </row>
    <row r="119" spans="1:18" x14ac:dyDescent="0.3">
      <c r="A119" s="22">
        <f>IF(B119="","",115)</f>
        <v>115</v>
      </c>
      <c r="B119" s="22" t="str">
        <f>IF(Calc_Engine!I116="","",Calc_Engine!I116)</f>
        <v>EMP1115</v>
      </c>
      <c r="C119" s="23" t="str">
        <f t="shared" si="16"/>
        <v>Naveen Verma</v>
      </c>
      <c r="D119" s="23" t="str">
        <f t="shared" si="17"/>
        <v>Senior Operations Executive</v>
      </c>
      <c r="E119" s="23" t="str">
        <f t="shared" si="18"/>
        <v>Operations</v>
      </c>
      <c r="F119" s="22" t="str">
        <f t="shared" si="19"/>
        <v>L3</v>
      </c>
      <c r="G119" s="23" t="str">
        <f t="shared" si="20"/>
        <v>Yash Shah</v>
      </c>
      <c r="H119" s="22" t="str">
        <f t="shared" si="21"/>
        <v>Active</v>
      </c>
      <c r="I119" s="24">
        <f t="shared" si="22"/>
        <v>4</v>
      </c>
      <c r="J119" s="22">
        <f t="shared" si="23"/>
        <v>4</v>
      </c>
      <c r="K119" s="23" t="str">
        <f t="shared" si="24"/>
        <v>High Performer</v>
      </c>
      <c r="L119" s="22" t="str">
        <f t="shared" si="25"/>
        <v>Eligible</v>
      </c>
      <c r="M119" s="24">
        <f t="shared" si="26"/>
        <v>14.71</v>
      </c>
      <c r="N119" s="25">
        <f t="shared" si="27"/>
        <v>1.02</v>
      </c>
      <c r="O119" s="26">
        <f t="shared" si="28"/>
        <v>0.95199999999999996</v>
      </c>
      <c r="P119" s="25">
        <f t="shared" si="29"/>
        <v>2.87</v>
      </c>
      <c r="Q119" s="22" t="str">
        <f t="shared" si="30"/>
        <v>Medium</v>
      </c>
      <c r="R119">
        <f t="shared" si="31"/>
        <v>115</v>
      </c>
    </row>
    <row r="120" spans="1:18" x14ac:dyDescent="0.3">
      <c r="A120" s="22">
        <f>IF(B120="","",116)</f>
        <v>116</v>
      </c>
      <c r="B120" s="22" t="str">
        <f>IF(Calc_Engine!I117="","",Calc_Engine!I117)</f>
        <v>EMP1116</v>
      </c>
      <c r="C120" s="23" t="str">
        <f t="shared" si="16"/>
        <v>Tanvi Tiwari</v>
      </c>
      <c r="D120" s="23" t="str">
        <f t="shared" si="17"/>
        <v>Legal Counsel</v>
      </c>
      <c r="E120" s="23" t="str">
        <f t="shared" si="18"/>
        <v>Legal &amp; Compliance</v>
      </c>
      <c r="F120" s="22" t="str">
        <f t="shared" si="19"/>
        <v>L3</v>
      </c>
      <c r="G120" s="23" t="str">
        <f t="shared" si="20"/>
        <v>Ramya Khanna</v>
      </c>
      <c r="H120" s="22" t="str">
        <f t="shared" si="21"/>
        <v>Active</v>
      </c>
      <c r="I120" s="24">
        <f t="shared" si="22"/>
        <v>4</v>
      </c>
      <c r="J120" s="22">
        <f t="shared" si="23"/>
        <v>1</v>
      </c>
      <c r="K120" s="23" t="str">
        <f t="shared" si="24"/>
        <v>Inconsistent Player</v>
      </c>
      <c r="L120" s="22" t="str">
        <f t="shared" si="25"/>
        <v>Not Eligible</v>
      </c>
      <c r="M120" s="24">
        <f t="shared" si="26"/>
        <v>15.09</v>
      </c>
      <c r="N120" s="25">
        <f t="shared" si="27"/>
        <v>1.04</v>
      </c>
      <c r="O120" s="26">
        <f t="shared" si="28"/>
        <v>0.92</v>
      </c>
      <c r="P120" s="25">
        <f t="shared" si="29"/>
        <v>2.92</v>
      </c>
      <c r="Q120" s="22" t="str">
        <f t="shared" si="30"/>
        <v>Low</v>
      </c>
      <c r="R120">
        <f t="shared" si="31"/>
        <v>116</v>
      </c>
    </row>
    <row r="121" spans="1:18" x14ac:dyDescent="0.3">
      <c r="A121" s="22">
        <f>IF(B121="","",117)</f>
        <v>117</v>
      </c>
      <c r="B121" s="22" t="str">
        <f>IF(Calc_Engine!I118="","",Calc_Engine!I118)</f>
        <v>EMP1117</v>
      </c>
      <c r="C121" s="23" t="str">
        <f t="shared" si="16"/>
        <v>Sneha Saxena</v>
      </c>
      <c r="D121" s="23" t="str">
        <f t="shared" si="17"/>
        <v>Product Analyst</v>
      </c>
      <c r="E121" s="23" t="str">
        <f t="shared" si="18"/>
        <v>Product</v>
      </c>
      <c r="F121" s="22" t="str">
        <f t="shared" si="19"/>
        <v>L2</v>
      </c>
      <c r="G121" s="23" t="str">
        <f t="shared" si="20"/>
        <v>Mansi Pillai</v>
      </c>
      <c r="H121" s="22" t="str">
        <f t="shared" si="21"/>
        <v>Active</v>
      </c>
      <c r="I121" s="24">
        <f t="shared" si="22"/>
        <v>4</v>
      </c>
      <c r="J121" s="22">
        <f t="shared" si="23"/>
        <v>3</v>
      </c>
      <c r="K121" s="23" t="str">
        <f t="shared" si="24"/>
        <v>Core Player</v>
      </c>
      <c r="L121" s="22" t="str">
        <f t="shared" si="25"/>
        <v>Not Eligible</v>
      </c>
      <c r="M121" s="24">
        <f t="shared" si="26"/>
        <v>10.65</v>
      </c>
      <c r="N121" s="25">
        <f t="shared" si="27"/>
        <v>1.25</v>
      </c>
      <c r="O121" s="26">
        <f t="shared" si="28"/>
        <v>0.93200000000000005</v>
      </c>
      <c r="P121" s="25">
        <f t="shared" si="29"/>
        <v>2.82</v>
      </c>
      <c r="Q121" s="22" t="str">
        <f t="shared" si="30"/>
        <v>Low</v>
      </c>
      <c r="R121">
        <f t="shared" si="31"/>
        <v>117</v>
      </c>
    </row>
    <row r="122" spans="1:18" x14ac:dyDescent="0.3">
      <c r="A122" s="22">
        <f>IF(B122="","",118)</f>
        <v>118</v>
      </c>
      <c r="B122" s="22" t="str">
        <f>IF(Calc_Engine!I119="","",Calc_Engine!I119)</f>
        <v>EMP1118</v>
      </c>
      <c r="C122" s="23" t="str">
        <f t="shared" si="16"/>
        <v>Amit Kumar</v>
      </c>
      <c r="D122" s="23" t="str">
        <f t="shared" si="17"/>
        <v>Operations Manager</v>
      </c>
      <c r="E122" s="23" t="str">
        <f t="shared" si="18"/>
        <v>Operations</v>
      </c>
      <c r="F122" s="22" t="str">
        <f t="shared" si="19"/>
        <v>L5</v>
      </c>
      <c r="G122" s="23" t="str">
        <f t="shared" si="20"/>
        <v>Imran Mishra</v>
      </c>
      <c r="H122" s="22" t="str">
        <f t="shared" si="21"/>
        <v>Exited</v>
      </c>
      <c r="I122" s="24">
        <f t="shared" si="22"/>
        <v>3.5</v>
      </c>
      <c r="J122" s="22">
        <f t="shared" si="23"/>
        <v>3</v>
      </c>
      <c r="K122" s="23" t="str">
        <f t="shared" si="24"/>
        <v>Core Player</v>
      </c>
      <c r="L122" s="22" t="str">
        <f t="shared" si="25"/>
        <v>Not Eligible</v>
      </c>
      <c r="M122" s="24">
        <f t="shared" si="26"/>
        <v>35.92</v>
      </c>
      <c r="N122" s="25">
        <f t="shared" si="27"/>
        <v>0.98</v>
      </c>
      <c r="O122" s="26">
        <f t="shared" si="28"/>
        <v>0.85074626865671643</v>
      </c>
      <c r="P122" s="25">
        <f t="shared" si="29"/>
        <v>2.0699999999999998</v>
      </c>
      <c r="Q122" s="22" t="str">
        <f t="shared" si="30"/>
        <v>Exited</v>
      </c>
      <c r="R122">
        <f t="shared" si="31"/>
        <v>118</v>
      </c>
    </row>
    <row r="123" spans="1:18" x14ac:dyDescent="0.3">
      <c r="A123" s="22">
        <f>IF(B123="","",119)</f>
        <v>119</v>
      </c>
      <c r="B123" s="22" t="str">
        <f>IF(Calc_Engine!I120="","",Calc_Engine!I120)</f>
        <v>EMP1119</v>
      </c>
      <c r="C123" s="23" t="str">
        <f t="shared" si="16"/>
        <v>Pranav Banerjee</v>
      </c>
      <c r="D123" s="23" t="str">
        <f t="shared" si="17"/>
        <v>Operations Executive</v>
      </c>
      <c r="E123" s="23" t="str">
        <f t="shared" si="18"/>
        <v>Operations</v>
      </c>
      <c r="F123" s="22" t="str">
        <f t="shared" si="19"/>
        <v>L2</v>
      </c>
      <c r="G123" s="23" t="str">
        <f t="shared" si="20"/>
        <v>Pallavi Nair</v>
      </c>
      <c r="H123" s="22" t="str">
        <f t="shared" si="21"/>
        <v>Active</v>
      </c>
      <c r="I123" s="24">
        <f t="shared" si="22"/>
        <v>4</v>
      </c>
      <c r="J123" s="22">
        <f t="shared" si="23"/>
        <v>1</v>
      </c>
      <c r="K123" s="23" t="str">
        <f t="shared" si="24"/>
        <v>Rough Diamond</v>
      </c>
      <c r="L123" s="22" t="str">
        <f t="shared" si="25"/>
        <v>Not Eligible</v>
      </c>
      <c r="M123" s="24">
        <f t="shared" si="26"/>
        <v>7.54</v>
      </c>
      <c r="N123" s="25">
        <f t="shared" si="27"/>
        <v>0.88</v>
      </c>
      <c r="O123" s="26">
        <f t="shared" si="28"/>
        <v>0.91200000000000003</v>
      </c>
      <c r="P123" s="25">
        <f t="shared" si="29"/>
        <v>2.88</v>
      </c>
      <c r="Q123" s="22" t="str">
        <f t="shared" si="30"/>
        <v>Medium</v>
      </c>
      <c r="R123">
        <f t="shared" si="31"/>
        <v>119</v>
      </c>
    </row>
    <row r="124" spans="1:18" x14ac:dyDescent="0.3">
      <c r="A124" s="22">
        <f>IF(B124="","",120)</f>
        <v>120</v>
      </c>
      <c r="B124" s="22" t="str">
        <f>IF(Calc_Engine!I121="","",Calc_Engine!I121)</f>
        <v>EMP1120</v>
      </c>
      <c r="C124" s="23" t="str">
        <f t="shared" si="16"/>
        <v>Ayesha Reddy</v>
      </c>
      <c r="D124" s="23" t="str">
        <f t="shared" si="17"/>
        <v>Senior Data Analyst</v>
      </c>
      <c r="E124" s="23" t="str">
        <f t="shared" si="18"/>
        <v>Data &amp; Analytics</v>
      </c>
      <c r="F124" s="22" t="str">
        <f t="shared" si="19"/>
        <v>L3</v>
      </c>
      <c r="G124" s="23" t="str">
        <f t="shared" si="20"/>
        <v>Arun Mukherjee</v>
      </c>
      <c r="H124" s="22" t="str">
        <f t="shared" si="21"/>
        <v>Exited</v>
      </c>
      <c r="I124" s="24">
        <f t="shared" si="22"/>
        <v>3.3</v>
      </c>
      <c r="J124" s="22">
        <f t="shared" si="23"/>
        <v>4</v>
      </c>
      <c r="K124" s="23" t="str">
        <f t="shared" si="24"/>
        <v>Star</v>
      </c>
      <c r="L124" s="22" t="str">
        <f t="shared" si="25"/>
        <v>Not Eligible</v>
      </c>
      <c r="M124" s="24">
        <f t="shared" si="26"/>
        <v>15.08</v>
      </c>
      <c r="N124" s="25">
        <f t="shared" si="27"/>
        <v>1.04</v>
      </c>
      <c r="O124" s="26">
        <f t="shared" si="28"/>
        <v>0.84146341463414631</v>
      </c>
      <c r="P124" s="25">
        <f t="shared" si="29"/>
        <v>3.15</v>
      </c>
      <c r="Q124" s="22" t="str">
        <f t="shared" si="30"/>
        <v>Exited</v>
      </c>
      <c r="R124">
        <f t="shared" si="31"/>
        <v>120</v>
      </c>
    </row>
    <row r="125" spans="1:18" x14ac:dyDescent="0.3">
      <c r="A125" s="22">
        <f>IF(B125="","",121)</f>
        <v>121</v>
      </c>
      <c r="B125" s="22" t="str">
        <f>IF(Calc_Engine!I122="","",Calc_Engine!I122)</f>
        <v>EMP1121</v>
      </c>
      <c r="C125" s="23" t="str">
        <f t="shared" si="16"/>
        <v>Srinivas Kulkarni</v>
      </c>
      <c r="D125" s="23" t="str">
        <f t="shared" si="17"/>
        <v>Finance Lead</v>
      </c>
      <c r="E125" s="23" t="str">
        <f t="shared" si="18"/>
        <v>Finance</v>
      </c>
      <c r="F125" s="22" t="str">
        <f t="shared" si="19"/>
        <v>L4</v>
      </c>
      <c r="G125" s="23" t="str">
        <f t="shared" si="20"/>
        <v>Kritika Pandey</v>
      </c>
      <c r="H125" s="22" t="str">
        <f t="shared" si="21"/>
        <v>Active</v>
      </c>
      <c r="I125" s="24">
        <f t="shared" si="22"/>
        <v>3.9</v>
      </c>
      <c r="J125" s="22">
        <f t="shared" si="23"/>
        <v>4</v>
      </c>
      <c r="K125" s="23" t="str">
        <f t="shared" si="24"/>
        <v>Star</v>
      </c>
      <c r="L125" s="22" t="str">
        <f t="shared" si="25"/>
        <v>Not Eligible</v>
      </c>
      <c r="M125" s="24">
        <f t="shared" si="26"/>
        <v>23.59</v>
      </c>
      <c r="N125" s="25">
        <f t="shared" si="27"/>
        <v>1.01</v>
      </c>
      <c r="O125" s="26">
        <f t="shared" si="28"/>
        <v>0.88800000000000001</v>
      </c>
      <c r="P125" s="25">
        <f t="shared" si="29"/>
        <v>2.33</v>
      </c>
      <c r="Q125" s="22" t="str">
        <f t="shared" si="30"/>
        <v>High</v>
      </c>
      <c r="R125">
        <f t="shared" si="31"/>
        <v>121</v>
      </c>
    </row>
    <row r="126" spans="1:18" x14ac:dyDescent="0.3">
      <c r="A126" s="22">
        <f>IF(B126="","",122)</f>
        <v>122</v>
      </c>
      <c r="B126" s="22" t="str">
        <f>IF(Calc_Engine!I123="","",Calc_Engine!I123)</f>
        <v>EMP1122</v>
      </c>
      <c r="C126" s="23" t="str">
        <f t="shared" si="16"/>
        <v>Divya Kulkarni</v>
      </c>
      <c r="D126" s="23" t="str">
        <f t="shared" si="17"/>
        <v>Support Executive</v>
      </c>
      <c r="E126" s="23" t="str">
        <f t="shared" si="18"/>
        <v>Customer Support</v>
      </c>
      <c r="F126" s="22" t="str">
        <f t="shared" si="19"/>
        <v>L2</v>
      </c>
      <c r="G126" s="23" t="str">
        <f t="shared" si="20"/>
        <v>Isha Verma</v>
      </c>
      <c r="H126" s="22" t="str">
        <f t="shared" si="21"/>
        <v>Exited</v>
      </c>
      <c r="I126" s="24">
        <f t="shared" si="22"/>
        <v>3.2</v>
      </c>
      <c r="J126" s="22">
        <f t="shared" si="23"/>
        <v>3</v>
      </c>
      <c r="K126" s="23" t="str">
        <f t="shared" si="24"/>
        <v>Core Player</v>
      </c>
      <c r="L126" s="22" t="str">
        <f t="shared" si="25"/>
        <v>Not Eligible</v>
      </c>
      <c r="M126" s="24">
        <f t="shared" si="26"/>
        <v>5.96</v>
      </c>
      <c r="N126" s="25">
        <f t="shared" si="27"/>
        <v>0.7</v>
      </c>
      <c r="O126" s="26">
        <f t="shared" si="28"/>
        <v>0.78873239436619713</v>
      </c>
      <c r="P126" s="25">
        <f t="shared" si="29"/>
        <v>2.42</v>
      </c>
      <c r="Q126" s="22" t="str">
        <f t="shared" si="30"/>
        <v>Exited</v>
      </c>
      <c r="R126">
        <f t="shared" si="31"/>
        <v>122</v>
      </c>
    </row>
    <row r="127" spans="1:18" x14ac:dyDescent="0.3">
      <c r="A127" s="22">
        <f>IF(B127="","",123)</f>
        <v>123</v>
      </c>
      <c r="B127" s="22" t="str">
        <f>IF(Calc_Engine!I124="","",Calc_Engine!I124)</f>
        <v>EMP1123</v>
      </c>
      <c r="C127" s="23" t="str">
        <f t="shared" si="16"/>
        <v>Arjun Bansal</v>
      </c>
      <c r="D127" s="23" t="str">
        <f t="shared" si="17"/>
        <v>Operations Executive</v>
      </c>
      <c r="E127" s="23" t="str">
        <f t="shared" si="18"/>
        <v>Operations</v>
      </c>
      <c r="F127" s="22" t="str">
        <f t="shared" si="19"/>
        <v>L2</v>
      </c>
      <c r="G127" s="23" t="str">
        <f t="shared" si="20"/>
        <v>Ramya Menon</v>
      </c>
      <c r="H127" s="22" t="str">
        <f t="shared" si="21"/>
        <v>Active</v>
      </c>
      <c r="I127" s="24">
        <f t="shared" si="22"/>
        <v>3.9</v>
      </c>
      <c r="J127" s="22">
        <f t="shared" si="23"/>
        <v>1</v>
      </c>
      <c r="K127" s="23" t="str">
        <f t="shared" si="24"/>
        <v>Underperformer</v>
      </c>
      <c r="L127" s="22" t="str">
        <f t="shared" si="25"/>
        <v>Not Eligible</v>
      </c>
      <c r="M127" s="24">
        <f t="shared" si="26"/>
        <v>5.69</v>
      </c>
      <c r="N127" s="25">
        <f t="shared" si="27"/>
        <v>0.67</v>
      </c>
      <c r="O127" s="26">
        <f t="shared" si="28"/>
        <v>0.93200000000000005</v>
      </c>
      <c r="P127" s="25">
        <f t="shared" si="29"/>
        <v>2.5</v>
      </c>
      <c r="Q127" s="22" t="str">
        <f t="shared" si="30"/>
        <v>High</v>
      </c>
      <c r="R127">
        <f t="shared" si="31"/>
        <v>123</v>
      </c>
    </row>
    <row r="128" spans="1:18" x14ac:dyDescent="0.3">
      <c r="A128" s="22">
        <f>IF(B128="","",124)</f>
        <v>124</v>
      </c>
      <c r="B128" s="22" t="str">
        <f>IF(Calc_Engine!I125="","",Calc_Engine!I125)</f>
        <v>EMP1124</v>
      </c>
      <c r="C128" s="23" t="str">
        <f t="shared" si="16"/>
        <v>Vikram Joshi</v>
      </c>
      <c r="D128" s="23" t="str">
        <f t="shared" si="17"/>
        <v>Head of Customer Experience</v>
      </c>
      <c r="E128" s="23" t="str">
        <f t="shared" si="18"/>
        <v>Customer Support</v>
      </c>
      <c r="F128" s="22" t="str">
        <f t="shared" si="19"/>
        <v>L7</v>
      </c>
      <c r="G128" s="23" t="str">
        <f t="shared" si="20"/>
        <v>Arvind Rao (CEO)</v>
      </c>
      <c r="H128" s="22" t="str">
        <f t="shared" si="21"/>
        <v>Active</v>
      </c>
      <c r="I128" s="24">
        <f t="shared" si="22"/>
        <v>3.9</v>
      </c>
      <c r="J128" s="22">
        <f t="shared" si="23"/>
        <v>4</v>
      </c>
      <c r="K128" s="23" t="str">
        <f t="shared" si="24"/>
        <v>Trusted Professional</v>
      </c>
      <c r="L128" s="22" t="str">
        <f t="shared" si="25"/>
        <v>Not Eligible</v>
      </c>
      <c r="M128" s="24">
        <f t="shared" si="26"/>
        <v>48.9</v>
      </c>
      <c r="N128" s="25">
        <f t="shared" si="27"/>
        <v>0.59</v>
      </c>
      <c r="O128" s="26">
        <f t="shared" si="28"/>
        <v>0.94399999999999995</v>
      </c>
      <c r="P128" s="25">
        <f t="shared" si="29"/>
        <v>3.98</v>
      </c>
      <c r="Q128" s="22" t="str">
        <f t="shared" si="30"/>
        <v>Medium</v>
      </c>
      <c r="R128">
        <f t="shared" si="31"/>
        <v>124</v>
      </c>
    </row>
    <row r="129" spans="1:18" x14ac:dyDescent="0.3">
      <c r="A129" s="22">
        <f>IF(B129="","",125)</f>
        <v>125</v>
      </c>
      <c r="B129" s="22" t="str">
        <f>IF(Calc_Engine!I126="","",Calc_Engine!I126)</f>
        <v>EMP1125</v>
      </c>
      <c r="C129" s="23" t="str">
        <f t="shared" si="16"/>
        <v>Rohan Pandey</v>
      </c>
      <c r="D129" s="23" t="str">
        <f t="shared" si="17"/>
        <v>Software Engineer</v>
      </c>
      <c r="E129" s="23" t="str">
        <f t="shared" si="18"/>
        <v>Engineering</v>
      </c>
      <c r="F129" s="22" t="str">
        <f t="shared" si="19"/>
        <v>L2</v>
      </c>
      <c r="G129" s="23" t="str">
        <f t="shared" si="20"/>
        <v>Gaurav Fernandes</v>
      </c>
      <c r="H129" s="22" t="str">
        <f t="shared" si="21"/>
        <v>Active</v>
      </c>
      <c r="I129" s="24">
        <f t="shared" si="22"/>
        <v>3.8</v>
      </c>
      <c r="J129" s="22">
        <f t="shared" si="23"/>
        <v>3</v>
      </c>
      <c r="K129" s="23" t="str">
        <f t="shared" si="24"/>
        <v>Effective Contributor</v>
      </c>
      <c r="L129" s="22" t="str">
        <f t="shared" si="25"/>
        <v>Not Eligible</v>
      </c>
      <c r="M129" s="24">
        <f t="shared" si="26"/>
        <v>10.68</v>
      </c>
      <c r="N129" s="25">
        <f t="shared" si="27"/>
        <v>1.25</v>
      </c>
      <c r="O129" s="26">
        <f t="shared" si="28"/>
        <v>0.86799999999999999</v>
      </c>
      <c r="P129" s="25">
        <f t="shared" si="29"/>
        <v>3.23</v>
      </c>
      <c r="Q129" s="22" t="str">
        <f t="shared" si="30"/>
        <v>Low</v>
      </c>
      <c r="R129">
        <f t="shared" si="31"/>
        <v>125</v>
      </c>
    </row>
    <row r="130" spans="1:18" x14ac:dyDescent="0.3">
      <c r="A130" s="22">
        <f>IF(B130="","",126)</f>
        <v>126</v>
      </c>
      <c r="B130" s="22" t="str">
        <f>IF(Calc_Engine!I127="","",Calc_Engine!I127)</f>
        <v>EMP1126</v>
      </c>
      <c r="C130" s="23" t="str">
        <f t="shared" si="16"/>
        <v>Imran Krishnan</v>
      </c>
      <c r="D130" s="23" t="str">
        <f t="shared" si="17"/>
        <v>Operations Executive</v>
      </c>
      <c r="E130" s="23" t="str">
        <f t="shared" si="18"/>
        <v>Operations</v>
      </c>
      <c r="F130" s="22" t="str">
        <f t="shared" si="19"/>
        <v>L2</v>
      </c>
      <c r="G130" s="23" t="str">
        <f t="shared" si="20"/>
        <v>Ajay Kumar</v>
      </c>
      <c r="H130" s="22" t="str">
        <f t="shared" si="21"/>
        <v>Active</v>
      </c>
      <c r="I130" s="24">
        <f t="shared" si="22"/>
        <v>3.8</v>
      </c>
      <c r="J130" s="22">
        <f t="shared" si="23"/>
        <v>5</v>
      </c>
      <c r="K130" s="23" t="str">
        <f t="shared" si="24"/>
        <v>Star</v>
      </c>
      <c r="L130" s="22" t="str">
        <f t="shared" si="25"/>
        <v>Eligible</v>
      </c>
      <c r="M130" s="24">
        <f t="shared" si="26"/>
        <v>6.9</v>
      </c>
      <c r="N130" s="25">
        <f t="shared" si="27"/>
        <v>0.81</v>
      </c>
      <c r="O130" s="26">
        <f t="shared" si="28"/>
        <v>0.94399999999999995</v>
      </c>
      <c r="P130" s="25">
        <f t="shared" si="29"/>
        <v>4.37</v>
      </c>
      <c r="Q130" s="22" t="str">
        <f t="shared" si="30"/>
        <v>Medium</v>
      </c>
      <c r="R130">
        <f t="shared" si="31"/>
        <v>126</v>
      </c>
    </row>
    <row r="131" spans="1:18" x14ac:dyDescent="0.3">
      <c r="A131" s="22">
        <f>IF(B131="","",127)</f>
        <v>127</v>
      </c>
      <c r="B131" s="22" t="str">
        <f>IF(Calc_Engine!I128="","",Calc_Engine!I128)</f>
        <v>EMP1127</v>
      </c>
      <c r="C131" s="23" t="str">
        <f t="shared" si="16"/>
        <v>Ayesha Raghavan</v>
      </c>
      <c r="D131" s="23" t="str">
        <f t="shared" si="17"/>
        <v>Sales Executive</v>
      </c>
      <c r="E131" s="23" t="str">
        <f t="shared" si="18"/>
        <v>Sales</v>
      </c>
      <c r="F131" s="22" t="str">
        <f t="shared" si="19"/>
        <v>L2</v>
      </c>
      <c r="G131" s="23" t="str">
        <f t="shared" si="20"/>
        <v>Nikhil Agarwal</v>
      </c>
      <c r="H131" s="22" t="str">
        <f t="shared" si="21"/>
        <v>Active</v>
      </c>
      <c r="I131" s="24">
        <f t="shared" si="22"/>
        <v>3.8</v>
      </c>
      <c r="J131" s="22">
        <f t="shared" si="23"/>
        <v>4</v>
      </c>
      <c r="K131" s="23" t="str">
        <f t="shared" si="24"/>
        <v>Star</v>
      </c>
      <c r="L131" s="22" t="str">
        <f t="shared" si="25"/>
        <v>Not Eligible</v>
      </c>
      <c r="M131" s="24">
        <f t="shared" si="26"/>
        <v>6.89</v>
      </c>
      <c r="N131" s="25">
        <f t="shared" si="27"/>
        <v>0.81</v>
      </c>
      <c r="O131" s="26">
        <f t="shared" si="28"/>
        <v>0.93200000000000005</v>
      </c>
      <c r="P131" s="25">
        <f t="shared" si="29"/>
        <v>3.52</v>
      </c>
      <c r="Q131" s="22" t="str">
        <f t="shared" si="30"/>
        <v>Medium</v>
      </c>
      <c r="R131">
        <f t="shared" si="31"/>
        <v>127</v>
      </c>
    </row>
    <row r="132" spans="1:18" x14ac:dyDescent="0.3">
      <c r="A132" s="22">
        <f>IF(B132="","",128)</f>
        <v>128</v>
      </c>
      <c r="B132" s="22" t="str">
        <f>IF(Calc_Engine!I129="","",Calc_Engine!I129)</f>
        <v>EMP1128</v>
      </c>
      <c r="C132" s="23" t="str">
        <f t="shared" si="16"/>
        <v>Abhishek Das</v>
      </c>
      <c r="D132" s="23" t="str">
        <f t="shared" si="17"/>
        <v>Operations Executive</v>
      </c>
      <c r="E132" s="23" t="str">
        <f t="shared" si="18"/>
        <v>Operations</v>
      </c>
      <c r="F132" s="22" t="str">
        <f t="shared" si="19"/>
        <v>L2</v>
      </c>
      <c r="G132" s="23" t="str">
        <f t="shared" si="20"/>
        <v>Pallavi Nair</v>
      </c>
      <c r="H132" s="22" t="str">
        <f t="shared" si="21"/>
        <v>Active</v>
      </c>
      <c r="I132" s="24">
        <f t="shared" si="22"/>
        <v>3.7</v>
      </c>
      <c r="J132" s="22">
        <f t="shared" si="23"/>
        <v>2</v>
      </c>
      <c r="K132" s="23" t="str">
        <f t="shared" si="24"/>
        <v>Inconsistent Player</v>
      </c>
      <c r="L132" s="22" t="str">
        <f t="shared" si="25"/>
        <v>Not Eligible</v>
      </c>
      <c r="M132" s="24">
        <f t="shared" si="26"/>
        <v>6.01</v>
      </c>
      <c r="N132" s="25">
        <f t="shared" si="27"/>
        <v>0.7</v>
      </c>
      <c r="O132" s="26">
        <f t="shared" si="28"/>
        <v>0.88</v>
      </c>
      <c r="P132" s="25">
        <f t="shared" si="29"/>
        <v>2.93</v>
      </c>
      <c r="Q132" s="22" t="str">
        <f t="shared" si="30"/>
        <v>Medium</v>
      </c>
      <c r="R132">
        <f t="shared" si="31"/>
        <v>128</v>
      </c>
    </row>
    <row r="133" spans="1:18" x14ac:dyDescent="0.3">
      <c r="A133" s="22">
        <f>IF(B133="","",129)</f>
        <v>129</v>
      </c>
      <c r="B133" s="22" t="str">
        <f>IF(Calc_Engine!I130="","",Calc_Engine!I130)</f>
        <v>EMP1129</v>
      </c>
      <c r="C133" s="23" t="str">
        <f t="shared" ref="C133:C196" si="32">IF($R133="","",INDEX(M_Name,$R133))</f>
        <v>Madhuri Menon</v>
      </c>
      <c r="D133" s="23" t="str">
        <f t="shared" ref="D133:D196" si="33">IF($R133="","",INDEX(M_Title,$R133))</f>
        <v>Engineering Manager</v>
      </c>
      <c r="E133" s="23" t="str">
        <f t="shared" ref="E133:E196" si="34">IF($R133="","",INDEX(M_Dept,$R133))</f>
        <v>Engineering</v>
      </c>
      <c r="F133" s="22" t="str">
        <f t="shared" ref="F133:F196" si="35">IF($R133="","",INDEX(M_Level,$R133))</f>
        <v>L5</v>
      </c>
      <c r="G133" s="23" t="str">
        <f t="shared" ref="G133:G196" si="36">IF($R133="","",INDEX(M_Mgr,$R133))</f>
        <v>Vikram Verma</v>
      </c>
      <c r="H133" s="22" t="str">
        <f t="shared" ref="H133:H196" si="37">IF($R133="","",INDEX(M_Status,$R133))</f>
        <v>Active</v>
      </c>
      <c r="I133" s="24">
        <f t="shared" ref="I133:I196" si="38">IF($R133="","",INDEX(M_Tenure,$R133))</f>
        <v>3.7</v>
      </c>
      <c r="J133" s="22">
        <f t="shared" ref="J133:J196" si="39">IF($R133="","",INDEX(P_Rating,$R133))</f>
        <v>3</v>
      </c>
      <c r="K133" s="23" t="str">
        <f t="shared" ref="K133:K196" si="40">IF($R133="","",INDEX(P_9Box,$R133))</f>
        <v>Effective Contributor</v>
      </c>
      <c r="L133" s="22" t="str">
        <f t="shared" ref="L133:L196" si="41">IF($R133="","",INDEX(P_Elig,$R133))</f>
        <v>Not Eligible</v>
      </c>
      <c r="M133" s="24">
        <f t="shared" ref="M133:M196" si="42">IF($R133="","",INDEX(C_CTC,$R133)/100000)</f>
        <v>35.65</v>
      </c>
      <c r="N133" s="25">
        <f t="shared" ref="N133:N196" si="43">IF($R133="","",INDEX(C_Compa,$R133))</f>
        <v>0.97</v>
      </c>
      <c r="O133" s="26">
        <f t="shared" ref="O133:O196" si="44">IF($R133="","",INDEX(A_Att,$R133))</f>
        <v>0.92800000000000005</v>
      </c>
      <c r="P133" s="25">
        <f t="shared" ref="P133:P196" si="45">IF($R133="","",INDEX(E_Overall,$R133))</f>
        <v>2.63</v>
      </c>
      <c r="Q133" s="22" t="str">
        <f t="shared" ref="Q133:Q196" si="46">IF($R133="","",INDEX(E_Risk,$R133))</f>
        <v>Low</v>
      </c>
      <c r="R133">
        <f t="shared" ref="R133:R196" si="47">IF(B133="","",MATCH(B133,M_ID,0))</f>
        <v>129</v>
      </c>
    </row>
    <row r="134" spans="1:18" x14ac:dyDescent="0.3">
      <c r="A134" s="22">
        <f>IF(B134="","",130)</f>
        <v>130</v>
      </c>
      <c r="B134" s="22" t="str">
        <f>IF(Calc_Engine!I131="","",Calc_Engine!I131)</f>
        <v>EMP1130</v>
      </c>
      <c r="C134" s="23" t="str">
        <f t="shared" si="32"/>
        <v>Yash Raghavan</v>
      </c>
      <c r="D134" s="23" t="str">
        <f t="shared" si="33"/>
        <v>Sales Manager</v>
      </c>
      <c r="E134" s="23" t="str">
        <f t="shared" si="34"/>
        <v>Sales</v>
      </c>
      <c r="F134" s="22" t="str">
        <f t="shared" si="35"/>
        <v>L5</v>
      </c>
      <c r="G134" s="23" t="str">
        <f t="shared" si="36"/>
        <v>Gayatri Tiwari</v>
      </c>
      <c r="H134" s="22" t="str">
        <f t="shared" si="37"/>
        <v>Active</v>
      </c>
      <c r="I134" s="24">
        <f t="shared" si="38"/>
        <v>3.7</v>
      </c>
      <c r="J134" s="22">
        <f t="shared" si="39"/>
        <v>1</v>
      </c>
      <c r="K134" s="23" t="str">
        <f t="shared" si="40"/>
        <v>Underperformer</v>
      </c>
      <c r="L134" s="22" t="str">
        <f t="shared" si="41"/>
        <v>Not Eligible</v>
      </c>
      <c r="M134" s="24">
        <f t="shared" si="42"/>
        <v>31.62</v>
      </c>
      <c r="N134" s="25">
        <f t="shared" si="43"/>
        <v>0.86</v>
      </c>
      <c r="O134" s="26">
        <f t="shared" si="44"/>
        <v>0.89600000000000002</v>
      </c>
      <c r="P134" s="25">
        <f t="shared" si="45"/>
        <v>3.52</v>
      </c>
      <c r="Q134" s="22" t="str">
        <f t="shared" si="46"/>
        <v>Low</v>
      </c>
      <c r="R134">
        <f t="shared" si="47"/>
        <v>130</v>
      </c>
    </row>
    <row r="135" spans="1:18" x14ac:dyDescent="0.3">
      <c r="A135" s="22">
        <f>IF(B135="","",131)</f>
        <v>131</v>
      </c>
      <c r="B135" s="22" t="str">
        <f>IF(Calc_Engine!I132="","",Calc_Engine!I132)</f>
        <v>EMP1131</v>
      </c>
      <c r="C135" s="23" t="str">
        <f t="shared" si="32"/>
        <v>Vidya Saxena</v>
      </c>
      <c r="D135" s="23" t="str">
        <f t="shared" si="33"/>
        <v>Software Engineer</v>
      </c>
      <c r="E135" s="23" t="str">
        <f t="shared" si="34"/>
        <v>Engineering</v>
      </c>
      <c r="F135" s="22" t="str">
        <f t="shared" si="35"/>
        <v>L2</v>
      </c>
      <c r="G135" s="23" t="str">
        <f t="shared" si="36"/>
        <v>Harsh Siddiqui</v>
      </c>
      <c r="H135" s="22" t="str">
        <f t="shared" si="37"/>
        <v>Active</v>
      </c>
      <c r="I135" s="24">
        <f t="shared" si="38"/>
        <v>3.7</v>
      </c>
      <c r="J135" s="22">
        <f t="shared" si="39"/>
        <v>3</v>
      </c>
      <c r="K135" s="23" t="str">
        <f t="shared" si="40"/>
        <v>Effective Contributor</v>
      </c>
      <c r="L135" s="22" t="str">
        <f t="shared" si="41"/>
        <v>Not Eligible</v>
      </c>
      <c r="M135" s="24">
        <f t="shared" si="42"/>
        <v>7.77</v>
      </c>
      <c r="N135" s="25">
        <f t="shared" si="43"/>
        <v>0.91</v>
      </c>
      <c r="O135" s="26">
        <f t="shared" si="44"/>
        <v>0.96</v>
      </c>
      <c r="P135" s="25">
        <f t="shared" si="45"/>
        <v>4.18</v>
      </c>
      <c r="Q135" s="22" t="str">
        <f t="shared" si="46"/>
        <v>Low</v>
      </c>
      <c r="R135">
        <f t="shared" si="47"/>
        <v>131</v>
      </c>
    </row>
    <row r="136" spans="1:18" x14ac:dyDescent="0.3">
      <c r="A136" s="22">
        <f>IF(B136="","",132)</f>
        <v>132</v>
      </c>
      <c r="B136" s="22" t="str">
        <f>IF(Calc_Engine!I133="","",Calc_Engine!I133)</f>
        <v>EMP1132</v>
      </c>
      <c r="C136" s="23" t="str">
        <f t="shared" si="32"/>
        <v>Ramya Mukherjee</v>
      </c>
      <c r="D136" s="23" t="str">
        <f t="shared" si="33"/>
        <v>Senior Software Engineer</v>
      </c>
      <c r="E136" s="23" t="str">
        <f t="shared" si="34"/>
        <v>Engineering</v>
      </c>
      <c r="F136" s="22" t="str">
        <f t="shared" si="35"/>
        <v>L3</v>
      </c>
      <c r="G136" s="23" t="str">
        <f t="shared" si="36"/>
        <v>Fatima Choudhary</v>
      </c>
      <c r="H136" s="22" t="str">
        <f t="shared" si="37"/>
        <v>Active</v>
      </c>
      <c r="I136" s="24">
        <f t="shared" si="38"/>
        <v>3.7</v>
      </c>
      <c r="J136" s="22">
        <f t="shared" si="39"/>
        <v>2</v>
      </c>
      <c r="K136" s="23" t="str">
        <f t="shared" si="40"/>
        <v>Underperformer</v>
      </c>
      <c r="L136" s="22" t="str">
        <f t="shared" si="41"/>
        <v>Not Eligible</v>
      </c>
      <c r="M136" s="24">
        <f t="shared" si="42"/>
        <v>17.87</v>
      </c>
      <c r="N136" s="25">
        <f t="shared" si="43"/>
        <v>1.24</v>
      </c>
      <c r="O136" s="26">
        <f t="shared" si="44"/>
        <v>0.93200000000000005</v>
      </c>
      <c r="P136" s="25">
        <f t="shared" si="45"/>
        <v>3.3</v>
      </c>
      <c r="Q136" s="22" t="str">
        <f t="shared" si="46"/>
        <v>Low</v>
      </c>
      <c r="R136">
        <f t="shared" si="47"/>
        <v>132</v>
      </c>
    </row>
    <row r="137" spans="1:18" x14ac:dyDescent="0.3">
      <c r="A137" s="22">
        <f>IF(B137="","",133)</f>
        <v>133</v>
      </c>
      <c r="B137" s="22" t="str">
        <f>IF(Calc_Engine!I134="","",Calc_Engine!I134)</f>
        <v>EMP1133</v>
      </c>
      <c r="C137" s="23" t="str">
        <f t="shared" si="32"/>
        <v>Meera Naidu</v>
      </c>
      <c r="D137" s="23" t="str">
        <f t="shared" si="33"/>
        <v>Support Executive</v>
      </c>
      <c r="E137" s="23" t="str">
        <f t="shared" si="34"/>
        <v>Customer Support</v>
      </c>
      <c r="F137" s="22" t="str">
        <f t="shared" si="35"/>
        <v>L2</v>
      </c>
      <c r="G137" s="23" t="str">
        <f t="shared" si="36"/>
        <v>Isha Verma</v>
      </c>
      <c r="H137" s="22" t="str">
        <f t="shared" si="37"/>
        <v>Active</v>
      </c>
      <c r="I137" s="24">
        <f t="shared" si="38"/>
        <v>3.7</v>
      </c>
      <c r="J137" s="22">
        <f t="shared" si="39"/>
        <v>3</v>
      </c>
      <c r="K137" s="23" t="str">
        <f t="shared" si="40"/>
        <v>Core Player</v>
      </c>
      <c r="L137" s="22" t="str">
        <f t="shared" si="41"/>
        <v>Not Eligible</v>
      </c>
      <c r="M137" s="24">
        <f t="shared" si="42"/>
        <v>6.15</v>
      </c>
      <c r="N137" s="25">
        <f t="shared" si="43"/>
        <v>0.72</v>
      </c>
      <c r="O137" s="26">
        <f t="shared" si="44"/>
        <v>0.88800000000000001</v>
      </c>
      <c r="P137" s="25">
        <f t="shared" si="45"/>
        <v>3</v>
      </c>
      <c r="Q137" s="22" t="str">
        <f t="shared" si="46"/>
        <v>Low</v>
      </c>
      <c r="R137">
        <f t="shared" si="47"/>
        <v>133</v>
      </c>
    </row>
    <row r="138" spans="1:18" x14ac:dyDescent="0.3">
      <c r="A138" s="22">
        <f>IF(B138="","",134)</f>
        <v>134</v>
      </c>
      <c r="B138" s="22" t="str">
        <f>IF(Calc_Engine!I135="","",Calc_Engine!I135)</f>
        <v>EMP1134</v>
      </c>
      <c r="C138" s="23" t="str">
        <f t="shared" si="32"/>
        <v>Krishna Shah</v>
      </c>
      <c r="D138" s="23" t="str">
        <f t="shared" si="33"/>
        <v>HR Business Partner</v>
      </c>
      <c r="E138" s="23" t="str">
        <f t="shared" si="34"/>
        <v>Human Resources</v>
      </c>
      <c r="F138" s="22" t="str">
        <f t="shared" si="35"/>
        <v>L3</v>
      </c>
      <c r="G138" s="23" t="str">
        <f t="shared" si="36"/>
        <v>Ajay Patel</v>
      </c>
      <c r="H138" s="22" t="str">
        <f t="shared" si="37"/>
        <v>Active</v>
      </c>
      <c r="I138" s="24">
        <f t="shared" si="38"/>
        <v>3.7</v>
      </c>
      <c r="J138" s="22">
        <f t="shared" si="39"/>
        <v>4</v>
      </c>
      <c r="K138" s="23" t="str">
        <f t="shared" si="40"/>
        <v>High Performer</v>
      </c>
      <c r="L138" s="22" t="str">
        <f t="shared" si="41"/>
        <v>Eligible</v>
      </c>
      <c r="M138" s="24">
        <f t="shared" si="42"/>
        <v>11.31</v>
      </c>
      <c r="N138" s="25">
        <f t="shared" si="43"/>
        <v>0.78</v>
      </c>
      <c r="O138" s="26">
        <f t="shared" si="44"/>
        <v>0.94399999999999995</v>
      </c>
      <c r="P138" s="25">
        <f t="shared" si="45"/>
        <v>3.33</v>
      </c>
      <c r="Q138" s="22" t="str">
        <f t="shared" si="46"/>
        <v>Medium</v>
      </c>
      <c r="R138">
        <f t="shared" si="47"/>
        <v>134</v>
      </c>
    </row>
    <row r="139" spans="1:18" x14ac:dyDescent="0.3">
      <c r="A139" s="22">
        <f>IF(B139="","",135)</f>
        <v>135</v>
      </c>
      <c r="B139" s="22" t="str">
        <f>IF(Calc_Engine!I136="","",Calc_Engine!I136)</f>
        <v>EMP1135</v>
      </c>
      <c r="C139" s="23" t="str">
        <f t="shared" si="32"/>
        <v>Neha Kamath</v>
      </c>
      <c r="D139" s="23" t="str">
        <f t="shared" si="33"/>
        <v>Operations Executive</v>
      </c>
      <c r="E139" s="23" t="str">
        <f t="shared" si="34"/>
        <v>Operations</v>
      </c>
      <c r="F139" s="22" t="str">
        <f t="shared" si="35"/>
        <v>L2</v>
      </c>
      <c r="G139" s="23" t="str">
        <f t="shared" si="36"/>
        <v>Nandini Fernandes</v>
      </c>
      <c r="H139" s="22" t="str">
        <f t="shared" si="37"/>
        <v>Active</v>
      </c>
      <c r="I139" s="24">
        <f t="shared" si="38"/>
        <v>3.7</v>
      </c>
      <c r="J139" s="22">
        <f t="shared" si="39"/>
        <v>4</v>
      </c>
      <c r="K139" s="23" t="str">
        <f t="shared" si="40"/>
        <v>Star</v>
      </c>
      <c r="L139" s="22" t="str">
        <f t="shared" si="41"/>
        <v>Eligible</v>
      </c>
      <c r="M139" s="24">
        <f t="shared" si="42"/>
        <v>7.67</v>
      </c>
      <c r="N139" s="25">
        <f t="shared" si="43"/>
        <v>0.9</v>
      </c>
      <c r="O139" s="26">
        <f t="shared" si="44"/>
        <v>0.91200000000000003</v>
      </c>
      <c r="P139" s="25">
        <f t="shared" si="45"/>
        <v>3.65</v>
      </c>
      <c r="Q139" s="22" t="str">
        <f t="shared" si="46"/>
        <v>Low</v>
      </c>
      <c r="R139">
        <f t="shared" si="47"/>
        <v>135</v>
      </c>
    </row>
    <row r="140" spans="1:18" x14ac:dyDescent="0.3">
      <c r="A140" s="22">
        <f>IF(B140="","",136)</f>
        <v>136</v>
      </c>
      <c r="B140" s="22" t="str">
        <f>IF(Calc_Engine!I137="","",Calc_Engine!I137)</f>
        <v>EMP1136</v>
      </c>
      <c r="C140" s="23" t="str">
        <f t="shared" si="32"/>
        <v>Lakshmi Iyer</v>
      </c>
      <c r="D140" s="23" t="str">
        <f t="shared" si="33"/>
        <v>Senior Operations Executive</v>
      </c>
      <c r="E140" s="23" t="str">
        <f t="shared" si="34"/>
        <v>Operations</v>
      </c>
      <c r="F140" s="22" t="str">
        <f t="shared" si="35"/>
        <v>L3</v>
      </c>
      <c r="G140" s="23" t="str">
        <f t="shared" si="36"/>
        <v>Ramya Menon</v>
      </c>
      <c r="H140" s="22" t="str">
        <f t="shared" si="37"/>
        <v>Active</v>
      </c>
      <c r="I140" s="24">
        <f t="shared" si="38"/>
        <v>3.7</v>
      </c>
      <c r="J140" s="22">
        <f t="shared" si="39"/>
        <v>3</v>
      </c>
      <c r="K140" s="23" t="str">
        <f t="shared" si="40"/>
        <v>Future Star</v>
      </c>
      <c r="L140" s="22" t="str">
        <f t="shared" si="41"/>
        <v>Not Eligible</v>
      </c>
      <c r="M140" s="24">
        <f t="shared" si="42"/>
        <v>9.61</v>
      </c>
      <c r="N140" s="25">
        <f t="shared" si="43"/>
        <v>0.67</v>
      </c>
      <c r="O140" s="26">
        <f t="shared" si="44"/>
        <v>0.93600000000000005</v>
      </c>
      <c r="P140" s="25">
        <f t="shared" si="45"/>
        <v>3.32</v>
      </c>
      <c r="Q140" s="22" t="str">
        <f t="shared" si="46"/>
        <v>Low</v>
      </c>
      <c r="R140">
        <f t="shared" si="47"/>
        <v>136</v>
      </c>
    </row>
    <row r="141" spans="1:18" x14ac:dyDescent="0.3">
      <c r="A141" s="22">
        <f>IF(B141="","",137)</f>
        <v>137</v>
      </c>
      <c r="B141" s="22" t="str">
        <f>IF(Calc_Engine!I138="","",Calc_Engine!I138)</f>
        <v>EMP1137</v>
      </c>
      <c r="C141" s="23" t="str">
        <f t="shared" si="32"/>
        <v>Aarav Choudhary</v>
      </c>
      <c r="D141" s="23" t="str">
        <f t="shared" si="33"/>
        <v>Senior Data Analyst</v>
      </c>
      <c r="E141" s="23" t="str">
        <f t="shared" si="34"/>
        <v>Data &amp; Analytics</v>
      </c>
      <c r="F141" s="22" t="str">
        <f t="shared" si="35"/>
        <v>L3</v>
      </c>
      <c r="G141" s="23" t="str">
        <f t="shared" si="36"/>
        <v>Karan Verma</v>
      </c>
      <c r="H141" s="22" t="str">
        <f t="shared" si="37"/>
        <v>Exited</v>
      </c>
      <c r="I141" s="24">
        <f t="shared" si="38"/>
        <v>3.2</v>
      </c>
      <c r="J141" s="22">
        <f t="shared" si="39"/>
        <v>3</v>
      </c>
      <c r="K141" s="23" t="str">
        <f t="shared" si="40"/>
        <v>Effective Contributor</v>
      </c>
      <c r="L141" s="22" t="str">
        <f t="shared" si="41"/>
        <v>Not Eligible</v>
      </c>
      <c r="M141" s="24">
        <f t="shared" si="42"/>
        <v>13.02</v>
      </c>
      <c r="N141" s="25">
        <f t="shared" si="43"/>
        <v>0.9</v>
      </c>
      <c r="O141" s="26">
        <f t="shared" si="44"/>
        <v>0.91366906474820142</v>
      </c>
      <c r="P141" s="25">
        <f t="shared" si="45"/>
        <v>2.0299999999999998</v>
      </c>
      <c r="Q141" s="22" t="str">
        <f t="shared" si="46"/>
        <v>Exited</v>
      </c>
      <c r="R141">
        <f t="shared" si="47"/>
        <v>137</v>
      </c>
    </row>
    <row r="142" spans="1:18" x14ac:dyDescent="0.3">
      <c r="A142" s="22">
        <f>IF(B142="","",138)</f>
        <v>138</v>
      </c>
      <c r="B142" s="22" t="str">
        <f>IF(Calc_Engine!I139="","",Calc_Engine!I139)</f>
        <v>EMP1138</v>
      </c>
      <c r="C142" s="23" t="str">
        <f t="shared" si="32"/>
        <v>Ananya Banerjee</v>
      </c>
      <c r="D142" s="23" t="str">
        <f t="shared" si="33"/>
        <v>Senior Software Engineer</v>
      </c>
      <c r="E142" s="23" t="str">
        <f t="shared" si="34"/>
        <v>Engineering</v>
      </c>
      <c r="F142" s="22" t="str">
        <f t="shared" si="35"/>
        <v>L3</v>
      </c>
      <c r="G142" s="23" t="str">
        <f t="shared" si="36"/>
        <v>Prakash Desai</v>
      </c>
      <c r="H142" s="22" t="str">
        <f t="shared" si="37"/>
        <v>Exited</v>
      </c>
      <c r="I142" s="24">
        <f t="shared" si="38"/>
        <v>3.4</v>
      </c>
      <c r="J142" s="22">
        <f t="shared" si="39"/>
        <v>1</v>
      </c>
      <c r="K142" s="23" t="str">
        <f t="shared" si="40"/>
        <v>Underperformer</v>
      </c>
      <c r="L142" s="22" t="str">
        <f t="shared" si="41"/>
        <v>Not Eligible</v>
      </c>
      <c r="M142" s="24">
        <f t="shared" si="42"/>
        <v>11.65</v>
      </c>
      <c r="N142" s="25">
        <f t="shared" si="43"/>
        <v>0.81</v>
      </c>
      <c r="O142" s="26">
        <f t="shared" si="44"/>
        <v>0.85</v>
      </c>
      <c r="P142" s="25">
        <f t="shared" si="45"/>
        <v>2.35</v>
      </c>
      <c r="Q142" s="22" t="str">
        <f t="shared" si="46"/>
        <v>Exited</v>
      </c>
      <c r="R142">
        <f t="shared" si="47"/>
        <v>138</v>
      </c>
    </row>
    <row r="143" spans="1:18" x14ac:dyDescent="0.3">
      <c r="A143" s="22">
        <f>IF(B143="","",139)</f>
        <v>139</v>
      </c>
      <c r="B143" s="22" t="str">
        <f>IF(Calc_Engine!I140="","",Calc_Engine!I140)</f>
        <v>EMP1139</v>
      </c>
      <c r="C143" s="23" t="str">
        <f t="shared" si="32"/>
        <v>Prakash Kamath</v>
      </c>
      <c r="D143" s="23" t="str">
        <f t="shared" si="33"/>
        <v>Operations Lead</v>
      </c>
      <c r="E143" s="23" t="str">
        <f t="shared" si="34"/>
        <v>Operations</v>
      </c>
      <c r="F143" s="22" t="str">
        <f t="shared" si="35"/>
        <v>L4</v>
      </c>
      <c r="G143" s="23" t="str">
        <f t="shared" si="36"/>
        <v>Yash Shah</v>
      </c>
      <c r="H143" s="22" t="str">
        <f t="shared" si="37"/>
        <v>Active</v>
      </c>
      <c r="I143" s="24">
        <f t="shared" si="38"/>
        <v>3.6</v>
      </c>
      <c r="J143" s="22">
        <f t="shared" si="39"/>
        <v>3</v>
      </c>
      <c r="K143" s="23" t="str">
        <f t="shared" si="40"/>
        <v>Core Player</v>
      </c>
      <c r="L143" s="22" t="str">
        <f t="shared" si="41"/>
        <v>Not Eligible</v>
      </c>
      <c r="M143" s="24">
        <f t="shared" si="42"/>
        <v>18.920000000000002</v>
      </c>
      <c r="N143" s="25">
        <f t="shared" si="43"/>
        <v>0.81</v>
      </c>
      <c r="O143" s="26">
        <f t="shared" si="44"/>
        <v>0.89600000000000002</v>
      </c>
      <c r="P143" s="25">
        <f t="shared" si="45"/>
        <v>2.95</v>
      </c>
      <c r="Q143" s="22" t="str">
        <f t="shared" si="46"/>
        <v>High</v>
      </c>
      <c r="R143">
        <f t="shared" si="47"/>
        <v>139</v>
      </c>
    </row>
    <row r="144" spans="1:18" x14ac:dyDescent="0.3">
      <c r="A144" s="22">
        <f>IF(B144="","",140)</f>
        <v>140</v>
      </c>
      <c r="B144" s="22" t="str">
        <f>IF(Calc_Engine!I141="","",Calc_Engine!I141)</f>
        <v>EMP1140</v>
      </c>
      <c r="C144" s="23" t="str">
        <f t="shared" si="32"/>
        <v>Anusha Jain</v>
      </c>
      <c r="D144" s="23" t="str">
        <f t="shared" si="33"/>
        <v>Senior Software Engineer</v>
      </c>
      <c r="E144" s="23" t="str">
        <f t="shared" si="34"/>
        <v>Engineering</v>
      </c>
      <c r="F144" s="22" t="str">
        <f t="shared" si="35"/>
        <v>L3</v>
      </c>
      <c r="G144" s="23" t="str">
        <f t="shared" si="36"/>
        <v>Bhavana Hegde</v>
      </c>
      <c r="H144" s="22" t="str">
        <f t="shared" si="37"/>
        <v>Active</v>
      </c>
      <c r="I144" s="24">
        <f t="shared" si="38"/>
        <v>3.6</v>
      </c>
      <c r="J144" s="22">
        <f t="shared" si="39"/>
        <v>4</v>
      </c>
      <c r="K144" s="23" t="str">
        <f t="shared" si="40"/>
        <v>High Performer</v>
      </c>
      <c r="L144" s="22" t="str">
        <f t="shared" si="41"/>
        <v>Not Eligible</v>
      </c>
      <c r="M144" s="24">
        <f t="shared" si="42"/>
        <v>18.940000000000001</v>
      </c>
      <c r="N144" s="25">
        <f t="shared" si="43"/>
        <v>1.31</v>
      </c>
      <c r="O144" s="26">
        <f t="shared" si="44"/>
        <v>0.94</v>
      </c>
      <c r="P144" s="25">
        <f t="shared" si="45"/>
        <v>2.93</v>
      </c>
      <c r="Q144" s="22" t="str">
        <f t="shared" si="46"/>
        <v>Medium</v>
      </c>
      <c r="R144">
        <f t="shared" si="47"/>
        <v>140</v>
      </c>
    </row>
    <row r="145" spans="1:18" x14ac:dyDescent="0.3">
      <c r="A145" s="22">
        <f>IF(B145="","",141)</f>
        <v>141</v>
      </c>
      <c r="B145" s="22" t="str">
        <f>IF(Calc_Engine!I142="","",Calc_Engine!I142)</f>
        <v>EMP1141</v>
      </c>
      <c r="C145" s="23" t="str">
        <f t="shared" si="32"/>
        <v>Abhishek Banerjee</v>
      </c>
      <c r="D145" s="23" t="str">
        <f t="shared" si="33"/>
        <v>Operations Executive</v>
      </c>
      <c r="E145" s="23" t="str">
        <f t="shared" si="34"/>
        <v>Operations</v>
      </c>
      <c r="F145" s="22" t="str">
        <f t="shared" si="35"/>
        <v>L2</v>
      </c>
      <c r="G145" s="23" t="str">
        <f t="shared" si="36"/>
        <v>Ramya Menon</v>
      </c>
      <c r="H145" s="22" t="str">
        <f t="shared" si="37"/>
        <v>Active</v>
      </c>
      <c r="I145" s="24">
        <f t="shared" si="38"/>
        <v>3.6</v>
      </c>
      <c r="J145" s="22">
        <f t="shared" si="39"/>
        <v>4</v>
      </c>
      <c r="K145" s="23" t="str">
        <f t="shared" si="40"/>
        <v>Trusted Professional</v>
      </c>
      <c r="L145" s="22" t="str">
        <f t="shared" si="41"/>
        <v>Not Eligible</v>
      </c>
      <c r="M145" s="24">
        <f t="shared" si="42"/>
        <v>7.39</v>
      </c>
      <c r="N145" s="25">
        <f t="shared" si="43"/>
        <v>0.86</v>
      </c>
      <c r="O145" s="26">
        <f t="shared" si="44"/>
        <v>0.89200000000000002</v>
      </c>
      <c r="P145" s="25">
        <f t="shared" si="45"/>
        <v>2.78</v>
      </c>
      <c r="Q145" s="22" t="str">
        <f t="shared" si="46"/>
        <v>High</v>
      </c>
      <c r="R145">
        <f t="shared" si="47"/>
        <v>141</v>
      </c>
    </row>
    <row r="146" spans="1:18" x14ac:dyDescent="0.3">
      <c r="A146" s="22">
        <f>IF(B146="","",142)</f>
        <v>142</v>
      </c>
      <c r="B146" s="22" t="str">
        <f>IF(Calc_Engine!I143="","",Calc_Engine!I143)</f>
        <v>EMP1142</v>
      </c>
      <c r="C146" s="23" t="str">
        <f t="shared" si="32"/>
        <v>Nisha Naidu</v>
      </c>
      <c r="D146" s="23" t="str">
        <f t="shared" si="33"/>
        <v>Sales Executive</v>
      </c>
      <c r="E146" s="23" t="str">
        <f t="shared" si="34"/>
        <v>Sales</v>
      </c>
      <c r="F146" s="22" t="str">
        <f t="shared" si="35"/>
        <v>L2</v>
      </c>
      <c r="G146" s="23" t="str">
        <f t="shared" si="36"/>
        <v>Madhuri Malhotra</v>
      </c>
      <c r="H146" s="22" t="str">
        <f t="shared" si="37"/>
        <v>Active</v>
      </c>
      <c r="I146" s="24">
        <f t="shared" si="38"/>
        <v>3.6</v>
      </c>
      <c r="J146" s="22">
        <f t="shared" si="39"/>
        <v>4</v>
      </c>
      <c r="K146" s="23" t="str">
        <f t="shared" si="40"/>
        <v>Star</v>
      </c>
      <c r="L146" s="22" t="str">
        <f t="shared" si="41"/>
        <v>Not Eligible</v>
      </c>
      <c r="M146" s="24">
        <f t="shared" si="42"/>
        <v>6.29</v>
      </c>
      <c r="N146" s="25">
        <f t="shared" si="43"/>
        <v>0.74</v>
      </c>
      <c r="O146" s="26">
        <f t="shared" si="44"/>
        <v>0.88400000000000001</v>
      </c>
      <c r="P146" s="25">
        <f t="shared" si="45"/>
        <v>4.33</v>
      </c>
      <c r="Q146" s="22" t="str">
        <f t="shared" si="46"/>
        <v>Medium</v>
      </c>
      <c r="R146">
        <f t="shared" si="47"/>
        <v>142</v>
      </c>
    </row>
    <row r="147" spans="1:18" x14ac:dyDescent="0.3">
      <c r="A147" s="22">
        <f>IF(B147="","",143)</f>
        <v>143</v>
      </c>
      <c r="B147" s="22" t="str">
        <f>IF(Calc_Engine!I144="","",Calc_Engine!I144)</f>
        <v>EMP1143</v>
      </c>
      <c r="C147" s="23" t="str">
        <f t="shared" si="32"/>
        <v>Tejaswini Naidu</v>
      </c>
      <c r="D147" s="23" t="str">
        <f t="shared" si="33"/>
        <v>Head of Operations</v>
      </c>
      <c r="E147" s="23" t="str">
        <f t="shared" si="34"/>
        <v>Operations</v>
      </c>
      <c r="F147" s="22" t="str">
        <f t="shared" si="35"/>
        <v>L7</v>
      </c>
      <c r="G147" s="23" t="str">
        <f t="shared" si="36"/>
        <v>Arvind Rao (CEO)</v>
      </c>
      <c r="H147" s="22" t="str">
        <f t="shared" si="37"/>
        <v>Active</v>
      </c>
      <c r="I147" s="24">
        <f t="shared" si="38"/>
        <v>3.6</v>
      </c>
      <c r="J147" s="22">
        <f t="shared" si="39"/>
        <v>5</v>
      </c>
      <c r="K147" s="23" t="str">
        <f t="shared" si="40"/>
        <v>Star</v>
      </c>
      <c r="L147" s="22" t="str">
        <f t="shared" si="41"/>
        <v>Not Eligible</v>
      </c>
      <c r="M147" s="24">
        <f t="shared" si="42"/>
        <v>73.209999999999994</v>
      </c>
      <c r="N147" s="25">
        <f t="shared" si="43"/>
        <v>0.89</v>
      </c>
      <c r="O147" s="26">
        <f t="shared" si="44"/>
        <v>0.94799999999999995</v>
      </c>
      <c r="P147" s="25">
        <f t="shared" si="45"/>
        <v>3.87</v>
      </c>
      <c r="Q147" s="22" t="str">
        <f t="shared" si="46"/>
        <v>Medium</v>
      </c>
      <c r="R147">
        <f t="shared" si="47"/>
        <v>143</v>
      </c>
    </row>
    <row r="148" spans="1:18" x14ac:dyDescent="0.3">
      <c r="A148" s="22">
        <f>IF(B148="","",144)</f>
        <v>144</v>
      </c>
      <c r="B148" s="22" t="str">
        <f>IF(Calc_Engine!I145="","",Calc_Engine!I145)</f>
        <v>EMP1144</v>
      </c>
      <c r="C148" s="23" t="str">
        <f t="shared" si="32"/>
        <v>Nandini Bansal</v>
      </c>
      <c r="D148" s="23" t="str">
        <f t="shared" si="33"/>
        <v>Marketing Executive</v>
      </c>
      <c r="E148" s="23" t="str">
        <f t="shared" si="34"/>
        <v>Marketing</v>
      </c>
      <c r="F148" s="22" t="str">
        <f t="shared" si="35"/>
        <v>L2</v>
      </c>
      <c r="G148" s="23" t="str">
        <f t="shared" si="36"/>
        <v>Isha Chatterjee</v>
      </c>
      <c r="H148" s="22" t="str">
        <f t="shared" si="37"/>
        <v>Active</v>
      </c>
      <c r="I148" s="24">
        <f t="shared" si="38"/>
        <v>3.6</v>
      </c>
      <c r="J148" s="22">
        <f t="shared" si="39"/>
        <v>2</v>
      </c>
      <c r="K148" s="23" t="str">
        <f t="shared" si="40"/>
        <v>Inconsistent Player</v>
      </c>
      <c r="L148" s="22" t="str">
        <f t="shared" si="41"/>
        <v>Not Eligible</v>
      </c>
      <c r="M148" s="24">
        <f t="shared" si="42"/>
        <v>8.2899999999999991</v>
      </c>
      <c r="N148" s="25">
        <f t="shared" si="43"/>
        <v>0.97</v>
      </c>
      <c r="O148" s="26">
        <f t="shared" si="44"/>
        <v>0.88400000000000001</v>
      </c>
      <c r="P148" s="25">
        <f t="shared" si="45"/>
        <v>3.53</v>
      </c>
      <c r="Q148" s="22" t="str">
        <f t="shared" si="46"/>
        <v>Low</v>
      </c>
      <c r="R148">
        <f t="shared" si="47"/>
        <v>144</v>
      </c>
    </row>
    <row r="149" spans="1:18" x14ac:dyDescent="0.3">
      <c r="A149" s="22">
        <f>IF(B149="","",145)</f>
        <v>145</v>
      </c>
      <c r="B149" s="22" t="str">
        <f>IF(Calc_Engine!I146="","",Calc_Engine!I146)</f>
        <v>EMP1145</v>
      </c>
      <c r="C149" s="23" t="str">
        <f t="shared" si="32"/>
        <v>Srinivas Bansal</v>
      </c>
      <c r="D149" s="23" t="str">
        <f t="shared" si="33"/>
        <v>Sales Executive</v>
      </c>
      <c r="E149" s="23" t="str">
        <f t="shared" si="34"/>
        <v>Sales</v>
      </c>
      <c r="F149" s="22" t="str">
        <f t="shared" si="35"/>
        <v>L2</v>
      </c>
      <c r="G149" s="23" t="str">
        <f t="shared" si="36"/>
        <v>Kavya Krishnan</v>
      </c>
      <c r="H149" s="22" t="str">
        <f t="shared" si="37"/>
        <v>Active</v>
      </c>
      <c r="I149" s="24">
        <f t="shared" si="38"/>
        <v>3.6</v>
      </c>
      <c r="J149" s="22">
        <f t="shared" si="39"/>
        <v>3</v>
      </c>
      <c r="K149" s="23" t="str">
        <f t="shared" si="40"/>
        <v>Future Star</v>
      </c>
      <c r="L149" s="22" t="str">
        <f t="shared" si="41"/>
        <v>Not Eligible</v>
      </c>
      <c r="M149" s="24">
        <f t="shared" si="42"/>
        <v>8.66</v>
      </c>
      <c r="N149" s="25">
        <f t="shared" si="43"/>
        <v>1.01</v>
      </c>
      <c r="O149" s="26">
        <f t="shared" si="44"/>
        <v>0.93200000000000005</v>
      </c>
      <c r="P149" s="25">
        <f t="shared" si="45"/>
        <v>3.53</v>
      </c>
      <c r="Q149" s="22" t="str">
        <f t="shared" si="46"/>
        <v>Low</v>
      </c>
      <c r="R149">
        <f t="shared" si="47"/>
        <v>145</v>
      </c>
    </row>
    <row r="150" spans="1:18" x14ac:dyDescent="0.3">
      <c r="A150" s="22">
        <f>IF(B150="","",146)</f>
        <v>146</v>
      </c>
      <c r="B150" s="22" t="str">
        <f>IF(Calc_Engine!I147="","",Calc_Engine!I147)</f>
        <v>EMP1146</v>
      </c>
      <c r="C150" s="23" t="str">
        <f t="shared" si="32"/>
        <v>Tejaswini Dsouza</v>
      </c>
      <c r="D150" s="23" t="str">
        <f t="shared" si="33"/>
        <v>Sales Executive</v>
      </c>
      <c r="E150" s="23" t="str">
        <f t="shared" si="34"/>
        <v>Sales</v>
      </c>
      <c r="F150" s="22" t="str">
        <f t="shared" si="35"/>
        <v>L2</v>
      </c>
      <c r="G150" s="23" t="str">
        <f t="shared" si="36"/>
        <v>Srinivas Shah</v>
      </c>
      <c r="H150" s="22" t="str">
        <f t="shared" si="37"/>
        <v>Exited</v>
      </c>
      <c r="I150" s="24">
        <f t="shared" si="38"/>
        <v>3.1</v>
      </c>
      <c r="J150" s="22">
        <f t="shared" si="39"/>
        <v>1</v>
      </c>
      <c r="K150" s="23" t="str">
        <f t="shared" si="40"/>
        <v>Underperformer</v>
      </c>
      <c r="L150" s="22" t="str">
        <f t="shared" si="41"/>
        <v>Not Eligible</v>
      </c>
      <c r="M150" s="24">
        <f t="shared" si="42"/>
        <v>7.81</v>
      </c>
      <c r="N150" s="25">
        <f t="shared" si="43"/>
        <v>0.91</v>
      </c>
      <c r="O150" s="26">
        <f t="shared" si="44"/>
        <v>0.82539682539682535</v>
      </c>
      <c r="P150" s="25">
        <f t="shared" si="45"/>
        <v>1.08</v>
      </c>
      <c r="Q150" s="22" t="str">
        <f t="shared" si="46"/>
        <v>Exited</v>
      </c>
      <c r="R150">
        <f t="shared" si="47"/>
        <v>146</v>
      </c>
    </row>
    <row r="151" spans="1:18" x14ac:dyDescent="0.3">
      <c r="A151" s="22">
        <f>IF(B151="","",147)</f>
        <v>147</v>
      </c>
      <c r="B151" s="22" t="str">
        <f>IF(Calc_Engine!I148="","",Calc_Engine!I148)</f>
        <v>EMP1147</v>
      </c>
      <c r="C151" s="23" t="str">
        <f t="shared" si="32"/>
        <v>Zara Krishnan</v>
      </c>
      <c r="D151" s="23" t="str">
        <f t="shared" si="33"/>
        <v>Legal Counsel</v>
      </c>
      <c r="E151" s="23" t="str">
        <f t="shared" si="34"/>
        <v>Legal &amp; Compliance</v>
      </c>
      <c r="F151" s="22" t="str">
        <f t="shared" si="35"/>
        <v>L3</v>
      </c>
      <c r="G151" s="23" t="str">
        <f t="shared" si="36"/>
        <v>Ramya Khanna</v>
      </c>
      <c r="H151" s="22" t="str">
        <f t="shared" si="37"/>
        <v>Active</v>
      </c>
      <c r="I151" s="24">
        <f t="shared" si="38"/>
        <v>3.6</v>
      </c>
      <c r="J151" s="22">
        <f t="shared" si="39"/>
        <v>3</v>
      </c>
      <c r="K151" s="23" t="str">
        <f t="shared" si="40"/>
        <v>Core Player</v>
      </c>
      <c r="L151" s="22" t="str">
        <f t="shared" si="41"/>
        <v>Not Eligible</v>
      </c>
      <c r="M151" s="24">
        <f t="shared" si="42"/>
        <v>13.8</v>
      </c>
      <c r="N151" s="25">
        <f t="shared" si="43"/>
        <v>0.96</v>
      </c>
      <c r="O151" s="26">
        <f t="shared" si="44"/>
        <v>0.94399999999999995</v>
      </c>
      <c r="P151" s="25">
        <f t="shared" si="45"/>
        <v>2.15</v>
      </c>
      <c r="Q151" s="22" t="str">
        <f t="shared" si="46"/>
        <v>Medium</v>
      </c>
      <c r="R151">
        <f t="shared" si="47"/>
        <v>147</v>
      </c>
    </row>
    <row r="152" spans="1:18" x14ac:dyDescent="0.3">
      <c r="A152" s="22">
        <f>IF(B152="","",148)</f>
        <v>148</v>
      </c>
      <c r="B152" s="22" t="str">
        <f>IF(Calc_Engine!I149="","",Calc_Engine!I149)</f>
        <v>EMP1148</v>
      </c>
      <c r="C152" s="23" t="str">
        <f t="shared" si="32"/>
        <v>Suresh Bansal</v>
      </c>
      <c r="D152" s="23" t="str">
        <f t="shared" si="33"/>
        <v>Product Manager</v>
      </c>
      <c r="E152" s="23" t="str">
        <f t="shared" si="34"/>
        <v>Product</v>
      </c>
      <c r="F152" s="22" t="str">
        <f t="shared" si="35"/>
        <v>L3</v>
      </c>
      <c r="G152" s="23" t="str">
        <f t="shared" si="36"/>
        <v>Trisha Malhotra</v>
      </c>
      <c r="H152" s="22" t="str">
        <f t="shared" si="37"/>
        <v>Active</v>
      </c>
      <c r="I152" s="24">
        <f t="shared" si="38"/>
        <v>3.6</v>
      </c>
      <c r="J152" s="22">
        <f t="shared" si="39"/>
        <v>4</v>
      </c>
      <c r="K152" s="23" t="str">
        <f t="shared" si="40"/>
        <v>Star</v>
      </c>
      <c r="L152" s="22" t="str">
        <f t="shared" si="41"/>
        <v>Eligible</v>
      </c>
      <c r="M152" s="24">
        <f t="shared" si="42"/>
        <v>14.46</v>
      </c>
      <c r="N152" s="25">
        <f t="shared" si="43"/>
        <v>1</v>
      </c>
      <c r="O152" s="26">
        <f t="shared" si="44"/>
        <v>0.92800000000000005</v>
      </c>
      <c r="P152" s="25">
        <f t="shared" si="45"/>
        <v>3.18</v>
      </c>
      <c r="Q152" s="22" t="str">
        <f t="shared" si="46"/>
        <v>Low</v>
      </c>
      <c r="R152">
        <f t="shared" si="47"/>
        <v>148</v>
      </c>
    </row>
    <row r="153" spans="1:18" x14ac:dyDescent="0.3">
      <c r="A153" s="22">
        <f>IF(B153="","",149)</f>
        <v>149</v>
      </c>
      <c r="B153" s="22" t="str">
        <f>IF(Calc_Engine!I150="","",Calc_Engine!I150)</f>
        <v>EMP1149</v>
      </c>
      <c r="C153" s="23" t="str">
        <f t="shared" si="32"/>
        <v>Ashish Sharma</v>
      </c>
      <c r="D153" s="23" t="str">
        <f t="shared" si="33"/>
        <v>Senior Sales Executive</v>
      </c>
      <c r="E153" s="23" t="str">
        <f t="shared" si="34"/>
        <v>Sales</v>
      </c>
      <c r="F153" s="22" t="str">
        <f t="shared" si="35"/>
        <v>L3</v>
      </c>
      <c r="G153" s="23" t="str">
        <f t="shared" si="36"/>
        <v>Nikhil Agarwal</v>
      </c>
      <c r="H153" s="22" t="str">
        <f t="shared" si="37"/>
        <v>Active</v>
      </c>
      <c r="I153" s="24">
        <f t="shared" si="38"/>
        <v>3.5</v>
      </c>
      <c r="J153" s="22">
        <f t="shared" si="39"/>
        <v>2</v>
      </c>
      <c r="K153" s="23" t="str">
        <f t="shared" si="40"/>
        <v>Inconsistent Player</v>
      </c>
      <c r="L153" s="22" t="str">
        <f t="shared" si="41"/>
        <v>Not Eligible</v>
      </c>
      <c r="M153" s="24">
        <f t="shared" si="42"/>
        <v>10.94</v>
      </c>
      <c r="N153" s="25">
        <f t="shared" si="43"/>
        <v>0.76</v>
      </c>
      <c r="O153" s="26">
        <f t="shared" si="44"/>
        <v>0.91600000000000004</v>
      </c>
      <c r="P153" s="25">
        <f t="shared" si="45"/>
        <v>3.07</v>
      </c>
      <c r="Q153" s="22" t="str">
        <f t="shared" si="46"/>
        <v>Low</v>
      </c>
      <c r="R153">
        <f t="shared" si="47"/>
        <v>149</v>
      </c>
    </row>
    <row r="154" spans="1:18" x14ac:dyDescent="0.3">
      <c r="A154" s="22">
        <f>IF(B154="","",150)</f>
        <v>150</v>
      </c>
      <c r="B154" s="22" t="str">
        <f>IF(Calc_Engine!I151="","",Calc_Engine!I151)</f>
        <v>EMP1150</v>
      </c>
      <c r="C154" s="23" t="str">
        <f t="shared" si="32"/>
        <v>Vidya Chatterjee</v>
      </c>
      <c r="D154" s="23" t="str">
        <f t="shared" si="33"/>
        <v>Support Manager</v>
      </c>
      <c r="E154" s="23" t="str">
        <f t="shared" si="34"/>
        <v>Customer Support</v>
      </c>
      <c r="F154" s="22" t="str">
        <f t="shared" si="35"/>
        <v>L5</v>
      </c>
      <c r="G154" s="23" t="str">
        <f t="shared" si="36"/>
        <v>Pooja Khanna</v>
      </c>
      <c r="H154" s="22" t="str">
        <f t="shared" si="37"/>
        <v>Active</v>
      </c>
      <c r="I154" s="24">
        <f t="shared" si="38"/>
        <v>3.5</v>
      </c>
      <c r="J154" s="22">
        <f t="shared" si="39"/>
        <v>3</v>
      </c>
      <c r="K154" s="23" t="str">
        <f t="shared" si="40"/>
        <v>Core Player</v>
      </c>
      <c r="L154" s="22" t="str">
        <f t="shared" si="41"/>
        <v>Not Eligible</v>
      </c>
      <c r="M154" s="24">
        <f t="shared" si="42"/>
        <v>21.39</v>
      </c>
      <c r="N154" s="25">
        <f t="shared" si="43"/>
        <v>0.57999999999999996</v>
      </c>
      <c r="O154" s="26">
        <f t="shared" si="44"/>
        <v>0.92</v>
      </c>
      <c r="P154" s="25">
        <f t="shared" si="45"/>
        <v>3.57</v>
      </c>
      <c r="Q154" s="22" t="str">
        <f t="shared" si="46"/>
        <v>Low</v>
      </c>
      <c r="R154">
        <f t="shared" si="47"/>
        <v>150</v>
      </c>
    </row>
    <row r="155" spans="1:18" x14ac:dyDescent="0.3">
      <c r="A155" s="22">
        <f>IF(B155="","",151)</f>
        <v>151</v>
      </c>
      <c r="B155" s="22" t="str">
        <f>IF(Calc_Engine!I152="","",Calc_Engine!I152)</f>
        <v>EMP1151</v>
      </c>
      <c r="C155" s="23" t="str">
        <f t="shared" si="32"/>
        <v>Abhishek Verma</v>
      </c>
      <c r="D155" s="23" t="str">
        <f t="shared" si="33"/>
        <v>Software Engineer</v>
      </c>
      <c r="E155" s="23" t="str">
        <f t="shared" si="34"/>
        <v>Engineering</v>
      </c>
      <c r="F155" s="22" t="str">
        <f t="shared" si="35"/>
        <v>L2</v>
      </c>
      <c r="G155" s="23" t="str">
        <f t="shared" si="36"/>
        <v>Bhavana Hegde</v>
      </c>
      <c r="H155" s="22" t="str">
        <f t="shared" si="37"/>
        <v>Active</v>
      </c>
      <c r="I155" s="24">
        <f t="shared" si="38"/>
        <v>3.5</v>
      </c>
      <c r="J155" s="22">
        <f t="shared" si="39"/>
        <v>3</v>
      </c>
      <c r="K155" s="23" t="str">
        <f t="shared" si="40"/>
        <v>Effective Contributor</v>
      </c>
      <c r="L155" s="22" t="str">
        <f t="shared" si="41"/>
        <v>Not Eligible</v>
      </c>
      <c r="M155" s="24">
        <f t="shared" si="42"/>
        <v>11.39</v>
      </c>
      <c r="N155" s="25">
        <f t="shared" si="43"/>
        <v>1.33</v>
      </c>
      <c r="O155" s="26">
        <f t="shared" si="44"/>
        <v>0.89200000000000002</v>
      </c>
      <c r="P155" s="25">
        <f t="shared" si="45"/>
        <v>2.62</v>
      </c>
      <c r="Q155" s="22" t="str">
        <f t="shared" si="46"/>
        <v>Low</v>
      </c>
      <c r="R155">
        <f t="shared" si="47"/>
        <v>151</v>
      </c>
    </row>
    <row r="156" spans="1:18" x14ac:dyDescent="0.3">
      <c r="A156" s="22">
        <f>IF(B156="","",152)</f>
        <v>152</v>
      </c>
      <c r="B156" s="22" t="str">
        <f>IF(Calc_Engine!I153="","",Calc_Engine!I153)</f>
        <v>EMP1152</v>
      </c>
      <c r="C156" s="23" t="str">
        <f t="shared" si="32"/>
        <v>Tarun Pillai</v>
      </c>
      <c r="D156" s="23" t="str">
        <f t="shared" si="33"/>
        <v>Senior Software Engineer</v>
      </c>
      <c r="E156" s="23" t="str">
        <f t="shared" si="34"/>
        <v>Engineering</v>
      </c>
      <c r="F156" s="22" t="str">
        <f t="shared" si="35"/>
        <v>L3</v>
      </c>
      <c r="G156" s="23" t="str">
        <f t="shared" si="36"/>
        <v>Prakash Desai</v>
      </c>
      <c r="H156" s="22" t="str">
        <f t="shared" si="37"/>
        <v>Active</v>
      </c>
      <c r="I156" s="24">
        <f t="shared" si="38"/>
        <v>3.5</v>
      </c>
      <c r="J156" s="22">
        <f t="shared" si="39"/>
        <v>2</v>
      </c>
      <c r="K156" s="23" t="str">
        <f t="shared" si="40"/>
        <v>Underperformer</v>
      </c>
      <c r="L156" s="22" t="str">
        <f t="shared" si="41"/>
        <v>Not Eligible</v>
      </c>
      <c r="M156" s="24">
        <f t="shared" si="42"/>
        <v>12.45</v>
      </c>
      <c r="N156" s="25">
        <f t="shared" si="43"/>
        <v>0.86</v>
      </c>
      <c r="O156" s="26">
        <f t="shared" si="44"/>
        <v>0.9</v>
      </c>
      <c r="P156" s="25">
        <f t="shared" si="45"/>
        <v>2.5</v>
      </c>
      <c r="Q156" s="22" t="str">
        <f t="shared" si="46"/>
        <v>Medium</v>
      </c>
      <c r="R156">
        <f t="shared" si="47"/>
        <v>152</v>
      </c>
    </row>
    <row r="157" spans="1:18" x14ac:dyDescent="0.3">
      <c r="A157" s="22">
        <f>IF(B157="","",153)</f>
        <v>153</v>
      </c>
      <c r="B157" s="22" t="str">
        <f>IF(Calc_Engine!I154="","",Calc_Engine!I154)</f>
        <v>EMP1153</v>
      </c>
      <c r="C157" s="23" t="str">
        <f t="shared" si="32"/>
        <v>Zara Bose</v>
      </c>
      <c r="D157" s="23" t="str">
        <f t="shared" si="33"/>
        <v>Senior Operations Executive</v>
      </c>
      <c r="E157" s="23" t="str">
        <f t="shared" si="34"/>
        <v>Operations</v>
      </c>
      <c r="F157" s="22" t="str">
        <f t="shared" si="35"/>
        <v>L3</v>
      </c>
      <c r="G157" s="23" t="str">
        <f t="shared" si="36"/>
        <v>Ajay Kumar</v>
      </c>
      <c r="H157" s="22" t="str">
        <f t="shared" si="37"/>
        <v>Active</v>
      </c>
      <c r="I157" s="24">
        <f t="shared" si="38"/>
        <v>3.5</v>
      </c>
      <c r="J157" s="22">
        <f t="shared" si="39"/>
        <v>3</v>
      </c>
      <c r="K157" s="23" t="str">
        <f t="shared" si="40"/>
        <v>Core Player</v>
      </c>
      <c r="L157" s="22" t="str">
        <f t="shared" si="41"/>
        <v>Not Eligible</v>
      </c>
      <c r="M157" s="24">
        <f t="shared" si="42"/>
        <v>9.44</v>
      </c>
      <c r="N157" s="25">
        <f t="shared" si="43"/>
        <v>0.65</v>
      </c>
      <c r="O157" s="26">
        <f t="shared" si="44"/>
        <v>0.91200000000000003</v>
      </c>
      <c r="P157" s="25">
        <f t="shared" si="45"/>
        <v>2.97</v>
      </c>
      <c r="Q157" s="22" t="str">
        <f t="shared" si="46"/>
        <v>Medium</v>
      </c>
      <c r="R157">
        <f t="shared" si="47"/>
        <v>153</v>
      </c>
    </row>
    <row r="158" spans="1:18" x14ac:dyDescent="0.3">
      <c r="A158" s="22">
        <f>IF(B158="","",154)</f>
        <v>154</v>
      </c>
      <c r="B158" s="22" t="str">
        <f>IF(Calc_Engine!I155="","",Calc_Engine!I155)</f>
        <v>EMP1154</v>
      </c>
      <c r="C158" s="23" t="str">
        <f t="shared" si="32"/>
        <v>Krishna Chatterjee</v>
      </c>
      <c r="D158" s="23" t="str">
        <f t="shared" si="33"/>
        <v>Operations Executive</v>
      </c>
      <c r="E158" s="23" t="str">
        <f t="shared" si="34"/>
        <v>Operations</v>
      </c>
      <c r="F158" s="22" t="str">
        <f t="shared" si="35"/>
        <v>L2</v>
      </c>
      <c r="G158" s="23" t="str">
        <f t="shared" si="36"/>
        <v>Yash Shah</v>
      </c>
      <c r="H158" s="22" t="str">
        <f t="shared" si="37"/>
        <v>Active</v>
      </c>
      <c r="I158" s="24">
        <f t="shared" si="38"/>
        <v>3.5</v>
      </c>
      <c r="J158" s="22">
        <f t="shared" si="39"/>
        <v>5</v>
      </c>
      <c r="K158" s="23" t="str">
        <f t="shared" si="40"/>
        <v>Star</v>
      </c>
      <c r="L158" s="22" t="str">
        <f t="shared" si="41"/>
        <v>Eligible</v>
      </c>
      <c r="M158" s="24">
        <f t="shared" si="42"/>
        <v>8.09</v>
      </c>
      <c r="N158" s="25">
        <f t="shared" si="43"/>
        <v>0.95</v>
      </c>
      <c r="O158" s="26">
        <f t="shared" si="44"/>
        <v>0.92800000000000005</v>
      </c>
      <c r="P158" s="25">
        <f t="shared" si="45"/>
        <v>3.47</v>
      </c>
      <c r="Q158" s="22" t="str">
        <f t="shared" si="46"/>
        <v>Medium</v>
      </c>
      <c r="R158">
        <f t="shared" si="47"/>
        <v>154</v>
      </c>
    </row>
    <row r="159" spans="1:18" x14ac:dyDescent="0.3">
      <c r="A159" s="22">
        <f>IF(B159="","",155)</f>
        <v>155</v>
      </c>
      <c r="B159" s="22" t="str">
        <f>IF(Calc_Engine!I156="","",Calc_Engine!I156)</f>
        <v>EMP1155</v>
      </c>
      <c r="C159" s="23" t="str">
        <f t="shared" si="32"/>
        <v>Mary Singh</v>
      </c>
      <c r="D159" s="23" t="str">
        <f t="shared" si="33"/>
        <v>HR Executive</v>
      </c>
      <c r="E159" s="23" t="str">
        <f t="shared" si="34"/>
        <v>Human Resources</v>
      </c>
      <c r="F159" s="22" t="str">
        <f t="shared" si="35"/>
        <v>L2</v>
      </c>
      <c r="G159" s="23" t="str">
        <f t="shared" si="36"/>
        <v>Ajay Patel</v>
      </c>
      <c r="H159" s="22" t="str">
        <f t="shared" si="37"/>
        <v>Active</v>
      </c>
      <c r="I159" s="24">
        <f t="shared" si="38"/>
        <v>3.5</v>
      </c>
      <c r="J159" s="22">
        <f t="shared" si="39"/>
        <v>3</v>
      </c>
      <c r="K159" s="23" t="str">
        <f t="shared" si="40"/>
        <v>Core Player</v>
      </c>
      <c r="L159" s="22" t="str">
        <f t="shared" si="41"/>
        <v>Not Eligible</v>
      </c>
      <c r="M159" s="24">
        <f t="shared" si="42"/>
        <v>6.1</v>
      </c>
      <c r="N159" s="25">
        <f t="shared" si="43"/>
        <v>0.71</v>
      </c>
      <c r="O159" s="26">
        <f t="shared" si="44"/>
        <v>0.93600000000000005</v>
      </c>
      <c r="P159" s="25">
        <f t="shared" si="45"/>
        <v>2.4300000000000002</v>
      </c>
      <c r="Q159" s="22" t="str">
        <f t="shared" si="46"/>
        <v>High</v>
      </c>
      <c r="R159">
        <f t="shared" si="47"/>
        <v>155</v>
      </c>
    </row>
    <row r="160" spans="1:18" x14ac:dyDescent="0.3">
      <c r="A160" s="22">
        <f>IF(B160="","",156)</f>
        <v>156</v>
      </c>
      <c r="B160" s="22" t="str">
        <f>IF(Calc_Engine!I157="","",Calc_Engine!I157)</f>
        <v>EMP1156</v>
      </c>
      <c r="C160" s="23" t="str">
        <f t="shared" si="32"/>
        <v>Lakshmi Pillai</v>
      </c>
      <c r="D160" s="23" t="str">
        <f t="shared" si="33"/>
        <v>Senior Finance Executive</v>
      </c>
      <c r="E160" s="23" t="str">
        <f t="shared" si="34"/>
        <v>Finance</v>
      </c>
      <c r="F160" s="22" t="str">
        <f t="shared" si="35"/>
        <v>L3</v>
      </c>
      <c r="G160" s="23" t="str">
        <f t="shared" si="36"/>
        <v>Kritika Pandey</v>
      </c>
      <c r="H160" s="22" t="str">
        <f t="shared" si="37"/>
        <v>Active</v>
      </c>
      <c r="I160" s="24">
        <f t="shared" si="38"/>
        <v>3.5</v>
      </c>
      <c r="J160" s="22">
        <f t="shared" si="39"/>
        <v>3</v>
      </c>
      <c r="K160" s="23" t="str">
        <f t="shared" si="40"/>
        <v>Core Player</v>
      </c>
      <c r="L160" s="22" t="str">
        <f t="shared" si="41"/>
        <v>Not Eligible</v>
      </c>
      <c r="M160" s="24">
        <f t="shared" si="42"/>
        <v>16.34</v>
      </c>
      <c r="N160" s="25">
        <f t="shared" si="43"/>
        <v>1.1299999999999999</v>
      </c>
      <c r="O160" s="26">
        <f t="shared" si="44"/>
        <v>0.86</v>
      </c>
      <c r="P160" s="25">
        <f t="shared" si="45"/>
        <v>2.97</v>
      </c>
      <c r="Q160" s="22" t="str">
        <f t="shared" si="46"/>
        <v>Low</v>
      </c>
      <c r="R160">
        <f t="shared" si="47"/>
        <v>156</v>
      </c>
    </row>
    <row r="161" spans="1:18" x14ac:dyDescent="0.3">
      <c r="A161" s="22">
        <f>IF(B161="","",157)</f>
        <v>157</v>
      </c>
      <c r="B161" s="22" t="str">
        <f>IF(Calc_Engine!I158="","",Calc_Engine!I158)</f>
        <v>EMP1157</v>
      </c>
      <c r="C161" s="23" t="str">
        <f t="shared" si="32"/>
        <v>Varun Subramanian</v>
      </c>
      <c r="D161" s="23" t="str">
        <f t="shared" si="33"/>
        <v>Senior Data Analyst</v>
      </c>
      <c r="E161" s="23" t="str">
        <f t="shared" si="34"/>
        <v>Data &amp; Analytics</v>
      </c>
      <c r="F161" s="22" t="str">
        <f t="shared" si="35"/>
        <v>L3</v>
      </c>
      <c r="G161" s="23" t="str">
        <f t="shared" si="36"/>
        <v>Karan Verma</v>
      </c>
      <c r="H161" s="22" t="str">
        <f t="shared" si="37"/>
        <v>Active</v>
      </c>
      <c r="I161" s="24">
        <f t="shared" si="38"/>
        <v>3.5</v>
      </c>
      <c r="J161" s="22">
        <f t="shared" si="39"/>
        <v>2</v>
      </c>
      <c r="K161" s="23" t="str">
        <f t="shared" si="40"/>
        <v>Inconsistent Player</v>
      </c>
      <c r="L161" s="22" t="str">
        <f t="shared" si="41"/>
        <v>Not Eligible</v>
      </c>
      <c r="M161" s="24">
        <f t="shared" si="42"/>
        <v>16.28</v>
      </c>
      <c r="N161" s="25">
        <f t="shared" si="43"/>
        <v>1.1299999999999999</v>
      </c>
      <c r="O161" s="26">
        <f t="shared" si="44"/>
        <v>0.93600000000000005</v>
      </c>
      <c r="P161" s="25">
        <f t="shared" si="45"/>
        <v>2.6</v>
      </c>
      <c r="Q161" s="22" t="str">
        <f t="shared" si="46"/>
        <v>Medium</v>
      </c>
      <c r="R161">
        <f t="shared" si="47"/>
        <v>157</v>
      </c>
    </row>
    <row r="162" spans="1:18" x14ac:dyDescent="0.3">
      <c r="A162" s="22">
        <f>IF(B162="","",158)</f>
        <v>158</v>
      </c>
      <c r="B162" s="22" t="str">
        <f>IF(Calc_Engine!I159="","",Calc_Engine!I159)</f>
        <v>EMP1158</v>
      </c>
      <c r="C162" s="23" t="str">
        <f t="shared" si="32"/>
        <v>Pallavi Shah</v>
      </c>
      <c r="D162" s="23" t="str">
        <f t="shared" si="33"/>
        <v>Senior Operations Manager</v>
      </c>
      <c r="E162" s="23" t="str">
        <f t="shared" si="34"/>
        <v>Operations</v>
      </c>
      <c r="F162" s="22" t="str">
        <f t="shared" si="35"/>
        <v>L6</v>
      </c>
      <c r="G162" s="23" t="str">
        <f t="shared" si="36"/>
        <v>Tejaswini Naidu</v>
      </c>
      <c r="H162" s="22" t="str">
        <f t="shared" si="37"/>
        <v>Active</v>
      </c>
      <c r="I162" s="24">
        <f t="shared" si="38"/>
        <v>3.4</v>
      </c>
      <c r="J162" s="22">
        <f t="shared" si="39"/>
        <v>3</v>
      </c>
      <c r="K162" s="23" t="str">
        <f t="shared" si="40"/>
        <v>Future Star</v>
      </c>
      <c r="L162" s="22" t="str">
        <f t="shared" si="41"/>
        <v>Not Eligible</v>
      </c>
      <c r="M162" s="24">
        <f t="shared" si="42"/>
        <v>52</v>
      </c>
      <c r="N162" s="25">
        <f t="shared" si="43"/>
        <v>0.97</v>
      </c>
      <c r="O162" s="26">
        <f t="shared" si="44"/>
        <v>0.9</v>
      </c>
      <c r="P162" s="25">
        <f t="shared" si="45"/>
        <v>2.68</v>
      </c>
      <c r="Q162" s="22" t="str">
        <f t="shared" si="46"/>
        <v>Low</v>
      </c>
      <c r="R162">
        <f t="shared" si="47"/>
        <v>158</v>
      </c>
    </row>
    <row r="163" spans="1:18" x14ac:dyDescent="0.3">
      <c r="A163" s="22">
        <f>IF(B163="","",159)</f>
        <v>159</v>
      </c>
      <c r="B163" s="22" t="str">
        <f>IF(Calc_Engine!I160="","",Calc_Engine!I160)</f>
        <v>EMP1159</v>
      </c>
      <c r="C163" s="23" t="str">
        <f t="shared" si="32"/>
        <v>Sanjana Kamath</v>
      </c>
      <c r="D163" s="23" t="str">
        <f t="shared" si="33"/>
        <v>Accounts Executive</v>
      </c>
      <c r="E163" s="23" t="str">
        <f t="shared" si="34"/>
        <v>Finance</v>
      </c>
      <c r="F163" s="22" t="str">
        <f t="shared" si="35"/>
        <v>L2</v>
      </c>
      <c r="G163" s="23" t="str">
        <f t="shared" si="36"/>
        <v>Ravi Prabhu</v>
      </c>
      <c r="H163" s="22" t="str">
        <f t="shared" si="37"/>
        <v>Active</v>
      </c>
      <c r="I163" s="24">
        <f t="shared" si="38"/>
        <v>3.4</v>
      </c>
      <c r="J163" s="22">
        <f t="shared" si="39"/>
        <v>3</v>
      </c>
      <c r="K163" s="23" t="str">
        <f t="shared" si="40"/>
        <v>Core Player</v>
      </c>
      <c r="L163" s="22" t="str">
        <f t="shared" si="41"/>
        <v>Not Eligible</v>
      </c>
      <c r="M163" s="24">
        <f t="shared" si="42"/>
        <v>8.02</v>
      </c>
      <c r="N163" s="25">
        <f t="shared" si="43"/>
        <v>0.94</v>
      </c>
      <c r="O163" s="26">
        <f t="shared" si="44"/>
        <v>0.94799999999999995</v>
      </c>
      <c r="P163" s="25">
        <f t="shared" si="45"/>
        <v>3.12</v>
      </c>
      <c r="Q163" s="22" t="str">
        <f t="shared" si="46"/>
        <v>Low</v>
      </c>
      <c r="R163">
        <f t="shared" si="47"/>
        <v>159</v>
      </c>
    </row>
    <row r="164" spans="1:18" x14ac:dyDescent="0.3">
      <c r="A164" s="22">
        <f>IF(B164="","",160)</f>
        <v>160</v>
      </c>
      <c r="B164" s="22" t="str">
        <f>IF(Calc_Engine!I161="","",Calc_Engine!I161)</f>
        <v>EMP1160</v>
      </c>
      <c r="C164" s="23" t="str">
        <f t="shared" si="32"/>
        <v>Bhavana Varghese</v>
      </c>
      <c r="D164" s="23" t="str">
        <f t="shared" si="33"/>
        <v>Support Team Lead</v>
      </c>
      <c r="E164" s="23" t="str">
        <f t="shared" si="34"/>
        <v>Customer Support</v>
      </c>
      <c r="F164" s="22" t="str">
        <f t="shared" si="35"/>
        <v>L4</v>
      </c>
      <c r="G164" s="23" t="str">
        <f t="shared" si="36"/>
        <v>Isha Verma</v>
      </c>
      <c r="H164" s="22" t="str">
        <f t="shared" si="37"/>
        <v>Exited</v>
      </c>
      <c r="I164" s="24">
        <f t="shared" si="38"/>
        <v>2.5</v>
      </c>
      <c r="J164" s="22">
        <f t="shared" si="39"/>
        <v>3</v>
      </c>
      <c r="K164" s="23" t="str">
        <f t="shared" si="40"/>
        <v>Core Player</v>
      </c>
      <c r="L164" s="22" t="str">
        <f t="shared" si="41"/>
        <v>Not Eligible</v>
      </c>
      <c r="M164" s="24">
        <f t="shared" si="42"/>
        <v>14.09</v>
      </c>
      <c r="N164" s="25">
        <f t="shared" si="43"/>
        <v>0.6</v>
      </c>
      <c r="O164" s="26">
        <f t="shared" si="44"/>
        <v>0.55000000000000004</v>
      </c>
      <c r="P164" s="25">
        <f t="shared" si="45"/>
        <v>2.82</v>
      </c>
      <c r="Q164" s="22" t="str">
        <f t="shared" si="46"/>
        <v>Exited</v>
      </c>
      <c r="R164">
        <f t="shared" si="47"/>
        <v>160</v>
      </c>
    </row>
    <row r="165" spans="1:18" x14ac:dyDescent="0.3">
      <c r="A165" s="22">
        <f>IF(B165="","",161)</f>
        <v>161</v>
      </c>
      <c r="B165" s="22" t="str">
        <f>IF(Calc_Engine!I162="","",Calc_Engine!I162)</f>
        <v>EMP1161</v>
      </c>
      <c r="C165" s="23" t="str">
        <f t="shared" si="32"/>
        <v>Tanvi Siddiqui</v>
      </c>
      <c r="D165" s="23" t="str">
        <f t="shared" si="33"/>
        <v>Key Account Manager</v>
      </c>
      <c r="E165" s="23" t="str">
        <f t="shared" si="34"/>
        <v>Sales</v>
      </c>
      <c r="F165" s="22" t="str">
        <f t="shared" si="35"/>
        <v>L4</v>
      </c>
      <c r="G165" s="23" t="str">
        <f t="shared" si="36"/>
        <v>Madhuri Malhotra</v>
      </c>
      <c r="H165" s="22" t="str">
        <f t="shared" si="37"/>
        <v>Active</v>
      </c>
      <c r="I165" s="24">
        <f t="shared" si="38"/>
        <v>3.4</v>
      </c>
      <c r="J165" s="22">
        <f t="shared" si="39"/>
        <v>3</v>
      </c>
      <c r="K165" s="23" t="str">
        <f t="shared" si="40"/>
        <v>Effective Contributor</v>
      </c>
      <c r="L165" s="22" t="str">
        <f t="shared" si="41"/>
        <v>Not Eligible</v>
      </c>
      <c r="M165" s="24">
        <f t="shared" si="42"/>
        <v>16.940000000000001</v>
      </c>
      <c r="N165" s="25">
        <f t="shared" si="43"/>
        <v>0.72</v>
      </c>
      <c r="O165" s="26">
        <f t="shared" si="44"/>
        <v>0.93600000000000005</v>
      </c>
      <c r="P165" s="25">
        <f t="shared" si="45"/>
        <v>3.15</v>
      </c>
      <c r="Q165" s="22" t="str">
        <f t="shared" si="46"/>
        <v>Low</v>
      </c>
      <c r="R165">
        <f t="shared" si="47"/>
        <v>161</v>
      </c>
    </row>
    <row r="166" spans="1:18" x14ac:dyDescent="0.3">
      <c r="A166" s="22">
        <f>IF(B166="","",162)</f>
        <v>162</v>
      </c>
      <c r="B166" s="22" t="str">
        <f>IF(Calc_Engine!I163="","",Calc_Engine!I163)</f>
        <v>EMP1162</v>
      </c>
      <c r="C166" s="23" t="str">
        <f t="shared" si="32"/>
        <v>Aditi Siddiqui</v>
      </c>
      <c r="D166" s="23" t="str">
        <f t="shared" si="33"/>
        <v>Software Engineer</v>
      </c>
      <c r="E166" s="23" t="str">
        <f t="shared" si="34"/>
        <v>Engineering</v>
      </c>
      <c r="F166" s="22" t="str">
        <f t="shared" si="35"/>
        <v>L2</v>
      </c>
      <c r="G166" s="23" t="str">
        <f t="shared" si="36"/>
        <v>Tejaswini Hegde</v>
      </c>
      <c r="H166" s="22" t="str">
        <f t="shared" si="37"/>
        <v>Active</v>
      </c>
      <c r="I166" s="24">
        <f t="shared" si="38"/>
        <v>3.4</v>
      </c>
      <c r="J166" s="22">
        <f t="shared" si="39"/>
        <v>4</v>
      </c>
      <c r="K166" s="23" t="str">
        <f t="shared" si="40"/>
        <v>High Performer</v>
      </c>
      <c r="L166" s="22" t="str">
        <f t="shared" si="41"/>
        <v>Not Eligible</v>
      </c>
      <c r="M166" s="24">
        <f t="shared" si="42"/>
        <v>7.64</v>
      </c>
      <c r="N166" s="25">
        <f t="shared" si="43"/>
        <v>0.89</v>
      </c>
      <c r="O166" s="26">
        <f t="shared" si="44"/>
        <v>0.89600000000000002</v>
      </c>
      <c r="P166" s="25">
        <f t="shared" si="45"/>
        <v>3.07</v>
      </c>
      <c r="Q166" s="22" t="str">
        <f t="shared" si="46"/>
        <v>Medium</v>
      </c>
      <c r="R166">
        <f t="shared" si="47"/>
        <v>162</v>
      </c>
    </row>
    <row r="167" spans="1:18" x14ac:dyDescent="0.3">
      <c r="A167" s="22">
        <f>IF(B167="","",163)</f>
        <v>163</v>
      </c>
      <c r="B167" s="22" t="str">
        <f>IF(Calc_Engine!I164="","",Calc_Engine!I164)</f>
        <v>EMP1163</v>
      </c>
      <c r="C167" s="23" t="str">
        <f t="shared" si="32"/>
        <v>Aditi Yadav</v>
      </c>
      <c r="D167" s="23" t="str">
        <f t="shared" si="33"/>
        <v>Compliance Executive</v>
      </c>
      <c r="E167" s="23" t="str">
        <f t="shared" si="34"/>
        <v>Legal &amp; Compliance</v>
      </c>
      <c r="F167" s="22" t="str">
        <f t="shared" si="35"/>
        <v>L2</v>
      </c>
      <c r="G167" s="23" t="str">
        <f t="shared" si="36"/>
        <v>Swathi Mukherjee</v>
      </c>
      <c r="H167" s="22" t="str">
        <f t="shared" si="37"/>
        <v>Active</v>
      </c>
      <c r="I167" s="24">
        <f t="shared" si="38"/>
        <v>3.4</v>
      </c>
      <c r="J167" s="22">
        <f t="shared" si="39"/>
        <v>4</v>
      </c>
      <c r="K167" s="23" t="str">
        <f t="shared" si="40"/>
        <v>Star</v>
      </c>
      <c r="L167" s="22" t="str">
        <f t="shared" si="41"/>
        <v>Eligible</v>
      </c>
      <c r="M167" s="24">
        <f t="shared" si="42"/>
        <v>7.73</v>
      </c>
      <c r="N167" s="25">
        <f t="shared" si="43"/>
        <v>0.9</v>
      </c>
      <c r="O167" s="26">
        <f t="shared" si="44"/>
        <v>0.90400000000000003</v>
      </c>
      <c r="P167" s="25">
        <f t="shared" si="45"/>
        <v>3.05</v>
      </c>
      <c r="Q167" s="22" t="str">
        <f t="shared" si="46"/>
        <v>Low</v>
      </c>
      <c r="R167">
        <f t="shared" si="47"/>
        <v>163</v>
      </c>
    </row>
    <row r="168" spans="1:18" x14ac:dyDescent="0.3">
      <c r="A168" s="22">
        <f>IF(B168="","",164)</f>
        <v>164</v>
      </c>
      <c r="B168" s="22" t="str">
        <f>IF(Calc_Engine!I165="","",Calc_Engine!I165)</f>
        <v>EMP1164</v>
      </c>
      <c r="C168" s="23" t="str">
        <f t="shared" si="32"/>
        <v>Gaurav Saxena</v>
      </c>
      <c r="D168" s="23" t="str">
        <f t="shared" si="33"/>
        <v>Sales Executive</v>
      </c>
      <c r="E168" s="23" t="str">
        <f t="shared" si="34"/>
        <v>Sales</v>
      </c>
      <c r="F168" s="22" t="str">
        <f t="shared" si="35"/>
        <v>L2</v>
      </c>
      <c r="G168" s="23" t="str">
        <f t="shared" si="36"/>
        <v>Nikhil Agarwal</v>
      </c>
      <c r="H168" s="22" t="str">
        <f t="shared" si="37"/>
        <v>Active</v>
      </c>
      <c r="I168" s="24">
        <f t="shared" si="38"/>
        <v>3.4</v>
      </c>
      <c r="J168" s="22">
        <f t="shared" si="39"/>
        <v>5</v>
      </c>
      <c r="K168" s="23" t="str">
        <f t="shared" si="40"/>
        <v>High Performer</v>
      </c>
      <c r="L168" s="22" t="str">
        <f t="shared" si="41"/>
        <v>Eligible</v>
      </c>
      <c r="M168" s="24">
        <f t="shared" si="42"/>
        <v>7.43</v>
      </c>
      <c r="N168" s="25">
        <f t="shared" si="43"/>
        <v>0.87</v>
      </c>
      <c r="O168" s="26">
        <f t="shared" si="44"/>
        <v>0.872</v>
      </c>
      <c r="P168" s="25">
        <f t="shared" si="45"/>
        <v>4.4000000000000004</v>
      </c>
      <c r="Q168" s="22" t="str">
        <f t="shared" si="46"/>
        <v>Medium</v>
      </c>
      <c r="R168">
        <f t="shared" si="47"/>
        <v>164</v>
      </c>
    </row>
    <row r="169" spans="1:18" x14ac:dyDescent="0.3">
      <c r="A169" s="22">
        <f>IF(B169="","",165)</f>
        <v>165</v>
      </c>
      <c r="B169" s="22" t="str">
        <f>IF(Calc_Engine!I166="","",Calc_Engine!I166)</f>
        <v>EMP1165</v>
      </c>
      <c r="C169" s="23" t="str">
        <f t="shared" si="32"/>
        <v>Kiran Hegde</v>
      </c>
      <c r="D169" s="23" t="str">
        <f t="shared" si="33"/>
        <v>Key Account Manager</v>
      </c>
      <c r="E169" s="23" t="str">
        <f t="shared" si="34"/>
        <v>Sales</v>
      </c>
      <c r="F169" s="22" t="str">
        <f t="shared" si="35"/>
        <v>L4</v>
      </c>
      <c r="G169" s="23" t="str">
        <f t="shared" si="36"/>
        <v>Srinivas Shah</v>
      </c>
      <c r="H169" s="22" t="str">
        <f t="shared" si="37"/>
        <v>Active</v>
      </c>
      <c r="I169" s="24">
        <f t="shared" si="38"/>
        <v>3.4</v>
      </c>
      <c r="J169" s="22">
        <f t="shared" si="39"/>
        <v>3</v>
      </c>
      <c r="K169" s="23" t="str">
        <f t="shared" si="40"/>
        <v>Effective Contributor</v>
      </c>
      <c r="L169" s="22" t="str">
        <f t="shared" si="41"/>
        <v>Not Eligible</v>
      </c>
      <c r="M169" s="24">
        <f t="shared" si="42"/>
        <v>17.23</v>
      </c>
      <c r="N169" s="25">
        <f t="shared" si="43"/>
        <v>0.74</v>
      </c>
      <c r="O169" s="26">
        <f t="shared" si="44"/>
        <v>0.92</v>
      </c>
      <c r="P169" s="25">
        <f t="shared" si="45"/>
        <v>3.02</v>
      </c>
      <c r="Q169" s="22" t="str">
        <f t="shared" si="46"/>
        <v>Medium</v>
      </c>
      <c r="R169">
        <f t="shared" si="47"/>
        <v>165</v>
      </c>
    </row>
    <row r="170" spans="1:18" x14ac:dyDescent="0.3">
      <c r="A170" s="22">
        <f>IF(B170="","",166)</f>
        <v>166</v>
      </c>
      <c r="B170" s="22" t="str">
        <f>IF(Calc_Engine!I167="","",Calc_Engine!I167)</f>
        <v>EMP1166</v>
      </c>
      <c r="C170" s="23" t="str">
        <f t="shared" si="32"/>
        <v>Aditi Prabhu</v>
      </c>
      <c r="D170" s="23" t="str">
        <f t="shared" si="33"/>
        <v>Tech Lead</v>
      </c>
      <c r="E170" s="23" t="str">
        <f t="shared" si="34"/>
        <v>Engineering</v>
      </c>
      <c r="F170" s="22" t="str">
        <f t="shared" si="35"/>
        <v>L4</v>
      </c>
      <c r="G170" s="23" t="str">
        <f t="shared" si="36"/>
        <v>Isha Jain</v>
      </c>
      <c r="H170" s="22" t="str">
        <f t="shared" si="37"/>
        <v>Active</v>
      </c>
      <c r="I170" s="24">
        <f t="shared" si="38"/>
        <v>3.4</v>
      </c>
      <c r="J170" s="22">
        <f t="shared" si="39"/>
        <v>4</v>
      </c>
      <c r="K170" s="23" t="str">
        <f t="shared" si="40"/>
        <v>High Performer</v>
      </c>
      <c r="L170" s="22" t="str">
        <f t="shared" si="41"/>
        <v>Eligible</v>
      </c>
      <c r="M170" s="24">
        <f t="shared" si="42"/>
        <v>26.65</v>
      </c>
      <c r="N170" s="25">
        <f t="shared" si="43"/>
        <v>1.1399999999999999</v>
      </c>
      <c r="O170" s="26">
        <f t="shared" si="44"/>
        <v>0.91600000000000004</v>
      </c>
      <c r="P170" s="25">
        <f t="shared" si="45"/>
        <v>3.57</v>
      </c>
      <c r="Q170" s="22" t="str">
        <f t="shared" si="46"/>
        <v>Medium</v>
      </c>
      <c r="R170">
        <f t="shared" si="47"/>
        <v>166</v>
      </c>
    </row>
    <row r="171" spans="1:18" x14ac:dyDescent="0.3">
      <c r="A171" s="22">
        <f>IF(B171="","",167)</f>
        <v>167</v>
      </c>
      <c r="B171" s="22" t="str">
        <f>IF(Calc_Engine!I168="","",Calc_Engine!I168)</f>
        <v>EMP1167</v>
      </c>
      <c r="C171" s="23" t="str">
        <f t="shared" si="32"/>
        <v>Sanjay Krishnan</v>
      </c>
      <c r="D171" s="23" t="str">
        <f t="shared" si="33"/>
        <v>Operations Executive</v>
      </c>
      <c r="E171" s="23" t="str">
        <f t="shared" si="34"/>
        <v>Operations</v>
      </c>
      <c r="F171" s="22" t="str">
        <f t="shared" si="35"/>
        <v>L2</v>
      </c>
      <c r="G171" s="23" t="str">
        <f t="shared" si="36"/>
        <v>Ramya Menon</v>
      </c>
      <c r="H171" s="22" t="str">
        <f t="shared" si="37"/>
        <v>Exited</v>
      </c>
      <c r="I171" s="24">
        <f t="shared" si="38"/>
        <v>2.9</v>
      </c>
      <c r="J171" s="22">
        <f t="shared" si="39"/>
        <v>4</v>
      </c>
      <c r="K171" s="23" t="str">
        <f t="shared" si="40"/>
        <v>Star</v>
      </c>
      <c r="L171" s="22" t="str">
        <f t="shared" si="41"/>
        <v>Not Eligible</v>
      </c>
      <c r="M171" s="24">
        <f t="shared" si="42"/>
        <v>7.27</v>
      </c>
      <c r="N171" s="25">
        <f t="shared" si="43"/>
        <v>0.85</v>
      </c>
      <c r="O171" s="26">
        <f t="shared" si="44"/>
        <v>0.80314960629921262</v>
      </c>
      <c r="P171" s="25">
        <f t="shared" si="45"/>
        <v>3.18</v>
      </c>
      <c r="Q171" s="22" t="str">
        <f t="shared" si="46"/>
        <v>Exited</v>
      </c>
      <c r="R171">
        <f t="shared" si="47"/>
        <v>167</v>
      </c>
    </row>
    <row r="172" spans="1:18" x14ac:dyDescent="0.3">
      <c r="A172" s="22">
        <f>IF(B172="","",168)</f>
        <v>168</v>
      </c>
      <c r="B172" s="22" t="str">
        <f>IF(Calc_Engine!I169="","",Calc_Engine!I169)</f>
        <v>EMP1168</v>
      </c>
      <c r="C172" s="23" t="str">
        <f t="shared" si="32"/>
        <v>Priya Fernandes</v>
      </c>
      <c r="D172" s="23" t="str">
        <f t="shared" si="33"/>
        <v>Compliance Executive</v>
      </c>
      <c r="E172" s="23" t="str">
        <f t="shared" si="34"/>
        <v>Legal &amp; Compliance</v>
      </c>
      <c r="F172" s="22" t="str">
        <f t="shared" si="35"/>
        <v>L2</v>
      </c>
      <c r="G172" s="23" t="str">
        <f t="shared" si="36"/>
        <v>Ramya Khanna</v>
      </c>
      <c r="H172" s="22" t="str">
        <f t="shared" si="37"/>
        <v>Active</v>
      </c>
      <c r="I172" s="24">
        <f t="shared" si="38"/>
        <v>3.4</v>
      </c>
      <c r="J172" s="22">
        <f t="shared" si="39"/>
        <v>3</v>
      </c>
      <c r="K172" s="23" t="str">
        <f t="shared" si="40"/>
        <v>Core Player</v>
      </c>
      <c r="L172" s="22" t="str">
        <f t="shared" si="41"/>
        <v>Not Eligible</v>
      </c>
      <c r="M172" s="24">
        <f t="shared" si="42"/>
        <v>9.66</v>
      </c>
      <c r="N172" s="25">
        <f t="shared" si="43"/>
        <v>1.1299999999999999</v>
      </c>
      <c r="O172" s="26">
        <f t="shared" si="44"/>
        <v>0.96399999999999997</v>
      </c>
      <c r="P172" s="25">
        <f t="shared" si="45"/>
        <v>3.52</v>
      </c>
      <c r="Q172" s="22" t="str">
        <f t="shared" si="46"/>
        <v>Low</v>
      </c>
      <c r="R172">
        <f t="shared" si="47"/>
        <v>168</v>
      </c>
    </row>
    <row r="173" spans="1:18" x14ac:dyDescent="0.3">
      <c r="A173" s="22">
        <f>IF(B173="","",169)</f>
        <v>169</v>
      </c>
      <c r="B173" s="22" t="str">
        <f>IF(Calc_Engine!I170="","",Calc_Engine!I170)</f>
        <v>EMP1169</v>
      </c>
      <c r="C173" s="23" t="str">
        <f t="shared" si="32"/>
        <v>Aniket Siddiqui</v>
      </c>
      <c r="D173" s="23" t="str">
        <f t="shared" si="33"/>
        <v>Senior Software Engineer</v>
      </c>
      <c r="E173" s="23" t="str">
        <f t="shared" si="34"/>
        <v>Engineering</v>
      </c>
      <c r="F173" s="22" t="str">
        <f t="shared" si="35"/>
        <v>L3</v>
      </c>
      <c r="G173" s="23" t="str">
        <f t="shared" si="36"/>
        <v>Bhavana Hegde</v>
      </c>
      <c r="H173" s="22" t="str">
        <f t="shared" si="37"/>
        <v>Active</v>
      </c>
      <c r="I173" s="24">
        <f t="shared" si="38"/>
        <v>3.3</v>
      </c>
      <c r="J173" s="22">
        <f t="shared" si="39"/>
        <v>1</v>
      </c>
      <c r="K173" s="23" t="str">
        <f t="shared" si="40"/>
        <v>Underperformer</v>
      </c>
      <c r="L173" s="22" t="str">
        <f t="shared" si="41"/>
        <v>Not Eligible</v>
      </c>
      <c r="M173" s="24">
        <f t="shared" si="42"/>
        <v>19.03</v>
      </c>
      <c r="N173" s="25">
        <f t="shared" si="43"/>
        <v>1.32</v>
      </c>
      <c r="O173" s="26">
        <f t="shared" si="44"/>
        <v>0.88</v>
      </c>
      <c r="P173" s="25">
        <f t="shared" si="45"/>
        <v>2.25</v>
      </c>
      <c r="Q173" s="22" t="str">
        <f t="shared" si="46"/>
        <v>Low</v>
      </c>
      <c r="R173">
        <f t="shared" si="47"/>
        <v>169</v>
      </c>
    </row>
    <row r="174" spans="1:18" x14ac:dyDescent="0.3">
      <c r="A174" s="22">
        <f>IF(B174="","",170)</f>
        <v>170</v>
      </c>
      <c r="B174" s="22" t="str">
        <f>IF(Calc_Engine!I171="","",Calc_Engine!I171)</f>
        <v>EMP1170</v>
      </c>
      <c r="C174" s="23" t="str">
        <f t="shared" si="32"/>
        <v>Deepak Saxena</v>
      </c>
      <c r="D174" s="23" t="str">
        <f t="shared" si="33"/>
        <v>Software Engineer</v>
      </c>
      <c r="E174" s="23" t="str">
        <f t="shared" si="34"/>
        <v>Engineering</v>
      </c>
      <c r="F174" s="22" t="str">
        <f t="shared" si="35"/>
        <v>L2</v>
      </c>
      <c r="G174" s="23" t="str">
        <f t="shared" si="36"/>
        <v>Isha Jain</v>
      </c>
      <c r="H174" s="22" t="str">
        <f t="shared" si="37"/>
        <v>Active</v>
      </c>
      <c r="I174" s="24">
        <f t="shared" si="38"/>
        <v>3.3</v>
      </c>
      <c r="J174" s="22">
        <f t="shared" si="39"/>
        <v>3</v>
      </c>
      <c r="K174" s="23" t="str">
        <f t="shared" si="40"/>
        <v>Future Star</v>
      </c>
      <c r="L174" s="22" t="str">
        <f t="shared" si="41"/>
        <v>Not Eligible</v>
      </c>
      <c r="M174" s="24">
        <f t="shared" si="42"/>
        <v>8.6</v>
      </c>
      <c r="N174" s="25">
        <f t="shared" si="43"/>
        <v>1.01</v>
      </c>
      <c r="O174" s="26">
        <f t="shared" si="44"/>
        <v>0.94</v>
      </c>
      <c r="P174" s="25">
        <f t="shared" si="45"/>
        <v>3.1</v>
      </c>
      <c r="Q174" s="22" t="str">
        <f t="shared" si="46"/>
        <v>Low</v>
      </c>
      <c r="R174">
        <f t="shared" si="47"/>
        <v>170</v>
      </c>
    </row>
    <row r="175" spans="1:18" x14ac:dyDescent="0.3">
      <c r="A175" s="22">
        <f>IF(B175="","",171)</f>
        <v>171</v>
      </c>
      <c r="B175" s="22" t="str">
        <f>IF(Calc_Engine!I172="","",Calc_Engine!I172)</f>
        <v>EMP1171</v>
      </c>
      <c r="C175" s="23" t="str">
        <f t="shared" si="32"/>
        <v>Kritika Gowda</v>
      </c>
      <c r="D175" s="23" t="str">
        <f t="shared" si="33"/>
        <v>Senior Marketing Executive</v>
      </c>
      <c r="E175" s="23" t="str">
        <f t="shared" si="34"/>
        <v>Marketing</v>
      </c>
      <c r="F175" s="22" t="str">
        <f t="shared" si="35"/>
        <v>L3</v>
      </c>
      <c r="G175" s="23" t="str">
        <f t="shared" si="36"/>
        <v>Isha Chatterjee</v>
      </c>
      <c r="H175" s="22" t="str">
        <f t="shared" si="37"/>
        <v>Active</v>
      </c>
      <c r="I175" s="24">
        <f t="shared" si="38"/>
        <v>3.3</v>
      </c>
      <c r="J175" s="22">
        <f t="shared" si="39"/>
        <v>3</v>
      </c>
      <c r="K175" s="23" t="str">
        <f t="shared" si="40"/>
        <v>Core Player</v>
      </c>
      <c r="L175" s="22" t="str">
        <f t="shared" si="41"/>
        <v>Not Eligible</v>
      </c>
      <c r="M175" s="24">
        <f t="shared" si="42"/>
        <v>12.12</v>
      </c>
      <c r="N175" s="25">
        <f t="shared" si="43"/>
        <v>0.84</v>
      </c>
      <c r="O175" s="26">
        <f t="shared" si="44"/>
        <v>0.91200000000000003</v>
      </c>
      <c r="P175" s="25">
        <f t="shared" si="45"/>
        <v>2.68</v>
      </c>
      <c r="Q175" s="22" t="str">
        <f t="shared" si="46"/>
        <v>High</v>
      </c>
      <c r="R175">
        <f t="shared" si="47"/>
        <v>171</v>
      </c>
    </row>
    <row r="176" spans="1:18" x14ac:dyDescent="0.3">
      <c r="A176" s="22">
        <f>IF(B176="","",172)</f>
        <v>172</v>
      </c>
      <c r="B176" s="22" t="str">
        <f>IF(Calc_Engine!I173="","",Calc_Engine!I173)</f>
        <v>EMP1172</v>
      </c>
      <c r="C176" s="23" t="str">
        <f t="shared" si="32"/>
        <v>Sai Desai</v>
      </c>
      <c r="D176" s="23" t="str">
        <f t="shared" si="33"/>
        <v>Key Account Manager</v>
      </c>
      <c r="E176" s="23" t="str">
        <f t="shared" si="34"/>
        <v>Sales</v>
      </c>
      <c r="F176" s="22" t="str">
        <f t="shared" si="35"/>
        <v>L4</v>
      </c>
      <c r="G176" s="23" t="str">
        <f t="shared" si="36"/>
        <v>Srinivas Shah</v>
      </c>
      <c r="H176" s="22" t="str">
        <f t="shared" si="37"/>
        <v>Active</v>
      </c>
      <c r="I176" s="24">
        <f t="shared" si="38"/>
        <v>3.3</v>
      </c>
      <c r="J176" s="22">
        <f t="shared" si="39"/>
        <v>4</v>
      </c>
      <c r="K176" s="23" t="str">
        <f t="shared" si="40"/>
        <v>Star</v>
      </c>
      <c r="L176" s="22" t="str">
        <f t="shared" si="41"/>
        <v>Eligible</v>
      </c>
      <c r="M176" s="24">
        <f t="shared" si="42"/>
        <v>21.23</v>
      </c>
      <c r="N176" s="25">
        <f t="shared" si="43"/>
        <v>0.91</v>
      </c>
      <c r="O176" s="26">
        <f t="shared" si="44"/>
        <v>0.90400000000000003</v>
      </c>
      <c r="P176" s="25">
        <f t="shared" si="45"/>
        <v>3.93</v>
      </c>
      <c r="Q176" s="22" t="str">
        <f t="shared" si="46"/>
        <v>Low</v>
      </c>
      <c r="R176">
        <f t="shared" si="47"/>
        <v>172</v>
      </c>
    </row>
    <row r="177" spans="1:18" x14ac:dyDescent="0.3">
      <c r="A177" s="22">
        <f>IF(B177="","",173)</f>
        <v>173</v>
      </c>
      <c r="B177" s="22" t="str">
        <f>IF(Calc_Engine!I174="","",Calc_Engine!I174)</f>
        <v>EMP1173</v>
      </c>
      <c r="C177" s="23" t="str">
        <f t="shared" si="32"/>
        <v>Rashmi Kulkarni</v>
      </c>
      <c r="D177" s="23" t="str">
        <f t="shared" si="33"/>
        <v>Senior Marketing Executive</v>
      </c>
      <c r="E177" s="23" t="str">
        <f t="shared" si="34"/>
        <v>Marketing</v>
      </c>
      <c r="F177" s="22" t="str">
        <f t="shared" si="35"/>
        <v>L3</v>
      </c>
      <c r="G177" s="23" t="str">
        <f t="shared" si="36"/>
        <v>Isha Chatterjee</v>
      </c>
      <c r="H177" s="22" t="str">
        <f t="shared" si="37"/>
        <v>Active</v>
      </c>
      <c r="I177" s="24">
        <f t="shared" si="38"/>
        <v>3.2</v>
      </c>
      <c r="J177" s="22">
        <f t="shared" si="39"/>
        <v>4</v>
      </c>
      <c r="K177" s="23" t="str">
        <f t="shared" si="40"/>
        <v>Star</v>
      </c>
      <c r="L177" s="22" t="str">
        <f t="shared" si="41"/>
        <v>Not Eligible</v>
      </c>
      <c r="M177" s="24">
        <f t="shared" si="42"/>
        <v>15.65</v>
      </c>
      <c r="N177" s="25">
        <f t="shared" si="43"/>
        <v>1.08</v>
      </c>
      <c r="O177" s="26">
        <f t="shared" si="44"/>
        <v>0.94399999999999995</v>
      </c>
      <c r="P177" s="25">
        <f t="shared" si="45"/>
        <v>4.03</v>
      </c>
      <c r="Q177" s="22" t="str">
        <f t="shared" si="46"/>
        <v>Low</v>
      </c>
      <c r="R177">
        <f t="shared" si="47"/>
        <v>173</v>
      </c>
    </row>
    <row r="178" spans="1:18" x14ac:dyDescent="0.3">
      <c r="A178" s="22">
        <f>IF(B178="","",174)</f>
        <v>174</v>
      </c>
      <c r="B178" s="22" t="str">
        <f>IF(Calc_Engine!I175="","",Calc_Engine!I175)</f>
        <v>EMP1174</v>
      </c>
      <c r="C178" s="23" t="str">
        <f t="shared" si="32"/>
        <v>Nikhil Desai</v>
      </c>
      <c r="D178" s="23" t="str">
        <f t="shared" si="33"/>
        <v>Operations Executive</v>
      </c>
      <c r="E178" s="23" t="str">
        <f t="shared" si="34"/>
        <v>Operations</v>
      </c>
      <c r="F178" s="22" t="str">
        <f t="shared" si="35"/>
        <v>L2</v>
      </c>
      <c r="G178" s="23" t="str">
        <f t="shared" si="36"/>
        <v>Ankit Khanna</v>
      </c>
      <c r="H178" s="22" t="str">
        <f t="shared" si="37"/>
        <v>Active</v>
      </c>
      <c r="I178" s="24">
        <f t="shared" si="38"/>
        <v>3.2</v>
      </c>
      <c r="J178" s="22">
        <f t="shared" si="39"/>
        <v>1</v>
      </c>
      <c r="K178" s="23" t="str">
        <f t="shared" si="40"/>
        <v>Inconsistent Player</v>
      </c>
      <c r="L178" s="22" t="str">
        <f t="shared" si="41"/>
        <v>Not Eligible</v>
      </c>
      <c r="M178" s="24">
        <f t="shared" si="42"/>
        <v>5.58</v>
      </c>
      <c r="N178" s="25">
        <f t="shared" si="43"/>
        <v>0.65</v>
      </c>
      <c r="O178" s="26">
        <f t="shared" si="44"/>
        <v>0.88</v>
      </c>
      <c r="P178" s="25">
        <f t="shared" si="45"/>
        <v>2.4</v>
      </c>
      <c r="Q178" s="22" t="str">
        <f t="shared" si="46"/>
        <v>High</v>
      </c>
      <c r="R178">
        <f t="shared" si="47"/>
        <v>174</v>
      </c>
    </row>
    <row r="179" spans="1:18" x14ac:dyDescent="0.3">
      <c r="A179" s="22">
        <f>IF(B179="","",175)</f>
        <v>175</v>
      </c>
      <c r="B179" s="22" t="str">
        <f>IF(Calc_Engine!I176="","",Calc_Engine!I176)</f>
        <v>EMP1175</v>
      </c>
      <c r="C179" s="23" t="str">
        <f t="shared" si="32"/>
        <v>Ananya Sharma</v>
      </c>
      <c r="D179" s="23" t="str">
        <f t="shared" si="33"/>
        <v>HR Executive</v>
      </c>
      <c r="E179" s="23" t="str">
        <f t="shared" si="34"/>
        <v>Human Resources</v>
      </c>
      <c r="F179" s="22" t="str">
        <f t="shared" si="35"/>
        <v>L2</v>
      </c>
      <c r="G179" s="23" t="str">
        <f t="shared" si="36"/>
        <v>Akash Das</v>
      </c>
      <c r="H179" s="22" t="str">
        <f t="shared" si="37"/>
        <v>Active</v>
      </c>
      <c r="I179" s="24">
        <f t="shared" si="38"/>
        <v>3.2</v>
      </c>
      <c r="J179" s="22">
        <f t="shared" si="39"/>
        <v>4</v>
      </c>
      <c r="K179" s="23" t="str">
        <f t="shared" si="40"/>
        <v>High Performer</v>
      </c>
      <c r="L179" s="22" t="str">
        <f t="shared" si="41"/>
        <v>Eligible</v>
      </c>
      <c r="M179" s="24">
        <f t="shared" si="42"/>
        <v>8.89</v>
      </c>
      <c r="N179" s="25">
        <f t="shared" si="43"/>
        <v>1.04</v>
      </c>
      <c r="O179" s="26">
        <f t="shared" si="44"/>
        <v>0.89600000000000002</v>
      </c>
      <c r="P179" s="25">
        <f t="shared" si="45"/>
        <v>3.45</v>
      </c>
      <c r="Q179" s="22" t="str">
        <f t="shared" si="46"/>
        <v>Low</v>
      </c>
      <c r="R179">
        <f t="shared" si="47"/>
        <v>175</v>
      </c>
    </row>
    <row r="180" spans="1:18" x14ac:dyDescent="0.3">
      <c r="A180" s="22">
        <f>IF(B180="","",176)</f>
        <v>176</v>
      </c>
      <c r="B180" s="22" t="str">
        <f>IF(Calc_Engine!I177="","",Calc_Engine!I177)</f>
        <v>EMP1176</v>
      </c>
      <c r="C180" s="23" t="str">
        <f t="shared" si="32"/>
        <v>Manish Khanna</v>
      </c>
      <c r="D180" s="23" t="str">
        <f t="shared" si="33"/>
        <v>Senior Support Executive</v>
      </c>
      <c r="E180" s="23" t="str">
        <f t="shared" si="34"/>
        <v>Customer Support</v>
      </c>
      <c r="F180" s="22" t="str">
        <f t="shared" si="35"/>
        <v>L3</v>
      </c>
      <c r="G180" s="23" t="str">
        <f t="shared" si="36"/>
        <v>Imran Joshi</v>
      </c>
      <c r="H180" s="22" t="str">
        <f t="shared" si="37"/>
        <v>Active</v>
      </c>
      <c r="I180" s="24">
        <f t="shared" si="38"/>
        <v>3.2</v>
      </c>
      <c r="J180" s="22">
        <f t="shared" si="39"/>
        <v>4</v>
      </c>
      <c r="K180" s="23" t="str">
        <f t="shared" si="40"/>
        <v>High Performer</v>
      </c>
      <c r="L180" s="22" t="str">
        <f t="shared" si="41"/>
        <v>Eligible</v>
      </c>
      <c r="M180" s="24">
        <f t="shared" si="42"/>
        <v>11.77</v>
      </c>
      <c r="N180" s="25">
        <f t="shared" si="43"/>
        <v>0.81</v>
      </c>
      <c r="O180" s="26">
        <f t="shared" si="44"/>
        <v>0.872</v>
      </c>
      <c r="P180" s="25">
        <f t="shared" si="45"/>
        <v>2.8</v>
      </c>
      <c r="Q180" s="22" t="str">
        <f t="shared" si="46"/>
        <v>High</v>
      </c>
      <c r="R180">
        <f t="shared" si="47"/>
        <v>176</v>
      </c>
    </row>
    <row r="181" spans="1:18" x14ac:dyDescent="0.3">
      <c r="A181" s="22">
        <f>IF(B181="","",177)</f>
        <v>177</v>
      </c>
      <c r="B181" s="22" t="str">
        <f>IF(Calc_Engine!I178="","",Calc_Engine!I178)</f>
        <v>EMP1177</v>
      </c>
      <c r="C181" s="23" t="str">
        <f t="shared" si="32"/>
        <v>Vinay Malhotra</v>
      </c>
      <c r="D181" s="23" t="str">
        <f t="shared" si="33"/>
        <v>Senior Support Executive</v>
      </c>
      <c r="E181" s="23" t="str">
        <f t="shared" si="34"/>
        <v>Customer Support</v>
      </c>
      <c r="F181" s="22" t="str">
        <f t="shared" si="35"/>
        <v>L3</v>
      </c>
      <c r="G181" s="23" t="str">
        <f t="shared" si="36"/>
        <v>Vidya Chatterjee</v>
      </c>
      <c r="H181" s="22" t="str">
        <f t="shared" si="37"/>
        <v>Active</v>
      </c>
      <c r="I181" s="24">
        <f t="shared" si="38"/>
        <v>3.2</v>
      </c>
      <c r="J181" s="22">
        <f t="shared" si="39"/>
        <v>5</v>
      </c>
      <c r="K181" s="23" t="str">
        <f t="shared" si="40"/>
        <v>Star</v>
      </c>
      <c r="L181" s="22" t="str">
        <f t="shared" si="41"/>
        <v>Eligible</v>
      </c>
      <c r="M181" s="24">
        <f t="shared" si="42"/>
        <v>8.35</v>
      </c>
      <c r="N181" s="25">
        <f t="shared" si="43"/>
        <v>0.57999999999999996</v>
      </c>
      <c r="O181" s="26">
        <f t="shared" si="44"/>
        <v>0.94</v>
      </c>
      <c r="P181" s="25">
        <f t="shared" si="45"/>
        <v>4.32</v>
      </c>
      <c r="Q181" s="22" t="str">
        <f t="shared" si="46"/>
        <v>Medium</v>
      </c>
      <c r="R181">
        <f t="shared" si="47"/>
        <v>177</v>
      </c>
    </row>
    <row r="182" spans="1:18" x14ac:dyDescent="0.3">
      <c r="A182" s="22">
        <f>IF(B182="","",178)</f>
        <v>178</v>
      </c>
      <c r="B182" s="22" t="str">
        <f>IF(Calc_Engine!I179="","",Calc_Engine!I179)</f>
        <v>EMP1178</v>
      </c>
      <c r="C182" s="23" t="str">
        <f t="shared" si="32"/>
        <v>Sai Kumar</v>
      </c>
      <c r="D182" s="23" t="str">
        <f t="shared" si="33"/>
        <v>Operations Lead</v>
      </c>
      <c r="E182" s="23" t="str">
        <f t="shared" si="34"/>
        <v>Operations</v>
      </c>
      <c r="F182" s="22" t="str">
        <f t="shared" si="35"/>
        <v>L4</v>
      </c>
      <c r="G182" s="23" t="str">
        <f t="shared" si="36"/>
        <v>Nandini Fernandes</v>
      </c>
      <c r="H182" s="22" t="str">
        <f t="shared" si="37"/>
        <v>Active</v>
      </c>
      <c r="I182" s="24">
        <f t="shared" si="38"/>
        <v>3.2</v>
      </c>
      <c r="J182" s="22">
        <f t="shared" si="39"/>
        <v>4</v>
      </c>
      <c r="K182" s="23" t="str">
        <f t="shared" si="40"/>
        <v>High Performer</v>
      </c>
      <c r="L182" s="22" t="str">
        <f t="shared" si="41"/>
        <v>Not Eligible</v>
      </c>
      <c r="M182" s="24">
        <f t="shared" si="42"/>
        <v>19.54</v>
      </c>
      <c r="N182" s="25">
        <f t="shared" si="43"/>
        <v>0.83</v>
      </c>
      <c r="O182" s="26">
        <f t="shared" si="44"/>
        <v>0.89200000000000002</v>
      </c>
      <c r="P182" s="25">
        <f t="shared" si="45"/>
        <v>3.22</v>
      </c>
      <c r="Q182" s="22" t="str">
        <f t="shared" si="46"/>
        <v>Medium</v>
      </c>
      <c r="R182">
        <f t="shared" si="47"/>
        <v>178</v>
      </c>
    </row>
    <row r="183" spans="1:18" x14ac:dyDescent="0.3">
      <c r="A183" s="22">
        <f>IF(B183="","",179)</f>
        <v>179</v>
      </c>
      <c r="B183" s="22" t="str">
        <f>IF(Calc_Engine!I180="","",Calc_Engine!I180)</f>
        <v>EMP1179</v>
      </c>
      <c r="C183" s="23" t="str">
        <f t="shared" si="32"/>
        <v>Zara Chatterjee</v>
      </c>
      <c r="D183" s="23" t="str">
        <f t="shared" si="33"/>
        <v>Support Executive</v>
      </c>
      <c r="E183" s="23" t="str">
        <f t="shared" si="34"/>
        <v>Customer Support</v>
      </c>
      <c r="F183" s="22" t="str">
        <f t="shared" si="35"/>
        <v>L2</v>
      </c>
      <c r="G183" s="23" t="str">
        <f t="shared" si="36"/>
        <v>Anjali Iyer</v>
      </c>
      <c r="H183" s="22" t="str">
        <f t="shared" si="37"/>
        <v>Active</v>
      </c>
      <c r="I183" s="24">
        <f t="shared" si="38"/>
        <v>3.2</v>
      </c>
      <c r="J183" s="22">
        <f t="shared" si="39"/>
        <v>2</v>
      </c>
      <c r="K183" s="23" t="str">
        <f t="shared" si="40"/>
        <v>Underperformer</v>
      </c>
      <c r="L183" s="22" t="str">
        <f t="shared" si="41"/>
        <v>Not Eligible</v>
      </c>
      <c r="M183" s="24">
        <f t="shared" si="42"/>
        <v>6.79</v>
      </c>
      <c r="N183" s="25">
        <f t="shared" si="43"/>
        <v>0.79</v>
      </c>
      <c r="O183" s="26">
        <f t="shared" si="44"/>
        <v>0.89200000000000002</v>
      </c>
      <c r="P183" s="25">
        <f t="shared" si="45"/>
        <v>2.7</v>
      </c>
      <c r="Q183" s="22" t="str">
        <f t="shared" si="46"/>
        <v>Medium</v>
      </c>
      <c r="R183">
        <f t="shared" si="47"/>
        <v>179</v>
      </c>
    </row>
    <row r="184" spans="1:18" x14ac:dyDescent="0.3">
      <c r="A184" s="22">
        <f>IF(B184="","",180)</f>
        <v>180</v>
      </c>
      <c r="B184" s="22" t="str">
        <f>IF(Calc_Engine!I181="","",Calc_Engine!I181)</f>
        <v>EMP1180</v>
      </c>
      <c r="C184" s="23" t="str">
        <f t="shared" si="32"/>
        <v>Venkat Subramanian</v>
      </c>
      <c r="D184" s="23" t="str">
        <f t="shared" si="33"/>
        <v>Operations Executive</v>
      </c>
      <c r="E184" s="23" t="str">
        <f t="shared" si="34"/>
        <v>Operations</v>
      </c>
      <c r="F184" s="22" t="str">
        <f t="shared" si="35"/>
        <v>L2</v>
      </c>
      <c r="G184" s="23" t="str">
        <f t="shared" si="36"/>
        <v>Amit Kumar</v>
      </c>
      <c r="H184" s="22" t="str">
        <f t="shared" si="37"/>
        <v>Exited</v>
      </c>
      <c r="I184" s="24">
        <f t="shared" si="38"/>
        <v>3</v>
      </c>
      <c r="J184" s="22">
        <f t="shared" si="39"/>
        <v>4</v>
      </c>
      <c r="K184" s="23" t="str">
        <f t="shared" si="40"/>
        <v>Trusted Professional</v>
      </c>
      <c r="L184" s="22" t="str">
        <f t="shared" si="41"/>
        <v>Not Eligible</v>
      </c>
      <c r="M184" s="24">
        <f t="shared" si="42"/>
        <v>8.02</v>
      </c>
      <c r="N184" s="25">
        <f t="shared" si="43"/>
        <v>0.94</v>
      </c>
      <c r="O184" s="26">
        <f t="shared" si="44"/>
        <v>0.86764705882352944</v>
      </c>
      <c r="P184" s="25">
        <f t="shared" si="45"/>
        <v>3.6</v>
      </c>
      <c r="Q184" s="22" t="str">
        <f t="shared" si="46"/>
        <v>Exited</v>
      </c>
      <c r="R184">
        <f t="shared" si="47"/>
        <v>180</v>
      </c>
    </row>
    <row r="185" spans="1:18" x14ac:dyDescent="0.3">
      <c r="A185" s="22">
        <f>IF(B185="","",181)</f>
        <v>181</v>
      </c>
      <c r="B185" s="22" t="str">
        <f>IF(Calc_Engine!I182="","",Calc_Engine!I182)</f>
        <v>EMP1181</v>
      </c>
      <c r="C185" s="23" t="str">
        <f t="shared" si="32"/>
        <v>Radhika Saxena</v>
      </c>
      <c r="D185" s="23" t="str">
        <f t="shared" si="33"/>
        <v>Senior Finance Executive</v>
      </c>
      <c r="E185" s="23" t="str">
        <f t="shared" si="34"/>
        <v>Finance</v>
      </c>
      <c r="F185" s="22" t="str">
        <f t="shared" si="35"/>
        <v>L3</v>
      </c>
      <c r="G185" s="23" t="str">
        <f t="shared" si="36"/>
        <v>Ravi Prabhu</v>
      </c>
      <c r="H185" s="22" t="str">
        <f t="shared" si="37"/>
        <v>Active</v>
      </c>
      <c r="I185" s="24">
        <f t="shared" si="38"/>
        <v>3.2</v>
      </c>
      <c r="J185" s="22">
        <f t="shared" si="39"/>
        <v>3</v>
      </c>
      <c r="K185" s="23" t="str">
        <f t="shared" si="40"/>
        <v>Future Star</v>
      </c>
      <c r="L185" s="22" t="str">
        <f t="shared" si="41"/>
        <v>Not Eligible</v>
      </c>
      <c r="M185" s="24">
        <f t="shared" si="42"/>
        <v>10.55</v>
      </c>
      <c r="N185" s="25">
        <f t="shared" si="43"/>
        <v>0.73</v>
      </c>
      <c r="O185" s="26">
        <f t="shared" si="44"/>
        <v>0.91600000000000004</v>
      </c>
      <c r="P185" s="25">
        <f t="shared" si="45"/>
        <v>2.73</v>
      </c>
      <c r="Q185" s="22" t="str">
        <f t="shared" si="46"/>
        <v>Medium</v>
      </c>
      <c r="R185">
        <f t="shared" si="47"/>
        <v>181</v>
      </c>
    </row>
    <row r="186" spans="1:18" x14ac:dyDescent="0.3">
      <c r="A186" s="22">
        <f>IF(B186="","",182)</f>
        <v>182</v>
      </c>
      <c r="B186" s="22" t="str">
        <f>IF(Calc_Engine!I183="","",Calc_Engine!I183)</f>
        <v>EMP1182</v>
      </c>
      <c r="C186" s="23" t="str">
        <f t="shared" si="32"/>
        <v>Revathi Pandey</v>
      </c>
      <c r="D186" s="23" t="str">
        <f t="shared" si="33"/>
        <v>HR Executive</v>
      </c>
      <c r="E186" s="23" t="str">
        <f t="shared" si="34"/>
        <v>Human Resources</v>
      </c>
      <c r="F186" s="22" t="str">
        <f t="shared" si="35"/>
        <v>L2</v>
      </c>
      <c r="G186" s="23" t="str">
        <f t="shared" si="36"/>
        <v>Ajay Patel</v>
      </c>
      <c r="H186" s="22" t="str">
        <f t="shared" si="37"/>
        <v>Active</v>
      </c>
      <c r="I186" s="24">
        <f t="shared" si="38"/>
        <v>3.2</v>
      </c>
      <c r="J186" s="22">
        <f t="shared" si="39"/>
        <v>4</v>
      </c>
      <c r="K186" s="23" t="str">
        <f t="shared" si="40"/>
        <v>Star</v>
      </c>
      <c r="L186" s="22" t="str">
        <f t="shared" si="41"/>
        <v>Not Eligible</v>
      </c>
      <c r="M186" s="24">
        <f t="shared" si="42"/>
        <v>6.6</v>
      </c>
      <c r="N186" s="25">
        <f t="shared" si="43"/>
        <v>0.77</v>
      </c>
      <c r="O186" s="26">
        <f t="shared" si="44"/>
        <v>0.88800000000000001</v>
      </c>
      <c r="P186" s="25">
        <f t="shared" si="45"/>
        <v>3.58</v>
      </c>
      <c r="Q186" s="22" t="str">
        <f t="shared" si="46"/>
        <v>Medium</v>
      </c>
      <c r="R186">
        <f t="shared" si="47"/>
        <v>182</v>
      </c>
    </row>
    <row r="187" spans="1:18" x14ac:dyDescent="0.3">
      <c r="A187" s="22">
        <f>IF(B187="","",183)</f>
        <v>183</v>
      </c>
      <c r="B187" s="22" t="str">
        <f>IF(Calc_Engine!I184="","",Calc_Engine!I184)</f>
        <v>EMP1183</v>
      </c>
      <c r="C187" s="23" t="str">
        <f t="shared" si="32"/>
        <v>Tarun Pandey</v>
      </c>
      <c r="D187" s="23" t="str">
        <f t="shared" si="33"/>
        <v>Data Analyst II</v>
      </c>
      <c r="E187" s="23" t="str">
        <f t="shared" si="34"/>
        <v>Data &amp; Analytics</v>
      </c>
      <c r="F187" s="22" t="str">
        <f t="shared" si="35"/>
        <v>L2</v>
      </c>
      <c r="G187" s="23" t="str">
        <f t="shared" si="36"/>
        <v>Arun Mukherjee</v>
      </c>
      <c r="H187" s="22" t="str">
        <f t="shared" si="37"/>
        <v>Active</v>
      </c>
      <c r="I187" s="24">
        <f t="shared" si="38"/>
        <v>3.1</v>
      </c>
      <c r="J187" s="22">
        <f t="shared" si="39"/>
        <v>4</v>
      </c>
      <c r="K187" s="23" t="str">
        <f t="shared" si="40"/>
        <v>Star</v>
      </c>
      <c r="L187" s="22" t="str">
        <f t="shared" si="41"/>
        <v>Eligible</v>
      </c>
      <c r="M187" s="24">
        <f t="shared" si="42"/>
        <v>9.24</v>
      </c>
      <c r="N187" s="25">
        <f t="shared" si="43"/>
        <v>1.08</v>
      </c>
      <c r="O187" s="26">
        <f t="shared" si="44"/>
        <v>0.96799999999999997</v>
      </c>
      <c r="P187" s="25">
        <f t="shared" si="45"/>
        <v>3.3</v>
      </c>
      <c r="Q187" s="22" t="str">
        <f t="shared" si="46"/>
        <v>Low</v>
      </c>
      <c r="R187">
        <f t="shared" si="47"/>
        <v>183</v>
      </c>
    </row>
    <row r="188" spans="1:18" x14ac:dyDescent="0.3">
      <c r="A188" s="22">
        <f>IF(B188="","",184)</f>
        <v>184</v>
      </c>
      <c r="B188" s="22" t="str">
        <f>IF(Calc_Engine!I185="","",Calc_Engine!I185)</f>
        <v>EMP1184</v>
      </c>
      <c r="C188" s="23" t="str">
        <f t="shared" si="32"/>
        <v>Amit Shah</v>
      </c>
      <c r="D188" s="23" t="str">
        <f t="shared" si="33"/>
        <v>Operations Executive</v>
      </c>
      <c r="E188" s="23" t="str">
        <f t="shared" si="34"/>
        <v>Operations</v>
      </c>
      <c r="F188" s="22" t="str">
        <f t="shared" si="35"/>
        <v>L2</v>
      </c>
      <c r="G188" s="23" t="str">
        <f t="shared" si="36"/>
        <v>Pallavi Shah</v>
      </c>
      <c r="H188" s="22" t="str">
        <f t="shared" si="37"/>
        <v>Active</v>
      </c>
      <c r="I188" s="24">
        <f t="shared" si="38"/>
        <v>3.1</v>
      </c>
      <c r="J188" s="22">
        <f t="shared" si="39"/>
        <v>3</v>
      </c>
      <c r="K188" s="23" t="str">
        <f t="shared" si="40"/>
        <v>Effective Contributor</v>
      </c>
      <c r="L188" s="22" t="str">
        <f t="shared" si="41"/>
        <v>Not Eligible</v>
      </c>
      <c r="M188" s="24">
        <f t="shared" si="42"/>
        <v>5.58</v>
      </c>
      <c r="N188" s="25">
        <f t="shared" si="43"/>
        <v>0.65</v>
      </c>
      <c r="O188" s="26">
        <f t="shared" si="44"/>
        <v>0.96</v>
      </c>
      <c r="P188" s="25">
        <f t="shared" si="45"/>
        <v>2.83</v>
      </c>
      <c r="Q188" s="22" t="str">
        <f t="shared" si="46"/>
        <v>Medium</v>
      </c>
      <c r="R188">
        <f t="shared" si="47"/>
        <v>184</v>
      </c>
    </row>
    <row r="189" spans="1:18" x14ac:dyDescent="0.3">
      <c r="A189" s="22">
        <f>IF(B189="","",185)</f>
        <v>185</v>
      </c>
      <c r="B189" s="22" t="str">
        <f>IF(Calc_Engine!I186="","",Calc_Engine!I186)</f>
        <v>EMP1185</v>
      </c>
      <c r="C189" s="23" t="str">
        <f t="shared" si="32"/>
        <v>Arjun Nair</v>
      </c>
      <c r="D189" s="23" t="str">
        <f t="shared" si="33"/>
        <v>Marketing Executive</v>
      </c>
      <c r="E189" s="23" t="str">
        <f t="shared" si="34"/>
        <v>Marketing</v>
      </c>
      <c r="F189" s="22" t="str">
        <f t="shared" si="35"/>
        <v>L2</v>
      </c>
      <c r="G189" s="23" t="str">
        <f t="shared" si="36"/>
        <v>Nandini Iyer</v>
      </c>
      <c r="H189" s="22" t="str">
        <f t="shared" si="37"/>
        <v>Active</v>
      </c>
      <c r="I189" s="24">
        <f t="shared" si="38"/>
        <v>3.1</v>
      </c>
      <c r="J189" s="22">
        <f t="shared" si="39"/>
        <v>3</v>
      </c>
      <c r="K189" s="23" t="str">
        <f t="shared" si="40"/>
        <v>Core Player</v>
      </c>
      <c r="L189" s="22" t="str">
        <f t="shared" si="41"/>
        <v>Not Eligible</v>
      </c>
      <c r="M189" s="24">
        <f t="shared" si="42"/>
        <v>7.9</v>
      </c>
      <c r="N189" s="25">
        <f t="shared" si="43"/>
        <v>0.92</v>
      </c>
      <c r="O189" s="26">
        <f t="shared" si="44"/>
        <v>0.91600000000000004</v>
      </c>
      <c r="P189" s="25">
        <f t="shared" si="45"/>
        <v>2.33</v>
      </c>
      <c r="Q189" s="22" t="str">
        <f t="shared" si="46"/>
        <v>Low</v>
      </c>
      <c r="R189">
        <f t="shared" si="47"/>
        <v>185</v>
      </c>
    </row>
    <row r="190" spans="1:18" x14ac:dyDescent="0.3">
      <c r="A190" s="22">
        <f>IF(B190="","",186)</f>
        <v>186</v>
      </c>
      <c r="B190" s="22" t="str">
        <f>IF(Calc_Engine!I187="","",Calc_Engine!I187)</f>
        <v>EMP1186</v>
      </c>
      <c r="C190" s="23" t="str">
        <f t="shared" si="32"/>
        <v>Yash Das</v>
      </c>
      <c r="D190" s="23" t="str">
        <f t="shared" si="33"/>
        <v>Product Analyst</v>
      </c>
      <c r="E190" s="23" t="str">
        <f t="shared" si="34"/>
        <v>Product</v>
      </c>
      <c r="F190" s="22" t="str">
        <f t="shared" si="35"/>
        <v>L2</v>
      </c>
      <c r="G190" s="23" t="str">
        <f t="shared" si="36"/>
        <v>Mansi Pillai</v>
      </c>
      <c r="H190" s="22" t="str">
        <f t="shared" si="37"/>
        <v>Active</v>
      </c>
      <c r="I190" s="24">
        <f t="shared" si="38"/>
        <v>3.1</v>
      </c>
      <c r="J190" s="22">
        <f t="shared" si="39"/>
        <v>1</v>
      </c>
      <c r="K190" s="23" t="str">
        <f t="shared" si="40"/>
        <v>Underperformer</v>
      </c>
      <c r="L190" s="22" t="str">
        <f t="shared" si="41"/>
        <v>Not Eligible</v>
      </c>
      <c r="M190" s="24">
        <f t="shared" si="42"/>
        <v>8.4600000000000009</v>
      </c>
      <c r="N190" s="25">
        <f t="shared" si="43"/>
        <v>0.99</v>
      </c>
      <c r="O190" s="26">
        <f t="shared" si="44"/>
        <v>0.90400000000000003</v>
      </c>
      <c r="P190" s="25">
        <f t="shared" si="45"/>
        <v>2.77</v>
      </c>
      <c r="Q190" s="22" t="str">
        <f t="shared" si="46"/>
        <v>Low</v>
      </c>
      <c r="R190">
        <f t="shared" si="47"/>
        <v>186</v>
      </c>
    </row>
    <row r="191" spans="1:18" x14ac:dyDescent="0.3">
      <c r="A191" s="22">
        <f>IF(B191="","",187)</f>
        <v>187</v>
      </c>
      <c r="B191" s="22" t="str">
        <f>IF(Calc_Engine!I188="","",Calc_Engine!I188)</f>
        <v>EMP1187</v>
      </c>
      <c r="C191" s="23" t="str">
        <f t="shared" si="32"/>
        <v>Manish Siddiqui</v>
      </c>
      <c r="D191" s="23" t="str">
        <f t="shared" si="33"/>
        <v>Compliance Executive</v>
      </c>
      <c r="E191" s="23" t="str">
        <f t="shared" si="34"/>
        <v>Legal &amp; Compliance</v>
      </c>
      <c r="F191" s="22" t="str">
        <f t="shared" si="35"/>
        <v>L2</v>
      </c>
      <c r="G191" s="23" t="str">
        <f t="shared" si="36"/>
        <v>Swathi Mukherjee</v>
      </c>
      <c r="H191" s="22" t="str">
        <f t="shared" si="37"/>
        <v>Active</v>
      </c>
      <c r="I191" s="24">
        <f t="shared" si="38"/>
        <v>3.1</v>
      </c>
      <c r="J191" s="22">
        <f t="shared" si="39"/>
        <v>4</v>
      </c>
      <c r="K191" s="23" t="str">
        <f t="shared" si="40"/>
        <v>High Performer</v>
      </c>
      <c r="L191" s="22" t="str">
        <f t="shared" si="41"/>
        <v>Eligible</v>
      </c>
      <c r="M191" s="24">
        <f t="shared" si="42"/>
        <v>7.81</v>
      </c>
      <c r="N191" s="25">
        <f t="shared" si="43"/>
        <v>0.91</v>
      </c>
      <c r="O191" s="26">
        <f t="shared" si="44"/>
        <v>0.9</v>
      </c>
      <c r="P191" s="25">
        <f t="shared" si="45"/>
        <v>4.05</v>
      </c>
      <c r="Q191" s="22" t="str">
        <f t="shared" si="46"/>
        <v>Low</v>
      </c>
      <c r="R191">
        <f t="shared" si="47"/>
        <v>187</v>
      </c>
    </row>
    <row r="192" spans="1:18" x14ac:dyDescent="0.3">
      <c r="A192" s="22">
        <f>IF(B192="","",188)</f>
        <v>188</v>
      </c>
      <c r="B192" s="22" t="str">
        <f>IF(Calc_Engine!I189="","",Calc_Engine!I189)</f>
        <v>EMP1188</v>
      </c>
      <c r="C192" s="23" t="str">
        <f t="shared" si="32"/>
        <v>Gaurav Ansari</v>
      </c>
      <c r="D192" s="23" t="str">
        <f t="shared" si="33"/>
        <v>HR Business Partner</v>
      </c>
      <c r="E192" s="23" t="str">
        <f t="shared" si="34"/>
        <v>Human Resources</v>
      </c>
      <c r="F192" s="22" t="str">
        <f t="shared" si="35"/>
        <v>L3</v>
      </c>
      <c r="G192" s="23" t="str">
        <f t="shared" si="36"/>
        <v>Ajay Patel</v>
      </c>
      <c r="H192" s="22" t="str">
        <f t="shared" si="37"/>
        <v>Active</v>
      </c>
      <c r="I192" s="24">
        <f t="shared" si="38"/>
        <v>3</v>
      </c>
      <c r="J192" s="22">
        <f t="shared" si="39"/>
        <v>3</v>
      </c>
      <c r="K192" s="23" t="str">
        <f t="shared" si="40"/>
        <v>Core Player</v>
      </c>
      <c r="L192" s="22" t="str">
        <f t="shared" si="41"/>
        <v>Not Eligible</v>
      </c>
      <c r="M192" s="24">
        <f t="shared" si="42"/>
        <v>16.72</v>
      </c>
      <c r="N192" s="25">
        <f t="shared" si="43"/>
        <v>1.1599999999999999</v>
      </c>
      <c r="O192" s="26">
        <f t="shared" si="44"/>
        <v>0.93200000000000005</v>
      </c>
      <c r="P192" s="25">
        <f t="shared" si="45"/>
        <v>2.68</v>
      </c>
      <c r="Q192" s="22" t="str">
        <f t="shared" si="46"/>
        <v>Low</v>
      </c>
      <c r="R192">
        <f t="shared" si="47"/>
        <v>188</v>
      </c>
    </row>
    <row r="193" spans="1:18" x14ac:dyDescent="0.3">
      <c r="A193" s="22">
        <f>IF(B193="","",189)</f>
        <v>189</v>
      </c>
      <c r="B193" s="22" t="str">
        <f>IF(Calc_Engine!I190="","",Calc_Engine!I190)</f>
        <v>EMP1189</v>
      </c>
      <c r="C193" s="23" t="str">
        <f t="shared" si="32"/>
        <v>Ramya Menon</v>
      </c>
      <c r="D193" s="23" t="str">
        <f t="shared" si="33"/>
        <v>Operations Manager</v>
      </c>
      <c r="E193" s="23" t="str">
        <f t="shared" si="34"/>
        <v>Operations</v>
      </c>
      <c r="F193" s="22" t="str">
        <f t="shared" si="35"/>
        <v>L5</v>
      </c>
      <c r="G193" s="23" t="str">
        <f t="shared" si="36"/>
        <v>Pallavi Shah</v>
      </c>
      <c r="H193" s="22" t="str">
        <f t="shared" si="37"/>
        <v>Active</v>
      </c>
      <c r="I193" s="24">
        <f t="shared" si="38"/>
        <v>3</v>
      </c>
      <c r="J193" s="22">
        <f t="shared" si="39"/>
        <v>5</v>
      </c>
      <c r="K193" s="23" t="str">
        <f t="shared" si="40"/>
        <v>Star</v>
      </c>
      <c r="L193" s="22" t="str">
        <f t="shared" si="41"/>
        <v>Eligible</v>
      </c>
      <c r="M193" s="24">
        <f t="shared" si="42"/>
        <v>37.549999999999997</v>
      </c>
      <c r="N193" s="25">
        <f t="shared" si="43"/>
        <v>1.02</v>
      </c>
      <c r="O193" s="26">
        <f t="shared" si="44"/>
        <v>0.93200000000000005</v>
      </c>
      <c r="P193" s="25">
        <f t="shared" si="45"/>
        <v>3.45</v>
      </c>
      <c r="Q193" s="22" t="str">
        <f t="shared" si="46"/>
        <v>Low</v>
      </c>
      <c r="R193">
        <f t="shared" si="47"/>
        <v>189</v>
      </c>
    </row>
    <row r="194" spans="1:18" x14ac:dyDescent="0.3">
      <c r="A194" s="22">
        <f>IF(B194="","",190)</f>
        <v>190</v>
      </c>
      <c r="B194" s="22" t="str">
        <f>IF(Calc_Engine!I191="","",Calc_Engine!I191)</f>
        <v>EMP1190</v>
      </c>
      <c r="C194" s="23" t="str">
        <f t="shared" si="32"/>
        <v>Imran Kapoor</v>
      </c>
      <c r="D194" s="23" t="str">
        <f t="shared" si="33"/>
        <v>Operations Executive</v>
      </c>
      <c r="E194" s="23" t="str">
        <f t="shared" si="34"/>
        <v>Operations</v>
      </c>
      <c r="F194" s="22" t="str">
        <f t="shared" si="35"/>
        <v>L2</v>
      </c>
      <c r="G194" s="23" t="str">
        <f t="shared" si="36"/>
        <v>Ankit Khanna</v>
      </c>
      <c r="H194" s="22" t="str">
        <f t="shared" si="37"/>
        <v>Active</v>
      </c>
      <c r="I194" s="24">
        <f t="shared" si="38"/>
        <v>3</v>
      </c>
      <c r="J194" s="22">
        <f t="shared" si="39"/>
        <v>4</v>
      </c>
      <c r="K194" s="23" t="str">
        <f t="shared" si="40"/>
        <v>Star</v>
      </c>
      <c r="L194" s="22" t="str">
        <f t="shared" si="41"/>
        <v>Not Eligible</v>
      </c>
      <c r="M194" s="24">
        <f t="shared" si="42"/>
        <v>6.61</v>
      </c>
      <c r="N194" s="25">
        <f t="shared" si="43"/>
        <v>0.77</v>
      </c>
      <c r="O194" s="26">
        <f t="shared" si="44"/>
        <v>0.94799999999999995</v>
      </c>
      <c r="P194" s="25">
        <f t="shared" si="45"/>
        <v>4.4000000000000004</v>
      </c>
      <c r="Q194" s="22" t="str">
        <f t="shared" si="46"/>
        <v>Medium</v>
      </c>
      <c r="R194">
        <f t="shared" si="47"/>
        <v>190</v>
      </c>
    </row>
    <row r="195" spans="1:18" x14ac:dyDescent="0.3">
      <c r="A195" s="22">
        <f>IF(B195="","",191)</f>
        <v>191</v>
      </c>
      <c r="B195" s="22" t="str">
        <f>IF(Calc_Engine!I192="","",Calc_Engine!I192)</f>
        <v>EMP1191</v>
      </c>
      <c r="C195" s="23" t="str">
        <f t="shared" si="32"/>
        <v>Pooja Choudhary</v>
      </c>
      <c r="D195" s="23" t="str">
        <f t="shared" si="33"/>
        <v>Key Account Manager</v>
      </c>
      <c r="E195" s="23" t="str">
        <f t="shared" si="34"/>
        <v>Sales</v>
      </c>
      <c r="F195" s="22" t="str">
        <f t="shared" si="35"/>
        <v>L4</v>
      </c>
      <c r="G195" s="23" t="str">
        <f t="shared" si="36"/>
        <v>Kavya Krishnan</v>
      </c>
      <c r="H195" s="22" t="str">
        <f t="shared" si="37"/>
        <v>Active</v>
      </c>
      <c r="I195" s="24">
        <f t="shared" si="38"/>
        <v>3</v>
      </c>
      <c r="J195" s="22">
        <f t="shared" si="39"/>
        <v>2</v>
      </c>
      <c r="K195" s="23" t="str">
        <f t="shared" si="40"/>
        <v>Rough Diamond</v>
      </c>
      <c r="L195" s="22" t="str">
        <f t="shared" si="41"/>
        <v>Not Eligible</v>
      </c>
      <c r="M195" s="24">
        <f t="shared" si="42"/>
        <v>16.690000000000001</v>
      </c>
      <c r="N195" s="25">
        <f t="shared" si="43"/>
        <v>0.71</v>
      </c>
      <c r="O195" s="26">
        <f t="shared" si="44"/>
        <v>0.88400000000000001</v>
      </c>
      <c r="P195" s="25">
        <f t="shared" si="45"/>
        <v>3.52</v>
      </c>
      <c r="Q195" s="22" t="str">
        <f t="shared" si="46"/>
        <v>Low</v>
      </c>
      <c r="R195">
        <f t="shared" si="47"/>
        <v>191</v>
      </c>
    </row>
    <row r="196" spans="1:18" x14ac:dyDescent="0.3">
      <c r="A196" s="22">
        <f>IF(B196="","",192)</f>
        <v>192</v>
      </c>
      <c r="B196" s="22" t="str">
        <f>IF(Calc_Engine!I193="","",Calc_Engine!I193)</f>
        <v>EMP1192</v>
      </c>
      <c r="C196" s="23" t="str">
        <f t="shared" si="32"/>
        <v>Ayesha Mishra</v>
      </c>
      <c r="D196" s="23" t="str">
        <f t="shared" si="33"/>
        <v>Senior Sales Executive</v>
      </c>
      <c r="E196" s="23" t="str">
        <f t="shared" si="34"/>
        <v>Sales</v>
      </c>
      <c r="F196" s="22" t="str">
        <f t="shared" si="35"/>
        <v>L3</v>
      </c>
      <c r="G196" s="23" t="str">
        <f t="shared" si="36"/>
        <v>Nikhil Agarwal</v>
      </c>
      <c r="H196" s="22" t="str">
        <f t="shared" si="37"/>
        <v>Active</v>
      </c>
      <c r="I196" s="24">
        <f t="shared" si="38"/>
        <v>3</v>
      </c>
      <c r="J196" s="22">
        <f t="shared" si="39"/>
        <v>4</v>
      </c>
      <c r="K196" s="23" t="str">
        <f t="shared" si="40"/>
        <v>High Performer</v>
      </c>
      <c r="L196" s="22" t="str">
        <f t="shared" si="41"/>
        <v>Eligible</v>
      </c>
      <c r="M196" s="24">
        <f t="shared" si="42"/>
        <v>13.12</v>
      </c>
      <c r="N196" s="25">
        <f t="shared" si="43"/>
        <v>0.91</v>
      </c>
      <c r="O196" s="26">
        <f t="shared" si="44"/>
        <v>0.92400000000000004</v>
      </c>
      <c r="P196" s="25">
        <f t="shared" si="45"/>
        <v>3.57</v>
      </c>
      <c r="Q196" s="22" t="str">
        <f t="shared" si="46"/>
        <v>Low</v>
      </c>
      <c r="R196">
        <f t="shared" si="47"/>
        <v>192</v>
      </c>
    </row>
    <row r="197" spans="1:18" x14ac:dyDescent="0.3">
      <c r="A197" s="22">
        <f>IF(B197="","",193)</f>
        <v>193</v>
      </c>
      <c r="B197" s="22" t="str">
        <f>IF(Calc_Engine!I194="","",Calc_Engine!I194)</f>
        <v>EMP1193</v>
      </c>
      <c r="C197" s="23" t="str">
        <f t="shared" ref="C197:C260" si="48">IF($R197="","",INDEX(M_Name,$R197))</f>
        <v>Rajesh Kapoor</v>
      </c>
      <c r="D197" s="23" t="str">
        <f t="shared" ref="D197:D260" si="49">IF($R197="","",INDEX(M_Title,$R197))</f>
        <v>Sales Executive</v>
      </c>
      <c r="E197" s="23" t="str">
        <f t="shared" ref="E197:E260" si="50">IF($R197="","",INDEX(M_Dept,$R197))</f>
        <v>Sales</v>
      </c>
      <c r="F197" s="22" t="str">
        <f t="shared" ref="F197:F260" si="51">IF($R197="","",INDEX(M_Level,$R197))</f>
        <v>L2</v>
      </c>
      <c r="G197" s="23" t="str">
        <f t="shared" ref="G197:G260" si="52">IF($R197="","",INDEX(M_Mgr,$R197))</f>
        <v>Kavya Krishnan</v>
      </c>
      <c r="H197" s="22" t="str">
        <f t="shared" ref="H197:H260" si="53">IF($R197="","",INDEX(M_Status,$R197))</f>
        <v>Exited</v>
      </c>
      <c r="I197" s="24">
        <f t="shared" ref="I197:I260" si="54">IF($R197="","",INDEX(M_Tenure,$R197))</f>
        <v>2.8</v>
      </c>
      <c r="J197" s="22">
        <f t="shared" ref="J197:J260" si="55">IF($R197="","",INDEX(P_Rating,$R197))</f>
        <v>1</v>
      </c>
      <c r="K197" s="23" t="str">
        <f t="shared" ref="K197:K260" si="56">IF($R197="","",INDEX(P_9Box,$R197))</f>
        <v>Inconsistent Player</v>
      </c>
      <c r="L197" s="22" t="str">
        <f t="shared" ref="L197:L260" si="57">IF($R197="","",INDEX(P_Elig,$R197))</f>
        <v>Not Eligible</v>
      </c>
      <c r="M197" s="24">
        <f t="shared" ref="M197:M260" si="58">IF($R197="","",INDEX(C_CTC,$R197)/100000)</f>
        <v>8.3800000000000008</v>
      </c>
      <c r="N197" s="25">
        <f t="shared" ref="N197:N260" si="59">IF($R197="","",INDEX(C_Compa,$R197))</f>
        <v>0.98</v>
      </c>
      <c r="O197" s="26">
        <f t="shared" ref="O197:O260" si="60">IF($R197="","",INDEX(A_Att,$R197))</f>
        <v>0.90243902439024393</v>
      </c>
      <c r="P197" s="25">
        <f t="shared" ref="P197:P260" si="61">IF($R197="","",INDEX(E_Overall,$R197))</f>
        <v>3.18</v>
      </c>
      <c r="Q197" s="22" t="str">
        <f t="shared" ref="Q197:Q260" si="62">IF($R197="","",INDEX(E_Risk,$R197))</f>
        <v>Exited</v>
      </c>
      <c r="R197">
        <f t="shared" ref="R197:R260" si="63">IF(B197="","",MATCH(B197,M_ID,0))</f>
        <v>193</v>
      </c>
    </row>
    <row r="198" spans="1:18" x14ac:dyDescent="0.3">
      <c r="A198" s="22">
        <f>IF(B198="","",194)</f>
        <v>194</v>
      </c>
      <c r="B198" s="22" t="str">
        <f>IF(Calc_Engine!I195="","",Calc_Engine!I195)</f>
        <v>EMP1194</v>
      </c>
      <c r="C198" s="23" t="str">
        <f t="shared" si="48"/>
        <v>Ashish Varghese</v>
      </c>
      <c r="D198" s="23" t="str">
        <f t="shared" si="49"/>
        <v>Support Manager</v>
      </c>
      <c r="E198" s="23" t="str">
        <f t="shared" si="50"/>
        <v>Customer Support</v>
      </c>
      <c r="F198" s="22" t="str">
        <f t="shared" si="51"/>
        <v>L5</v>
      </c>
      <c r="G198" s="23" t="str">
        <f t="shared" si="52"/>
        <v>Akash Dsouza</v>
      </c>
      <c r="H198" s="22" t="str">
        <f t="shared" si="53"/>
        <v>Active</v>
      </c>
      <c r="I198" s="24">
        <f t="shared" si="54"/>
        <v>3</v>
      </c>
      <c r="J198" s="22">
        <f t="shared" si="55"/>
        <v>4</v>
      </c>
      <c r="K198" s="23" t="str">
        <f t="shared" si="56"/>
        <v>High Performer</v>
      </c>
      <c r="L198" s="22" t="str">
        <f t="shared" si="57"/>
        <v>Not Eligible</v>
      </c>
      <c r="M198" s="24">
        <f t="shared" si="58"/>
        <v>30.49</v>
      </c>
      <c r="N198" s="25">
        <f t="shared" si="59"/>
        <v>0.83</v>
      </c>
      <c r="O198" s="26">
        <f t="shared" si="60"/>
        <v>0.95199999999999996</v>
      </c>
      <c r="P198" s="25">
        <f t="shared" si="61"/>
        <v>3.68</v>
      </c>
      <c r="Q198" s="22" t="str">
        <f t="shared" si="62"/>
        <v>Medium</v>
      </c>
      <c r="R198">
        <f t="shared" si="63"/>
        <v>194</v>
      </c>
    </row>
    <row r="199" spans="1:18" x14ac:dyDescent="0.3">
      <c r="A199" s="22">
        <f>IF(B199="","",195)</f>
        <v>195</v>
      </c>
      <c r="B199" s="22" t="str">
        <f>IF(Calc_Engine!I196="","",Calc_Engine!I196)</f>
        <v>EMP1195</v>
      </c>
      <c r="C199" s="23" t="str">
        <f t="shared" si="48"/>
        <v>Pallavi Das</v>
      </c>
      <c r="D199" s="23" t="str">
        <f t="shared" si="49"/>
        <v>Accounts Executive</v>
      </c>
      <c r="E199" s="23" t="str">
        <f t="shared" si="50"/>
        <v>Finance</v>
      </c>
      <c r="F199" s="22" t="str">
        <f t="shared" si="51"/>
        <v>L2</v>
      </c>
      <c r="G199" s="23" t="str">
        <f t="shared" si="52"/>
        <v>Ravi Prabhu</v>
      </c>
      <c r="H199" s="22" t="str">
        <f t="shared" si="53"/>
        <v>Active</v>
      </c>
      <c r="I199" s="24">
        <f t="shared" si="54"/>
        <v>2.9</v>
      </c>
      <c r="J199" s="22">
        <f t="shared" si="55"/>
        <v>3</v>
      </c>
      <c r="K199" s="23" t="str">
        <f t="shared" si="56"/>
        <v>Core Player</v>
      </c>
      <c r="L199" s="22" t="str">
        <f t="shared" si="57"/>
        <v>Not Eligible</v>
      </c>
      <c r="M199" s="24">
        <f t="shared" si="58"/>
        <v>7.1</v>
      </c>
      <c r="N199" s="25">
        <f t="shared" si="59"/>
        <v>0.83</v>
      </c>
      <c r="O199" s="26">
        <f t="shared" si="60"/>
        <v>0.93600000000000005</v>
      </c>
      <c r="P199" s="25">
        <f t="shared" si="61"/>
        <v>2.42</v>
      </c>
      <c r="Q199" s="22" t="str">
        <f t="shared" si="62"/>
        <v>Medium</v>
      </c>
      <c r="R199">
        <f t="shared" si="63"/>
        <v>195</v>
      </c>
    </row>
    <row r="200" spans="1:18" x14ac:dyDescent="0.3">
      <c r="A200" s="22">
        <f>IF(B200="","",196)</f>
        <v>196</v>
      </c>
      <c r="B200" s="22" t="str">
        <f>IF(Calc_Engine!I197="","",Calc_Engine!I197)</f>
        <v>EMP1196</v>
      </c>
      <c r="C200" s="23" t="str">
        <f t="shared" si="48"/>
        <v>Vikas Bansal</v>
      </c>
      <c r="D200" s="23" t="str">
        <f t="shared" si="49"/>
        <v>Tech Lead</v>
      </c>
      <c r="E200" s="23" t="str">
        <f t="shared" si="50"/>
        <v>Engineering</v>
      </c>
      <c r="F200" s="22" t="str">
        <f t="shared" si="51"/>
        <v>L4</v>
      </c>
      <c r="G200" s="23" t="str">
        <f t="shared" si="52"/>
        <v>Tejaswini Hegde</v>
      </c>
      <c r="H200" s="22" t="str">
        <f t="shared" si="53"/>
        <v>Active</v>
      </c>
      <c r="I200" s="24">
        <f t="shared" si="54"/>
        <v>2.9</v>
      </c>
      <c r="J200" s="22">
        <f t="shared" si="55"/>
        <v>3</v>
      </c>
      <c r="K200" s="23" t="str">
        <f t="shared" si="56"/>
        <v>Future Star</v>
      </c>
      <c r="L200" s="22" t="str">
        <f t="shared" si="57"/>
        <v>Not Eligible</v>
      </c>
      <c r="M200" s="24">
        <f t="shared" si="58"/>
        <v>32.119999999999997</v>
      </c>
      <c r="N200" s="25">
        <f t="shared" si="59"/>
        <v>1.37</v>
      </c>
      <c r="O200" s="26">
        <f t="shared" si="60"/>
        <v>0.90800000000000003</v>
      </c>
      <c r="P200" s="25">
        <f t="shared" si="61"/>
        <v>2.77</v>
      </c>
      <c r="Q200" s="22" t="str">
        <f t="shared" si="62"/>
        <v>Medium</v>
      </c>
      <c r="R200">
        <f t="shared" si="63"/>
        <v>196</v>
      </c>
    </row>
    <row r="201" spans="1:18" x14ac:dyDescent="0.3">
      <c r="A201" s="22">
        <f>IF(B201="","",197)</f>
        <v>197</v>
      </c>
      <c r="B201" s="22" t="str">
        <f>IF(Calc_Engine!I198="","",Calc_Engine!I198)</f>
        <v>EMP1197</v>
      </c>
      <c r="C201" s="23" t="str">
        <f t="shared" si="48"/>
        <v>Mansi Naidu</v>
      </c>
      <c r="D201" s="23" t="str">
        <f t="shared" si="49"/>
        <v>Legal Counsel</v>
      </c>
      <c r="E201" s="23" t="str">
        <f t="shared" si="50"/>
        <v>Legal &amp; Compliance</v>
      </c>
      <c r="F201" s="22" t="str">
        <f t="shared" si="51"/>
        <v>L3</v>
      </c>
      <c r="G201" s="23" t="str">
        <f t="shared" si="52"/>
        <v>Ramya Khanna</v>
      </c>
      <c r="H201" s="22" t="str">
        <f t="shared" si="53"/>
        <v>Active</v>
      </c>
      <c r="I201" s="24">
        <f t="shared" si="54"/>
        <v>2.9</v>
      </c>
      <c r="J201" s="22">
        <f t="shared" si="55"/>
        <v>1</v>
      </c>
      <c r="K201" s="23" t="str">
        <f t="shared" si="56"/>
        <v>Rough Diamond</v>
      </c>
      <c r="L201" s="22" t="str">
        <f t="shared" si="57"/>
        <v>Not Eligible</v>
      </c>
      <c r="M201" s="24">
        <f t="shared" si="58"/>
        <v>16.059999999999999</v>
      </c>
      <c r="N201" s="25">
        <f t="shared" si="59"/>
        <v>1.1100000000000001</v>
      </c>
      <c r="O201" s="26">
        <f t="shared" si="60"/>
        <v>0.90800000000000003</v>
      </c>
      <c r="P201" s="25">
        <f t="shared" si="61"/>
        <v>3.12</v>
      </c>
      <c r="Q201" s="22" t="str">
        <f t="shared" si="62"/>
        <v>Low</v>
      </c>
      <c r="R201">
        <f t="shared" si="63"/>
        <v>197</v>
      </c>
    </row>
    <row r="202" spans="1:18" x14ac:dyDescent="0.3">
      <c r="A202" s="22">
        <f>IF(B202="","",198)</f>
        <v>198</v>
      </c>
      <c r="B202" s="22" t="str">
        <f>IF(Calc_Engine!I199="","",Calc_Engine!I199)</f>
        <v>EMP1198</v>
      </c>
      <c r="C202" s="23" t="str">
        <f t="shared" si="48"/>
        <v>Siddharth Dsouza</v>
      </c>
      <c r="D202" s="23" t="str">
        <f t="shared" si="49"/>
        <v>Senior Sales Executive</v>
      </c>
      <c r="E202" s="23" t="str">
        <f t="shared" si="50"/>
        <v>Sales</v>
      </c>
      <c r="F202" s="22" t="str">
        <f t="shared" si="51"/>
        <v>L3</v>
      </c>
      <c r="G202" s="23" t="str">
        <f t="shared" si="52"/>
        <v>Yash Raghavan</v>
      </c>
      <c r="H202" s="22" t="str">
        <f t="shared" si="53"/>
        <v>Active</v>
      </c>
      <c r="I202" s="24">
        <f t="shared" si="54"/>
        <v>2.9</v>
      </c>
      <c r="J202" s="22">
        <f t="shared" si="55"/>
        <v>3</v>
      </c>
      <c r="K202" s="23" t="str">
        <f t="shared" si="56"/>
        <v>Core Player</v>
      </c>
      <c r="L202" s="22" t="str">
        <f t="shared" si="57"/>
        <v>Not Eligible</v>
      </c>
      <c r="M202" s="24">
        <f t="shared" si="58"/>
        <v>11.42</v>
      </c>
      <c r="N202" s="25">
        <f t="shared" si="59"/>
        <v>0.79</v>
      </c>
      <c r="O202" s="26">
        <f t="shared" si="60"/>
        <v>0.93200000000000005</v>
      </c>
      <c r="P202" s="25">
        <f t="shared" si="61"/>
        <v>3.15</v>
      </c>
      <c r="Q202" s="22" t="str">
        <f t="shared" si="62"/>
        <v>Medium</v>
      </c>
      <c r="R202">
        <f t="shared" si="63"/>
        <v>198</v>
      </c>
    </row>
    <row r="203" spans="1:18" x14ac:dyDescent="0.3">
      <c r="A203" s="22">
        <f>IF(B203="","",199)</f>
        <v>199</v>
      </c>
      <c r="B203" s="22" t="str">
        <f>IF(Calc_Engine!I200="","",Calc_Engine!I200)</f>
        <v>EMP1199</v>
      </c>
      <c r="C203" s="23" t="str">
        <f t="shared" si="48"/>
        <v>Anjali Bansal</v>
      </c>
      <c r="D203" s="23" t="str">
        <f t="shared" si="49"/>
        <v>Senior Operations Executive</v>
      </c>
      <c r="E203" s="23" t="str">
        <f t="shared" si="50"/>
        <v>Operations</v>
      </c>
      <c r="F203" s="22" t="str">
        <f t="shared" si="51"/>
        <v>L3</v>
      </c>
      <c r="G203" s="23" t="str">
        <f t="shared" si="52"/>
        <v>Amit Kumar</v>
      </c>
      <c r="H203" s="22" t="str">
        <f t="shared" si="53"/>
        <v>Active</v>
      </c>
      <c r="I203" s="24">
        <f t="shared" si="54"/>
        <v>2.9</v>
      </c>
      <c r="J203" s="22">
        <f t="shared" si="55"/>
        <v>2</v>
      </c>
      <c r="K203" s="23" t="str">
        <f t="shared" si="56"/>
        <v>Inconsistent Player</v>
      </c>
      <c r="L203" s="22" t="str">
        <f t="shared" si="57"/>
        <v>Not Eligible</v>
      </c>
      <c r="M203" s="24">
        <f t="shared" si="58"/>
        <v>11.72</v>
      </c>
      <c r="N203" s="25">
        <f t="shared" si="59"/>
        <v>0.81</v>
      </c>
      <c r="O203" s="26">
        <f t="shared" si="60"/>
        <v>0.94799999999999995</v>
      </c>
      <c r="P203" s="25">
        <f t="shared" si="61"/>
        <v>2.5499999999999998</v>
      </c>
      <c r="Q203" s="22" t="str">
        <f t="shared" si="62"/>
        <v>Medium</v>
      </c>
      <c r="R203">
        <f t="shared" si="63"/>
        <v>199</v>
      </c>
    </row>
    <row r="204" spans="1:18" x14ac:dyDescent="0.3">
      <c r="A204" s="22">
        <f>IF(B204="","",200)</f>
        <v>200</v>
      </c>
      <c r="B204" s="22" t="str">
        <f>IF(Calc_Engine!I201="","",Calc_Engine!I201)</f>
        <v>EMP1200</v>
      </c>
      <c r="C204" s="23" t="str">
        <f t="shared" si="48"/>
        <v>Arun Jain</v>
      </c>
      <c r="D204" s="23" t="str">
        <f t="shared" si="49"/>
        <v>Operations Lead</v>
      </c>
      <c r="E204" s="23" t="str">
        <f t="shared" si="50"/>
        <v>Operations</v>
      </c>
      <c r="F204" s="22" t="str">
        <f t="shared" si="51"/>
        <v>L4</v>
      </c>
      <c r="G204" s="23" t="str">
        <f t="shared" si="52"/>
        <v>Ajay Kumar</v>
      </c>
      <c r="H204" s="22" t="str">
        <f t="shared" si="53"/>
        <v>Active</v>
      </c>
      <c r="I204" s="24">
        <f t="shared" si="54"/>
        <v>2.9</v>
      </c>
      <c r="J204" s="22">
        <f t="shared" si="55"/>
        <v>1</v>
      </c>
      <c r="K204" s="23" t="str">
        <f t="shared" si="56"/>
        <v>Rough Diamond</v>
      </c>
      <c r="L204" s="22" t="str">
        <f t="shared" si="57"/>
        <v>Not Eligible</v>
      </c>
      <c r="M204" s="24">
        <f t="shared" si="58"/>
        <v>19.41</v>
      </c>
      <c r="N204" s="25">
        <f t="shared" si="59"/>
        <v>0.83</v>
      </c>
      <c r="O204" s="26">
        <f t="shared" si="60"/>
        <v>0.93600000000000005</v>
      </c>
      <c r="P204" s="25">
        <f t="shared" si="61"/>
        <v>2.7</v>
      </c>
      <c r="Q204" s="22" t="str">
        <f t="shared" si="62"/>
        <v>Medium</v>
      </c>
      <c r="R204">
        <f t="shared" si="63"/>
        <v>200</v>
      </c>
    </row>
    <row r="205" spans="1:18" x14ac:dyDescent="0.3">
      <c r="A205" s="22">
        <f>IF(B205="","",201)</f>
        <v>201</v>
      </c>
      <c r="B205" s="22" t="str">
        <f>IF(Calc_Engine!I202="","",Calc_Engine!I202)</f>
        <v>EMP1201</v>
      </c>
      <c r="C205" s="23" t="str">
        <f t="shared" si="48"/>
        <v>Anjali Shah</v>
      </c>
      <c r="D205" s="23" t="str">
        <f t="shared" si="49"/>
        <v>Senior Marketing Executive</v>
      </c>
      <c r="E205" s="23" t="str">
        <f t="shared" si="50"/>
        <v>Marketing</v>
      </c>
      <c r="F205" s="22" t="str">
        <f t="shared" si="51"/>
        <v>L3</v>
      </c>
      <c r="G205" s="23" t="str">
        <f t="shared" si="52"/>
        <v>Aishwarya Mukherjee</v>
      </c>
      <c r="H205" s="22" t="str">
        <f t="shared" si="53"/>
        <v>Active</v>
      </c>
      <c r="I205" s="24">
        <f t="shared" si="54"/>
        <v>2.9</v>
      </c>
      <c r="J205" s="22">
        <f t="shared" si="55"/>
        <v>5</v>
      </c>
      <c r="K205" s="23" t="str">
        <f t="shared" si="56"/>
        <v>Star</v>
      </c>
      <c r="L205" s="22" t="str">
        <f t="shared" si="57"/>
        <v>Not Eligible</v>
      </c>
      <c r="M205" s="24">
        <f t="shared" si="58"/>
        <v>14.05</v>
      </c>
      <c r="N205" s="25">
        <f t="shared" si="59"/>
        <v>0.97</v>
      </c>
      <c r="O205" s="26">
        <f t="shared" si="60"/>
        <v>0.92</v>
      </c>
      <c r="P205" s="25">
        <f t="shared" si="61"/>
        <v>3.23</v>
      </c>
      <c r="Q205" s="22" t="str">
        <f t="shared" si="62"/>
        <v>Low</v>
      </c>
      <c r="R205">
        <f t="shared" si="63"/>
        <v>201</v>
      </c>
    </row>
    <row r="206" spans="1:18" x14ac:dyDescent="0.3">
      <c r="A206" s="22">
        <f>IF(B206="","",202)</f>
        <v>202</v>
      </c>
      <c r="B206" s="22" t="str">
        <f>IF(Calc_Engine!I203="","",Calc_Engine!I203)</f>
        <v>EMP1202</v>
      </c>
      <c r="C206" s="23" t="str">
        <f t="shared" si="48"/>
        <v>Ankit Mukherjee</v>
      </c>
      <c r="D206" s="23" t="str">
        <f t="shared" si="49"/>
        <v>Data Analyst II</v>
      </c>
      <c r="E206" s="23" t="str">
        <f t="shared" si="50"/>
        <v>Data &amp; Analytics</v>
      </c>
      <c r="F206" s="22" t="str">
        <f t="shared" si="51"/>
        <v>L2</v>
      </c>
      <c r="G206" s="23" t="str">
        <f t="shared" si="52"/>
        <v>Trisha Jain</v>
      </c>
      <c r="H206" s="22" t="str">
        <f t="shared" si="53"/>
        <v>Active</v>
      </c>
      <c r="I206" s="24">
        <f t="shared" si="54"/>
        <v>2.8</v>
      </c>
      <c r="J206" s="22">
        <f t="shared" si="55"/>
        <v>2</v>
      </c>
      <c r="K206" s="23" t="str">
        <f t="shared" si="56"/>
        <v>Rough Diamond</v>
      </c>
      <c r="L206" s="22" t="str">
        <f t="shared" si="57"/>
        <v>Not Eligible</v>
      </c>
      <c r="M206" s="24">
        <f t="shared" si="58"/>
        <v>7.02</v>
      </c>
      <c r="N206" s="25">
        <f t="shared" si="59"/>
        <v>0.82</v>
      </c>
      <c r="O206" s="26">
        <f t="shared" si="60"/>
        <v>0.92400000000000004</v>
      </c>
      <c r="P206" s="25">
        <f t="shared" si="61"/>
        <v>2.9</v>
      </c>
      <c r="Q206" s="22" t="str">
        <f t="shared" si="62"/>
        <v>Medium</v>
      </c>
      <c r="R206">
        <f t="shared" si="63"/>
        <v>202</v>
      </c>
    </row>
    <row r="207" spans="1:18" x14ac:dyDescent="0.3">
      <c r="A207" s="22">
        <f>IF(B207="","",203)</f>
        <v>203</v>
      </c>
      <c r="B207" s="22" t="str">
        <f>IF(Calc_Engine!I204="","",Calc_Engine!I204)</f>
        <v>EMP1203</v>
      </c>
      <c r="C207" s="23" t="str">
        <f t="shared" si="48"/>
        <v>Anjali Rao</v>
      </c>
      <c r="D207" s="23" t="str">
        <f t="shared" si="49"/>
        <v>Senior Support Executive</v>
      </c>
      <c r="E207" s="23" t="str">
        <f t="shared" si="50"/>
        <v>Customer Support</v>
      </c>
      <c r="F207" s="22" t="str">
        <f t="shared" si="51"/>
        <v>L3</v>
      </c>
      <c r="G207" s="23" t="str">
        <f t="shared" si="52"/>
        <v>Vidya Chatterjee</v>
      </c>
      <c r="H207" s="22" t="str">
        <f t="shared" si="53"/>
        <v>Active</v>
      </c>
      <c r="I207" s="24">
        <f t="shared" si="54"/>
        <v>2.8</v>
      </c>
      <c r="J207" s="22">
        <f t="shared" si="55"/>
        <v>3</v>
      </c>
      <c r="K207" s="23" t="str">
        <f t="shared" si="56"/>
        <v>Core Player</v>
      </c>
      <c r="L207" s="22" t="str">
        <f t="shared" si="57"/>
        <v>Not Eligible</v>
      </c>
      <c r="M207" s="24">
        <f t="shared" si="58"/>
        <v>12.92</v>
      </c>
      <c r="N207" s="25">
        <f t="shared" si="59"/>
        <v>0.89</v>
      </c>
      <c r="O207" s="26">
        <f t="shared" si="60"/>
        <v>0.92400000000000004</v>
      </c>
      <c r="P207" s="25">
        <f t="shared" si="61"/>
        <v>2.73</v>
      </c>
      <c r="Q207" s="22" t="str">
        <f t="shared" si="62"/>
        <v>Medium</v>
      </c>
      <c r="R207">
        <f t="shared" si="63"/>
        <v>203</v>
      </c>
    </row>
    <row r="208" spans="1:18" x14ac:dyDescent="0.3">
      <c r="A208" s="22">
        <f>IF(B208="","",204)</f>
        <v>204</v>
      </c>
      <c r="B208" s="22" t="str">
        <f>IF(Calc_Engine!I205="","",Calc_Engine!I205)</f>
        <v>EMP1204</v>
      </c>
      <c r="C208" s="23" t="str">
        <f t="shared" si="48"/>
        <v>Anand Shetty</v>
      </c>
      <c r="D208" s="23" t="str">
        <f t="shared" si="49"/>
        <v>Marketing Lead</v>
      </c>
      <c r="E208" s="23" t="str">
        <f t="shared" si="50"/>
        <v>Marketing</v>
      </c>
      <c r="F208" s="22" t="str">
        <f t="shared" si="51"/>
        <v>L4</v>
      </c>
      <c r="G208" s="23" t="str">
        <f t="shared" si="52"/>
        <v>Nandini Iyer</v>
      </c>
      <c r="H208" s="22" t="str">
        <f t="shared" si="53"/>
        <v>Active</v>
      </c>
      <c r="I208" s="24">
        <f t="shared" si="54"/>
        <v>2.8</v>
      </c>
      <c r="J208" s="22">
        <f t="shared" si="55"/>
        <v>2</v>
      </c>
      <c r="K208" s="23" t="str">
        <f t="shared" si="56"/>
        <v>Inconsistent Player</v>
      </c>
      <c r="L208" s="22" t="str">
        <f t="shared" si="57"/>
        <v>Not Eligible</v>
      </c>
      <c r="M208" s="24">
        <f t="shared" si="58"/>
        <v>17.98</v>
      </c>
      <c r="N208" s="25">
        <f t="shared" si="59"/>
        <v>0.77</v>
      </c>
      <c r="O208" s="26">
        <f t="shared" si="60"/>
        <v>0.90400000000000003</v>
      </c>
      <c r="P208" s="25">
        <f t="shared" si="61"/>
        <v>3.88</v>
      </c>
      <c r="Q208" s="22" t="str">
        <f t="shared" si="62"/>
        <v>Low</v>
      </c>
      <c r="R208">
        <f t="shared" si="63"/>
        <v>204</v>
      </c>
    </row>
    <row r="209" spans="1:18" x14ac:dyDescent="0.3">
      <c r="A209" s="22">
        <f>IF(B209="","",205)</f>
        <v>205</v>
      </c>
      <c r="B209" s="22" t="str">
        <f>IF(Calc_Engine!I206="","",Calc_Engine!I206)</f>
        <v>EMP1205</v>
      </c>
      <c r="C209" s="23" t="str">
        <f t="shared" si="48"/>
        <v>Srinivas Shah</v>
      </c>
      <c r="D209" s="23" t="str">
        <f t="shared" si="49"/>
        <v>Sales Manager</v>
      </c>
      <c r="E209" s="23" t="str">
        <f t="shared" si="50"/>
        <v>Sales</v>
      </c>
      <c r="F209" s="22" t="str">
        <f t="shared" si="51"/>
        <v>L5</v>
      </c>
      <c r="G209" s="23" t="str">
        <f t="shared" si="52"/>
        <v>Gayatri Tiwari</v>
      </c>
      <c r="H209" s="22" t="str">
        <f t="shared" si="53"/>
        <v>Active</v>
      </c>
      <c r="I209" s="24">
        <f t="shared" si="54"/>
        <v>2.8</v>
      </c>
      <c r="J209" s="22">
        <f t="shared" si="55"/>
        <v>3</v>
      </c>
      <c r="K209" s="23" t="str">
        <f t="shared" si="56"/>
        <v>Core Player</v>
      </c>
      <c r="L209" s="22" t="str">
        <f t="shared" si="57"/>
        <v>Not Eligible</v>
      </c>
      <c r="M209" s="24">
        <f t="shared" si="58"/>
        <v>38.46</v>
      </c>
      <c r="N209" s="25">
        <f t="shared" si="59"/>
        <v>1.05</v>
      </c>
      <c r="O209" s="26">
        <f t="shared" si="60"/>
        <v>0.91200000000000003</v>
      </c>
      <c r="P209" s="25">
        <f t="shared" si="61"/>
        <v>2.7</v>
      </c>
      <c r="Q209" s="22" t="str">
        <f t="shared" si="62"/>
        <v>Low</v>
      </c>
      <c r="R209">
        <f t="shared" si="63"/>
        <v>205</v>
      </c>
    </row>
    <row r="210" spans="1:18" x14ac:dyDescent="0.3">
      <c r="A210" s="22">
        <f>IF(B210="","",206)</f>
        <v>206</v>
      </c>
      <c r="B210" s="22" t="str">
        <f>IF(Calc_Engine!I207="","",Calc_Engine!I207)</f>
        <v>EMP1206</v>
      </c>
      <c r="C210" s="23" t="str">
        <f t="shared" si="48"/>
        <v>Meera Chatterjee</v>
      </c>
      <c r="D210" s="23" t="str">
        <f t="shared" si="49"/>
        <v>Senior Software Engineer</v>
      </c>
      <c r="E210" s="23" t="str">
        <f t="shared" si="50"/>
        <v>Engineering</v>
      </c>
      <c r="F210" s="22" t="str">
        <f t="shared" si="51"/>
        <v>L3</v>
      </c>
      <c r="G210" s="23" t="str">
        <f t="shared" si="52"/>
        <v>Vikram Verma</v>
      </c>
      <c r="H210" s="22" t="str">
        <f t="shared" si="53"/>
        <v>Active</v>
      </c>
      <c r="I210" s="24">
        <f t="shared" si="54"/>
        <v>2.8</v>
      </c>
      <c r="J210" s="22">
        <f t="shared" si="55"/>
        <v>4</v>
      </c>
      <c r="K210" s="23" t="str">
        <f t="shared" si="56"/>
        <v>High Performer</v>
      </c>
      <c r="L210" s="22" t="str">
        <f t="shared" si="57"/>
        <v>Not Eligible</v>
      </c>
      <c r="M210" s="24">
        <f t="shared" si="58"/>
        <v>17.11</v>
      </c>
      <c r="N210" s="25">
        <f t="shared" si="59"/>
        <v>1.18</v>
      </c>
      <c r="O210" s="26">
        <f t="shared" si="60"/>
        <v>0.91200000000000003</v>
      </c>
      <c r="P210" s="25">
        <f t="shared" si="61"/>
        <v>4.3499999999999996</v>
      </c>
      <c r="Q210" s="22" t="str">
        <f t="shared" si="62"/>
        <v>Low</v>
      </c>
      <c r="R210">
        <f t="shared" si="63"/>
        <v>206</v>
      </c>
    </row>
    <row r="211" spans="1:18" x14ac:dyDescent="0.3">
      <c r="A211" s="22">
        <f>IF(B211="","",207)</f>
        <v>207</v>
      </c>
      <c r="B211" s="22" t="str">
        <f>IF(Calc_Engine!I208="","",Calc_Engine!I208)</f>
        <v>EMP1207</v>
      </c>
      <c r="C211" s="23" t="str">
        <f t="shared" si="48"/>
        <v>Tejaswini Nair</v>
      </c>
      <c r="D211" s="23" t="str">
        <f t="shared" si="49"/>
        <v>Senior Finance Executive</v>
      </c>
      <c r="E211" s="23" t="str">
        <f t="shared" si="50"/>
        <v>Finance</v>
      </c>
      <c r="F211" s="22" t="str">
        <f t="shared" si="51"/>
        <v>L3</v>
      </c>
      <c r="G211" s="23" t="str">
        <f t="shared" si="52"/>
        <v>Ravi Prabhu</v>
      </c>
      <c r="H211" s="22" t="str">
        <f t="shared" si="53"/>
        <v>Exited</v>
      </c>
      <c r="I211" s="24">
        <f t="shared" si="54"/>
        <v>2.2999999999999998</v>
      </c>
      <c r="J211" s="22">
        <f t="shared" si="55"/>
        <v>5</v>
      </c>
      <c r="K211" s="23" t="str">
        <f t="shared" si="56"/>
        <v>Star</v>
      </c>
      <c r="L211" s="22" t="str">
        <f t="shared" si="57"/>
        <v>Not Eligible</v>
      </c>
      <c r="M211" s="24">
        <f t="shared" si="58"/>
        <v>14.6</v>
      </c>
      <c r="N211" s="25">
        <f t="shared" si="59"/>
        <v>1.01</v>
      </c>
      <c r="O211" s="26">
        <f t="shared" si="60"/>
        <v>0.84615384615384615</v>
      </c>
      <c r="P211" s="25">
        <f t="shared" si="61"/>
        <v>3.77</v>
      </c>
      <c r="Q211" s="22" t="str">
        <f t="shared" si="62"/>
        <v>Exited</v>
      </c>
      <c r="R211">
        <f t="shared" si="63"/>
        <v>207</v>
      </c>
    </row>
    <row r="212" spans="1:18" x14ac:dyDescent="0.3">
      <c r="A212" s="22">
        <f>IF(B212="","",208)</f>
        <v>208</v>
      </c>
      <c r="B212" s="22" t="str">
        <f>IF(Calc_Engine!I209="","",Calc_Engine!I209)</f>
        <v>EMP1208</v>
      </c>
      <c r="C212" s="23" t="str">
        <f t="shared" si="48"/>
        <v>Ashish Fernandes</v>
      </c>
      <c r="D212" s="23" t="str">
        <f t="shared" si="49"/>
        <v>Software Engineer</v>
      </c>
      <c r="E212" s="23" t="str">
        <f t="shared" si="50"/>
        <v>Engineering</v>
      </c>
      <c r="F212" s="22" t="str">
        <f t="shared" si="51"/>
        <v>L2</v>
      </c>
      <c r="G212" s="23" t="str">
        <f t="shared" si="52"/>
        <v>Madhuri Menon</v>
      </c>
      <c r="H212" s="22" t="str">
        <f t="shared" si="53"/>
        <v>Active</v>
      </c>
      <c r="I212" s="24">
        <f t="shared" si="54"/>
        <v>2.8</v>
      </c>
      <c r="J212" s="22">
        <f t="shared" si="55"/>
        <v>3</v>
      </c>
      <c r="K212" s="23" t="str">
        <f t="shared" si="56"/>
        <v>Core Player</v>
      </c>
      <c r="L212" s="22" t="str">
        <f t="shared" si="57"/>
        <v>Not Eligible</v>
      </c>
      <c r="M212" s="24">
        <f t="shared" si="58"/>
        <v>8.33</v>
      </c>
      <c r="N212" s="25">
        <f t="shared" si="59"/>
        <v>0.97</v>
      </c>
      <c r="O212" s="26">
        <f t="shared" si="60"/>
        <v>0.97199999999999998</v>
      </c>
      <c r="P212" s="25">
        <f t="shared" si="61"/>
        <v>2.92</v>
      </c>
      <c r="Q212" s="22" t="str">
        <f t="shared" si="62"/>
        <v>Low</v>
      </c>
      <c r="R212">
        <f t="shared" si="63"/>
        <v>208</v>
      </c>
    </row>
    <row r="213" spans="1:18" x14ac:dyDescent="0.3">
      <c r="A213" s="22">
        <f>IF(B213="","",209)</f>
        <v>209</v>
      </c>
      <c r="B213" s="22" t="str">
        <f>IF(Calc_Engine!I210="","",Calc_Engine!I210)</f>
        <v>EMP1209</v>
      </c>
      <c r="C213" s="23" t="str">
        <f t="shared" si="48"/>
        <v>Ritu Hegde</v>
      </c>
      <c r="D213" s="23" t="str">
        <f t="shared" si="49"/>
        <v>Senior Support Executive</v>
      </c>
      <c r="E213" s="23" t="str">
        <f t="shared" si="50"/>
        <v>Customer Support</v>
      </c>
      <c r="F213" s="22" t="str">
        <f t="shared" si="51"/>
        <v>L3</v>
      </c>
      <c r="G213" s="23" t="str">
        <f t="shared" si="52"/>
        <v>Anand Naidu</v>
      </c>
      <c r="H213" s="22" t="str">
        <f t="shared" si="53"/>
        <v>Active</v>
      </c>
      <c r="I213" s="24">
        <f t="shared" si="54"/>
        <v>2.8</v>
      </c>
      <c r="J213" s="22">
        <f t="shared" si="55"/>
        <v>2</v>
      </c>
      <c r="K213" s="23" t="str">
        <f t="shared" si="56"/>
        <v>Underperformer</v>
      </c>
      <c r="L213" s="22" t="str">
        <f t="shared" si="57"/>
        <v>Not Eligible</v>
      </c>
      <c r="M213" s="24">
        <f t="shared" si="58"/>
        <v>10.79</v>
      </c>
      <c r="N213" s="25">
        <f t="shared" si="59"/>
        <v>0.75</v>
      </c>
      <c r="O213" s="26">
        <f t="shared" si="60"/>
        <v>0.93200000000000005</v>
      </c>
      <c r="P213" s="25">
        <f t="shared" si="61"/>
        <v>3.17</v>
      </c>
      <c r="Q213" s="22" t="str">
        <f t="shared" si="62"/>
        <v>Medium</v>
      </c>
      <c r="R213">
        <f t="shared" si="63"/>
        <v>209</v>
      </c>
    </row>
    <row r="214" spans="1:18" x14ac:dyDescent="0.3">
      <c r="A214" s="22">
        <f>IF(B214="","",210)</f>
        <v>210</v>
      </c>
      <c r="B214" s="22" t="str">
        <f>IF(Calc_Engine!I211="","",Calc_Engine!I211)</f>
        <v>EMP1210</v>
      </c>
      <c r="C214" s="23" t="str">
        <f t="shared" si="48"/>
        <v>Srinivas Kumar</v>
      </c>
      <c r="D214" s="23" t="str">
        <f t="shared" si="49"/>
        <v>Product Manager</v>
      </c>
      <c r="E214" s="23" t="str">
        <f t="shared" si="50"/>
        <v>Product</v>
      </c>
      <c r="F214" s="22" t="str">
        <f t="shared" si="51"/>
        <v>L3</v>
      </c>
      <c r="G214" s="23" t="str">
        <f t="shared" si="52"/>
        <v>Trisha Malhotra</v>
      </c>
      <c r="H214" s="22" t="str">
        <f t="shared" si="53"/>
        <v>Active</v>
      </c>
      <c r="I214" s="24">
        <f t="shared" si="54"/>
        <v>2.8</v>
      </c>
      <c r="J214" s="22">
        <f t="shared" si="55"/>
        <v>5</v>
      </c>
      <c r="K214" s="23" t="str">
        <f t="shared" si="56"/>
        <v>High Performer</v>
      </c>
      <c r="L214" s="22" t="str">
        <f t="shared" si="57"/>
        <v>Eligible</v>
      </c>
      <c r="M214" s="24">
        <f t="shared" si="58"/>
        <v>17.75</v>
      </c>
      <c r="N214" s="25">
        <f t="shared" si="59"/>
        <v>1.23</v>
      </c>
      <c r="O214" s="26">
        <f t="shared" si="60"/>
        <v>0.94799999999999995</v>
      </c>
      <c r="P214" s="25">
        <f t="shared" si="61"/>
        <v>4.4800000000000004</v>
      </c>
      <c r="Q214" s="22" t="str">
        <f t="shared" si="62"/>
        <v>Low</v>
      </c>
      <c r="R214">
        <f t="shared" si="63"/>
        <v>210</v>
      </c>
    </row>
    <row r="215" spans="1:18" x14ac:dyDescent="0.3">
      <c r="A215" s="22">
        <f>IF(B215="","",211)</f>
        <v>211</v>
      </c>
      <c r="B215" s="22" t="str">
        <f>IF(Calc_Engine!I212="","",Calc_Engine!I212)</f>
        <v>EMP1211</v>
      </c>
      <c r="C215" s="23" t="str">
        <f t="shared" si="48"/>
        <v>Tarun Das</v>
      </c>
      <c r="D215" s="23" t="str">
        <f t="shared" si="49"/>
        <v>Support Executive</v>
      </c>
      <c r="E215" s="23" t="str">
        <f t="shared" si="50"/>
        <v>Customer Support</v>
      </c>
      <c r="F215" s="22" t="str">
        <f t="shared" si="51"/>
        <v>L2</v>
      </c>
      <c r="G215" s="23" t="str">
        <f t="shared" si="52"/>
        <v>Imran Joshi</v>
      </c>
      <c r="H215" s="22" t="str">
        <f t="shared" si="53"/>
        <v>Exited</v>
      </c>
      <c r="I215" s="24">
        <f t="shared" si="54"/>
        <v>2</v>
      </c>
      <c r="J215" s="22">
        <f t="shared" si="55"/>
        <v>5</v>
      </c>
      <c r="K215" s="23" t="str">
        <f t="shared" si="56"/>
        <v>Trusted Professional</v>
      </c>
      <c r="L215" s="22" t="str">
        <f t="shared" si="57"/>
        <v>Not Eligible</v>
      </c>
      <c r="M215" s="24">
        <f t="shared" si="58"/>
        <v>5.61</v>
      </c>
      <c r="N215" s="25">
        <f t="shared" si="59"/>
        <v>0.66</v>
      </c>
      <c r="O215" s="26">
        <f t="shared" si="60"/>
        <v>0.82352941176470584</v>
      </c>
      <c r="P215" s="25">
        <f t="shared" si="61"/>
        <v>3.15</v>
      </c>
      <c r="Q215" s="22" t="str">
        <f t="shared" si="62"/>
        <v>Exited</v>
      </c>
      <c r="R215">
        <f t="shared" si="63"/>
        <v>211</v>
      </c>
    </row>
    <row r="216" spans="1:18" x14ac:dyDescent="0.3">
      <c r="A216" s="22">
        <f>IF(B216="","",212)</f>
        <v>212</v>
      </c>
      <c r="B216" s="22" t="str">
        <f>IF(Calc_Engine!I213="","",Calc_Engine!I213)</f>
        <v>EMP1212</v>
      </c>
      <c r="C216" s="23" t="str">
        <f t="shared" si="48"/>
        <v>Arun Kamath</v>
      </c>
      <c r="D216" s="23" t="str">
        <f t="shared" si="49"/>
        <v>Product Analyst</v>
      </c>
      <c r="E216" s="23" t="str">
        <f t="shared" si="50"/>
        <v>Product</v>
      </c>
      <c r="F216" s="22" t="str">
        <f t="shared" si="51"/>
        <v>L2</v>
      </c>
      <c r="G216" s="23" t="str">
        <f t="shared" si="52"/>
        <v>Mansi Pillai</v>
      </c>
      <c r="H216" s="22" t="str">
        <f t="shared" si="53"/>
        <v>Active</v>
      </c>
      <c r="I216" s="24">
        <f t="shared" si="54"/>
        <v>2.7</v>
      </c>
      <c r="J216" s="22">
        <f t="shared" si="55"/>
        <v>3</v>
      </c>
      <c r="K216" s="23" t="str">
        <f t="shared" si="56"/>
        <v>Effective Contributor</v>
      </c>
      <c r="L216" s="22" t="str">
        <f t="shared" si="57"/>
        <v>Not Eligible</v>
      </c>
      <c r="M216" s="24">
        <f t="shared" si="58"/>
        <v>9.48</v>
      </c>
      <c r="N216" s="25">
        <f t="shared" si="59"/>
        <v>1.1100000000000001</v>
      </c>
      <c r="O216" s="26">
        <f t="shared" si="60"/>
        <v>0.9</v>
      </c>
      <c r="P216" s="25">
        <f t="shared" si="61"/>
        <v>3.55</v>
      </c>
      <c r="Q216" s="22" t="str">
        <f t="shared" si="62"/>
        <v>Low</v>
      </c>
      <c r="R216">
        <f t="shared" si="63"/>
        <v>212</v>
      </c>
    </row>
    <row r="217" spans="1:18" x14ac:dyDescent="0.3">
      <c r="A217" s="22">
        <f>IF(B217="","",213)</f>
        <v>213</v>
      </c>
      <c r="B217" s="22" t="str">
        <f>IF(Calc_Engine!I214="","",Calc_Engine!I214)</f>
        <v>EMP1213</v>
      </c>
      <c r="C217" s="23" t="str">
        <f t="shared" si="48"/>
        <v>Vikram Verma</v>
      </c>
      <c r="D217" s="23" t="str">
        <f t="shared" si="49"/>
        <v>Senior Engineering Manager</v>
      </c>
      <c r="E217" s="23" t="str">
        <f t="shared" si="50"/>
        <v>Engineering</v>
      </c>
      <c r="F217" s="22" t="str">
        <f t="shared" si="51"/>
        <v>L6</v>
      </c>
      <c r="G217" s="23" t="str">
        <f t="shared" si="52"/>
        <v>Aishwarya Khan</v>
      </c>
      <c r="H217" s="22" t="str">
        <f t="shared" si="53"/>
        <v>Active</v>
      </c>
      <c r="I217" s="24">
        <f t="shared" si="54"/>
        <v>2.7</v>
      </c>
      <c r="J217" s="22">
        <f t="shared" si="55"/>
        <v>5</v>
      </c>
      <c r="K217" s="23" t="str">
        <f t="shared" si="56"/>
        <v>Star</v>
      </c>
      <c r="L217" s="22" t="str">
        <f t="shared" si="57"/>
        <v>Not Eligible</v>
      </c>
      <c r="M217" s="24">
        <f t="shared" si="58"/>
        <v>62.92</v>
      </c>
      <c r="N217" s="25">
        <f t="shared" si="59"/>
        <v>1.17</v>
      </c>
      <c r="O217" s="26">
        <f t="shared" si="60"/>
        <v>0.92800000000000005</v>
      </c>
      <c r="P217" s="25">
        <f t="shared" si="61"/>
        <v>3.43</v>
      </c>
      <c r="Q217" s="22" t="str">
        <f t="shared" si="62"/>
        <v>Low</v>
      </c>
      <c r="R217">
        <f t="shared" si="63"/>
        <v>213</v>
      </c>
    </row>
    <row r="218" spans="1:18" x14ac:dyDescent="0.3">
      <c r="A218" s="22">
        <f>IF(B218="","",214)</f>
        <v>214</v>
      </c>
      <c r="B218" s="22" t="str">
        <f>IF(Calc_Engine!I215="","",Calc_Engine!I215)</f>
        <v>EMP1214</v>
      </c>
      <c r="C218" s="23" t="str">
        <f t="shared" si="48"/>
        <v>Kunal Subramanian</v>
      </c>
      <c r="D218" s="23" t="str">
        <f t="shared" si="49"/>
        <v>HR Executive</v>
      </c>
      <c r="E218" s="23" t="str">
        <f t="shared" si="50"/>
        <v>Human Resources</v>
      </c>
      <c r="F218" s="22" t="str">
        <f t="shared" si="51"/>
        <v>L2</v>
      </c>
      <c r="G218" s="23" t="str">
        <f t="shared" si="52"/>
        <v>Akash Das</v>
      </c>
      <c r="H218" s="22" t="str">
        <f t="shared" si="53"/>
        <v>Exited</v>
      </c>
      <c r="I218" s="24">
        <f t="shared" si="54"/>
        <v>2.6</v>
      </c>
      <c r="J218" s="22">
        <f t="shared" si="55"/>
        <v>4</v>
      </c>
      <c r="K218" s="23" t="str">
        <f t="shared" si="56"/>
        <v>High Performer</v>
      </c>
      <c r="L218" s="22" t="str">
        <f t="shared" si="57"/>
        <v>Not Eligible</v>
      </c>
      <c r="M218" s="24">
        <f t="shared" si="58"/>
        <v>8.01</v>
      </c>
      <c r="N218" s="25">
        <f t="shared" si="59"/>
        <v>0.94</v>
      </c>
      <c r="O218" s="26">
        <f t="shared" si="60"/>
        <v>0.92</v>
      </c>
      <c r="P218" s="25">
        <f t="shared" si="61"/>
        <v>2.57</v>
      </c>
      <c r="Q218" s="22" t="str">
        <f t="shared" si="62"/>
        <v>Exited</v>
      </c>
      <c r="R218">
        <f t="shared" si="63"/>
        <v>214</v>
      </c>
    </row>
    <row r="219" spans="1:18" x14ac:dyDescent="0.3">
      <c r="A219" s="22">
        <f>IF(B219="","",215)</f>
        <v>215</v>
      </c>
      <c r="B219" s="22" t="str">
        <f>IF(Calc_Engine!I216="","",Calc_Engine!I216)</f>
        <v>EMP1215</v>
      </c>
      <c r="C219" s="23" t="str">
        <f t="shared" si="48"/>
        <v>Krishna Siddiqui</v>
      </c>
      <c r="D219" s="23" t="str">
        <f t="shared" si="49"/>
        <v>Product Analyst</v>
      </c>
      <c r="E219" s="23" t="str">
        <f t="shared" si="50"/>
        <v>Product</v>
      </c>
      <c r="F219" s="22" t="str">
        <f t="shared" si="51"/>
        <v>L2</v>
      </c>
      <c r="G219" s="23" t="str">
        <f t="shared" si="52"/>
        <v>Trisha Malhotra</v>
      </c>
      <c r="H219" s="22" t="str">
        <f t="shared" si="53"/>
        <v>Active</v>
      </c>
      <c r="I219" s="24">
        <f t="shared" si="54"/>
        <v>2.7</v>
      </c>
      <c r="J219" s="22">
        <f t="shared" si="55"/>
        <v>2</v>
      </c>
      <c r="K219" s="23" t="str">
        <f t="shared" si="56"/>
        <v>Underperformer</v>
      </c>
      <c r="L219" s="22" t="str">
        <f t="shared" si="57"/>
        <v>Not Eligible</v>
      </c>
      <c r="M219" s="24">
        <f t="shared" si="58"/>
        <v>9.8000000000000007</v>
      </c>
      <c r="N219" s="25">
        <f t="shared" si="59"/>
        <v>1.1499999999999999</v>
      </c>
      <c r="O219" s="26">
        <f t="shared" si="60"/>
        <v>0.92800000000000005</v>
      </c>
      <c r="P219" s="25">
        <f t="shared" si="61"/>
        <v>3.2</v>
      </c>
      <c r="Q219" s="22" t="str">
        <f t="shared" si="62"/>
        <v>Low</v>
      </c>
      <c r="R219">
        <f t="shared" si="63"/>
        <v>215</v>
      </c>
    </row>
    <row r="220" spans="1:18" x14ac:dyDescent="0.3">
      <c r="A220" s="22">
        <f>IF(B220="","",216)</f>
        <v>216</v>
      </c>
      <c r="B220" s="22" t="str">
        <f>IF(Calc_Engine!I217="","",Calc_Engine!I217)</f>
        <v>EMP1216</v>
      </c>
      <c r="C220" s="23" t="str">
        <f t="shared" si="48"/>
        <v>Bhavana Siddiqui</v>
      </c>
      <c r="D220" s="23" t="str">
        <f t="shared" si="49"/>
        <v>Software Engineer</v>
      </c>
      <c r="E220" s="23" t="str">
        <f t="shared" si="50"/>
        <v>Engineering</v>
      </c>
      <c r="F220" s="22" t="str">
        <f t="shared" si="51"/>
        <v>L2</v>
      </c>
      <c r="G220" s="23" t="str">
        <f t="shared" si="52"/>
        <v>Madhuri Menon</v>
      </c>
      <c r="H220" s="22" t="str">
        <f t="shared" si="53"/>
        <v>Active</v>
      </c>
      <c r="I220" s="24">
        <f t="shared" si="54"/>
        <v>2.7</v>
      </c>
      <c r="J220" s="22">
        <f t="shared" si="55"/>
        <v>3</v>
      </c>
      <c r="K220" s="23" t="str">
        <f t="shared" si="56"/>
        <v>Core Player</v>
      </c>
      <c r="L220" s="22" t="str">
        <f t="shared" si="57"/>
        <v>Not Eligible</v>
      </c>
      <c r="M220" s="24">
        <f t="shared" si="58"/>
        <v>8.1300000000000008</v>
      </c>
      <c r="N220" s="25">
        <f t="shared" si="59"/>
        <v>0.95</v>
      </c>
      <c r="O220" s="26">
        <f t="shared" si="60"/>
        <v>0.93600000000000005</v>
      </c>
      <c r="P220" s="25">
        <f t="shared" si="61"/>
        <v>3.38</v>
      </c>
      <c r="Q220" s="22" t="str">
        <f t="shared" si="62"/>
        <v>Low</v>
      </c>
      <c r="R220">
        <f t="shared" si="63"/>
        <v>216</v>
      </c>
    </row>
    <row r="221" spans="1:18" x14ac:dyDescent="0.3">
      <c r="A221" s="22">
        <f>IF(B221="","",217)</f>
        <v>217</v>
      </c>
      <c r="B221" s="22" t="str">
        <f>IF(Calc_Engine!I218="","",Calc_Engine!I218)</f>
        <v>EMP1217</v>
      </c>
      <c r="C221" s="23" t="str">
        <f t="shared" si="48"/>
        <v>Krishna Pillai</v>
      </c>
      <c r="D221" s="23" t="str">
        <f t="shared" si="49"/>
        <v>Senior Sales Executive</v>
      </c>
      <c r="E221" s="23" t="str">
        <f t="shared" si="50"/>
        <v>Sales</v>
      </c>
      <c r="F221" s="22" t="str">
        <f t="shared" si="51"/>
        <v>L3</v>
      </c>
      <c r="G221" s="23" t="str">
        <f t="shared" si="52"/>
        <v>Kavya Krishnan</v>
      </c>
      <c r="H221" s="22" t="str">
        <f t="shared" si="53"/>
        <v>Active</v>
      </c>
      <c r="I221" s="24">
        <f t="shared" si="54"/>
        <v>2.6</v>
      </c>
      <c r="J221" s="22">
        <f t="shared" si="55"/>
        <v>3</v>
      </c>
      <c r="K221" s="23" t="str">
        <f t="shared" si="56"/>
        <v>Effective Contributor</v>
      </c>
      <c r="L221" s="22" t="str">
        <f t="shared" si="57"/>
        <v>Not Eligible</v>
      </c>
      <c r="M221" s="24">
        <f t="shared" si="58"/>
        <v>13.21</v>
      </c>
      <c r="N221" s="25">
        <f t="shared" si="59"/>
        <v>0.91</v>
      </c>
      <c r="O221" s="26">
        <f t="shared" si="60"/>
        <v>0.92800000000000005</v>
      </c>
      <c r="P221" s="25">
        <f t="shared" si="61"/>
        <v>4.0999999999999996</v>
      </c>
      <c r="Q221" s="22" t="str">
        <f t="shared" si="62"/>
        <v>Low</v>
      </c>
      <c r="R221">
        <f t="shared" si="63"/>
        <v>217</v>
      </c>
    </row>
    <row r="222" spans="1:18" x14ac:dyDescent="0.3">
      <c r="A222" s="22">
        <f>IF(B222="","",218)</f>
        <v>218</v>
      </c>
      <c r="B222" s="22" t="str">
        <f>IF(Calc_Engine!I219="","",Calc_Engine!I219)</f>
        <v>EMP1218</v>
      </c>
      <c r="C222" s="23" t="str">
        <f t="shared" si="48"/>
        <v>Nisha Subramanian</v>
      </c>
      <c r="D222" s="23" t="str">
        <f t="shared" si="49"/>
        <v>Senior Support Executive</v>
      </c>
      <c r="E222" s="23" t="str">
        <f t="shared" si="50"/>
        <v>Customer Support</v>
      </c>
      <c r="F222" s="22" t="str">
        <f t="shared" si="51"/>
        <v>L3</v>
      </c>
      <c r="G222" s="23" t="str">
        <f t="shared" si="52"/>
        <v>Vidya Chatterjee</v>
      </c>
      <c r="H222" s="22" t="str">
        <f t="shared" si="53"/>
        <v>Active</v>
      </c>
      <c r="I222" s="24">
        <f t="shared" si="54"/>
        <v>2.6</v>
      </c>
      <c r="J222" s="22">
        <f t="shared" si="55"/>
        <v>4</v>
      </c>
      <c r="K222" s="23" t="str">
        <f t="shared" si="56"/>
        <v>High Performer</v>
      </c>
      <c r="L222" s="22" t="str">
        <f t="shared" si="57"/>
        <v>Eligible</v>
      </c>
      <c r="M222" s="24">
        <f t="shared" si="58"/>
        <v>10.43</v>
      </c>
      <c r="N222" s="25">
        <f t="shared" si="59"/>
        <v>0.72</v>
      </c>
      <c r="O222" s="26">
        <f t="shared" si="60"/>
        <v>0.90400000000000003</v>
      </c>
      <c r="P222" s="25">
        <f t="shared" si="61"/>
        <v>2.62</v>
      </c>
      <c r="Q222" s="22" t="str">
        <f t="shared" si="62"/>
        <v>High</v>
      </c>
      <c r="R222">
        <f t="shared" si="63"/>
        <v>218</v>
      </c>
    </row>
    <row r="223" spans="1:18" x14ac:dyDescent="0.3">
      <c r="A223" s="22">
        <f>IF(B223="","",219)</f>
        <v>219</v>
      </c>
      <c r="B223" s="22" t="str">
        <f>IF(Calc_Engine!I220="","",Calc_Engine!I220)</f>
        <v>EMP1219</v>
      </c>
      <c r="C223" s="23" t="str">
        <f t="shared" si="48"/>
        <v>Neha Patel</v>
      </c>
      <c r="D223" s="23" t="str">
        <f t="shared" si="49"/>
        <v>Senior Support Executive</v>
      </c>
      <c r="E223" s="23" t="str">
        <f t="shared" si="50"/>
        <v>Customer Support</v>
      </c>
      <c r="F223" s="22" t="str">
        <f t="shared" si="51"/>
        <v>L3</v>
      </c>
      <c r="G223" s="23" t="str">
        <f t="shared" si="52"/>
        <v>Isha Verma</v>
      </c>
      <c r="H223" s="22" t="str">
        <f t="shared" si="53"/>
        <v>Active</v>
      </c>
      <c r="I223" s="24">
        <f t="shared" si="54"/>
        <v>2.6</v>
      </c>
      <c r="J223" s="22">
        <f t="shared" si="55"/>
        <v>4</v>
      </c>
      <c r="K223" s="23" t="str">
        <f t="shared" si="56"/>
        <v>Star</v>
      </c>
      <c r="L223" s="22" t="str">
        <f t="shared" si="57"/>
        <v>Not Eligible</v>
      </c>
      <c r="M223" s="24">
        <f t="shared" si="58"/>
        <v>13.12</v>
      </c>
      <c r="N223" s="25">
        <f t="shared" si="59"/>
        <v>0.91</v>
      </c>
      <c r="O223" s="26">
        <f t="shared" si="60"/>
        <v>0.93200000000000005</v>
      </c>
      <c r="P223" s="25">
        <f t="shared" si="61"/>
        <v>3.47</v>
      </c>
      <c r="Q223" s="22" t="str">
        <f t="shared" si="62"/>
        <v>Low</v>
      </c>
      <c r="R223">
        <f t="shared" si="63"/>
        <v>219</v>
      </c>
    </row>
    <row r="224" spans="1:18" x14ac:dyDescent="0.3">
      <c r="A224" s="22">
        <f>IF(B224="","",220)</f>
        <v>220</v>
      </c>
      <c r="B224" s="22" t="str">
        <f>IF(Calc_Engine!I221="","",Calc_Engine!I221)</f>
        <v>EMP1220</v>
      </c>
      <c r="C224" s="23" t="str">
        <f t="shared" si="48"/>
        <v>Madhuri Choudhary</v>
      </c>
      <c r="D224" s="23" t="str">
        <f t="shared" si="49"/>
        <v>Senior Finance Executive</v>
      </c>
      <c r="E224" s="23" t="str">
        <f t="shared" si="50"/>
        <v>Finance</v>
      </c>
      <c r="F224" s="22" t="str">
        <f t="shared" si="51"/>
        <v>L3</v>
      </c>
      <c r="G224" s="23" t="str">
        <f t="shared" si="52"/>
        <v>Kritika Pandey</v>
      </c>
      <c r="H224" s="22" t="str">
        <f t="shared" si="53"/>
        <v>Active</v>
      </c>
      <c r="I224" s="24">
        <f t="shared" si="54"/>
        <v>2.6</v>
      </c>
      <c r="J224" s="22">
        <f t="shared" si="55"/>
        <v>4</v>
      </c>
      <c r="K224" s="23" t="str">
        <f t="shared" si="56"/>
        <v>Trusted Professional</v>
      </c>
      <c r="L224" s="22" t="str">
        <f t="shared" si="57"/>
        <v>Not Eligible</v>
      </c>
      <c r="M224" s="24">
        <f t="shared" si="58"/>
        <v>14.72</v>
      </c>
      <c r="N224" s="25">
        <f t="shared" si="59"/>
        <v>1.02</v>
      </c>
      <c r="O224" s="26">
        <f t="shared" si="60"/>
        <v>0.93600000000000005</v>
      </c>
      <c r="P224" s="25">
        <f t="shared" si="61"/>
        <v>3.22</v>
      </c>
      <c r="Q224" s="22" t="str">
        <f t="shared" si="62"/>
        <v>Low</v>
      </c>
      <c r="R224">
        <f t="shared" si="63"/>
        <v>220</v>
      </c>
    </row>
    <row r="225" spans="1:18" x14ac:dyDescent="0.3">
      <c r="A225" s="22">
        <f>IF(B225="","",221)</f>
        <v>221</v>
      </c>
      <c r="B225" s="22" t="str">
        <f>IF(Calc_Engine!I222="","",Calc_Engine!I222)</f>
        <v>EMP1221</v>
      </c>
      <c r="C225" s="23" t="str">
        <f t="shared" si="48"/>
        <v>Sai Khanna</v>
      </c>
      <c r="D225" s="23" t="str">
        <f t="shared" si="49"/>
        <v>Software Engineer</v>
      </c>
      <c r="E225" s="23" t="str">
        <f t="shared" si="50"/>
        <v>Engineering</v>
      </c>
      <c r="F225" s="22" t="str">
        <f t="shared" si="51"/>
        <v>L2</v>
      </c>
      <c r="G225" s="23" t="str">
        <f t="shared" si="52"/>
        <v>Vikas Singh</v>
      </c>
      <c r="H225" s="22" t="str">
        <f t="shared" si="53"/>
        <v>Active</v>
      </c>
      <c r="I225" s="24">
        <f t="shared" si="54"/>
        <v>2.5</v>
      </c>
      <c r="J225" s="22">
        <f t="shared" si="55"/>
        <v>2</v>
      </c>
      <c r="K225" s="23" t="str">
        <f t="shared" si="56"/>
        <v>Inconsistent Player</v>
      </c>
      <c r="L225" s="22" t="str">
        <f t="shared" si="57"/>
        <v>Not Eligible</v>
      </c>
      <c r="M225" s="24">
        <f t="shared" si="58"/>
        <v>7.99</v>
      </c>
      <c r="N225" s="25">
        <f t="shared" si="59"/>
        <v>0.93</v>
      </c>
      <c r="O225" s="26">
        <f t="shared" si="60"/>
        <v>0.89600000000000002</v>
      </c>
      <c r="P225" s="25">
        <f t="shared" si="61"/>
        <v>3.43</v>
      </c>
      <c r="Q225" s="22" t="str">
        <f t="shared" si="62"/>
        <v>Low</v>
      </c>
      <c r="R225">
        <f t="shared" si="63"/>
        <v>221</v>
      </c>
    </row>
    <row r="226" spans="1:18" x14ac:dyDescent="0.3">
      <c r="A226" s="22">
        <f>IF(B226="","",222)</f>
        <v>222</v>
      </c>
      <c r="B226" s="22" t="str">
        <f>IF(Calc_Engine!I223="","",Calc_Engine!I223)</f>
        <v>EMP1222</v>
      </c>
      <c r="C226" s="23" t="str">
        <f t="shared" si="48"/>
        <v>Karan Varghese</v>
      </c>
      <c r="D226" s="23" t="str">
        <f t="shared" si="49"/>
        <v>Operations Lead</v>
      </c>
      <c r="E226" s="23" t="str">
        <f t="shared" si="50"/>
        <v>Operations</v>
      </c>
      <c r="F226" s="22" t="str">
        <f t="shared" si="51"/>
        <v>L4</v>
      </c>
      <c r="G226" s="23" t="str">
        <f t="shared" si="52"/>
        <v>Yash Shah</v>
      </c>
      <c r="H226" s="22" t="str">
        <f t="shared" si="53"/>
        <v>Active</v>
      </c>
      <c r="I226" s="24">
        <f t="shared" si="54"/>
        <v>2.5</v>
      </c>
      <c r="J226" s="22">
        <f t="shared" si="55"/>
        <v>4</v>
      </c>
      <c r="K226" s="23" t="str">
        <f t="shared" si="56"/>
        <v>High Performer</v>
      </c>
      <c r="L226" s="22" t="str">
        <f t="shared" si="57"/>
        <v>Eligible</v>
      </c>
      <c r="M226" s="24">
        <f t="shared" si="58"/>
        <v>18.239999999999998</v>
      </c>
      <c r="N226" s="25">
        <f t="shared" si="59"/>
        <v>0.78</v>
      </c>
      <c r="O226" s="26">
        <f t="shared" si="60"/>
        <v>0.9</v>
      </c>
      <c r="P226" s="25">
        <f t="shared" si="61"/>
        <v>3.73</v>
      </c>
      <c r="Q226" s="22" t="str">
        <f t="shared" si="62"/>
        <v>Medium</v>
      </c>
      <c r="R226">
        <f t="shared" si="63"/>
        <v>222</v>
      </c>
    </row>
    <row r="227" spans="1:18" x14ac:dyDescent="0.3">
      <c r="A227" s="22">
        <f>IF(B227="","",223)</f>
        <v>223</v>
      </c>
      <c r="B227" s="22" t="str">
        <f>IF(Calc_Engine!I224="","",Calc_Engine!I224)</f>
        <v>EMP1223</v>
      </c>
      <c r="C227" s="23" t="str">
        <f t="shared" si="48"/>
        <v>Meera Kumar</v>
      </c>
      <c r="D227" s="23" t="str">
        <f t="shared" si="49"/>
        <v>Marketing Executive</v>
      </c>
      <c r="E227" s="23" t="str">
        <f t="shared" si="50"/>
        <v>Marketing</v>
      </c>
      <c r="F227" s="22" t="str">
        <f t="shared" si="51"/>
        <v>L2</v>
      </c>
      <c r="G227" s="23" t="str">
        <f t="shared" si="52"/>
        <v>Nandini Iyer</v>
      </c>
      <c r="H227" s="22" t="str">
        <f t="shared" si="53"/>
        <v>Active</v>
      </c>
      <c r="I227" s="24">
        <f t="shared" si="54"/>
        <v>2.5</v>
      </c>
      <c r="J227" s="22">
        <f t="shared" si="55"/>
        <v>3</v>
      </c>
      <c r="K227" s="23" t="str">
        <f t="shared" si="56"/>
        <v>Core Player</v>
      </c>
      <c r="L227" s="22" t="str">
        <f t="shared" si="57"/>
        <v>Not Eligible</v>
      </c>
      <c r="M227" s="24">
        <f t="shared" si="58"/>
        <v>8.15</v>
      </c>
      <c r="N227" s="25">
        <f t="shared" si="59"/>
        <v>0.95</v>
      </c>
      <c r="O227" s="26">
        <f t="shared" si="60"/>
        <v>0.89600000000000002</v>
      </c>
      <c r="P227" s="25">
        <f t="shared" si="61"/>
        <v>3.52</v>
      </c>
      <c r="Q227" s="22" t="str">
        <f t="shared" si="62"/>
        <v>Low</v>
      </c>
      <c r="R227">
        <f t="shared" si="63"/>
        <v>223</v>
      </c>
    </row>
    <row r="228" spans="1:18" x14ac:dyDescent="0.3">
      <c r="A228" s="22">
        <f>IF(B228="","",224)</f>
        <v>224</v>
      </c>
      <c r="B228" s="22" t="str">
        <f>IF(Calc_Engine!I225="","",Calc_Engine!I225)</f>
        <v>EMP1224</v>
      </c>
      <c r="C228" s="23" t="str">
        <f t="shared" si="48"/>
        <v>Aditya Bose</v>
      </c>
      <c r="D228" s="23" t="str">
        <f t="shared" si="49"/>
        <v>Data Analyst II</v>
      </c>
      <c r="E228" s="23" t="str">
        <f t="shared" si="50"/>
        <v>Data &amp; Analytics</v>
      </c>
      <c r="F228" s="22" t="str">
        <f t="shared" si="51"/>
        <v>L2</v>
      </c>
      <c r="G228" s="23" t="str">
        <f t="shared" si="52"/>
        <v>Arun Mukherjee</v>
      </c>
      <c r="H228" s="22" t="str">
        <f t="shared" si="53"/>
        <v>Active</v>
      </c>
      <c r="I228" s="24">
        <f t="shared" si="54"/>
        <v>2.5</v>
      </c>
      <c r="J228" s="22">
        <f t="shared" si="55"/>
        <v>3</v>
      </c>
      <c r="K228" s="23" t="str">
        <f t="shared" si="56"/>
        <v>Core Player</v>
      </c>
      <c r="L228" s="22" t="str">
        <f t="shared" si="57"/>
        <v>Not Eligible</v>
      </c>
      <c r="M228" s="24">
        <f t="shared" si="58"/>
        <v>8.5399999999999991</v>
      </c>
      <c r="N228" s="25">
        <f t="shared" si="59"/>
        <v>1</v>
      </c>
      <c r="O228" s="26">
        <f t="shared" si="60"/>
        <v>0.93600000000000005</v>
      </c>
      <c r="P228" s="25">
        <f t="shared" si="61"/>
        <v>3.1</v>
      </c>
      <c r="Q228" s="22" t="str">
        <f t="shared" si="62"/>
        <v>Low</v>
      </c>
      <c r="R228">
        <f t="shared" si="63"/>
        <v>224</v>
      </c>
    </row>
    <row r="229" spans="1:18" x14ac:dyDescent="0.3">
      <c r="A229" s="22">
        <f>IF(B229="","",225)</f>
        <v>225</v>
      </c>
      <c r="B229" s="22" t="str">
        <f>IF(Calc_Engine!I226="","",Calc_Engine!I226)</f>
        <v>EMP1225</v>
      </c>
      <c r="C229" s="23" t="str">
        <f t="shared" si="48"/>
        <v>Nandini Fernandes</v>
      </c>
      <c r="D229" s="23" t="str">
        <f t="shared" si="49"/>
        <v>Operations Manager</v>
      </c>
      <c r="E229" s="23" t="str">
        <f t="shared" si="50"/>
        <v>Operations</v>
      </c>
      <c r="F229" s="22" t="str">
        <f t="shared" si="51"/>
        <v>L5</v>
      </c>
      <c r="G229" s="23" t="str">
        <f t="shared" si="52"/>
        <v>Pallavi Shah</v>
      </c>
      <c r="H229" s="22" t="str">
        <f t="shared" si="53"/>
        <v>Active</v>
      </c>
      <c r="I229" s="24">
        <f t="shared" si="54"/>
        <v>2.5</v>
      </c>
      <c r="J229" s="22">
        <f t="shared" si="55"/>
        <v>5</v>
      </c>
      <c r="K229" s="23" t="str">
        <f t="shared" si="56"/>
        <v>High Performer</v>
      </c>
      <c r="L229" s="22" t="str">
        <f t="shared" si="57"/>
        <v>Not Eligible</v>
      </c>
      <c r="M229" s="24">
        <f t="shared" si="58"/>
        <v>27.99</v>
      </c>
      <c r="N229" s="25">
        <f t="shared" si="59"/>
        <v>0.76</v>
      </c>
      <c r="O229" s="26">
        <f t="shared" si="60"/>
        <v>0.91600000000000004</v>
      </c>
      <c r="P229" s="25">
        <f t="shared" si="61"/>
        <v>3.55</v>
      </c>
      <c r="Q229" s="22" t="str">
        <f t="shared" si="62"/>
        <v>Medium</v>
      </c>
      <c r="R229">
        <f t="shared" si="63"/>
        <v>225</v>
      </c>
    </row>
    <row r="230" spans="1:18" x14ac:dyDescent="0.3">
      <c r="A230" s="22">
        <f>IF(B230="","",226)</f>
        <v>226</v>
      </c>
      <c r="B230" s="22" t="str">
        <f>IF(Calc_Engine!I227="","",Calc_Engine!I227)</f>
        <v>EMP1226</v>
      </c>
      <c r="C230" s="23" t="str">
        <f t="shared" si="48"/>
        <v>Revathi Thomas</v>
      </c>
      <c r="D230" s="23" t="str">
        <f t="shared" si="49"/>
        <v>Operations Executive</v>
      </c>
      <c r="E230" s="23" t="str">
        <f t="shared" si="50"/>
        <v>Operations</v>
      </c>
      <c r="F230" s="22" t="str">
        <f t="shared" si="51"/>
        <v>L2</v>
      </c>
      <c r="G230" s="23" t="str">
        <f t="shared" si="52"/>
        <v>Ankit Khanna</v>
      </c>
      <c r="H230" s="22" t="str">
        <f t="shared" si="53"/>
        <v>Active</v>
      </c>
      <c r="I230" s="24">
        <f t="shared" si="54"/>
        <v>2.5</v>
      </c>
      <c r="J230" s="22">
        <f t="shared" si="55"/>
        <v>5</v>
      </c>
      <c r="K230" s="23" t="str">
        <f t="shared" si="56"/>
        <v>High Performer</v>
      </c>
      <c r="L230" s="22" t="str">
        <f t="shared" si="57"/>
        <v>Not Eligible</v>
      </c>
      <c r="M230" s="24">
        <f t="shared" si="58"/>
        <v>5.63</v>
      </c>
      <c r="N230" s="25">
        <f t="shared" si="59"/>
        <v>0.66</v>
      </c>
      <c r="O230" s="26">
        <f t="shared" si="60"/>
        <v>0.95599999999999996</v>
      </c>
      <c r="P230" s="25">
        <f t="shared" si="61"/>
        <v>3.83</v>
      </c>
      <c r="Q230" s="22" t="str">
        <f t="shared" si="62"/>
        <v>Medium</v>
      </c>
      <c r="R230">
        <f t="shared" si="63"/>
        <v>226</v>
      </c>
    </row>
    <row r="231" spans="1:18" x14ac:dyDescent="0.3">
      <c r="A231" s="22">
        <f>IF(B231="","",227)</f>
        <v>227</v>
      </c>
      <c r="B231" s="22" t="str">
        <f>IF(Calc_Engine!I228="","",Calc_Engine!I228)</f>
        <v>EMP1227</v>
      </c>
      <c r="C231" s="23" t="str">
        <f t="shared" si="48"/>
        <v>Akash Bose</v>
      </c>
      <c r="D231" s="23" t="str">
        <f t="shared" si="49"/>
        <v>Tech Lead</v>
      </c>
      <c r="E231" s="23" t="str">
        <f t="shared" si="50"/>
        <v>Engineering</v>
      </c>
      <c r="F231" s="22" t="str">
        <f t="shared" si="51"/>
        <v>L4</v>
      </c>
      <c r="G231" s="23" t="str">
        <f t="shared" si="52"/>
        <v>Gaurav Fernandes</v>
      </c>
      <c r="H231" s="22" t="str">
        <f t="shared" si="53"/>
        <v>Active</v>
      </c>
      <c r="I231" s="24">
        <f t="shared" si="54"/>
        <v>2.5</v>
      </c>
      <c r="J231" s="22">
        <f t="shared" si="55"/>
        <v>4</v>
      </c>
      <c r="K231" s="23" t="str">
        <f t="shared" si="56"/>
        <v>Star</v>
      </c>
      <c r="L231" s="22" t="str">
        <f t="shared" si="57"/>
        <v>Not Eligible</v>
      </c>
      <c r="M231" s="24">
        <f t="shared" si="58"/>
        <v>30.69</v>
      </c>
      <c r="N231" s="25">
        <f t="shared" si="59"/>
        <v>1.31</v>
      </c>
      <c r="O231" s="26">
        <f t="shared" si="60"/>
        <v>0.876</v>
      </c>
      <c r="P231" s="25">
        <f t="shared" si="61"/>
        <v>3.73</v>
      </c>
      <c r="Q231" s="22" t="str">
        <f t="shared" si="62"/>
        <v>Low</v>
      </c>
      <c r="R231">
        <f t="shared" si="63"/>
        <v>227</v>
      </c>
    </row>
    <row r="232" spans="1:18" x14ac:dyDescent="0.3">
      <c r="A232" s="22">
        <f>IF(B232="","",228)</f>
        <v>228</v>
      </c>
      <c r="B232" s="22" t="str">
        <f>IF(Calc_Engine!I229="","",Calc_Engine!I229)</f>
        <v>EMP1228</v>
      </c>
      <c r="C232" s="23" t="str">
        <f t="shared" si="48"/>
        <v>Venkat Menon</v>
      </c>
      <c r="D232" s="23" t="str">
        <f t="shared" si="49"/>
        <v>Senior Operations Executive</v>
      </c>
      <c r="E232" s="23" t="str">
        <f t="shared" si="50"/>
        <v>Operations</v>
      </c>
      <c r="F232" s="22" t="str">
        <f t="shared" si="51"/>
        <v>L3</v>
      </c>
      <c r="G232" s="23" t="str">
        <f t="shared" si="52"/>
        <v>Nandini Fernandes</v>
      </c>
      <c r="H232" s="22" t="str">
        <f t="shared" si="53"/>
        <v>Active</v>
      </c>
      <c r="I232" s="24">
        <f t="shared" si="54"/>
        <v>2.5</v>
      </c>
      <c r="J232" s="22">
        <f t="shared" si="55"/>
        <v>4</v>
      </c>
      <c r="K232" s="23" t="str">
        <f t="shared" si="56"/>
        <v>Star</v>
      </c>
      <c r="L232" s="22" t="str">
        <f t="shared" si="57"/>
        <v>Eligible</v>
      </c>
      <c r="M232" s="24">
        <f t="shared" si="58"/>
        <v>11.67</v>
      </c>
      <c r="N232" s="25">
        <f t="shared" si="59"/>
        <v>0.81</v>
      </c>
      <c r="O232" s="26">
        <f t="shared" si="60"/>
        <v>0.92800000000000005</v>
      </c>
      <c r="P232" s="25">
        <f t="shared" si="61"/>
        <v>3.5</v>
      </c>
      <c r="Q232" s="22" t="str">
        <f t="shared" si="62"/>
        <v>Medium</v>
      </c>
      <c r="R232">
        <f t="shared" si="63"/>
        <v>228</v>
      </c>
    </row>
    <row r="233" spans="1:18" x14ac:dyDescent="0.3">
      <c r="A233" s="22">
        <f>IF(B233="","",229)</f>
        <v>229</v>
      </c>
      <c r="B233" s="22" t="str">
        <f>IF(Calc_Engine!I230="","",Calc_Engine!I230)</f>
        <v>EMP1229</v>
      </c>
      <c r="C233" s="23" t="str">
        <f t="shared" si="48"/>
        <v>Vikram Shah</v>
      </c>
      <c r="D233" s="23" t="str">
        <f t="shared" si="49"/>
        <v>Senior Support Executive</v>
      </c>
      <c r="E233" s="23" t="str">
        <f t="shared" si="50"/>
        <v>Customer Support</v>
      </c>
      <c r="F233" s="22" t="str">
        <f t="shared" si="51"/>
        <v>L3</v>
      </c>
      <c r="G233" s="23" t="str">
        <f t="shared" si="52"/>
        <v>Isha Verma</v>
      </c>
      <c r="H233" s="22" t="str">
        <f t="shared" si="53"/>
        <v>Active</v>
      </c>
      <c r="I233" s="24">
        <f t="shared" si="54"/>
        <v>2.5</v>
      </c>
      <c r="J233" s="22">
        <f t="shared" si="55"/>
        <v>3</v>
      </c>
      <c r="K233" s="23" t="str">
        <f t="shared" si="56"/>
        <v>Core Player</v>
      </c>
      <c r="L233" s="22" t="str">
        <f t="shared" si="57"/>
        <v>Not Eligible</v>
      </c>
      <c r="M233" s="24">
        <f t="shared" si="58"/>
        <v>9.9499999999999993</v>
      </c>
      <c r="N233" s="25">
        <f t="shared" si="59"/>
        <v>0.69</v>
      </c>
      <c r="O233" s="26">
        <f t="shared" si="60"/>
        <v>0.92800000000000005</v>
      </c>
      <c r="P233" s="25">
        <f t="shared" si="61"/>
        <v>3.5</v>
      </c>
      <c r="Q233" s="22" t="str">
        <f t="shared" si="62"/>
        <v>Low</v>
      </c>
      <c r="R233">
        <f t="shared" si="63"/>
        <v>229</v>
      </c>
    </row>
    <row r="234" spans="1:18" x14ac:dyDescent="0.3">
      <c r="A234" s="22">
        <f>IF(B234="","",230)</f>
        <v>230</v>
      </c>
      <c r="B234" s="22" t="str">
        <f>IF(Calc_Engine!I231="","",Calc_Engine!I231)</f>
        <v>EMP1230</v>
      </c>
      <c r="C234" s="23" t="str">
        <f t="shared" si="48"/>
        <v>Sneha Chatterjee</v>
      </c>
      <c r="D234" s="23" t="str">
        <f t="shared" si="49"/>
        <v>Sales Executive</v>
      </c>
      <c r="E234" s="23" t="str">
        <f t="shared" si="50"/>
        <v>Sales</v>
      </c>
      <c r="F234" s="22" t="str">
        <f t="shared" si="51"/>
        <v>L2</v>
      </c>
      <c r="G234" s="23" t="str">
        <f t="shared" si="52"/>
        <v>Yash Raghavan</v>
      </c>
      <c r="H234" s="22" t="str">
        <f t="shared" si="53"/>
        <v>Active</v>
      </c>
      <c r="I234" s="24">
        <f t="shared" si="54"/>
        <v>2.5</v>
      </c>
      <c r="J234" s="22">
        <f t="shared" si="55"/>
        <v>4</v>
      </c>
      <c r="K234" s="23" t="str">
        <f t="shared" si="56"/>
        <v>Star</v>
      </c>
      <c r="L234" s="22" t="str">
        <f t="shared" si="57"/>
        <v>Not Eligible</v>
      </c>
      <c r="M234" s="24">
        <f t="shared" si="58"/>
        <v>7.66</v>
      </c>
      <c r="N234" s="25">
        <f t="shared" si="59"/>
        <v>0.9</v>
      </c>
      <c r="O234" s="26">
        <f t="shared" si="60"/>
        <v>0.91200000000000003</v>
      </c>
      <c r="P234" s="25">
        <f t="shared" si="61"/>
        <v>4</v>
      </c>
      <c r="Q234" s="22" t="str">
        <f t="shared" si="62"/>
        <v>Low</v>
      </c>
      <c r="R234">
        <f t="shared" si="63"/>
        <v>230</v>
      </c>
    </row>
    <row r="235" spans="1:18" x14ac:dyDescent="0.3">
      <c r="A235" s="22">
        <f>IF(B235="","",231)</f>
        <v>231</v>
      </c>
      <c r="B235" s="22" t="str">
        <f>IF(Calc_Engine!I232="","",Calc_Engine!I232)</f>
        <v>EMP1231</v>
      </c>
      <c r="C235" s="23" t="str">
        <f t="shared" si="48"/>
        <v>Lakshmi Raghavan</v>
      </c>
      <c r="D235" s="23" t="str">
        <f t="shared" si="49"/>
        <v>Senior Software Engineer</v>
      </c>
      <c r="E235" s="23" t="str">
        <f t="shared" si="50"/>
        <v>Engineering</v>
      </c>
      <c r="F235" s="22" t="str">
        <f t="shared" si="51"/>
        <v>L3</v>
      </c>
      <c r="G235" s="23" t="str">
        <f t="shared" si="52"/>
        <v>Gaurav Fernandes</v>
      </c>
      <c r="H235" s="22" t="str">
        <f t="shared" si="53"/>
        <v>Active</v>
      </c>
      <c r="I235" s="24">
        <f t="shared" si="54"/>
        <v>2.5</v>
      </c>
      <c r="J235" s="22">
        <f t="shared" si="55"/>
        <v>3</v>
      </c>
      <c r="K235" s="23" t="str">
        <f t="shared" si="56"/>
        <v>Core Player</v>
      </c>
      <c r="L235" s="22" t="str">
        <f t="shared" si="57"/>
        <v>Not Eligible</v>
      </c>
      <c r="M235" s="24">
        <f t="shared" si="58"/>
        <v>20.76</v>
      </c>
      <c r="N235" s="25">
        <f t="shared" si="59"/>
        <v>1.44</v>
      </c>
      <c r="O235" s="26">
        <f t="shared" si="60"/>
        <v>0.89600000000000002</v>
      </c>
      <c r="P235" s="25">
        <f t="shared" si="61"/>
        <v>3.9</v>
      </c>
      <c r="Q235" s="22" t="str">
        <f t="shared" si="62"/>
        <v>Low</v>
      </c>
      <c r="R235">
        <f t="shared" si="63"/>
        <v>231</v>
      </c>
    </row>
    <row r="236" spans="1:18" x14ac:dyDescent="0.3">
      <c r="A236" s="22">
        <f>IF(B236="","",232)</f>
        <v>232</v>
      </c>
      <c r="B236" s="22" t="str">
        <f>IF(Calc_Engine!I233="","",Calc_Engine!I233)</f>
        <v>EMP1232</v>
      </c>
      <c r="C236" s="23" t="str">
        <f t="shared" si="48"/>
        <v>Nisha Reddy</v>
      </c>
      <c r="D236" s="23" t="str">
        <f t="shared" si="49"/>
        <v>Support Associate</v>
      </c>
      <c r="E236" s="23" t="str">
        <f t="shared" si="50"/>
        <v>Customer Support</v>
      </c>
      <c r="F236" s="22" t="str">
        <f t="shared" si="51"/>
        <v>L1</v>
      </c>
      <c r="G236" s="23" t="str">
        <f t="shared" si="52"/>
        <v>Isha Verma</v>
      </c>
      <c r="H236" s="22" t="str">
        <f t="shared" si="53"/>
        <v>Active</v>
      </c>
      <c r="I236" s="24">
        <f t="shared" si="54"/>
        <v>2.5</v>
      </c>
      <c r="J236" s="22">
        <f t="shared" si="55"/>
        <v>2</v>
      </c>
      <c r="K236" s="23" t="str">
        <f t="shared" si="56"/>
        <v>Inconsistent Player</v>
      </c>
      <c r="L236" s="22" t="str">
        <f t="shared" si="57"/>
        <v>Not Eligible</v>
      </c>
      <c r="M236" s="24">
        <f t="shared" si="58"/>
        <v>4.33</v>
      </c>
      <c r="N236" s="25">
        <f t="shared" si="59"/>
        <v>0.85</v>
      </c>
      <c r="O236" s="26">
        <f t="shared" si="60"/>
        <v>0.90800000000000003</v>
      </c>
      <c r="P236" s="25">
        <f t="shared" si="61"/>
        <v>2.58</v>
      </c>
      <c r="Q236" s="22" t="str">
        <f t="shared" si="62"/>
        <v>Medium</v>
      </c>
      <c r="R236">
        <f t="shared" si="63"/>
        <v>232</v>
      </c>
    </row>
    <row r="237" spans="1:18" x14ac:dyDescent="0.3">
      <c r="A237" s="22">
        <f>IF(B237="","",233)</f>
        <v>233</v>
      </c>
      <c r="B237" s="22" t="str">
        <f>IF(Calc_Engine!I234="","",Calc_Engine!I234)</f>
        <v>EMP1233</v>
      </c>
      <c r="C237" s="23" t="str">
        <f t="shared" si="48"/>
        <v>Anand Yadav</v>
      </c>
      <c r="D237" s="23" t="str">
        <f t="shared" si="49"/>
        <v>Associate Product Analyst</v>
      </c>
      <c r="E237" s="23" t="str">
        <f t="shared" si="50"/>
        <v>Product</v>
      </c>
      <c r="F237" s="22" t="str">
        <f t="shared" si="51"/>
        <v>L1</v>
      </c>
      <c r="G237" s="23" t="str">
        <f t="shared" si="52"/>
        <v>Sachin Shetty</v>
      </c>
      <c r="H237" s="22" t="str">
        <f t="shared" si="53"/>
        <v>Active</v>
      </c>
      <c r="I237" s="24">
        <f t="shared" si="54"/>
        <v>2.5</v>
      </c>
      <c r="J237" s="22">
        <f t="shared" si="55"/>
        <v>2</v>
      </c>
      <c r="K237" s="23" t="str">
        <f t="shared" si="56"/>
        <v>Inconsistent Player</v>
      </c>
      <c r="L237" s="22" t="str">
        <f t="shared" si="57"/>
        <v>Not Eligible</v>
      </c>
      <c r="M237" s="24">
        <f t="shared" si="58"/>
        <v>4.43</v>
      </c>
      <c r="N237" s="25">
        <f t="shared" si="59"/>
        <v>0.87</v>
      </c>
      <c r="O237" s="26">
        <f t="shared" si="60"/>
        <v>0.92</v>
      </c>
      <c r="P237" s="25">
        <f t="shared" si="61"/>
        <v>2.2999999999999998</v>
      </c>
      <c r="Q237" s="22" t="str">
        <f t="shared" si="62"/>
        <v>Medium</v>
      </c>
      <c r="R237">
        <f t="shared" si="63"/>
        <v>233</v>
      </c>
    </row>
    <row r="238" spans="1:18" x14ac:dyDescent="0.3">
      <c r="A238" s="22">
        <f>IF(B238="","",234)</f>
        <v>234</v>
      </c>
      <c r="B238" s="22" t="str">
        <f>IF(Calc_Engine!I235="","",Calc_Engine!I235)</f>
        <v>EMP1234</v>
      </c>
      <c r="C238" s="23" t="str">
        <f t="shared" si="48"/>
        <v>Arun Gupta</v>
      </c>
      <c r="D238" s="23" t="str">
        <f t="shared" si="49"/>
        <v>Marketing Associate</v>
      </c>
      <c r="E238" s="23" t="str">
        <f t="shared" si="50"/>
        <v>Marketing</v>
      </c>
      <c r="F238" s="22" t="str">
        <f t="shared" si="51"/>
        <v>L1</v>
      </c>
      <c r="G238" s="23" t="str">
        <f t="shared" si="52"/>
        <v>Nandini Iyer</v>
      </c>
      <c r="H238" s="22" t="str">
        <f t="shared" si="53"/>
        <v>Exited</v>
      </c>
      <c r="I238" s="24">
        <f t="shared" si="54"/>
        <v>1.8</v>
      </c>
      <c r="J238" s="22">
        <f t="shared" si="55"/>
        <v>3</v>
      </c>
      <c r="K238" s="23" t="str">
        <f t="shared" si="56"/>
        <v>Effective Contributor</v>
      </c>
      <c r="L238" s="22" t="str">
        <f t="shared" si="57"/>
        <v>Not Eligible</v>
      </c>
      <c r="M238" s="24">
        <f t="shared" si="58"/>
        <v>3.86</v>
      </c>
      <c r="N238" s="25">
        <f t="shared" si="59"/>
        <v>0.76</v>
      </c>
      <c r="O238" s="26">
        <f t="shared" si="60"/>
        <v>0.82499999999999996</v>
      </c>
      <c r="P238" s="25">
        <f t="shared" si="61"/>
        <v>1.88</v>
      </c>
      <c r="Q238" s="22" t="str">
        <f t="shared" si="62"/>
        <v>Exited</v>
      </c>
      <c r="R238">
        <f t="shared" si="63"/>
        <v>234</v>
      </c>
    </row>
    <row r="239" spans="1:18" x14ac:dyDescent="0.3">
      <c r="A239" s="22">
        <f>IF(B239="","",235)</f>
        <v>235</v>
      </c>
      <c r="B239" s="22" t="str">
        <f>IF(Calc_Engine!I236="","",Calc_Engine!I236)</f>
        <v>EMP1235</v>
      </c>
      <c r="C239" s="23" t="str">
        <f t="shared" si="48"/>
        <v>Sanjay Chatterjee</v>
      </c>
      <c r="D239" s="23" t="str">
        <f t="shared" si="49"/>
        <v>Operations Associate</v>
      </c>
      <c r="E239" s="23" t="str">
        <f t="shared" si="50"/>
        <v>Operations</v>
      </c>
      <c r="F239" s="22" t="str">
        <f t="shared" si="51"/>
        <v>L1</v>
      </c>
      <c r="G239" s="23" t="str">
        <f t="shared" si="52"/>
        <v>Nandini Fernandes</v>
      </c>
      <c r="H239" s="22" t="str">
        <f t="shared" si="53"/>
        <v>Active</v>
      </c>
      <c r="I239" s="24">
        <f t="shared" si="54"/>
        <v>2.4</v>
      </c>
      <c r="J239" s="22">
        <f t="shared" si="55"/>
        <v>2</v>
      </c>
      <c r="K239" s="23" t="str">
        <f t="shared" si="56"/>
        <v>Underperformer</v>
      </c>
      <c r="L239" s="22" t="str">
        <f t="shared" si="57"/>
        <v>Not Eligible</v>
      </c>
      <c r="M239" s="24">
        <f t="shared" si="58"/>
        <v>5.0599999999999996</v>
      </c>
      <c r="N239" s="25">
        <f t="shared" si="59"/>
        <v>0.99</v>
      </c>
      <c r="O239" s="26">
        <f t="shared" si="60"/>
        <v>0.93600000000000005</v>
      </c>
      <c r="P239" s="25">
        <f t="shared" si="61"/>
        <v>2.9</v>
      </c>
      <c r="Q239" s="22" t="str">
        <f t="shared" si="62"/>
        <v>Medium</v>
      </c>
      <c r="R239">
        <f t="shared" si="63"/>
        <v>235</v>
      </c>
    </row>
    <row r="240" spans="1:18" x14ac:dyDescent="0.3">
      <c r="A240" s="22">
        <f>IF(B240="","",236)</f>
        <v>236</v>
      </c>
      <c r="B240" s="22" t="str">
        <f>IF(Calc_Engine!I237="","",Calc_Engine!I237)</f>
        <v>EMP1236</v>
      </c>
      <c r="C240" s="23" t="str">
        <f t="shared" si="48"/>
        <v>Sachin Shetty</v>
      </c>
      <c r="D240" s="23" t="str">
        <f t="shared" si="49"/>
        <v>Group Product Manager</v>
      </c>
      <c r="E240" s="23" t="str">
        <f t="shared" si="50"/>
        <v>Product</v>
      </c>
      <c r="F240" s="22" t="str">
        <f t="shared" si="51"/>
        <v>L5</v>
      </c>
      <c r="G240" s="23" t="str">
        <f t="shared" si="52"/>
        <v>Trisha Patel</v>
      </c>
      <c r="H240" s="22" t="str">
        <f t="shared" si="53"/>
        <v>Active</v>
      </c>
      <c r="I240" s="24">
        <f t="shared" si="54"/>
        <v>2.4</v>
      </c>
      <c r="J240" s="22">
        <f t="shared" si="55"/>
        <v>5</v>
      </c>
      <c r="K240" s="23" t="str">
        <f t="shared" si="56"/>
        <v>Star</v>
      </c>
      <c r="L240" s="22" t="str">
        <f t="shared" si="57"/>
        <v>Not Eligible</v>
      </c>
      <c r="M240" s="24">
        <f t="shared" si="58"/>
        <v>48.42</v>
      </c>
      <c r="N240" s="25">
        <f t="shared" si="59"/>
        <v>1.32</v>
      </c>
      <c r="O240" s="26">
        <f t="shared" si="60"/>
        <v>0.9</v>
      </c>
      <c r="P240" s="25">
        <f t="shared" si="61"/>
        <v>3.1</v>
      </c>
      <c r="Q240" s="22" t="str">
        <f t="shared" si="62"/>
        <v>Low</v>
      </c>
      <c r="R240">
        <f t="shared" si="63"/>
        <v>236</v>
      </c>
    </row>
    <row r="241" spans="1:18" x14ac:dyDescent="0.3">
      <c r="A241" s="22">
        <f>IF(B241="","",237)</f>
        <v>237</v>
      </c>
      <c r="B241" s="22" t="str">
        <f>IF(Calc_Engine!I238="","",Calc_Engine!I238)</f>
        <v>EMP1237</v>
      </c>
      <c r="C241" s="23" t="str">
        <f t="shared" si="48"/>
        <v>Sanjana Mukherjee</v>
      </c>
      <c r="D241" s="23" t="str">
        <f t="shared" si="49"/>
        <v>Software Engineer</v>
      </c>
      <c r="E241" s="23" t="str">
        <f t="shared" si="50"/>
        <v>Engineering</v>
      </c>
      <c r="F241" s="22" t="str">
        <f t="shared" si="51"/>
        <v>L2</v>
      </c>
      <c r="G241" s="23" t="str">
        <f t="shared" si="52"/>
        <v>Vikas Singh</v>
      </c>
      <c r="H241" s="22" t="str">
        <f t="shared" si="53"/>
        <v>Active</v>
      </c>
      <c r="I241" s="24">
        <f t="shared" si="54"/>
        <v>2.4</v>
      </c>
      <c r="J241" s="22">
        <f t="shared" si="55"/>
        <v>4</v>
      </c>
      <c r="K241" s="23" t="str">
        <f t="shared" si="56"/>
        <v>Star</v>
      </c>
      <c r="L241" s="22" t="str">
        <f t="shared" si="57"/>
        <v>Eligible</v>
      </c>
      <c r="M241" s="24">
        <f t="shared" si="58"/>
        <v>11.16</v>
      </c>
      <c r="N241" s="25">
        <f t="shared" si="59"/>
        <v>1.31</v>
      </c>
      <c r="O241" s="26">
        <f t="shared" si="60"/>
        <v>0.88400000000000001</v>
      </c>
      <c r="P241" s="25">
        <f t="shared" si="61"/>
        <v>3.53</v>
      </c>
      <c r="Q241" s="22" t="str">
        <f t="shared" si="62"/>
        <v>Low</v>
      </c>
      <c r="R241">
        <f t="shared" si="63"/>
        <v>237</v>
      </c>
    </row>
    <row r="242" spans="1:18" x14ac:dyDescent="0.3">
      <c r="A242" s="22">
        <f>IF(B242="","",238)</f>
        <v>238</v>
      </c>
      <c r="B242" s="22" t="str">
        <f>IF(Calc_Engine!I239="","",Calc_Engine!I239)</f>
        <v>EMP1238</v>
      </c>
      <c r="C242" s="23" t="str">
        <f t="shared" si="48"/>
        <v>Nandini Iyer</v>
      </c>
      <c r="D242" s="23" t="str">
        <f t="shared" si="49"/>
        <v>Marketing Manager</v>
      </c>
      <c r="E242" s="23" t="str">
        <f t="shared" si="50"/>
        <v>Marketing</v>
      </c>
      <c r="F242" s="22" t="str">
        <f t="shared" si="51"/>
        <v>L5</v>
      </c>
      <c r="G242" s="23" t="str">
        <f t="shared" si="52"/>
        <v>Aishwarya Mukherjee</v>
      </c>
      <c r="H242" s="22" t="str">
        <f t="shared" si="53"/>
        <v>Active</v>
      </c>
      <c r="I242" s="24">
        <f t="shared" si="54"/>
        <v>2.4</v>
      </c>
      <c r="J242" s="22">
        <f t="shared" si="55"/>
        <v>2</v>
      </c>
      <c r="K242" s="23" t="str">
        <f t="shared" si="56"/>
        <v>Inconsistent Player</v>
      </c>
      <c r="L242" s="22" t="str">
        <f t="shared" si="57"/>
        <v>Not Eligible</v>
      </c>
      <c r="M242" s="24">
        <f t="shared" si="58"/>
        <v>31.21</v>
      </c>
      <c r="N242" s="25">
        <f t="shared" si="59"/>
        <v>0.85</v>
      </c>
      <c r="O242" s="26">
        <f t="shared" si="60"/>
        <v>0.89600000000000002</v>
      </c>
      <c r="P242" s="25">
        <f t="shared" si="61"/>
        <v>3.42</v>
      </c>
      <c r="Q242" s="22" t="str">
        <f t="shared" si="62"/>
        <v>Medium</v>
      </c>
      <c r="R242">
        <f t="shared" si="63"/>
        <v>238</v>
      </c>
    </row>
    <row r="243" spans="1:18" x14ac:dyDescent="0.3">
      <c r="A243" s="22">
        <f>IF(B243="","",239)</f>
        <v>239</v>
      </c>
      <c r="B243" s="22" t="str">
        <f>IF(Calc_Engine!I240="","",Calc_Engine!I240)</f>
        <v>EMP1239</v>
      </c>
      <c r="C243" s="23" t="str">
        <f t="shared" si="48"/>
        <v>Sakshi Mukherjee</v>
      </c>
      <c r="D243" s="23" t="str">
        <f t="shared" si="49"/>
        <v>Associate Software Engineer</v>
      </c>
      <c r="E243" s="23" t="str">
        <f t="shared" si="50"/>
        <v>Engineering</v>
      </c>
      <c r="F243" s="22" t="str">
        <f t="shared" si="51"/>
        <v>L1</v>
      </c>
      <c r="G243" s="23" t="str">
        <f t="shared" si="52"/>
        <v>Prakash Desai</v>
      </c>
      <c r="H243" s="22" t="str">
        <f t="shared" si="53"/>
        <v>Exited</v>
      </c>
      <c r="I243" s="24">
        <f t="shared" si="54"/>
        <v>2</v>
      </c>
      <c r="J243" s="22">
        <f t="shared" si="55"/>
        <v>3</v>
      </c>
      <c r="K243" s="23" t="str">
        <f t="shared" si="56"/>
        <v>Core Player</v>
      </c>
      <c r="L243" s="22" t="str">
        <f t="shared" si="57"/>
        <v>Not Eligible</v>
      </c>
      <c r="M243" s="24">
        <f t="shared" si="58"/>
        <v>5.48</v>
      </c>
      <c r="N243" s="25">
        <f t="shared" si="59"/>
        <v>1.08</v>
      </c>
      <c r="O243" s="26">
        <f t="shared" si="60"/>
        <v>0.8920863309352518</v>
      </c>
      <c r="P243" s="25">
        <f t="shared" si="61"/>
        <v>2.88</v>
      </c>
      <c r="Q243" s="22" t="str">
        <f t="shared" si="62"/>
        <v>Exited</v>
      </c>
      <c r="R243">
        <f t="shared" si="63"/>
        <v>239</v>
      </c>
    </row>
    <row r="244" spans="1:18" x14ac:dyDescent="0.3">
      <c r="A244" s="22">
        <f>IF(B244="","",240)</f>
        <v>240</v>
      </c>
      <c r="B244" s="22" t="str">
        <f>IF(Calc_Engine!I241="","",Calc_Engine!I241)</f>
        <v>EMP1240</v>
      </c>
      <c r="C244" s="23" t="str">
        <f t="shared" si="48"/>
        <v>Ramya Khan</v>
      </c>
      <c r="D244" s="23" t="str">
        <f t="shared" si="49"/>
        <v>Senior Legal Counsel</v>
      </c>
      <c r="E244" s="23" t="str">
        <f t="shared" si="50"/>
        <v>Legal &amp; Compliance</v>
      </c>
      <c r="F244" s="22" t="str">
        <f t="shared" si="51"/>
        <v>L4</v>
      </c>
      <c r="G244" s="23" t="str">
        <f t="shared" si="52"/>
        <v>Swathi Mukherjee</v>
      </c>
      <c r="H244" s="22" t="str">
        <f t="shared" si="53"/>
        <v>Active</v>
      </c>
      <c r="I244" s="24">
        <f t="shared" si="54"/>
        <v>2.4</v>
      </c>
      <c r="J244" s="22">
        <f t="shared" si="55"/>
        <v>5</v>
      </c>
      <c r="K244" s="23" t="str">
        <f t="shared" si="56"/>
        <v>Star</v>
      </c>
      <c r="L244" s="22" t="str">
        <f t="shared" si="57"/>
        <v>Eligible</v>
      </c>
      <c r="M244" s="24">
        <f t="shared" si="58"/>
        <v>22.49</v>
      </c>
      <c r="N244" s="25">
        <f t="shared" si="59"/>
        <v>0.96</v>
      </c>
      <c r="O244" s="26">
        <f t="shared" si="60"/>
        <v>0.92</v>
      </c>
      <c r="P244" s="25">
        <f t="shared" si="61"/>
        <v>3.1</v>
      </c>
      <c r="Q244" s="22" t="str">
        <f t="shared" si="62"/>
        <v>Low</v>
      </c>
      <c r="R244">
        <f t="shared" si="63"/>
        <v>240</v>
      </c>
    </row>
    <row r="245" spans="1:18" x14ac:dyDescent="0.3">
      <c r="A245" s="22">
        <f>IF(B245="","",241)</f>
        <v>241</v>
      </c>
      <c r="B245" s="22" t="str">
        <f>IF(Calc_Engine!I242="","",Calc_Engine!I242)</f>
        <v>EMP1241</v>
      </c>
      <c r="C245" s="23" t="str">
        <f t="shared" si="48"/>
        <v>Imran Joshi</v>
      </c>
      <c r="D245" s="23" t="str">
        <f t="shared" si="49"/>
        <v>Support Manager</v>
      </c>
      <c r="E245" s="23" t="str">
        <f t="shared" si="50"/>
        <v>Customer Support</v>
      </c>
      <c r="F245" s="22" t="str">
        <f t="shared" si="51"/>
        <v>L5</v>
      </c>
      <c r="G245" s="23" t="str">
        <f t="shared" si="52"/>
        <v>Akash Dsouza</v>
      </c>
      <c r="H245" s="22" t="str">
        <f t="shared" si="53"/>
        <v>Active</v>
      </c>
      <c r="I245" s="24">
        <f t="shared" si="54"/>
        <v>2.4</v>
      </c>
      <c r="J245" s="22">
        <f t="shared" si="55"/>
        <v>5</v>
      </c>
      <c r="K245" s="23" t="str">
        <f t="shared" si="56"/>
        <v>Star</v>
      </c>
      <c r="L245" s="22" t="str">
        <f t="shared" si="57"/>
        <v>Eligible</v>
      </c>
      <c r="M245" s="24">
        <f t="shared" si="58"/>
        <v>33.68</v>
      </c>
      <c r="N245" s="25">
        <f t="shared" si="59"/>
        <v>0.92</v>
      </c>
      <c r="O245" s="26">
        <f t="shared" si="60"/>
        <v>0.93200000000000005</v>
      </c>
      <c r="P245" s="25">
        <f t="shared" si="61"/>
        <v>4.3</v>
      </c>
      <c r="Q245" s="22" t="str">
        <f t="shared" si="62"/>
        <v>Low</v>
      </c>
      <c r="R245">
        <f t="shared" si="63"/>
        <v>241</v>
      </c>
    </row>
    <row r="246" spans="1:18" x14ac:dyDescent="0.3">
      <c r="A246" s="22">
        <f>IF(B246="","",242)</f>
        <v>242</v>
      </c>
      <c r="B246" s="22" t="str">
        <f>IF(Calc_Engine!I243="","",Calc_Engine!I243)</f>
        <v>EMP1242</v>
      </c>
      <c r="C246" s="23" t="str">
        <f t="shared" si="48"/>
        <v>Aarav Das</v>
      </c>
      <c r="D246" s="23" t="str">
        <f t="shared" si="49"/>
        <v>Software Engineer</v>
      </c>
      <c r="E246" s="23" t="str">
        <f t="shared" si="50"/>
        <v>Engineering</v>
      </c>
      <c r="F246" s="22" t="str">
        <f t="shared" si="51"/>
        <v>L2</v>
      </c>
      <c r="G246" s="23" t="str">
        <f t="shared" si="52"/>
        <v>Isha Jain</v>
      </c>
      <c r="H246" s="22" t="str">
        <f t="shared" si="53"/>
        <v>Active</v>
      </c>
      <c r="I246" s="24">
        <f t="shared" si="54"/>
        <v>2.4</v>
      </c>
      <c r="J246" s="22">
        <f t="shared" si="55"/>
        <v>3</v>
      </c>
      <c r="K246" s="23" t="str">
        <f t="shared" si="56"/>
        <v>Core Player</v>
      </c>
      <c r="L246" s="22" t="str">
        <f t="shared" si="57"/>
        <v>Not Eligible</v>
      </c>
      <c r="M246" s="24">
        <f t="shared" si="58"/>
        <v>10.83</v>
      </c>
      <c r="N246" s="25">
        <f t="shared" si="59"/>
        <v>1.27</v>
      </c>
      <c r="O246" s="26">
        <f t="shared" si="60"/>
        <v>0.92</v>
      </c>
      <c r="P246" s="25">
        <f t="shared" si="61"/>
        <v>3.52</v>
      </c>
      <c r="Q246" s="22" t="str">
        <f t="shared" si="62"/>
        <v>Low</v>
      </c>
      <c r="R246">
        <f t="shared" si="63"/>
        <v>242</v>
      </c>
    </row>
    <row r="247" spans="1:18" x14ac:dyDescent="0.3">
      <c r="A247" s="22">
        <f>IF(B247="","",243)</f>
        <v>243</v>
      </c>
      <c r="B247" s="22" t="str">
        <f>IF(Calc_Engine!I244="","",Calc_Engine!I244)</f>
        <v>EMP1243</v>
      </c>
      <c r="C247" s="23" t="str">
        <f t="shared" si="48"/>
        <v>Tanvi Yadav</v>
      </c>
      <c r="D247" s="23" t="str">
        <f t="shared" si="49"/>
        <v>Support Team Lead</v>
      </c>
      <c r="E247" s="23" t="str">
        <f t="shared" si="50"/>
        <v>Customer Support</v>
      </c>
      <c r="F247" s="22" t="str">
        <f t="shared" si="51"/>
        <v>L4</v>
      </c>
      <c r="G247" s="23" t="str">
        <f t="shared" si="52"/>
        <v>Imran Joshi</v>
      </c>
      <c r="H247" s="22" t="str">
        <f t="shared" si="53"/>
        <v>Active</v>
      </c>
      <c r="I247" s="24">
        <f t="shared" si="54"/>
        <v>2.4</v>
      </c>
      <c r="J247" s="22">
        <f t="shared" si="55"/>
        <v>5</v>
      </c>
      <c r="K247" s="23" t="str">
        <f t="shared" si="56"/>
        <v>Star</v>
      </c>
      <c r="L247" s="22" t="str">
        <f t="shared" si="57"/>
        <v>Eligible</v>
      </c>
      <c r="M247" s="24">
        <f t="shared" si="58"/>
        <v>19.52</v>
      </c>
      <c r="N247" s="25">
        <f t="shared" si="59"/>
        <v>0.83</v>
      </c>
      <c r="O247" s="26">
        <f t="shared" si="60"/>
        <v>0.89200000000000002</v>
      </c>
      <c r="P247" s="25">
        <f t="shared" si="61"/>
        <v>2.6</v>
      </c>
      <c r="Q247" s="22" t="str">
        <f t="shared" si="62"/>
        <v>High</v>
      </c>
      <c r="R247">
        <f t="shared" si="63"/>
        <v>243</v>
      </c>
    </row>
    <row r="248" spans="1:18" x14ac:dyDescent="0.3">
      <c r="A248" s="22">
        <f>IF(B248="","",244)</f>
        <v>244</v>
      </c>
      <c r="B248" s="22" t="str">
        <f>IF(Calc_Engine!I245="","",Calc_Engine!I245)</f>
        <v>EMP1244</v>
      </c>
      <c r="C248" s="23" t="str">
        <f t="shared" si="48"/>
        <v>Yash Joshi</v>
      </c>
      <c r="D248" s="23" t="str">
        <f t="shared" si="49"/>
        <v>Operations Associate</v>
      </c>
      <c r="E248" s="23" t="str">
        <f t="shared" si="50"/>
        <v>Operations</v>
      </c>
      <c r="F248" s="22" t="str">
        <f t="shared" si="51"/>
        <v>L1</v>
      </c>
      <c r="G248" s="23" t="str">
        <f t="shared" si="52"/>
        <v>Amit Kumar</v>
      </c>
      <c r="H248" s="22" t="str">
        <f t="shared" si="53"/>
        <v>Active</v>
      </c>
      <c r="I248" s="24">
        <f t="shared" si="54"/>
        <v>2.4</v>
      </c>
      <c r="J248" s="22">
        <f t="shared" si="55"/>
        <v>3</v>
      </c>
      <c r="K248" s="23" t="str">
        <f t="shared" si="56"/>
        <v>Future Star</v>
      </c>
      <c r="L248" s="22" t="str">
        <f t="shared" si="57"/>
        <v>Not Eligible</v>
      </c>
      <c r="M248" s="24">
        <f t="shared" si="58"/>
        <v>4.43</v>
      </c>
      <c r="N248" s="25">
        <f t="shared" si="59"/>
        <v>0.87</v>
      </c>
      <c r="O248" s="26">
        <f t="shared" si="60"/>
        <v>0.91200000000000003</v>
      </c>
      <c r="P248" s="25">
        <f t="shared" si="61"/>
        <v>3.12</v>
      </c>
      <c r="Q248" s="22" t="str">
        <f t="shared" si="62"/>
        <v>Low</v>
      </c>
      <c r="R248">
        <f t="shared" si="63"/>
        <v>244</v>
      </c>
    </row>
    <row r="249" spans="1:18" x14ac:dyDescent="0.3">
      <c r="A249" s="22">
        <f>IF(B249="","",245)</f>
        <v>245</v>
      </c>
      <c r="B249" s="22" t="str">
        <f>IF(Calc_Engine!I246="","",Calc_Engine!I246)</f>
        <v>EMP1245</v>
      </c>
      <c r="C249" s="23" t="str">
        <f t="shared" si="48"/>
        <v>Rajesh Raghavan</v>
      </c>
      <c r="D249" s="23" t="str">
        <f t="shared" si="49"/>
        <v>Legal Counsel</v>
      </c>
      <c r="E249" s="23" t="str">
        <f t="shared" si="50"/>
        <v>Legal &amp; Compliance</v>
      </c>
      <c r="F249" s="22" t="str">
        <f t="shared" si="51"/>
        <v>L3</v>
      </c>
      <c r="G249" s="23" t="str">
        <f t="shared" si="52"/>
        <v>Ramya Khanna</v>
      </c>
      <c r="H249" s="22" t="str">
        <f t="shared" si="53"/>
        <v>Exited</v>
      </c>
      <c r="I249" s="24">
        <f t="shared" si="54"/>
        <v>1.5</v>
      </c>
      <c r="J249" s="22">
        <f t="shared" si="55"/>
        <v>3</v>
      </c>
      <c r="K249" s="23" t="str">
        <f t="shared" si="56"/>
        <v>Future Star</v>
      </c>
      <c r="L249" s="22" t="str">
        <f t="shared" si="57"/>
        <v>Not Eligible</v>
      </c>
      <c r="M249" s="24">
        <f t="shared" si="58"/>
        <v>12.05</v>
      </c>
      <c r="N249" s="25">
        <f t="shared" si="59"/>
        <v>0.83</v>
      </c>
      <c r="O249" s="26">
        <f t="shared" si="60"/>
        <v>0.7567567567567568</v>
      </c>
      <c r="P249" s="25">
        <f t="shared" si="61"/>
        <v>2.5299999999999998</v>
      </c>
      <c r="Q249" s="22" t="str">
        <f t="shared" si="62"/>
        <v>Exited</v>
      </c>
      <c r="R249">
        <f t="shared" si="63"/>
        <v>245</v>
      </c>
    </row>
    <row r="250" spans="1:18" x14ac:dyDescent="0.3">
      <c r="A250" s="22">
        <f>IF(B250="","",246)</f>
        <v>246</v>
      </c>
      <c r="B250" s="22" t="str">
        <f>IF(Calc_Engine!I247="","",Calc_Engine!I247)</f>
        <v>EMP1246</v>
      </c>
      <c r="C250" s="23" t="str">
        <f t="shared" si="48"/>
        <v>Pranav Gupta</v>
      </c>
      <c r="D250" s="23" t="str">
        <f t="shared" si="49"/>
        <v>Marketing Associate</v>
      </c>
      <c r="E250" s="23" t="str">
        <f t="shared" si="50"/>
        <v>Marketing</v>
      </c>
      <c r="F250" s="22" t="str">
        <f t="shared" si="51"/>
        <v>L1</v>
      </c>
      <c r="G250" s="23" t="str">
        <f t="shared" si="52"/>
        <v>Isha Chatterjee</v>
      </c>
      <c r="H250" s="22" t="str">
        <f t="shared" si="53"/>
        <v>Active</v>
      </c>
      <c r="I250" s="24">
        <f t="shared" si="54"/>
        <v>2.4</v>
      </c>
      <c r="J250" s="22">
        <f t="shared" si="55"/>
        <v>3</v>
      </c>
      <c r="K250" s="23" t="str">
        <f t="shared" si="56"/>
        <v>Core Player</v>
      </c>
      <c r="L250" s="22" t="str">
        <f t="shared" si="57"/>
        <v>Not Eligible</v>
      </c>
      <c r="M250" s="24">
        <f t="shared" si="58"/>
        <v>4.8899999999999997</v>
      </c>
      <c r="N250" s="25">
        <f t="shared" si="59"/>
        <v>0.96</v>
      </c>
      <c r="O250" s="26">
        <f t="shared" si="60"/>
        <v>0.91600000000000004</v>
      </c>
      <c r="P250" s="25">
        <f t="shared" si="61"/>
        <v>3.78</v>
      </c>
      <c r="Q250" s="22" t="str">
        <f t="shared" si="62"/>
        <v>Low</v>
      </c>
      <c r="R250">
        <f t="shared" si="63"/>
        <v>246</v>
      </c>
    </row>
    <row r="251" spans="1:18" x14ac:dyDescent="0.3">
      <c r="A251" s="22">
        <f>IF(B251="","",247)</f>
        <v>247</v>
      </c>
      <c r="B251" s="22" t="str">
        <f>IF(Calc_Engine!I248="","",Calc_Engine!I248)</f>
        <v>EMP1247</v>
      </c>
      <c r="C251" s="23" t="str">
        <f t="shared" si="48"/>
        <v>Yamini Nair</v>
      </c>
      <c r="D251" s="23" t="str">
        <f t="shared" si="49"/>
        <v>Senior Engineering Manager</v>
      </c>
      <c r="E251" s="23" t="str">
        <f t="shared" si="50"/>
        <v>Engineering</v>
      </c>
      <c r="F251" s="22" t="str">
        <f t="shared" si="51"/>
        <v>L6</v>
      </c>
      <c r="G251" s="23" t="str">
        <f t="shared" si="52"/>
        <v>Aishwarya Khan</v>
      </c>
      <c r="H251" s="22" t="str">
        <f t="shared" si="53"/>
        <v>Active</v>
      </c>
      <c r="I251" s="24">
        <f t="shared" si="54"/>
        <v>2.4</v>
      </c>
      <c r="J251" s="22">
        <f t="shared" si="55"/>
        <v>3</v>
      </c>
      <c r="K251" s="23" t="str">
        <f t="shared" si="56"/>
        <v>Future Star</v>
      </c>
      <c r="L251" s="22" t="str">
        <f t="shared" si="57"/>
        <v>Not Eligible</v>
      </c>
      <c r="M251" s="24">
        <f t="shared" si="58"/>
        <v>55.11</v>
      </c>
      <c r="N251" s="25">
        <f t="shared" si="59"/>
        <v>1.02</v>
      </c>
      <c r="O251" s="26">
        <f t="shared" si="60"/>
        <v>0.96399999999999997</v>
      </c>
      <c r="P251" s="25">
        <f t="shared" si="61"/>
        <v>2.27</v>
      </c>
      <c r="Q251" s="22" t="str">
        <f t="shared" si="62"/>
        <v>Medium</v>
      </c>
      <c r="R251">
        <f t="shared" si="63"/>
        <v>247</v>
      </c>
    </row>
    <row r="252" spans="1:18" x14ac:dyDescent="0.3">
      <c r="A252" s="22">
        <f>IF(B252="","",248)</f>
        <v>248</v>
      </c>
      <c r="B252" s="22" t="str">
        <f>IF(Calc_Engine!I249="","",Calc_Engine!I249)</f>
        <v>EMP1248</v>
      </c>
      <c r="C252" s="23" t="str">
        <f t="shared" si="48"/>
        <v>Ravi Khanna</v>
      </c>
      <c r="D252" s="23" t="str">
        <f t="shared" si="49"/>
        <v>HR Associate</v>
      </c>
      <c r="E252" s="23" t="str">
        <f t="shared" si="50"/>
        <v>Human Resources</v>
      </c>
      <c r="F252" s="22" t="str">
        <f t="shared" si="51"/>
        <v>L1</v>
      </c>
      <c r="G252" s="23" t="str">
        <f t="shared" si="52"/>
        <v>Akash Das</v>
      </c>
      <c r="H252" s="22" t="str">
        <f t="shared" si="53"/>
        <v>Active</v>
      </c>
      <c r="I252" s="24">
        <f t="shared" si="54"/>
        <v>2.4</v>
      </c>
      <c r="J252" s="22">
        <f t="shared" si="55"/>
        <v>3</v>
      </c>
      <c r="K252" s="23" t="str">
        <f t="shared" si="56"/>
        <v>Effective Contributor</v>
      </c>
      <c r="L252" s="22" t="str">
        <f t="shared" si="57"/>
        <v>Not Eligible</v>
      </c>
      <c r="M252" s="24">
        <f t="shared" si="58"/>
        <v>3.69</v>
      </c>
      <c r="N252" s="25">
        <f t="shared" si="59"/>
        <v>0.73</v>
      </c>
      <c r="O252" s="26">
        <f t="shared" si="60"/>
        <v>0.94</v>
      </c>
      <c r="P252" s="25">
        <f t="shared" si="61"/>
        <v>3.08</v>
      </c>
      <c r="Q252" s="22" t="str">
        <f t="shared" si="62"/>
        <v>Low</v>
      </c>
      <c r="R252">
        <f t="shared" si="63"/>
        <v>248</v>
      </c>
    </row>
    <row r="253" spans="1:18" x14ac:dyDescent="0.3">
      <c r="A253" s="22">
        <f>IF(B253="","",249)</f>
        <v>249</v>
      </c>
      <c r="B253" s="22" t="str">
        <f>IF(Calc_Engine!I250="","",Calc_Engine!I250)</f>
        <v>EMP1249</v>
      </c>
      <c r="C253" s="23" t="str">
        <f t="shared" si="48"/>
        <v>Vishal Kamath</v>
      </c>
      <c r="D253" s="23" t="str">
        <f t="shared" si="49"/>
        <v>Senior Operations Executive</v>
      </c>
      <c r="E253" s="23" t="str">
        <f t="shared" si="50"/>
        <v>Operations</v>
      </c>
      <c r="F253" s="22" t="str">
        <f t="shared" si="51"/>
        <v>L3</v>
      </c>
      <c r="G253" s="23" t="str">
        <f t="shared" si="52"/>
        <v>Yash Shah</v>
      </c>
      <c r="H253" s="22" t="str">
        <f t="shared" si="53"/>
        <v>Active</v>
      </c>
      <c r="I253" s="24">
        <f t="shared" si="54"/>
        <v>2.4</v>
      </c>
      <c r="J253" s="22">
        <f t="shared" si="55"/>
        <v>3</v>
      </c>
      <c r="K253" s="23" t="str">
        <f t="shared" si="56"/>
        <v>Core Player</v>
      </c>
      <c r="L253" s="22" t="str">
        <f t="shared" si="57"/>
        <v>Not Eligible</v>
      </c>
      <c r="M253" s="24">
        <f t="shared" si="58"/>
        <v>11.22</v>
      </c>
      <c r="N253" s="25">
        <f t="shared" si="59"/>
        <v>0.78</v>
      </c>
      <c r="O253" s="26">
        <f t="shared" si="60"/>
        <v>0.91200000000000003</v>
      </c>
      <c r="P253" s="25">
        <f t="shared" si="61"/>
        <v>2.73</v>
      </c>
      <c r="Q253" s="22" t="str">
        <f t="shared" si="62"/>
        <v>High</v>
      </c>
      <c r="R253">
        <f t="shared" si="63"/>
        <v>249</v>
      </c>
    </row>
    <row r="254" spans="1:18" x14ac:dyDescent="0.3">
      <c r="A254" s="22">
        <f>IF(B254="","",250)</f>
        <v>250</v>
      </c>
      <c r="B254" s="22" t="str">
        <f>IF(Calc_Engine!I251="","",Calc_Engine!I251)</f>
        <v>EMP1250</v>
      </c>
      <c r="C254" s="23" t="str">
        <f t="shared" si="48"/>
        <v>Arjun Mishra</v>
      </c>
      <c r="D254" s="23" t="str">
        <f t="shared" si="49"/>
        <v>Finance Associate</v>
      </c>
      <c r="E254" s="23" t="str">
        <f t="shared" si="50"/>
        <v>Finance</v>
      </c>
      <c r="F254" s="22" t="str">
        <f t="shared" si="51"/>
        <v>L1</v>
      </c>
      <c r="G254" s="23" t="str">
        <f t="shared" si="52"/>
        <v>Kritika Pandey</v>
      </c>
      <c r="H254" s="22" t="str">
        <f t="shared" si="53"/>
        <v>Active</v>
      </c>
      <c r="I254" s="24">
        <f t="shared" si="54"/>
        <v>2.2999999999999998</v>
      </c>
      <c r="J254" s="22">
        <f t="shared" si="55"/>
        <v>3</v>
      </c>
      <c r="K254" s="23" t="str">
        <f t="shared" si="56"/>
        <v>Core Player</v>
      </c>
      <c r="L254" s="22" t="str">
        <f t="shared" si="57"/>
        <v>Not Eligible</v>
      </c>
      <c r="M254" s="24">
        <f t="shared" si="58"/>
        <v>6.17</v>
      </c>
      <c r="N254" s="25">
        <f t="shared" si="59"/>
        <v>1.21</v>
      </c>
      <c r="O254" s="26">
        <f t="shared" si="60"/>
        <v>0.95599999999999996</v>
      </c>
      <c r="P254" s="25">
        <f t="shared" si="61"/>
        <v>3.55</v>
      </c>
      <c r="Q254" s="22" t="str">
        <f t="shared" si="62"/>
        <v>Low</v>
      </c>
      <c r="R254">
        <f t="shared" si="63"/>
        <v>250</v>
      </c>
    </row>
    <row r="255" spans="1:18" x14ac:dyDescent="0.3">
      <c r="A255" s="22">
        <f>IF(B255="","",251)</f>
        <v>251</v>
      </c>
      <c r="B255" s="22" t="str">
        <f>IF(Calc_Engine!I252="","",Calc_Engine!I252)</f>
        <v>EMP1251</v>
      </c>
      <c r="C255" s="23" t="str">
        <f t="shared" si="48"/>
        <v>Manish Shetty</v>
      </c>
      <c r="D255" s="23" t="str">
        <f t="shared" si="49"/>
        <v>Data Analyst I</v>
      </c>
      <c r="E255" s="23" t="str">
        <f t="shared" si="50"/>
        <v>Data &amp; Analytics</v>
      </c>
      <c r="F255" s="22" t="str">
        <f t="shared" si="51"/>
        <v>L1</v>
      </c>
      <c r="G255" s="23" t="str">
        <f t="shared" si="52"/>
        <v>Arun Mukherjee</v>
      </c>
      <c r="H255" s="22" t="str">
        <f t="shared" si="53"/>
        <v>Active</v>
      </c>
      <c r="I255" s="24">
        <f t="shared" si="54"/>
        <v>2.2999999999999998</v>
      </c>
      <c r="J255" s="22">
        <f t="shared" si="55"/>
        <v>3</v>
      </c>
      <c r="K255" s="23" t="str">
        <f t="shared" si="56"/>
        <v>Effective Contributor</v>
      </c>
      <c r="L255" s="22" t="str">
        <f t="shared" si="57"/>
        <v>Not Eligible</v>
      </c>
      <c r="M255" s="24">
        <f t="shared" si="58"/>
        <v>6.73</v>
      </c>
      <c r="N255" s="25">
        <f t="shared" si="59"/>
        <v>1.32</v>
      </c>
      <c r="O255" s="26">
        <f t="shared" si="60"/>
        <v>0.92</v>
      </c>
      <c r="P255" s="25">
        <f t="shared" si="61"/>
        <v>3.98</v>
      </c>
      <c r="Q255" s="22" t="str">
        <f t="shared" si="62"/>
        <v>Low</v>
      </c>
      <c r="R255">
        <f t="shared" si="63"/>
        <v>251</v>
      </c>
    </row>
    <row r="256" spans="1:18" x14ac:dyDescent="0.3">
      <c r="A256" s="22">
        <f>IF(B256="","",252)</f>
        <v>252</v>
      </c>
      <c r="B256" s="22" t="str">
        <f>IF(Calc_Engine!I253="","",Calc_Engine!I253)</f>
        <v>EMP1252</v>
      </c>
      <c r="C256" s="23" t="str">
        <f t="shared" si="48"/>
        <v>Anusha Verma</v>
      </c>
      <c r="D256" s="23" t="str">
        <f t="shared" si="49"/>
        <v>Marketing Associate</v>
      </c>
      <c r="E256" s="23" t="str">
        <f t="shared" si="50"/>
        <v>Marketing</v>
      </c>
      <c r="F256" s="22" t="str">
        <f t="shared" si="51"/>
        <v>L1</v>
      </c>
      <c r="G256" s="23" t="str">
        <f t="shared" si="52"/>
        <v>Nandini Iyer</v>
      </c>
      <c r="H256" s="22" t="str">
        <f t="shared" si="53"/>
        <v>Active</v>
      </c>
      <c r="I256" s="24">
        <f t="shared" si="54"/>
        <v>2.2999999999999998</v>
      </c>
      <c r="J256" s="22">
        <f t="shared" si="55"/>
        <v>3</v>
      </c>
      <c r="K256" s="23" t="str">
        <f t="shared" si="56"/>
        <v>Core Player</v>
      </c>
      <c r="L256" s="22" t="str">
        <f t="shared" si="57"/>
        <v>Not Eligible</v>
      </c>
      <c r="M256" s="24">
        <f t="shared" si="58"/>
        <v>3.87</v>
      </c>
      <c r="N256" s="25">
        <f t="shared" si="59"/>
        <v>0.76</v>
      </c>
      <c r="O256" s="26">
        <f t="shared" si="60"/>
        <v>0.93600000000000005</v>
      </c>
      <c r="P256" s="25">
        <f t="shared" si="61"/>
        <v>3.95</v>
      </c>
      <c r="Q256" s="22" t="str">
        <f t="shared" si="62"/>
        <v>Low</v>
      </c>
      <c r="R256">
        <f t="shared" si="63"/>
        <v>252</v>
      </c>
    </row>
    <row r="257" spans="1:18" x14ac:dyDescent="0.3">
      <c r="A257" s="22">
        <f>IF(B257="","",253)</f>
        <v>253</v>
      </c>
      <c r="B257" s="22" t="str">
        <f>IF(Calc_Engine!I254="","",Calc_Engine!I254)</f>
        <v>EMP1253</v>
      </c>
      <c r="C257" s="23" t="str">
        <f t="shared" si="48"/>
        <v>Swathi Banerjee</v>
      </c>
      <c r="D257" s="23" t="str">
        <f t="shared" si="49"/>
        <v>Software Engineer</v>
      </c>
      <c r="E257" s="23" t="str">
        <f t="shared" si="50"/>
        <v>Engineering</v>
      </c>
      <c r="F257" s="22" t="str">
        <f t="shared" si="51"/>
        <v>L2</v>
      </c>
      <c r="G257" s="23" t="str">
        <f t="shared" si="52"/>
        <v>Madhuri Menon</v>
      </c>
      <c r="H257" s="22" t="str">
        <f t="shared" si="53"/>
        <v>Exited</v>
      </c>
      <c r="I257" s="24">
        <f t="shared" si="54"/>
        <v>2</v>
      </c>
      <c r="J257" s="22">
        <f t="shared" si="55"/>
        <v>2</v>
      </c>
      <c r="K257" s="23" t="str">
        <f t="shared" si="56"/>
        <v>Inconsistent Player</v>
      </c>
      <c r="L257" s="22" t="str">
        <f t="shared" si="57"/>
        <v>Not Eligible</v>
      </c>
      <c r="M257" s="24">
        <f t="shared" si="58"/>
        <v>10.45</v>
      </c>
      <c r="N257" s="25">
        <f t="shared" si="59"/>
        <v>1.22</v>
      </c>
      <c r="O257" s="26">
        <f t="shared" si="60"/>
        <v>0.89893617021276595</v>
      </c>
      <c r="P257" s="25">
        <f t="shared" si="61"/>
        <v>2.2999999999999998</v>
      </c>
      <c r="Q257" s="22" t="str">
        <f t="shared" si="62"/>
        <v>Exited</v>
      </c>
      <c r="R257">
        <f t="shared" si="63"/>
        <v>253</v>
      </c>
    </row>
    <row r="258" spans="1:18" x14ac:dyDescent="0.3">
      <c r="A258" s="22">
        <f>IF(B258="","",254)</f>
        <v>254</v>
      </c>
      <c r="B258" s="22" t="str">
        <f>IF(Calc_Engine!I255="","",Calc_Engine!I255)</f>
        <v>EMP1254</v>
      </c>
      <c r="C258" s="23" t="str">
        <f t="shared" si="48"/>
        <v>Aniket Bansal</v>
      </c>
      <c r="D258" s="23" t="str">
        <f t="shared" si="49"/>
        <v>Operations Executive</v>
      </c>
      <c r="E258" s="23" t="str">
        <f t="shared" si="50"/>
        <v>Operations</v>
      </c>
      <c r="F258" s="22" t="str">
        <f t="shared" si="51"/>
        <v>L2</v>
      </c>
      <c r="G258" s="23" t="str">
        <f t="shared" si="52"/>
        <v>Ajay Kumar</v>
      </c>
      <c r="H258" s="22" t="str">
        <f t="shared" si="53"/>
        <v>Active</v>
      </c>
      <c r="I258" s="24">
        <f t="shared" si="54"/>
        <v>2.2999999999999998</v>
      </c>
      <c r="J258" s="22">
        <f t="shared" si="55"/>
        <v>2</v>
      </c>
      <c r="K258" s="23" t="str">
        <f t="shared" si="56"/>
        <v>Inconsistent Player</v>
      </c>
      <c r="L258" s="22" t="str">
        <f t="shared" si="57"/>
        <v>Not Eligible</v>
      </c>
      <c r="M258" s="24">
        <f t="shared" si="58"/>
        <v>6.98</v>
      </c>
      <c r="N258" s="25">
        <f t="shared" si="59"/>
        <v>0.82</v>
      </c>
      <c r="O258" s="26">
        <f t="shared" si="60"/>
        <v>0.89600000000000002</v>
      </c>
      <c r="P258" s="25">
        <f t="shared" si="61"/>
        <v>2.8</v>
      </c>
      <c r="Q258" s="22" t="str">
        <f t="shared" si="62"/>
        <v>Medium</v>
      </c>
      <c r="R258">
        <f t="shared" si="63"/>
        <v>254</v>
      </c>
    </row>
    <row r="259" spans="1:18" x14ac:dyDescent="0.3">
      <c r="A259" s="22">
        <f>IF(B259="","",255)</f>
        <v>255</v>
      </c>
      <c r="B259" s="22" t="str">
        <f>IF(Calc_Engine!I256="","",Calc_Engine!I256)</f>
        <v>EMP1255</v>
      </c>
      <c r="C259" s="23" t="str">
        <f t="shared" si="48"/>
        <v>Sneha Desai</v>
      </c>
      <c r="D259" s="23" t="str">
        <f t="shared" si="49"/>
        <v>Associate Product Analyst</v>
      </c>
      <c r="E259" s="23" t="str">
        <f t="shared" si="50"/>
        <v>Product</v>
      </c>
      <c r="F259" s="22" t="str">
        <f t="shared" si="51"/>
        <v>L1</v>
      </c>
      <c r="G259" s="23" t="str">
        <f t="shared" si="52"/>
        <v>Sachin Shetty</v>
      </c>
      <c r="H259" s="22" t="str">
        <f t="shared" si="53"/>
        <v>Active</v>
      </c>
      <c r="I259" s="24">
        <f t="shared" si="54"/>
        <v>2.2999999999999998</v>
      </c>
      <c r="J259" s="22">
        <f t="shared" si="55"/>
        <v>4</v>
      </c>
      <c r="K259" s="23" t="str">
        <f t="shared" si="56"/>
        <v>Star</v>
      </c>
      <c r="L259" s="22" t="str">
        <f t="shared" si="57"/>
        <v>Not Eligible</v>
      </c>
      <c r="M259" s="24">
        <f t="shared" si="58"/>
        <v>6.11</v>
      </c>
      <c r="N259" s="25">
        <f t="shared" si="59"/>
        <v>1.2</v>
      </c>
      <c r="O259" s="26">
        <f t="shared" si="60"/>
        <v>0.89200000000000002</v>
      </c>
      <c r="P259" s="25">
        <f t="shared" si="61"/>
        <v>3.13</v>
      </c>
      <c r="Q259" s="22" t="str">
        <f t="shared" si="62"/>
        <v>Low</v>
      </c>
      <c r="R259">
        <f t="shared" si="63"/>
        <v>255</v>
      </c>
    </row>
    <row r="260" spans="1:18" x14ac:dyDescent="0.3">
      <c r="A260" s="22">
        <f>IF(B260="","",256)</f>
        <v>256</v>
      </c>
      <c r="B260" s="22" t="str">
        <f>IF(Calc_Engine!I257="","",Calc_Engine!I257)</f>
        <v>EMP1256</v>
      </c>
      <c r="C260" s="23" t="str">
        <f t="shared" si="48"/>
        <v>Deepak Chatterjee</v>
      </c>
      <c r="D260" s="23" t="str">
        <f t="shared" si="49"/>
        <v>Operations Executive</v>
      </c>
      <c r="E260" s="23" t="str">
        <f t="shared" si="50"/>
        <v>Operations</v>
      </c>
      <c r="F260" s="22" t="str">
        <f t="shared" si="51"/>
        <v>L2</v>
      </c>
      <c r="G260" s="23" t="str">
        <f t="shared" si="52"/>
        <v>Amit Kumar</v>
      </c>
      <c r="H260" s="22" t="str">
        <f t="shared" si="53"/>
        <v>Active</v>
      </c>
      <c r="I260" s="24">
        <f t="shared" si="54"/>
        <v>2.2999999999999998</v>
      </c>
      <c r="J260" s="22">
        <f t="shared" si="55"/>
        <v>4</v>
      </c>
      <c r="K260" s="23" t="str">
        <f t="shared" si="56"/>
        <v>High Performer</v>
      </c>
      <c r="L260" s="22" t="str">
        <f t="shared" si="57"/>
        <v>Not Eligible</v>
      </c>
      <c r="M260" s="24">
        <f t="shared" si="58"/>
        <v>8.19</v>
      </c>
      <c r="N260" s="25">
        <f t="shared" si="59"/>
        <v>0.96</v>
      </c>
      <c r="O260" s="26">
        <f t="shared" si="60"/>
        <v>0.93200000000000005</v>
      </c>
      <c r="P260" s="25">
        <f t="shared" si="61"/>
        <v>3.47</v>
      </c>
      <c r="Q260" s="22" t="str">
        <f t="shared" si="62"/>
        <v>Low</v>
      </c>
      <c r="R260">
        <f t="shared" si="63"/>
        <v>256</v>
      </c>
    </row>
    <row r="261" spans="1:18" x14ac:dyDescent="0.3">
      <c r="A261" s="22">
        <f>IF(B261="","",257)</f>
        <v>257</v>
      </c>
      <c r="B261" s="22" t="str">
        <f>IF(Calc_Engine!I258="","",Calc_Engine!I258)</f>
        <v>EMP1257</v>
      </c>
      <c r="C261" s="23" t="str">
        <f t="shared" ref="C261:C324" si="64">IF($R261="","",INDEX(M_Name,$R261))</f>
        <v>Ankit Menon</v>
      </c>
      <c r="D261" s="23" t="str">
        <f t="shared" ref="D261:D324" si="65">IF($R261="","",INDEX(M_Title,$R261))</f>
        <v>Product Analyst</v>
      </c>
      <c r="E261" s="23" t="str">
        <f t="shared" ref="E261:E324" si="66">IF($R261="","",INDEX(M_Dept,$R261))</f>
        <v>Product</v>
      </c>
      <c r="F261" s="22" t="str">
        <f t="shared" ref="F261:F324" si="67">IF($R261="","",INDEX(M_Level,$R261))</f>
        <v>L2</v>
      </c>
      <c r="G261" s="23" t="str">
        <f t="shared" ref="G261:G324" si="68">IF($R261="","",INDEX(M_Mgr,$R261))</f>
        <v>Trisha Malhotra</v>
      </c>
      <c r="H261" s="22" t="str">
        <f t="shared" ref="H261:H324" si="69">IF($R261="","",INDEX(M_Status,$R261))</f>
        <v>Active</v>
      </c>
      <c r="I261" s="24">
        <f t="shared" ref="I261:I324" si="70">IF($R261="","",INDEX(M_Tenure,$R261))</f>
        <v>2.2000000000000002</v>
      </c>
      <c r="J261" s="22">
        <f t="shared" ref="J261:J324" si="71">IF($R261="","",INDEX(P_Rating,$R261))</f>
        <v>4</v>
      </c>
      <c r="K261" s="23" t="str">
        <f t="shared" ref="K261:K324" si="72">IF($R261="","",INDEX(P_9Box,$R261))</f>
        <v>High Performer</v>
      </c>
      <c r="L261" s="22" t="str">
        <f t="shared" ref="L261:L324" si="73">IF($R261="","",INDEX(P_Elig,$R261))</f>
        <v>Not Eligible</v>
      </c>
      <c r="M261" s="24">
        <f t="shared" ref="M261:M324" si="74">IF($R261="","",INDEX(C_CTC,$R261)/100000)</f>
        <v>11.66</v>
      </c>
      <c r="N261" s="25">
        <f t="shared" ref="N261:N324" si="75">IF($R261="","",INDEX(C_Compa,$R261))</f>
        <v>1.36</v>
      </c>
      <c r="O261" s="26">
        <f t="shared" ref="O261:O324" si="76">IF($R261="","",INDEX(A_Att,$R261))</f>
        <v>0.95599999999999996</v>
      </c>
      <c r="P261" s="25">
        <f t="shared" ref="P261:P324" si="77">IF($R261="","",INDEX(E_Overall,$R261))</f>
        <v>3.2</v>
      </c>
      <c r="Q261" s="22" t="str">
        <f t="shared" ref="Q261:Q324" si="78">IF($R261="","",INDEX(E_Risk,$R261))</f>
        <v>Low</v>
      </c>
      <c r="R261">
        <f t="shared" ref="R261:R324" si="79">IF(B261="","",MATCH(B261,M_ID,0))</f>
        <v>257</v>
      </c>
    </row>
    <row r="262" spans="1:18" x14ac:dyDescent="0.3">
      <c r="A262" s="22">
        <f>IF(B262="","",258)</f>
        <v>258</v>
      </c>
      <c r="B262" s="22" t="str">
        <f>IF(Calc_Engine!I259="","",Calc_Engine!I259)</f>
        <v>EMP1258</v>
      </c>
      <c r="C262" s="23" t="str">
        <f t="shared" si="64"/>
        <v>Abhishek Choudhary</v>
      </c>
      <c r="D262" s="23" t="str">
        <f t="shared" si="65"/>
        <v>Data Analyst I</v>
      </c>
      <c r="E262" s="23" t="str">
        <f t="shared" si="66"/>
        <v>Data &amp; Analytics</v>
      </c>
      <c r="F262" s="22" t="str">
        <f t="shared" si="67"/>
        <v>L1</v>
      </c>
      <c r="G262" s="23" t="str">
        <f t="shared" si="68"/>
        <v>Arun Mukherjee</v>
      </c>
      <c r="H262" s="22" t="str">
        <f t="shared" si="69"/>
        <v>Active</v>
      </c>
      <c r="I262" s="24">
        <f t="shared" si="70"/>
        <v>2.2000000000000002</v>
      </c>
      <c r="J262" s="22">
        <f t="shared" si="71"/>
        <v>4</v>
      </c>
      <c r="K262" s="23" t="str">
        <f t="shared" si="72"/>
        <v>Star</v>
      </c>
      <c r="L262" s="22" t="str">
        <f t="shared" si="73"/>
        <v>Eligible</v>
      </c>
      <c r="M262" s="24">
        <f t="shared" si="74"/>
        <v>5.91</v>
      </c>
      <c r="N262" s="25">
        <f t="shared" si="75"/>
        <v>1.1599999999999999</v>
      </c>
      <c r="O262" s="26">
        <f t="shared" si="76"/>
        <v>0.93200000000000005</v>
      </c>
      <c r="P262" s="25">
        <f t="shared" si="77"/>
        <v>3.73</v>
      </c>
      <c r="Q262" s="22" t="str">
        <f t="shared" si="78"/>
        <v>Low</v>
      </c>
      <c r="R262">
        <f t="shared" si="79"/>
        <v>258</v>
      </c>
    </row>
    <row r="263" spans="1:18" x14ac:dyDescent="0.3">
      <c r="A263" s="22">
        <f>IF(B263="","",259)</f>
        <v>259</v>
      </c>
      <c r="B263" s="22" t="str">
        <f>IF(Calc_Engine!I260="","",Calc_Engine!I260)</f>
        <v>EMP1259</v>
      </c>
      <c r="C263" s="23" t="str">
        <f t="shared" si="64"/>
        <v>Priyanka Gowda</v>
      </c>
      <c r="D263" s="23" t="str">
        <f t="shared" si="65"/>
        <v>Software Engineer</v>
      </c>
      <c r="E263" s="23" t="str">
        <f t="shared" si="66"/>
        <v>Engineering</v>
      </c>
      <c r="F263" s="22" t="str">
        <f t="shared" si="67"/>
        <v>L2</v>
      </c>
      <c r="G263" s="23" t="str">
        <f t="shared" si="68"/>
        <v>Fatima Choudhary</v>
      </c>
      <c r="H263" s="22" t="str">
        <f t="shared" si="69"/>
        <v>Active</v>
      </c>
      <c r="I263" s="24">
        <f t="shared" si="70"/>
        <v>2.2000000000000002</v>
      </c>
      <c r="J263" s="22">
        <f t="shared" si="71"/>
        <v>3</v>
      </c>
      <c r="K263" s="23" t="str">
        <f t="shared" si="72"/>
        <v>Future Star</v>
      </c>
      <c r="L263" s="22" t="str">
        <f t="shared" si="73"/>
        <v>Not Eligible</v>
      </c>
      <c r="M263" s="24">
        <f t="shared" si="74"/>
        <v>11.36</v>
      </c>
      <c r="N263" s="25">
        <f t="shared" si="75"/>
        <v>1.33</v>
      </c>
      <c r="O263" s="26">
        <f t="shared" si="76"/>
        <v>0.872</v>
      </c>
      <c r="P263" s="25">
        <f t="shared" si="77"/>
        <v>2.87</v>
      </c>
      <c r="Q263" s="22" t="str">
        <f t="shared" si="78"/>
        <v>Low</v>
      </c>
      <c r="R263">
        <f t="shared" si="79"/>
        <v>259</v>
      </c>
    </row>
    <row r="264" spans="1:18" x14ac:dyDescent="0.3">
      <c r="A264" s="22">
        <f>IF(B264="","",260)</f>
        <v>260</v>
      </c>
      <c r="B264" s="22" t="str">
        <f>IF(Calc_Engine!I261="","",Calc_Engine!I261)</f>
        <v>EMP1260</v>
      </c>
      <c r="C264" s="23" t="str">
        <f t="shared" si="64"/>
        <v>Pooja Khanna</v>
      </c>
      <c r="D264" s="23" t="str">
        <f t="shared" si="65"/>
        <v>Senior Support Manager</v>
      </c>
      <c r="E264" s="23" t="str">
        <f t="shared" si="66"/>
        <v>Customer Support</v>
      </c>
      <c r="F264" s="22" t="str">
        <f t="shared" si="67"/>
        <v>L6</v>
      </c>
      <c r="G264" s="23" t="str">
        <f t="shared" si="68"/>
        <v>Vikram Joshi</v>
      </c>
      <c r="H264" s="22" t="str">
        <f t="shared" si="69"/>
        <v>Active</v>
      </c>
      <c r="I264" s="24">
        <f t="shared" si="70"/>
        <v>2.2000000000000002</v>
      </c>
      <c r="J264" s="22">
        <f t="shared" si="71"/>
        <v>3</v>
      </c>
      <c r="K264" s="23" t="str">
        <f t="shared" si="72"/>
        <v>Effective Contributor</v>
      </c>
      <c r="L264" s="22" t="str">
        <f t="shared" si="73"/>
        <v>Not Eligible</v>
      </c>
      <c r="M264" s="24">
        <f t="shared" si="74"/>
        <v>35.700000000000003</v>
      </c>
      <c r="N264" s="25">
        <f t="shared" si="75"/>
        <v>0.66</v>
      </c>
      <c r="O264" s="26">
        <f t="shared" si="76"/>
        <v>0.90400000000000003</v>
      </c>
      <c r="P264" s="25">
        <f t="shared" si="77"/>
        <v>3.75</v>
      </c>
      <c r="Q264" s="22" t="str">
        <f t="shared" si="78"/>
        <v>Low</v>
      </c>
      <c r="R264">
        <f t="shared" si="79"/>
        <v>260</v>
      </c>
    </row>
    <row r="265" spans="1:18" x14ac:dyDescent="0.3">
      <c r="A265" s="22">
        <f>IF(B265="","",261)</f>
        <v>261</v>
      </c>
      <c r="B265" s="22" t="str">
        <f>IF(Calc_Engine!I262="","",Calc_Engine!I262)</f>
        <v>EMP1261</v>
      </c>
      <c r="C265" s="23" t="str">
        <f t="shared" si="64"/>
        <v>Priya Krishnan</v>
      </c>
      <c r="D265" s="23" t="str">
        <f t="shared" si="65"/>
        <v>Operations Executive</v>
      </c>
      <c r="E265" s="23" t="str">
        <f t="shared" si="66"/>
        <v>Operations</v>
      </c>
      <c r="F265" s="22" t="str">
        <f t="shared" si="67"/>
        <v>L2</v>
      </c>
      <c r="G265" s="23" t="str">
        <f t="shared" si="68"/>
        <v>Ankit Khanna</v>
      </c>
      <c r="H265" s="22" t="str">
        <f t="shared" si="69"/>
        <v>Active</v>
      </c>
      <c r="I265" s="24">
        <f t="shared" si="70"/>
        <v>2.2000000000000002</v>
      </c>
      <c r="J265" s="22">
        <f t="shared" si="71"/>
        <v>5</v>
      </c>
      <c r="K265" s="23" t="str">
        <f t="shared" si="72"/>
        <v>High Performer</v>
      </c>
      <c r="L265" s="22" t="str">
        <f t="shared" si="73"/>
        <v>Eligible</v>
      </c>
      <c r="M265" s="24">
        <f t="shared" si="74"/>
        <v>8.2200000000000006</v>
      </c>
      <c r="N265" s="25">
        <f t="shared" si="75"/>
        <v>0.96</v>
      </c>
      <c r="O265" s="26">
        <f t="shared" si="76"/>
        <v>0.90400000000000003</v>
      </c>
      <c r="P265" s="25">
        <f t="shared" si="77"/>
        <v>3.18</v>
      </c>
      <c r="Q265" s="22" t="str">
        <f t="shared" si="78"/>
        <v>Medium</v>
      </c>
      <c r="R265">
        <f t="shared" si="79"/>
        <v>261</v>
      </c>
    </row>
    <row r="266" spans="1:18" x14ac:dyDescent="0.3">
      <c r="A266" s="22">
        <f>IF(B266="","",262)</f>
        <v>262</v>
      </c>
      <c r="B266" s="22" t="str">
        <f>IF(Calc_Engine!I263="","",Calc_Engine!I263)</f>
        <v>EMP1262</v>
      </c>
      <c r="C266" s="23" t="str">
        <f t="shared" si="64"/>
        <v>Kritika Bose</v>
      </c>
      <c r="D266" s="23" t="str">
        <f t="shared" si="65"/>
        <v>Marketing Executive</v>
      </c>
      <c r="E266" s="23" t="str">
        <f t="shared" si="66"/>
        <v>Marketing</v>
      </c>
      <c r="F266" s="22" t="str">
        <f t="shared" si="67"/>
        <v>L2</v>
      </c>
      <c r="G266" s="23" t="str">
        <f t="shared" si="68"/>
        <v>Nandini Iyer</v>
      </c>
      <c r="H266" s="22" t="str">
        <f t="shared" si="69"/>
        <v>Active</v>
      </c>
      <c r="I266" s="24">
        <f t="shared" si="70"/>
        <v>2.2000000000000002</v>
      </c>
      <c r="J266" s="22">
        <f t="shared" si="71"/>
        <v>2</v>
      </c>
      <c r="K266" s="23" t="str">
        <f t="shared" si="72"/>
        <v>Inconsistent Player</v>
      </c>
      <c r="L266" s="22" t="str">
        <f t="shared" si="73"/>
        <v>Not Eligible</v>
      </c>
      <c r="M266" s="24">
        <f t="shared" si="74"/>
        <v>6.4</v>
      </c>
      <c r="N266" s="25">
        <f t="shared" si="75"/>
        <v>0.75</v>
      </c>
      <c r="O266" s="26">
        <f t="shared" si="76"/>
        <v>0.9</v>
      </c>
      <c r="P266" s="25">
        <f t="shared" si="77"/>
        <v>3.23</v>
      </c>
      <c r="Q266" s="22" t="str">
        <f t="shared" si="78"/>
        <v>Medium</v>
      </c>
      <c r="R266">
        <f t="shared" si="79"/>
        <v>262</v>
      </c>
    </row>
    <row r="267" spans="1:18" x14ac:dyDescent="0.3">
      <c r="A267" s="22">
        <f>IF(B267="","",263)</f>
        <v>263</v>
      </c>
      <c r="B267" s="22" t="str">
        <f>IF(Calc_Engine!I264="","",Calc_Engine!I264)</f>
        <v>EMP1263</v>
      </c>
      <c r="C267" s="23" t="str">
        <f t="shared" si="64"/>
        <v>Trisha Hegde</v>
      </c>
      <c r="D267" s="23" t="str">
        <f t="shared" si="65"/>
        <v>Senior Sales Executive</v>
      </c>
      <c r="E267" s="23" t="str">
        <f t="shared" si="66"/>
        <v>Sales</v>
      </c>
      <c r="F267" s="22" t="str">
        <f t="shared" si="67"/>
        <v>L3</v>
      </c>
      <c r="G267" s="23" t="str">
        <f t="shared" si="68"/>
        <v>Kavya Krishnan</v>
      </c>
      <c r="H267" s="22" t="str">
        <f t="shared" si="69"/>
        <v>Active</v>
      </c>
      <c r="I267" s="24">
        <f t="shared" si="70"/>
        <v>2.2000000000000002</v>
      </c>
      <c r="J267" s="22">
        <f t="shared" si="71"/>
        <v>3</v>
      </c>
      <c r="K267" s="23" t="str">
        <f t="shared" si="72"/>
        <v>Future Star</v>
      </c>
      <c r="L267" s="22" t="str">
        <f t="shared" si="73"/>
        <v>Not Eligible</v>
      </c>
      <c r="M267" s="24">
        <f t="shared" si="74"/>
        <v>10.55</v>
      </c>
      <c r="N267" s="25">
        <f t="shared" si="75"/>
        <v>0.73</v>
      </c>
      <c r="O267" s="26">
        <f t="shared" si="76"/>
        <v>0.90800000000000003</v>
      </c>
      <c r="P267" s="25">
        <f t="shared" si="77"/>
        <v>3.28</v>
      </c>
      <c r="Q267" s="22" t="str">
        <f t="shared" si="78"/>
        <v>Low</v>
      </c>
      <c r="R267">
        <f t="shared" si="79"/>
        <v>263</v>
      </c>
    </row>
    <row r="268" spans="1:18" x14ac:dyDescent="0.3">
      <c r="A268" s="22">
        <f>IF(B268="","",264)</f>
        <v>264</v>
      </c>
      <c r="B268" s="22" t="str">
        <f>IF(Calc_Engine!I265="","",Calc_Engine!I265)</f>
        <v>EMP1264</v>
      </c>
      <c r="C268" s="23" t="str">
        <f t="shared" si="64"/>
        <v>Manish Mukherjee</v>
      </c>
      <c r="D268" s="23" t="str">
        <f t="shared" si="65"/>
        <v>Software Engineer</v>
      </c>
      <c r="E268" s="23" t="str">
        <f t="shared" si="66"/>
        <v>Engineering</v>
      </c>
      <c r="F268" s="22" t="str">
        <f t="shared" si="67"/>
        <v>L2</v>
      </c>
      <c r="G268" s="23" t="str">
        <f t="shared" si="68"/>
        <v>Vikas Singh</v>
      </c>
      <c r="H268" s="22" t="str">
        <f t="shared" si="69"/>
        <v>Active</v>
      </c>
      <c r="I268" s="24">
        <f t="shared" si="70"/>
        <v>2.2000000000000002</v>
      </c>
      <c r="J268" s="22">
        <f t="shared" si="71"/>
        <v>3</v>
      </c>
      <c r="K268" s="23" t="str">
        <f t="shared" si="72"/>
        <v>Core Player</v>
      </c>
      <c r="L268" s="22" t="str">
        <f t="shared" si="73"/>
        <v>Not Eligible</v>
      </c>
      <c r="M268" s="24">
        <f t="shared" si="74"/>
        <v>9.41</v>
      </c>
      <c r="N268" s="25">
        <f t="shared" si="75"/>
        <v>1.1000000000000001</v>
      </c>
      <c r="O268" s="26">
        <f t="shared" si="76"/>
        <v>0.93200000000000005</v>
      </c>
      <c r="P268" s="25">
        <f t="shared" si="77"/>
        <v>3.55</v>
      </c>
      <c r="Q268" s="22" t="str">
        <f t="shared" si="78"/>
        <v>Low</v>
      </c>
      <c r="R268">
        <f t="shared" si="79"/>
        <v>264</v>
      </c>
    </row>
    <row r="269" spans="1:18" x14ac:dyDescent="0.3">
      <c r="A269" s="22">
        <f>IF(B269="","",265)</f>
        <v>265</v>
      </c>
      <c r="B269" s="22" t="str">
        <f>IF(Calc_Engine!I266="","",Calc_Engine!I266)</f>
        <v>EMP1265</v>
      </c>
      <c r="C269" s="23" t="str">
        <f t="shared" si="64"/>
        <v>Kritika Pandey</v>
      </c>
      <c r="D269" s="23" t="str">
        <f t="shared" si="65"/>
        <v>Finance Manager</v>
      </c>
      <c r="E269" s="23" t="str">
        <f t="shared" si="66"/>
        <v>Finance</v>
      </c>
      <c r="F269" s="22" t="str">
        <f t="shared" si="67"/>
        <v>L5</v>
      </c>
      <c r="G269" s="23" t="str">
        <f t="shared" si="68"/>
        <v>Karan Patel</v>
      </c>
      <c r="H269" s="22" t="str">
        <f t="shared" si="69"/>
        <v>Active</v>
      </c>
      <c r="I269" s="24">
        <f t="shared" si="70"/>
        <v>2.2000000000000002</v>
      </c>
      <c r="J269" s="22">
        <f t="shared" si="71"/>
        <v>4</v>
      </c>
      <c r="K269" s="23" t="str">
        <f t="shared" si="72"/>
        <v>Trusted Professional</v>
      </c>
      <c r="L269" s="22" t="str">
        <f t="shared" si="73"/>
        <v>Eligible</v>
      </c>
      <c r="M269" s="24">
        <f t="shared" si="74"/>
        <v>33.520000000000003</v>
      </c>
      <c r="N269" s="25">
        <f t="shared" si="75"/>
        <v>0.91</v>
      </c>
      <c r="O269" s="26">
        <f t="shared" si="76"/>
        <v>0.91200000000000003</v>
      </c>
      <c r="P269" s="25">
        <f t="shared" si="77"/>
        <v>3.07</v>
      </c>
      <c r="Q269" s="22" t="str">
        <f t="shared" si="78"/>
        <v>Low</v>
      </c>
      <c r="R269">
        <f t="shared" si="79"/>
        <v>265</v>
      </c>
    </row>
    <row r="270" spans="1:18" x14ac:dyDescent="0.3">
      <c r="A270" s="22">
        <f>IF(B270="","",266)</f>
        <v>266</v>
      </c>
      <c r="B270" s="22" t="str">
        <f>IF(Calc_Engine!I267="","",Calc_Engine!I267)</f>
        <v>EMP1266</v>
      </c>
      <c r="C270" s="23" t="str">
        <f t="shared" si="64"/>
        <v>Manish Krishnan</v>
      </c>
      <c r="D270" s="23" t="str">
        <f t="shared" si="65"/>
        <v>Accounts Executive</v>
      </c>
      <c r="E270" s="23" t="str">
        <f t="shared" si="66"/>
        <v>Finance</v>
      </c>
      <c r="F270" s="22" t="str">
        <f t="shared" si="67"/>
        <v>L2</v>
      </c>
      <c r="G270" s="23" t="str">
        <f t="shared" si="68"/>
        <v>Ravi Prabhu</v>
      </c>
      <c r="H270" s="22" t="str">
        <f t="shared" si="69"/>
        <v>Active</v>
      </c>
      <c r="I270" s="24">
        <f t="shared" si="70"/>
        <v>2.2000000000000002</v>
      </c>
      <c r="J270" s="22">
        <f t="shared" si="71"/>
        <v>3</v>
      </c>
      <c r="K270" s="23" t="str">
        <f t="shared" si="72"/>
        <v>Core Player</v>
      </c>
      <c r="L270" s="22" t="str">
        <f t="shared" si="73"/>
        <v>Not Eligible</v>
      </c>
      <c r="M270" s="24">
        <f t="shared" si="74"/>
        <v>6.97</v>
      </c>
      <c r="N270" s="25">
        <f t="shared" si="75"/>
        <v>0.82</v>
      </c>
      <c r="O270" s="26">
        <f t="shared" si="76"/>
        <v>0.91600000000000004</v>
      </c>
      <c r="P270" s="25">
        <f t="shared" si="77"/>
        <v>3.2</v>
      </c>
      <c r="Q270" s="22" t="str">
        <f t="shared" si="78"/>
        <v>Low</v>
      </c>
      <c r="R270">
        <f t="shared" si="79"/>
        <v>266</v>
      </c>
    </row>
    <row r="271" spans="1:18" x14ac:dyDescent="0.3">
      <c r="A271" s="22">
        <f>IF(B271="","",267)</f>
        <v>267</v>
      </c>
      <c r="B271" s="22" t="str">
        <f>IF(Calc_Engine!I268="","",Calc_Engine!I268)</f>
        <v>EMP1267</v>
      </c>
      <c r="C271" s="23" t="str">
        <f t="shared" si="64"/>
        <v>Abhishek Malhotra</v>
      </c>
      <c r="D271" s="23" t="str">
        <f t="shared" si="65"/>
        <v>Software Engineer</v>
      </c>
      <c r="E271" s="23" t="str">
        <f t="shared" si="66"/>
        <v>Engineering</v>
      </c>
      <c r="F271" s="22" t="str">
        <f t="shared" si="67"/>
        <v>L2</v>
      </c>
      <c r="G271" s="23" t="str">
        <f t="shared" si="68"/>
        <v>Prakash Desai</v>
      </c>
      <c r="H271" s="22" t="str">
        <f t="shared" si="69"/>
        <v>Active</v>
      </c>
      <c r="I271" s="24">
        <f t="shared" si="70"/>
        <v>2.2000000000000002</v>
      </c>
      <c r="J271" s="22">
        <f t="shared" si="71"/>
        <v>4</v>
      </c>
      <c r="K271" s="23" t="str">
        <f t="shared" si="72"/>
        <v>High Performer</v>
      </c>
      <c r="L271" s="22" t="str">
        <f t="shared" si="73"/>
        <v>Eligible</v>
      </c>
      <c r="M271" s="24">
        <f t="shared" si="74"/>
        <v>8.25</v>
      </c>
      <c r="N271" s="25">
        <f t="shared" si="75"/>
        <v>0.96</v>
      </c>
      <c r="O271" s="26">
        <f t="shared" si="76"/>
        <v>0.9</v>
      </c>
      <c r="P271" s="25">
        <f t="shared" si="77"/>
        <v>2.48</v>
      </c>
      <c r="Q271" s="22" t="str">
        <f t="shared" si="78"/>
        <v>Medium</v>
      </c>
      <c r="R271">
        <f t="shared" si="79"/>
        <v>267</v>
      </c>
    </row>
    <row r="272" spans="1:18" x14ac:dyDescent="0.3">
      <c r="A272" s="22">
        <f>IF(B272="","",268)</f>
        <v>268</v>
      </c>
      <c r="B272" s="22" t="str">
        <f>IF(Calc_Engine!I269="","",Calc_Engine!I269)</f>
        <v>EMP1268</v>
      </c>
      <c r="C272" s="23" t="str">
        <f t="shared" si="64"/>
        <v>Kunal Agarwal</v>
      </c>
      <c r="D272" s="23" t="str">
        <f t="shared" si="65"/>
        <v>Software Engineer</v>
      </c>
      <c r="E272" s="23" t="str">
        <f t="shared" si="66"/>
        <v>Engineering</v>
      </c>
      <c r="F272" s="22" t="str">
        <f t="shared" si="67"/>
        <v>L2</v>
      </c>
      <c r="G272" s="23" t="str">
        <f t="shared" si="68"/>
        <v>Gaurav Fernandes</v>
      </c>
      <c r="H272" s="22" t="str">
        <f t="shared" si="69"/>
        <v>Exited</v>
      </c>
      <c r="I272" s="24">
        <f t="shared" si="70"/>
        <v>1.7</v>
      </c>
      <c r="J272" s="22">
        <f t="shared" si="71"/>
        <v>3</v>
      </c>
      <c r="K272" s="23" t="str">
        <f t="shared" si="72"/>
        <v>Core Player</v>
      </c>
      <c r="L272" s="22" t="str">
        <f t="shared" si="73"/>
        <v>Not Eligible</v>
      </c>
      <c r="M272" s="24">
        <f t="shared" si="74"/>
        <v>9.83</v>
      </c>
      <c r="N272" s="25">
        <f t="shared" si="75"/>
        <v>1.1499999999999999</v>
      </c>
      <c r="O272" s="26">
        <f t="shared" si="76"/>
        <v>0.92253521126760563</v>
      </c>
      <c r="P272" s="25">
        <f t="shared" si="77"/>
        <v>2.42</v>
      </c>
      <c r="Q272" s="22" t="str">
        <f t="shared" si="78"/>
        <v>Exited</v>
      </c>
      <c r="R272">
        <f t="shared" si="79"/>
        <v>268</v>
      </c>
    </row>
    <row r="273" spans="1:18" x14ac:dyDescent="0.3">
      <c r="A273" s="22">
        <f>IF(B273="","",269)</f>
        <v>269</v>
      </c>
      <c r="B273" s="22" t="str">
        <f>IF(Calc_Engine!I270="","",Calc_Engine!I270)</f>
        <v>EMP1269</v>
      </c>
      <c r="C273" s="23" t="str">
        <f t="shared" si="64"/>
        <v>Kunal Pillai</v>
      </c>
      <c r="D273" s="23" t="str">
        <f t="shared" si="65"/>
        <v>Associate Software Engineer</v>
      </c>
      <c r="E273" s="23" t="str">
        <f t="shared" si="66"/>
        <v>Engineering</v>
      </c>
      <c r="F273" s="22" t="str">
        <f t="shared" si="67"/>
        <v>L1</v>
      </c>
      <c r="G273" s="23" t="str">
        <f t="shared" si="68"/>
        <v>Madhuri Menon</v>
      </c>
      <c r="H273" s="22" t="str">
        <f t="shared" si="69"/>
        <v>Active</v>
      </c>
      <c r="I273" s="24">
        <f t="shared" si="70"/>
        <v>2.2000000000000002</v>
      </c>
      <c r="J273" s="22">
        <f t="shared" si="71"/>
        <v>3</v>
      </c>
      <c r="K273" s="23" t="str">
        <f t="shared" si="72"/>
        <v>Core Player</v>
      </c>
      <c r="L273" s="22" t="str">
        <f t="shared" si="73"/>
        <v>Not Eligible</v>
      </c>
      <c r="M273" s="24">
        <f t="shared" si="74"/>
        <v>6.04</v>
      </c>
      <c r="N273" s="25">
        <f t="shared" si="75"/>
        <v>1.19</v>
      </c>
      <c r="O273" s="26">
        <f t="shared" si="76"/>
        <v>0.92800000000000005</v>
      </c>
      <c r="P273" s="25">
        <f t="shared" si="77"/>
        <v>3.48</v>
      </c>
      <c r="Q273" s="22" t="str">
        <f t="shared" si="78"/>
        <v>Low</v>
      </c>
      <c r="R273">
        <f t="shared" si="79"/>
        <v>269</v>
      </c>
    </row>
    <row r="274" spans="1:18" x14ac:dyDescent="0.3">
      <c r="A274" s="22">
        <f>IF(B274="","",270)</f>
        <v>270</v>
      </c>
      <c r="B274" s="22" t="str">
        <f>IF(Calc_Engine!I271="","",Calc_Engine!I271)</f>
        <v>EMP1270</v>
      </c>
      <c r="C274" s="23" t="str">
        <f t="shared" si="64"/>
        <v>Varsha Patel</v>
      </c>
      <c r="D274" s="23" t="str">
        <f t="shared" si="65"/>
        <v>Support Executive</v>
      </c>
      <c r="E274" s="23" t="str">
        <f t="shared" si="66"/>
        <v>Customer Support</v>
      </c>
      <c r="F274" s="22" t="str">
        <f t="shared" si="67"/>
        <v>L2</v>
      </c>
      <c r="G274" s="23" t="str">
        <f t="shared" si="68"/>
        <v>Ashish Varghese</v>
      </c>
      <c r="H274" s="22" t="str">
        <f t="shared" si="69"/>
        <v>Active</v>
      </c>
      <c r="I274" s="24">
        <f t="shared" si="70"/>
        <v>2.2000000000000002</v>
      </c>
      <c r="J274" s="22">
        <f t="shared" si="71"/>
        <v>3</v>
      </c>
      <c r="K274" s="23" t="str">
        <f t="shared" si="72"/>
        <v>Effective Contributor</v>
      </c>
      <c r="L274" s="22" t="str">
        <f t="shared" si="73"/>
        <v>Not Eligible</v>
      </c>
      <c r="M274" s="24">
        <f t="shared" si="74"/>
        <v>5.31</v>
      </c>
      <c r="N274" s="25">
        <f t="shared" si="75"/>
        <v>0.62</v>
      </c>
      <c r="O274" s="26">
        <f t="shared" si="76"/>
        <v>0.90800000000000003</v>
      </c>
      <c r="P274" s="25">
        <f t="shared" si="77"/>
        <v>4.08</v>
      </c>
      <c r="Q274" s="22" t="str">
        <f t="shared" si="78"/>
        <v>Low</v>
      </c>
      <c r="R274">
        <f t="shared" si="79"/>
        <v>270</v>
      </c>
    </row>
    <row r="275" spans="1:18" x14ac:dyDescent="0.3">
      <c r="A275" s="22">
        <f>IF(B275="","",271)</f>
        <v>271</v>
      </c>
      <c r="B275" s="22" t="str">
        <f>IF(Calc_Engine!I272="","",Calc_Engine!I272)</f>
        <v>EMP1271</v>
      </c>
      <c r="C275" s="23" t="str">
        <f t="shared" si="64"/>
        <v>Ananya Desai</v>
      </c>
      <c r="D275" s="23" t="str">
        <f t="shared" si="65"/>
        <v>Marketing Executive</v>
      </c>
      <c r="E275" s="23" t="str">
        <f t="shared" si="66"/>
        <v>Marketing</v>
      </c>
      <c r="F275" s="22" t="str">
        <f t="shared" si="67"/>
        <v>L2</v>
      </c>
      <c r="G275" s="23" t="str">
        <f t="shared" si="68"/>
        <v>Nandini Iyer</v>
      </c>
      <c r="H275" s="22" t="str">
        <f t="shared" si="69"/>
        <v>Active</v>
      </c>
      <c r="I275" s="24">
        <f t="shared" si="70"/>
        <v>2.2000000000000002</v>
      </c>
      <c r="J275" s="22">
        <f t="shared" si="71"/>
        <v>2</v>
      </c>
      <c r="K275" s="23" t="str">
        <f t="shared" si="72"/>
        <v>Inconsistent Player</v>
      </c>
      <c r="L275" s="22" t="str">
        <f t="shared" si="73"/>
        <v>Not Eligible</v>
      </c>
      <c r="M275" s="24">
        <f t="shared" si="74"/>
        <v>8.86</v>
      </c>
      <c r="N275" s="25">
        <f t="shared" si="75"/>
        <v>1.04</v>
      </c>
      <c r="O275" s="26">
        <f t="shared" si="76"/>
        <v>0.90400000000000003</v>
      </c>
      <c r="P275" s="25">
        <f t="shared" si="77"/>
        <v>2.5</v>
      </c>
      <c r="Q275" s="22" t="str">
        <f t="shared" si="78"/>
        <v>Low</v>
      </c>
      <c r="R275">
        <f t="shared" si="79"/>
        <v>271</v>
      </c>
    </row>
    <row r="276" spans="1:18" x14ac:dyDescent="0.3">
      <c r="A276" s="22">
        <f>IF(B276="","",272)</f>
        <v>272</v>
      </c>
      <c r="B276" s="22" t="str">
        <f>IF(Calc_Engine!I273="","",Calc_Engine!I273)</f>
        <v>EMP1272</v>
      </c>
      <c r="C276" s="23" t="str">
        <f t="shared" si="64"/>
        <v>Vinay Agarwal</v>
      </c>
      <c r="D276" s="23" t="str">
        <f t="shared" si="65"/>
        <v>Sales Executive</v>
      </c>
      <c r="E276" s="23" t="str">
        <f t="shared" si="66"/>
        <v>Sales</v>
      </c>
      <c r="F276" s="22" t="str">
        <f t="shared" si="67"/>
        <v>L2</v>
      </c>
      <c r="G276" s="23" t="str">
        <f t="shared" si="68"/>
        <v>Yash Raghavan</v>
      </c>
      <c r="H276" s="22" t="str">
        <f t="shared" si="69"/>
        <v>Active</v>
      </c>
      <c r="I276" s="24">
        <f t="shared" si="70"/>
        <v>2.2000000000000002</v>
      </c>
      <c r="J276" s="22">
        <f t="shared" si="71"/>
        <v>3</v>
      </c>
      <c r="K276" s="23" t="str">
        <f t="shared" si="72"/>
        <v>Effective Contributor</v>
      </c>
      <c r="L276" s="22" t="str">
        <f t="shared" si="73"/>
        <v>Not Eligible</v>
      </c>
      <c r="M276" s="24">
        <f t="shared" si="74"/>
        <v>9.81</v>
      </c>
      <c r="N276" s="25">
        <f t="shared" si="75"/>
        <v>1.1499999999999999</v>
      </c>
      <c r="O276" s="26">
        <f t="shared" si="76"/>
        <v>0.93200000000000005</v>
      </c>
      <c r="P276" s="25">
        <f t="shared" si="77"/>
        <v>3.88</v>
      </c>
      <c r="Q276" s="22" t="str">
        <f t="shared" si="78"/>
        <v>Low</v>
      </c>
      <c r="R276">
        <f t="shared" si="79"/>
        <v>272</v>
      </c>
    </row>
    <row r="277" spans="1:18" x14ac:dyDescent="0.3">
      <c r="A277" s="22">
        <f>IF(B277="","",273)</f>
        <v>273</v>
      </c>
      <c r="B277" s="22" t="str">
        <f>IF(Calc_Engine!I274="","",Calc_Engine!I274)</f>
        <v>EMP1273</v>
      </c>
      <c r="C277" s="23" t="str">
        <f t="shared" si="64"/>
        <v>Aishwarya Fernandes</v>
      </c>
      <c r="D277" s="23" t="str">
        <f t="shared" si="65"/>
        <v>Head of Data</v>
      </c>
      <c r="E277" s="23" t="str">
        <f t="shared" si="66"/>
        <v>Data &amp; Analytics</v>
      </c>
      <c r="F277" s="22" t="str">
        <f t="shared" si="67"/>
        <v>L7</v>
      </c>
      <c r="G277" s="23" t="str">
        <f t="shared" si="68"/>
        <v>Arvind Rao (CEO)</v>
      </c>
      <c r="H277" s="22" t="str">
        <f t="shared" si="69"/>
        <v>Active</v>
      </c>
      <c r="I277" s="24">
        <f t="shared" si="70"/>
        <v>2.1</v>
      </c>
      <c r="J277" s="22">
        <f t="shared" si="71"/>
        <v>4</v>
      </c>
      <c r="K277" s="23" t="str">
        <f t="shared" si="72"/>
        <v>Trusted Professional</v>
      </c>
      <c r="L277" s="22" t="str">
        <f t="shared" si="73"/>
        <v>Not Eligible</v>
      </c>
      <c r="M277" s="24">
        <f t="shared" si="74"/>
        <v>90.39</v>
      </c>
      <c r="N277" s="25">
        <f t="shared" si="75"/>
        <v>1.1000000000000001</v>
      </c>
      <c r="O277" s="26">
        <f t="shared" si="76"/>
        <v>0.89200000000000002</v>
      </c>
      <c r="P277" s="25">
        <f t="shared" si="77"/>
        <v>2.82</v>
      </c>
      <c r="Q277" s="22" t="str">
        <f t="shared" si="78"/>
        <v>High</v>
      </c>
      <c r="R277">
        <f t="shared" si="79"/>
        <v>273</v>
      </c>
    </row>
    <row r="278" spans="1:18" x14ac:dyDescent="0.3">
      <c r="A278" s="22">
        <f>IF(B278="","",274)</f>
        <v>274</v>
      </c>
      <c r="B278" s="22" t="str">
        <f>IF(Calc_Engine!I275="","",Calc_Engine!I275)</f>
        <v>EMP1274</v>
      </c>
      <c r="C278" s="23" t="str">
        <f t="shared" si="64"/>
        <v>Joseph Gowda</v>
      </c>
      <c r="D278" s="23" t="str">
        <f t="shared" si="65"/>
        <v>Operations Associate</v>
      </c>
      <c r="E278" s="23" t="str">
        <f t="shared" si="66"/>
        <v>Operations</v>
      </c>
      <c r="F278" s="22" t="str">
        <f t="shared" si="67"/>
        <v>L1</v>
      </c>
      <c r="G278" s="23" t="str">
        <f t="shared" si="68"/>
        <v>Nandini Fernandes</v>
      </c>
      <c r="H278" s="22" t="str">
        <f t="shared" si="69"/>
        <v>Active</v>
      </c>
      <c r="I278" s="24">
        <f t="shared" si="70"/>
        <v>2.1</v>
      </c>
      <c r="J278" s="22">
        <f t="shared" si="71"/>
        <v>4</v>
      </c>
      <c r="K278" s="23" t="str">
        <f t="shared" si="72"/>
        <v>Trusted Professional</v>
      </c>
      <c r="L278" s="22" t="str">
        <f t="shared" si="73"/>
        <v>Eligible</v>
      </c>
      <c r="M278" s="24">
        <f t="shared" si="74"/>
        <v>3.43</v>
      </c>
      <c r="N278" s="25">
        <f t="shared" si="75"/>
        <v>0.67</v>
      </c>
      <c r="O278" s="26">
        <f t="shared" si="76"/>
        <v>0.91600000000000004</v>
      </c>
      <c r="P278" s="25">
        <f t="shared" si="77"/>
        <v>3.18</v>
      </c>
      <c r="Q278" s="22" t="str">
        <f t="shared" si="78"/>
        <v>Medium</v>
      </c>
      <c r="R278">
        <f t="shared" si="79"/>
        <v>274</v>
      </c>
    </row>
    <row r="279" spans="1:18" x14ac:dyDescent="0.3">
      <c r="A279" s="22">
        <f>IF(B279="","",275)</f>
        <v>275</v>
      </c>
      <c r="B279" s="22" t="str">
        <f>IF(Calc_Engine!I276="","",Calc_Engine!I276)</f>
        <v>EMP1275</v>
      </c>
      <c r="C279" s="23" t="str">
        <f t="shared" si="64"/>
        <v>Akash Patel</v>
      </c>
      <c r="D279" s="23" t="str">
        <f t="shared" si="65"/>
        <v>Support Executive</v>
      </c>
      <c r="E279" s="23" t="str">
        <f t="shared" si="66"/>
        <v>Customer Support</v>
      </c>
      <c r="F279" s="22" t="str">
        <f t="shared" si="67"/>
        <v>L2</v>
      </c>
      <c r="G279" s="23" t="str">
        <f t="shared" si="68"/>
        <v>Vidya Chatterjee</v>
      </c>
      <c r="H279" s="22" t="str">
        <f t="shared" si="69"/>
        <v>Active</v>
      </c>
      <c r="I279" s="24">
        <f t="shared" si="70"/>
        <v>2.1</v>
      </c>
      <c r="J279" s="22">
        <f t="shared" si="71"/>
        <v>3</v>
      </c>
      <c r="K279" s="23" t="str">
        <f t="shared" si="72"/>
        <v>Future Star</v>
      </c>
      <c r="L279" s="22" t="str">
        <f t="shared" si="73"/>
        <v>Not Eligible</v>
      </c>
      <c r="M279" s="24">
        <f t="shared" si="74"/>
        <v>4.93</v>
      </c>
      <c r="N279" s="25">
        <f t="shared" si="75"/>
        <v>0.57999999999999996</v>
      </c>
      <c r="O279" s="26">
        <f t="shared" si="76"/>
        <v>0.92</v>
      </c>
      <c r="P279" s="25">
        <f t="shared" si="77"/>
        <v>2.58</v>
      </c>
      <c r="Q279" s="22" t="str">
        <f t="shared" si="78"/>
        <v>High</v>
      </c>
      <c r="R279">
        <f t="shared" si="79"/>
        <v>275</v>
      </c>
    </row>
    <row r="280" spans="1:18" x14ac:dyDescent="0.3">
      <c r="A280" s="22">
        <f>IF(B280="","",276)</f>
        <v>276</v>
      </c>
      <c r="B280" s="22" t="str">
        <f>IF(Calc_Engine!I277="","",Calc_Engine!I277)</f>
        <v>EMP1276</v>
      </c>
      <c r="C280" s="23" t="str">
        <f t="shared" si="64"/>
        <v>Pooja Kamath</v>
      </c>
      <c r="D280" s="23" t="str">
        <f t="shared" si="65"/>
        <v>Support Executive</v>
      </c>
      <c r="E280" s="23" t="str">
        <f t="shared" si="66"/>
        <v>Customer Support</v>
      </c>
      <c r="F280" s="22" t="str">
        <f t="shared" si="67"/>
        <v>L2</v>
      </c>
      <c r="G280" s="23" t="str">
        <f t="shared" si="68"/>
        <v>Anjali Iyer</v>
      </c>
      <c r="H280" s="22" t="str">
        <f t="shared" si="69"/>
        <v>Active</v>
      </c>
      <c r="I280" s="24">
        <f t="shared" si="70"/>
        <v>2.1</v>
      </c>
      <c r="J280" s="22">
        <f t="shared" si="71"/>
        <v>3</v>
      </c>
      <c r="K280" s="23" t="str">
        <f t="shared" si="72"/>
        <v>Future Star</v>
      </c>
      <c r="L280" s="22" t="str">
        <f t="shared" si="73"/>
        <v>Not Eligible</v>
      </c>
      <c r="M280" s="24">
        <f t="shared" si="74"/>
        <v>5.07</v>
      </c>
      <c r="N280" s="25">
        <f t="shared" si="75"/>
        <v>0.59</v>
      </c>
      <c r="O280" s="26">
        <f t="shared" si="76"/>
        <v>0.89600000000000002</v>
      </c>
      <c r="P280" s="25">
        <f t="shared" si="77"/>
        <v>3.17</v>
      </c>
      <c r="Q280" s="22" t="str">
        <f t="shared" si="78"/>
        <v>Low</v>
      </c>
      <c r="R280">
        <f t="shared" si="79"/>
        <v>276</v>
      </c>
    </row>
    <row r="281" spans="1:18" x14ac:dyDescent="0.3">
      <c r="A281" s="22">
        <f>IF(B281="","",277)</f>
        <v>277</v>
      </c>
      <c r="B281" s="22" t="str">
        <f>IF(Calc_Engine!I278="","",Calc_Engine!I278)</f>
        <v>EMP1277</v>
      </c>
      <c r="C281" s="23" t="str">
        <f t="shared" si="64"/>
        <v>Ankit Joshi</v>
      </c>
      <c r="D281" s="23" t="str">
        <f t="shared" si="65"/>
        <v>Support Associate</v>
      </c>
      <c r="E281" s="23" t="str">
        <f t="shared" si="66"/>
        <v>Customer Support</v>
      </c>
      <c r="F281" s="22" t="str">
        <f t="shared" si="67"/>
        <v>L1</v>
      </c>
      <c r="G281" s="23" t="str">
        <f t="shared" si="68"/>
        <v>Anjali Iyer</v>
      </c>
      <c r="H281" s="22" t="str">
        <f t="shared" si="69"/>
        <v>Active</v>
      </c>
      <c r="I281" s="24">
        <f t="shared" si="70"/>
        <v>2.1</v>
      </c>
      <c r="J281" s="22">
        <f t="shared" si="71"/>
        <v>4</v>
      </c>
      <c r="K281" s="23" t="str">
        <f t="shared" si="72"/>
        <v>High Performer</v>
      </c>
      <c r="L281" s="22" t="str">
        <f t="shared" si="73"/>
        <v>Eligible</v>
      </c>
      <c r="M281" s="24">
        <f t="shared" si="74"/>
        <v>2.87</v>
      </c>
      <c r="N281" s="25">
        <f t="shared" si="75"/>
        <v>0.56000000000000005</v>
      </c>
      <c r="O281" s="26">
        <f t="shared" si="76"/>
        <v>0.95599999999999996</v>
      </c>
      <c r="P281" s="25">
        <f t="shared" si="77"/>
        <v>3.2</v>
      </c>
      <c r="Q281" s="22" t="str">
        <f t="shared" si="78"/>
        <v>Medium</v>
      </c>
      <c r="R281">
        <f t="shared" si="79"/>
        <v>277</v>
      </c>
    </row>
    <row r="282" spans="1:18" x14ac:dyDescent="0.3">
      <c r="A282" s="22">
        <f>IF(B282="","",278)</f>
        <v>278</v>
      </c>
      <c r="B282" s="22" t="str">
        <f>IF(Calc_Engine!I279="","",Calc_Engine!I279)</f>
        <v>EMP1278</v>
      </c>
      <c r="C282" s="23" t="str">
        <f t="shared" si="64"/>
        <v>Vikas Raghavan</v>
      </c>
      <c r="D282" s="23" t="str">
        <f t="shared" si="65"/>
        <v>Operations Associate</v>
      </c>
      <c r="E282" s="23" t="str">
        <f t="shared" si="66"/>
        <v>Operations</v>
      </c>
      <c r="F282" s="22" t="str">
        <f t="shared" si="67"/>
        <v>L1</v>
      </c>
      <c r="G282" s="23" t="str">
        <f t="shared" si="68"/>
        <v>Ankit Khanna</v>
      </c>
      <c r="H282" s="22" t="str">
        <f t="shared" si="69"/>
        <v>Active</v>
      </c>
      <c r="I282" s="24">
        <f t="shared" si="70"/>
        <v>2.1</v>
      </c>
      <c r="J282" s="22">
        <f t="shared" si="71"/>
        <v>4</v>
      </c>
      <c r="K282" s="23" t="str">
        <f t="shared" si="72"/>
        <v>Star</v>
      </c>
      <c r="L282" s="22" t="str">
        <f t="shared" si="73"/>
        <v>Eligible</v>
      </c>
      <c r="M282" s="24">
        <f t="shared" si="74"/>
        <v>4.29</v>
      </c>
      <c r="N282" s="25">
        <f t="shared" si="75"/>
        <v>0.84</v>
      </c>
      <c r="O282" s="26">
        <f t="shared" si="76"/>
        <v>0.92</v>
      </c>
      <c r="P282" s="25">
        <f t="shared" si="77"/>
        <v>2.85</v>
      </c>
      <c r="Q282" s="22" t="str">
        <f t="shared" si="78"/>
        <v>High</v>
      </c>
      <c r="R282">
        <f t="shared" si="79"/>
        <v>278</v>
      </c>
    </row>
    <row r="283" spans="1:18" x14ac:dyDescent="0.3">
      <c r="A283" s="22">
        <f>IF(B283="","",279)</f>
        <v>279</v>
      </c>
      <c r="B283" s="22" t="str">
        <f>IF(Calc_Engine!I280="","",Calc_Engine!I280)</f>
        <v>EMP1279</v>
      </c>
      <c r="C283" s="23" t="str">
        <f t="shared" si="64"/>
        <v>Karan Verma</v>
      </c>
      <c r="D283" s="23" t="str">
        <f t="shared" si="65"/>
        <v>Analytics Manager</v>
      </c>
      <c r="E283" s="23" t="str">
        <f t="shared" si="66"/>
        <v>Data &amp; Analytics</v>
      </c>
      <c r="F283" s="22" t="str">
        <f t="shared" si="67"/>
        <v>L5</v>
      </c>
      <c r="G283" s="23" t="str">
        <f t="shared" si="68"/>
        <v>Trisha Jain</v>
      </c>
      <c r="H283" s="22" t="str">
        <f t="shared" si="69"/>
        <v>Active</v>
      </c>
      <c r="I283" s="24">
        <f t="shared" si="70"/>
        <v>2.1</v>
      </c>
      <c r="J283" s="22">
        <f t="shared" si="71"/>
        <v>3</v>
      </c>
      <c r="K283" s="23" t="str">
        <f t="shared" si="72"/>
        <v>Core Player</v>
      </c>
      <c r="L283" s="22" t="str">
        <f t="shared" si="73"/>
        <v>Not Eligible</v>
      </c>
      <c r="M283" s="24">
        <f t="shared" si="74"/>
        <v>31.62</v>
      </c>
      <c r="N283" s="25">
        <f t="shared" si="75"/>
        <v>0.86</v>
      </c>
      <c r="O283" s="26">
        <f t="shared" si="76"/>
        <v>0.95599999999999996</v>
      </c>
      <c r="P283" s="25">
        <f t="shared" si="77"/>
        <v>3.23</v>
      </c>
      <c r="Q283" s="22" t="str">
        <f t="shared" si="78"/>
        <v>Low</v>
      </c>
      <c r="R283">
        <f t="shared" si="79"/>
        <v>279</v>
      </c>
    </row>
    <row r="284" spans="1:18" x14ac:dyDescent="0.3">
      <c r="A284" s="22">
        <f>IF(B284="","",280)</f>
        <v>280</v>
      </c>
      <c r="B284" s="22" t="str">
        <f>IF(Calc_Engine!I281="","",Calc_Engine!I281)</f>
        <v>EMP1280</v>
      </c>
      <c r="C284" s="23" t="str">
        <f t="shared" si="64"/>
        <v>Tanvi Kamath</v>
      </c>
      <c r="D284" s="23" t="str">
        <f t="shared" si="65"/>
        <v>Senior Finance Executive</v>
      </c>
      <c r="E284" s="23" t="str">
        <f t="shared" si="66"/>
        <v>Finance</v>
      </c>
      <c r="F284" s="22" t="str">
        <f t="shared" si="67"/>
        <v>L3</v>
      </c>
      <c r="G284" s="23" t="str">
        <f t="shared" si="68"/>
        <v>Ravi Prabhu</v>
      </c>
      <c r="H284" s="22" t="str">
        <f t="shared" si="69"/>
        <v>Exited</v>
      </c>
      <c r="I284" s="24">
        <f t="shared" si="70"/>
        <v>1.9</v>
      </c>
      <c r="J284" s="22">
        <f t="shared" si="71"/>
        <v>4</v>
      </c>
      <c r="K284" s="23" t="str">
        <f t="shared" si="72"/>
        <v>Star</v>
      </c>
      <c r="L284" s="22" t="str">
        <f t="shared" si="73"/>
        <v>Not Eligible</v>
      </c>
      <c r="M284" s="24">
        <f t="shared" si="74"/>
        <v>17.850000000000001</v>
      </c>
      <c r="N284" s="25">
        <f t="shared" si="75"/>
        <v>1.24</v>
      </c>
      <c r="O284" s="26">
        <f t="shared" si="76"/>
        <v>0.85922330097087374</v>
      </c>
      <c r="P284" s="25">
        <f t="shared" si="77"/>
        <v>2.6</v>
      </c>
      <c r="Q284" s="22" t="str">
        <f t="shared" si="78"/>
        <v>Exited</v>
      </c>
      <c r="R284">
        <f t="shared" si="79"/>
        <v>280</v>
      </c>
    </row>
    <row r="285" spans="1:18" x14ac:dyDescent="0.3">
      <c r="A285" s="22">
        <f>IF(B285="","",281)</f>
        <v>281</v>
      </c>
      <c r="B285" s="22" t="str">
        <f>IF(Calc_Engine!I282="","",Calc_Engine!I282)</f>
        <v>EMP1281</v>
      </c>
      <c r="C285" s="23" t="str">
        <f t="shared" si="64"/>
        <v>Srinivas Nair</v>
      </c>
      <c r="D285" s="23" t="str">
        <f t="shared" si="65"/>
        <v>Support Executive</v>
      </c>
      <c r="E285" s="23" t="str">
        <f t="shared" si="66"/>
        <v>Customer Support</v>
      </c>
      <c r="F285" s="22" t="str">
        <f t="shared" si="67"/>
        <v>L2</v>
      </c>
      <c r="G285" s="23" t="str">
        <f t="shared" si="68"/>
        <v>Vidya Chatterjee</v>
      </c>
      <c r="H285" s="22" t="str">
        <f t="shared" si="69"/>
        <v>Active</v>
      </c>
      <c r="I285" s="24">
        <f t="shared" si="70"/>
        <v>2.1</v>
      </c>
      <c r="J285" s="22">
        <f t="shared" si="71"/>
        <v>1</v>
      </c>
      <c r="K285" s="23" t="str">
        <f t="shared" si="72"/>
        <v>Underperformer</v>
      </c>
      <c r="L285" s="22" t="str">
        <f t="shared" si="73"/>
        <v>Not Eligible</v>
      </c>
      <c r="M285" s="24">
        <f t="shared" si="74"/>
        <v>6.73</v>
      </c>
      <c r="N285" s="25">
        <f t="shared" si="75"/>
        <v>0.79</v>
      </c>
      <c r="O285" s="26">
        <f t="shared" si="76"/>
        <v>0.90400000000000003</v>
      </c>
      <c r="P285" s="25">
        <f t="shared" si="77"/>
        <v>2.2799999999999998</v>
      </c>
      <c r="Q285" s="22" t="str">
        <f t="shared" si="78"/>
        <v>Medium</v>
      </c>
      <c r="R285">
        <f t="shared" si="79"/>
        <v>281</v>
      </c>
    </row>
    <row r="286" spans="1:18" x14ac:dyDescent="0.3">
      <c r="A286" s="22">
        <f>IF(B286="","",282)</f>
        <v>282</v>
      </c>
      <c r="B286" s="22" t="str">
        <f>IF(Calc_Engine!I283="","",Calc_Engine!I283)</f>
        <v>EMP1282</v>
      </c>
      <c r="C286" s="23" t="str">
        <f t="shared" si="64"/>
        <v>Priya Mishra</v>
      </c>
      <c r="D286" s="23" t="str">
        <f t="shared" si="65"/>
        <v>Support Executive</v>
      </c>
      <c r="E286" s="23" t="str">
        <f t="shared" si="66"/>
        <v>Customer Support</v>
      </c>
      <c r="F286" s="22" t="str">
        <f t="shared" si="67"/>
        <v>L2</v>
      </c>
      <c r="G286" s="23" t="str">
        <f t="shared" si="68"/>
        <v>Anand Naidu</v>
      </c>
      <c r="H286" s="22" t="str">
        <f t="shared" si="69"/>
        <v>Active</v>
      </c>
      <c r="I286" s="24">
        <f t="shared" si="70"/>
        <v>2</v>
      </c>
      <c r="J286" s="22">
        <f t="shared" si="71"/>
        <v>2</v>
      </c>
      <c r="K286" s="23" t="str">
        <f t="shared" si="72"/>
        <v>Underperformer</v>
      </c>
      <c r="L286" s="22" t="str">
        <f t="shared" si="73"/>
        <v>Not Eligible</v>
      </c>
      <c r="M286" s="24">
        <f t="shared" si="74"/>
        <v>5.18</v>
      </c>
      <c r="N286" s="25">
        <f t="shared" si="75"/>
        <v>0.61</v>
      </c>
      <c r="O286" s="26">
        <f t="shared" si="76"/>
        <v>0.93200000000000005</v>
      </c>
      <c r="P286" s="25">
        <f t="shared" si="77"/>
        <v>2.62</v>
      </c>
      <c r="Q286" s="22" t="str">
        <f t="shared" si="78"/>
        <v>Medium</v>
      </c>
      <c r="R286">
        <f t="shared" si="79"/>
        <v>282</v>
      </c>
    </row>
    <row r="287" spans="1:18" x14ac:dyDescent="0.3">
      <c r="A287" s="22">
        <f>IF(B287="","",283)</f>
        <v>283</v>
      </c>
      <c r="B287" s="22" t="str">
        <f>IF(Calc_Engine!I284="","",Calc_Engine!I284)</f>
        <v>EMP1283</v>
      </c>
      <c r="C287" s="23" t="str">
        <f t="shared" si="64"/>
        <v>Isha Khanna</v>
      </c>
      <c r="D287" s="23" t="str">
        <f t="shared" si="65"/>
        <v>Product Analyst</v>
      </c>
      <c r="E287" s="23" t="str">
        <f t="shared" si="66"/>
        <v>Product</v>
      </c>
      <c r="F287" s="22" t="str">
        <f t="shared" si="67"/>
        <v>L2</v>
      </c>
      <c r="G287" s="23" t="str">
        <f t="shared" si="68"/>
        <v>Sachin Shetty</v>
      </c>
      <c r="H287" s="22" t="str">
        <f t="shared" si="69"/>
        <v>Exited</v>
      </c>
      <c r="I287" s="24">
        <f t="shared" si="70"/>
        <v>1.1000000000000001</v>
      </c>
      <c r="J287" s="22">
        <f t="shared" si="71"/>
        <v>3</v>
      </c>
      <c r="K287" s="23" t="str">
        <f t="shared" si="72"/>
        <v>Core Player</v>
      </c>
      <c r="L287" s="22" t="str">
        <f t="shared" si="73"/>
        <v>Not Eligible</v>
      </c>
      <c r="M287" s="24">
        <f t="shared" si="74"/>
        <v>8.9700000000000006</v>
      </c>
      <c r="N287" s="25">
        <f t="shared" si="75"/>
        <v>1.05</v>
      </c>
      <c r="O287" s="26">
        <f t="shared" si="76"/>
        <v>0.55000000000000004</v>
      </c>
      <c r="P287" s="25">
        <f t="shared" si="77"/>
        <v>3.7</v>
      </c>
      <c r="Q287" s="22" t="str">
        <f t="shared" si="78"/>
        <v>Exited</v>
      </c>
      <c r="R287">
        <f t="shared" si="79"/>
        <v>283</v>
      </c>
    </row>
    <row r="288" spans="1:18" x14ac:dyDescent="0.3">
      <c r="A288" s="22">
        <f>IF(B288="","",284)</f>
        <v>284</v>
      </c>
      <c r="B288" s="22" t="str">
        <f>IF(Calc_Engine!I285="","",Calc_Engine!I285)</f>
        <v>EMP1284</v>
      </c>
      <c r="C288" s="23" t="str">
        <f t="shared" si="64"/>
        <v>Kunal Fernandes</v>
      </c>
      <c r="D288" s="23" t="str">
        <f t="shared" si="65"/>
        <v>Support Team Lead</v>
      </c>
      <c r="E288" s="23" t="str">
        <f t="shared" si="66"/>
        <v>Customer Support</v>
      </c>
      <c r="F288" s="22" t="str">
        <f t="shared" si="67"/>
        <v>L4</v>
      </c>
      <c r="G288" s="23" t="str">
        <f t="shared" si="68"/>
        <v>Imran Joshi</v>
      </c>
      <c r="H288" s="22" t="str">
        <f t="shared" si="69"/>
        <v>Exited</v>
      </c>
      <c r="I288" s="24">
        <f t="shared" si="70"/>
        <v>1.1000000000000001</v>
      </c>
      <c r="J288" s="22">
        <f t="shared" si="71"/>
        <v>3</v>
      </c>
      <c r="K288" s="23" t="str">
        <f t="shared" si="72"/>
        <v>Effective Contributor</v>
      </c>
      <c r="L288" s="22" t="str">
        <f t="shared" si="73"/>
        <v>Not Eligible</v>
      </c>
      <c r="M288" s="24">
        <f t="shared" si="74"/>
        <v>20.76</v>
      </c>
      <c r="N288" s="25">
        <f t="shared" si="75"/>
        <v>0.89</v>
      </c>
      <c r="O288" s="26">
        <f t="shared" si="76"/>
        <v>0.71875</v>
      </c>
      <c r="P288" s="25">
        <f t="shared" si="77"/>
        <v>2.77</v>
      </c>
      <c r="Q288" s="22" t="str">
        <f t="shared" si="78"/>
        <v>Exited</v>
      </c>
      <c r="R288">
        <f t="shared" si="79"/>
        <v>284</v>
      </c>
    </row>
    <row r="289" spans="1:18" x14ac:dyDescent="0.3">
      <c r="A289" s="22">
        <f>IF(B289="","",285)</f>
        <v>285</v>
      </c>
      <c r="B289" s="22" t="str">
        <f>IF(Calc_Engine!I286="","",Calc_Engine!I286)</f>
        <v>EMP1285</v>
      </c>
      <c r="C289" s="23" t="str">
        <f t="shared" si="64"/>
        <v>Tarun Siddiqui</v>
      </c>
      <c r="D289" s="23" t="str">
        <f t="shared" si="65"/>
        <v>Finance Associate</v>
      </c>
      <c r="E289" s="23" t="str">
        <f t="shared" si="66"/>
        <v>Finance</v>
      </c>
      <c r="F289" s="22" t="str">
        <f t="shared" si="67"/>
        <v>L1</v>
      </c>
      <c r="G289" s="23" t="str">
        <f t="shared" si="68"/>
        <v>Ravi Prabhu</v>
      </c>
      <c r="H289" s="22" t="str">
        <f t="shared" si="69"/>
        <v>Active</v>
      </c>
      <c r="I289" s="24">
        <f t="shared" si="70"/>
        <v>2</v>
      </c>
      <c r="J289" s="22">
        <f t="shared" si="71"/>
        <v>4</v>
      </c>
      <c r="K289" s="23" t="str">
        <f t="shared" si="72"/>
        <v>High Performer</v>
      </c>
      <c r="L289" s="22" t="str">
        <f t="shared" si="73"/>
        <v>Eligible</v>
      </c>
      <c r="M289" s="24">
        <f t="shared" si="74"/>
        <v>5.04</v>
      </c>
      <c r="N289" s="25">
        <f t="shared" si="75"/>
        <v>0.99</v>
      </c>
      <c r="O289" s="26">
        <f t="shared" si="76"/>
        <v>0.89600000000000002</v>
      </c>
      <c r="P289" s="25">
        <f t="shared" si="77"/>
        <v>2.77</v>
      </c>
      <c r="Q289" s="22" t="str">
        <f t="shared" si="78"/>
        <v>Medium</v>
      </c>
      <c r="R289">
        <f t="shared" si="79"/>
        <v>285</v>
      </c>
    </row>
    <row r="290" spans="1:18" x14ac:dyDescent="0.3">
      <c r="A290" s="22">
        <f>IF(B290="","",286)</f>
        <v>286</v>
      </c>
      <c r="B290" s="22" t="str">
        <f>IF(Calc_Engine!I287="","",Calc_Engine!I287)</f>
        <v>EMP1286</v>
      </c>
      <c r="C290" s="23" t="str">
        <f t="shared" si="64"/>
        <v>Farhan Thomas</v>
      </c>
      <c r="D290" s="23" t="str">
        <f t="shared" si="65"/>
        <v>Associate Software Engineer</v>
      </c>
      <c r="E290" s="23" t="str">
        <f t="shared" si="66"/>
        <v>Engineering</v>
      </c>
      <c r="F290" s="22" t="str">
        <f t="shared" si="67"/>
        <v>L1</v>
      </c>
      <c r="G290" s="23" t="str">
        <f t="shared" si="68"/>
        <v>Tejaswini Hegde</v>
      </c>
      <c r="H290" s="22" t="str">
        <f t="shared" si="69"/>
        <v>Active</v>
      </c>
      <c r="I290" s="24">
        <f t="shared" si="70"/>
        <v>2</v>
      </c>
      <c r="J290" s="22">
        <f t="shared" si="71"/>
        <v>3</v>
      </c>
      <c r="K290" s="23" t="str">
        <f t="shared" si="72"/>
        <v>Core Player</v>
      </c>
      <c r="L290" s="22" t="str">
        <f t="shared" si="73"/>
        <v>Not Eligible</v>
      </c>
      <c r="M290" s="24">
        <f t="shared" si="74"/>
        <v>6.15</v>
      </c>
      <c r="N290" s="25">
        <f t="shared" si="75"/>
        <v>1.21</v>
      </c>
      <c r="O290" s="26">
        <f t="shared" si="76"/>
        <v>0.94799999999999995</v>
      </c>
      <c r="P290" s="25">
        <f t="shared" si="77"/>
        <v>3.08</v>
      </c>
      <c r="Q290" s="22" t="str">
        <f t="shared" si="78"/>
        <v>Low</v>
      </c>
      <c r="R290">
        <f t="shared" si="79"/>
        <v>286</v>
      </c>
    </row>
    <row r="291" spans="1:18" x14ac:dyDescent="0.3">
      <c r="A291" s="22">
        <f>IF(B291="","",287)</f>
        <v>287</v>
      </c>
      <c r="B291" s="22" t="str">
        <f>IF(Calc_Engine!I288="","",Calc_Engine!I288)</f>
        <v>EMP1287</v>
      </c>
      <c r="C291" s="23" t="str">
        <f t="shared" si="64"/>
        <v>Sai Iyer</v>
      </c>
      <c r="D291" s="23" t="str">
        <f t="shared" si="65"/>
        <v>Sales Executive</v>
      </c>
      <c r="E291" s="23" t="str">
        <f t="shared" si="66"/>
        <v>Sales</v>
      </c>
      <c r="F291" s="22" t="str">
        <f t="shared" si="67"/>
        <v>L2</v>
      </c>
      <c r="G291" s="23" t="str">
        <f t="shared" si="68"/>
        <v>Madhuri Malhotra</v>
      </c>
      <c r="H291" s="22" t="str">
        <f t="shared" si="69"/>
        <v>Active</v>
      </c>
      <c r="I291" s="24">
        <f t="shared" si="70"/>
        <v>2</v>
      </c>
      <c r="J291" s="22">
        <f t="shared" si="71"/>
        <v>2</v>
      </c>
      <c r="K291" s="23" t="str">
        <f t="shared" si="72"/>
        <v>Inconsistent Player</v>
      </c>
      <c r="L291" s="22" t="str">
        <f t="shared" si="73"/>
        <v>Not Eligible</v>
      </c>
      <c r="M291" s="24">
        <f t="shared" si="74"/>
        <v>8.3699999999999992</v>
      </c>
      <c r="N291" s="25">
        <f t="shared" si="75"/>
        <v>0.98</v>
      </c>
      <c r="O291" s="26">
        <f t="shared" si="76"/>
        <v>0.92800000000000005</v>
      </c>
      <c r="P291" s="25">
        <f t="shared" si="77"/>
        <v>1.75</v>
      </c>
      <c r="Q291" s="22" t="str">
        <f t="shared" si="78"/>
        <v>Medium</v>
      </c>
      <c r="R291">
        <f t="shared" si="79"/>
        <v>287</v>
      </c>
    </row>
    <row r="292" spans="1:18" x14ac:dyDescent="0.3">
      <c r="A292" s="22">
        <f>IF(B292="","",288)</f>
        <v>288</v>
      </c>
      <c r="B292" s="22" t="str">
        <f>IF(Calc_Engine!I289="","",Calc_Engine!I289)</f>
        <v>EMP1288</v>
      </c>
      <c r="C292" s="23" t="str">
        <f t="shared" si="64"/>
        <v>Joseph Pandey</v>
      </c>
      <c r="D292" s="23" t="str">
        <f t="shared" si="65"/>
        <v>Operations Associate</v>
      </c>
      <c r="E292" s="23" t="str">
        <f t="shared" si="66"/>
        <v>Operations</v>
      </c>
      <c r="F292" s="22" t="str">
        <f t="shared" si="67"/>
        <v>L1</v>
      </c>
      <c r="G292" s="23" t="str">
        <f t="shared" si="68"/>
        <v>Nandini Fernandes</v>
      </c>
      <c r="H292" s="22" t="str">
        <f t="shared" si="69"/>
        <v>Active</v>
      </c>
      <c r="I292" s="24">
        <f t="shared" si="70"/>
        <v>2</v>
      </c>
      <c r="J292" s="22">
        <f t="shared" si="71"/>
        <v>4</v>
      </c>
      <c r="K292" s="23" t="str">
        <f t="shared" si="72"/>
        <v>High Performer</v>
      </c>
      <c r="L292" s="22" t="str">
        <f t="shared" si="73"/>
        <v>Eligible</v>
      </c>
      <c r="M292" s="24">
        <f t="shared" si="74"/>
        <v>3.9</v>
      </c>
      <c r="N292" s="25">
        <f t="shared" si="75"/>
        <v>0.77</v>
      </c>
      <c r="O292" s="26">
        <f t="shared" si="76"/>
        <v>0.90400000000000003</v>
      </c>
      <c r="P292" s="25">
        <f t="shared" si="77"/>
        <v>2.83</v>
      </c>
      <c r="Q292" s="22" t="str">
        <f t="shared" si="78"/>
        <v>High</v>
      </c>
      <c r="R292">
        <f t="shared" si="79"/>
        <v>288</v>
      </c>
    </row>
    <row r="293" spans="1:18" x14ac:dyDescent="0.3">
      <c r="A293" s="22">
        <f>IF(B293="","",289)</f>
        <v>289</v>
      </c>
      <c r="B293" s="22" t="str">
        <f>IF(Calc_Engine!I290="","",Calc_Engine!I290)</f>
        <v>EMP1289</v>
      </c>
      <c r="C293" s="23" t="str">
        <f t="shared" si="64"/>
        <v>Tanvi Verma</v>
      </c>
      <c r="D293" s="23" t="str">
        <f t="shared" si="65"/>
        <v>Support Executive</v>
      </c>
      <c r="E293" s="23" t="str">
        <f t="shared" si="66"/>
        <v>Customer Support</v>
      </c>
      <c r="F293" s="22" t="str">
        <f t="shared" si="67"/>
        <v>L2</v>
      </c>
      <c r="G293" s="23" t="str">
        <f t="shared" si="68"/>
        <v>Anjali Iyer</v>
      </c>
      <c r="H293" s="22" t="str">
        <f t="shared" si="69"/>
        <v>Active</v>
      </c>
      <c r="I293" s="24">
        <f t="shared" si="70"/>
        <v>1.9</v>
      </c>
      <c r="J293" s="22">
        <f t="shared" si="71"/>
        <v>4</v>
      </c>
      <c r="K293" s="23" t="str">
        <f t="shared" si="72"/>
        <v>Trusted Professional</v>
      </c>
      <c r="L293" s="22" t="str">
        <f t="shared" si="73"/>
        <v>Eligible</v>
      </c>
      <c r="M293" s="24">
        <f t="shared" si="74"/>
        <v>5.97</v>
      </c>
      <c r="N293" s="25">
        <f t="shared" si="75"/>
        <v>0.7</v>
      </c>
      <c r="O293" s="26">
        <f t="shared" si="76"/>
        <v>0.89200000000000002</v>
      </c>
      <c r="P293" s="25">
        <f t="shared" si="77"/>
        <v>3.2</v>
      </c>
      <c r="Q293" s="22" t="str">
        <f t="shared" si="78"/>
        <v>High</v>
      </c>
      <c r="R293">
        <f t="shared" si="79"/>
        <v>289</v>
      </c>
    </row>
    <row r="294" spans="1:18" x14ac:dyDescent="0.3">
      <c r="A294" s="22">
        <f>IF(B294="","",290)</f>
        <v>290</v>
      </c>
      <c r="B294" s="22" t="str">
        <f>IF(Calc_Engine!I291="","",Calc_Engine!I291)</f>
        <v>EMP1290</v>
      </c>
      <c r="C294" s="23" t="str">
        <f t="shared" si="64"/>
        <v>Revathi Das</v>
      </c>
      <c r="D294" s="23" t="str">
        <f t="shared" si="65"/>
        <v>Associate Product Analyst</v>
      </c>
      <c r="E294" s="23" t="str">
        <f t="shared" si="66"/>
        <v>Product</v>
      </c>
      <c r="F294" s="22" t="str">
        <f t="shared" si="67"/>
        <v>L1</v>
      </c>
      <c r="G294" s="23" t="str">
        <f t="shared" si="68"/>
        <v>Sachin Shetty</v>
      </c>
      <c r="H294" s="22" t="str">
        <f t="shared" si="69"/>
        <v>Active</v>
      </c>
      <c r="I294" s="24">
        <f t="shared" si="70"/>
        <v>1.9</v>
      </c>
      <c r="J294" s="22">
        <f t="shared" si="71"/>
        <v>3</v>
      </c>
      <c r="K294" s="23" t="str">
        <f t="shared" si="72"/>
        <v>Core Player</v>
      </c>
      <c r="L294" s="22" t="str">
        <f t="shared" si="73"/>
        <v>Not Eligible</v>
      </c>
      <c r="M294" s="24">
        <f t="shared" si="74"/>
        <v>6.01</v>
      </c>
      <c r="N294" s="25">
        <f t="shared" si="75"/>
        <v>1.18</v>
      </c>
      <c r="O294" s="26">
        <f t="shared" si="76"/>
        <v>0.92400000000000004</v>
      </c>
      <c r="P294" s="25">
        <f t="shared" si="77"/>
        <v>3.3</v>
      </c>
      <c r="Q294" s="22" t="str">
        <f t="shared" si="78"/>
        <v>Low</v>
      </c>
      <c r="R294">
        <f t="shared" si="79"/>
        <v>290</v>
      </c>
    </row>
    <row r="295" spans="1:18" x14ac:dyDescent="0.3">
      <c r="A295" s="22">
        <f>IF(B295="","",291)</f>
        <v>291</v>
      </c>
      <c r="B295" s="22" t="str">
        <f>IF(Calc_Engine!I292="","",Calc_Engine!I292)</f>
        <v>EMP1291</v>
      </c>
      <c r="C295" s="23" t="str">
        <f t="shared" si="64"/>
        <v>Swathi Fernandes</v>
      </c>
      <c r="D295" s="23" t="str">
        <f t="shared" si="65"/>
        <v>Sales Associate</v>
      </c>
      <c r="E295" s="23" t="str">
        <f t="shared" si="66"/>
        <v>Sales</v>
      </c>
      <c r="F295" s="22" t="str">
        <f t="shared" si="67"/>
        <v>L1</v>
      </c>
      <c r="G295" s="23" t="str">
        <f t="shared" si="68"/>
        <v>Kavya Krishnan</v>
      </c>
      <c r="H295" s="22" t="str">
        <f t="shared" si="69"/>
        <v>Active</v>
      </c>
      <c r="I295" s="24">
        <f t="shared" si="70"/>
        <v>1.9</v>
      </c>
      <c r="J295" s="22">
        <f t="shared" si="71"/>
        <v>3</v>
      </c>
      <c r="K295" s="23" t="str">
        <f t="shared" si="72"/>
        <v>Core Player</v>
      </c>
      <c r="L295" s="22" t="str">
        <f t="shared" si="73"/>
        <v>Not Eligible</v>
      </c>
      <c r="M295" s="24">
        <f t="shared" si="74"/>
        <v>5.61</v>
      </c>
      <c r="N295" s="25">
        <f t="shared" si="75"/>
        <v>1.1000000000000001</v>
      </c>
      <c r="O295" s="26">
        <f t="shared" si="76"/>
        <v>0.88800000000000001</v>
      </c>
      <c r="P295" s="25">
        <f t="shared" si="77"/>
        <v>3.87</v>
      </c>
      <c r="Q295" s="22" t="str">
        <f t="shared" si="78"/>
        <v>Low</v>
      </c>
      <c r="R295">
        <f t="shared" si="79"/>
        <v>291</v>
      </c>
    </row>
    <row r="296" spans="1:18" x14ac:dyDescent="0.3">
      <c r="A296" s="22">
        <f>IF(B296="","",292)</f>
        <v>292</v>
      </c>
      <c r="B296" s="22" t="str">
        <f>IF(Calc_Engine!I293="","",Calc_Engine!I293)</f>
        <v>EMP1292</v>
      </c>
      <c r="C296" s="23" t="str">
        <f t="shared" si="64"/>
        <v>Arjun Shetty</v>
      </c>
      <c r="D296" s="23" t="str">
        <f t="shared" si="65"/>
        <v>Associate Software Engineer</v>
      </c>
      <c r="E296" s="23" t="str">
        <f t="shared" si="66"/>
        <v>Engineering</v>
      </c>
      <c r="F296" s="22" t="str">
        <f t="shared" si="67"/>
        <v>L1</v>
      </c>
      <c r="G296" s="23" t="str">
        <f t="shared" si="68"/>
        <v>Harsh Siddiqui</v>
      </c>
      <c r="H296" s="22" t="str">
        <f t="shared" si="69"/>
        <v>Active</v>
      </c>
      <c r="I296" s="24">
        <f t="shared" si="70"/>
        <v>1.9</v>
      </c>
      <c r="J296" s="22">
        <f t="shared" si="71"/>
        <v>3</v>
      </c>
      <c r="K296" s="23" t="str">
        <f t="shared" si="72"/>
        <v>Core Player</v>
      </c>
      <c r="L296" s="22" t="str">
        <f t="shared" si="73"/>
        <v>Not Eligible</v>
      </c>
      <c r="M296" s="24">
        <f t="shared" si="74"/>
        <v>4.3</v>
      </c>
      <c r="N296" s="25">
        <f t="shared" si="75"/>
        <v>0.85</v>
      </c>
      <c r="O296" s="26">
        <f t="shared" si="76"/>
        <v>0.91200000000000003</v>
      </c>
      <c r="P296" s="25">
        <f t="shared" si="77"/>
        <v>3.15</v>
      </c>
      <c r="Q296" s="22" t="str">
        <f t="shared" si="78"/>
        <v>Low</v>
      </c>
      <c r="R296">
        <f t="shared" si="79"/>
        <v>292</v>
      </c>
    </row>
    <row r="297" spans="1:18" x14ac:dyDescent="0.3">
      <c r="A297" s="22">
        <f>IF(B297="","",293)</f>
        <v>293</v>
      </c>
      <c r="B297" s="22" t="str">
        <f>IF(Calc_Engine!I294="","",Calc_Engine!I294)</f>
        <v>EMP1293</v>
      </c>
      <c r="C297" s="23" t="str">
        <f t="shared" si="64"/>
        <v>Ajay Jain</v>
      </c>
      <c r="D297" s="23" t="str">
        <f t="shared" si="65"/>
        <v>Support Executive</v>
      </c>
      <c r="E297" s="23" t="str">
        <f t="shared" si="66"/>
        <v>Customer Support</v>
      </c>
      <c r="F297" s="22" t="str">
        <f t="shared" si="67"/>
        <v>L2</v>
      </c>
      <c r="G297" s="23" t="str">
        <f t="shared" si="68"/>
        <v>Anand Naidu</v>
      </c>
      <c r="H297" s="22" t="str">
        <f t="shared" si="69"/>
        <v>Exited</v>
      </c>
      <c r="I297" s="24">
        <f t="shared" si="70"/>
        <v>1.1000000000000001</v>
      </c>
      <c r="J297" s="22">
        <f t="shared" si="71"/>
        <v>1</v>
      </c>
      <c r="K297" s="23" t="str">
        <f t="shared" si="72"/>
        <v>Underperformer</v>
      </c>
      <c r="L297" s="22" t="str">
        <f t="shared" si="73"/>
        <v>Not Eligible</v>
      </c>
      <c r="M297" s="24">
        <f t="shared" si="74"/>
        <v>5.59</v>
      </c>
      <c r="N297" s="25">
        <f t="shared" si="75"/>
        <v>0.65</v>
      </c>
      <c r="O297" s="26">
        <f t="shared" si="76"/>
        <v>0.62903225806451613</v>
      </c>
      <c r="P297" s="25">
        <f t="shared" si="77"/>
        <v>1.98</v>
      </c>
      <c r="Q297" s="22" t="str">
        <f t="shared" si="78"/>
        <v>Exited</v>
      </c>
      <c r="R297">
        <f t="shared" si="79"/>
        <v>293</v>
      </c>
    </row>
    <row r="298" spans="1:18" x14ac:dyDescent="0.3">
      <c r="A298" s="22">
        <f>IF(B298="","",294)</f>
        <v>294</v>
      </c>
      <c r="B298" s="22" t="str">
        <f>IF(Calc_Engine!I295="","",Calc_Engine!I295)</f>
        <v>EMP1294</v>
      </c>
      <c r="C298" s="23" t="str">
        <f t="shared" si="64"/>
        <v>Rakesh Desai</v>
      </c>
      <c r="D298" s="23" t="str">
        <f t="shared" si="65"/>
        <v>Senior Legal Counsel</v>
      </c>
      <c r="E298" s="23" t="str">
        <f t="shared" si="66"/>
        <v>Legal &amp; Compliance</v>
      </c>
      <c r="F298" s="22" t="str">
        <f t="shared" si="67"/>
        <v>L4</v>
      </c>
      <c r="G298" s="23" t="str">
        <f t="shared" si="68"/>
        <v>Swathi Mukherjee</v>
      </c>
      <c r="H298" s="22" t="str">
        <f t="shared" si="69"/>
        <v>Active</v>
      </c>
      <c r="I298" s="24">
        <f t="shared" si="70"/>
        <v>1.9</v>
      </c>
      <c r="J298" s="22">
        <f t="shared" si="71"/>
        <v>3</v>
      </c>
      <c r="K298" s="23" t="str">
        <f t="shared" si="72"/>
        <v>Future Star</v>
      </c>
      <c r="L298" s="22" t="str">
        <f t="shared" si="73"/>
        <v>Not Eligible</v>
      </c>
      <c r="M298" s="24">
        <f t="shared" si="74"/>
        <v>28.67</v>
      </c>
      <c r="N298" s="25">
        <f t="shared" si="75"/>
        <v>1.22</v>
      </c>
      <c r="O298" s="26">
        <f t="shared" si="76"/>
        <v>0.94</v>
      </c>
      <c r="P298" s="25">
        <f t="shared" si="77"/>
        <v>3.12</v>
      </c>
      <c r="Q298" s="22" t="str">
        <f t="shared" si="78"/>
        <v>Low</v>
      </c>
      <c r="R298">
        <f t="shared" si="79"/>
        <v>294</v>
      </c>
    </row>
    <row r="299" spans="1:18" x14ac:dyDescent="0.3">
      <c r="A299" s="22">
        <f>IF(B299="","",295)</f>
        <v>295</v>
      </c>
      <c r="B299" s="22" t="str">
        <f>IF(Calc_Engine!I296="","",Calc_Engine!I296)</f>
        <v>EMP1295</v>
      </c>
      <c r="C299" s="23" t="str">
        <f t="shared" si="64"/>
        <v>Sindhu Gowda</v>
      </c>
      <c r="D299" s="23" t="str">
        <f t="shared" si="65"/>
        <v>Support Executive</v>
      </c>
      <c r="E299" s="23" t="str">
        <f t="shared" si="66"/>
        <v>Customer Support</v>
      </c>
      <c r="F299" s="22" t="str">
        <f t="shared" si="67"/>
        <v>L2</v>
      </c>
      <c r="G299" s="23" t="str">
        <f t="shared" si="68"/>
        <v>Ashish Varghese</v>
      </c>
      <c r="H299" s="22" t="str">
        <f t="shared" si="69"/>
        <v>Exited</v>
      </c>
      <c r="I299" s="24">
        <f t="shared" si="70"/>
        <v>1</v>
      </c>
      <c r="J299" s="22">
        <f t="shared" si="71"/>
        <v>3</v>
      </c>
      <c r="K299" s="23" t="str">
        <f t="shared" si="72"/>
        <v>Core Player</v>
      </c>
      <c r="L299" s="22" t="str">
        <f t="shared" si="73"/>
        <v>Not Eligible</v>
      </c>
      <c r="M299" s="24">
        <f t="shared" si="74"/>
        <v>5.0599999999999996</v>
      </c>
      <c r="N299" s="25">
        <f t="shared" si="75"/>
        <v>0.59</v>
      </c>
      <c r="O299" s="26">
        <f t="shared" si="76"/>
        <v>0.92105263157894735</v>
      </c>
      <c r="P299" s="25">
        <f t="shared" si="77"/>
        <v>2.48</v>
      </c>
      <c r="Q299" s="22" t="str">
        <f t="shared" si="78"/>
        <v>Exited</v>
      </c>
      <c r="R299">
        <f t="shared" si="79"/>
        <v>295</v>
      </c>
    </row>
    <row r="300" spans="1:18" x14ac:dyDescent="0.3">
      <c r="A300" s="22">
        <f>IF(B300="","",296)</f>
        <v>296</v>
      </c>
      <c r="B300" s="22" t="str">
        <f>IF(Calc_Engine!I297="","",Calc_Engine!I297)</f>
        <v>EMP1296</v>
      </c>
      <c r="C300" s="23" t="str">
        <f t="shared" si="64"/>
        <v>Farhan Shetty</v>
      </c>
      <c r="D300" s="23" t="str">
        <f t="shared" si="65"/>
        <v>Software Engineer</v>
      </c>
      <c r="E300" s="23" t="str">
        <f t="shared" si="66"/>
        <v>Engineering</v>
      </c>
      <c r="F300" s="22" t="str">
        <f t="shared" si="67"/>
        <v>L2</v>
      </c>
      <c r="G300" s="23" t="str">
        <f t="shared" si="68"/>
        <v>Vikas Singh</v>
      </c>
      <c r="H300" s="22" t="str">
        <f t="shared" si="69"/>
        <v>Exited</v>
      </c>
      <c r="I300" s="24">
        <f t="shared" si="70"/>
        <v>1.1000000000000001</v>
      </c>
      <c r="J300" s="22">
        <f t="shared" si="71"/>
        <v>3</v>
      </c>
      <c r="K300" s="23" t="str">
        <f t="shared" si="72"/>
        <v>Future Star</v>
      </c>
      <c r="L300" s="22" t="str">
        <f t="shared" si="73"/>
        <v>Not Eligible</v>
      </c>
      <c r="M300" s="24">
        <f t="shared" si="74"/>
        <v>12.03</v>
      </c>
      <c r="N300" s="25">
        <f t="shared" si="75"/>
        <v>1.41</v>
      </c>
      <c r="O300" s="26">
        <f t="shared" si="76"/>
        <v>0.77551020408163263</v>
      </c>
      <c r="P300" s="25">
        <f t="shared" si="77"/>
        <v>2.2999999999999998</v>
      </c>
      <c r="Q300" s="22" t="str">
        <f t="shared" si="78"/>
        <v>Exited</v>
      </c>
      <c r="R300">
        <f t="shared" si="79"/>
        <v>296</v>
      </c>
    </row>
    <row r="301" spans="1:18" x14ac:dyDescent="0.3">
      <c r="A301" s="22">
        <f>IF(B301="","",297)</f>
        <v>297</v>
      </c>
      <c r="B301" s="22" t="str">
        <f>IF(Calc_Engine!I298="","",Calc_Engine!I298)</f>
        <v>EMP1297</v>
      </c>
      <c r="C301" s="23" t="str">
        <f t="shared" si="64"/>
        <v>Rakesh Patel</v>
      </c>
      <c r="D301" s="23" t="str">
        <f t="shared" si="65"/>
        <v>Senior Support Executive</v>
      </c>
      <c r="E301" s="23" t="str">
        <f t="shared" si="66"/>
        <v>Customer Support</v>
      </c>
      <c r="F301" s="22" t="str">
        <f t="shared" si="67"/>
        <v>L3</v>
      </c>
      <c r="G301" s="23" t="str">
        <f t="shared" si="68"/>
        <v>Vidya Chatterjee</v>
      </c>
      <c r="H301" s="22" t="str">
        <f t="shared" si="69"/>
        <v>Active</v>
      </c>
      <c r="I301" s="24">
        <f t="shared" si="70"/>
        <v>1.8</v>
      </c>
      <c r="J301" s="22">
        <f t="shared" si="71"/>
        <v>4</v>
      </c>
      <c r="K301" s="23" t="str">
        <f t="shared" si="72"/>
        <v>High Performer</v>
      </c>
      <c r="L301" s="22" t="str">
        <f t="shared" si="73"/>
        <v>Eligible</v>
      </c>
      <c r="M301" s="24">
        <f t="shared" si="74"/>
        <v>9.42</v>
      </c>
      <c r="N301" s="25">
        <f t="shared" si="75"/>
        <v>0.65</v>
      </c>
      <c r="O301" s="26">
        <f t="shared" si="76"/>
        <v>0.89200000000000002</v>
      </c>
      <c r="P301" s="25">
        <f t="shared" si="77"/>
        <v>3.35</v>
      </c>
      <c r="Q301" s="22" t="str">
        <f t="shared" si="78"/>
        <v>Medium</v>
      </c>
      <c r="R301">
        <f t="shared" si="79"/>
        <v>297</v>
      </c>
    </row>
    <row r="302" spans="1:18" x14ac:dyDescent="0.3">
      <c r="A302" s="22">
        <f>IF(B302="","",298)</f>
        <v>298</v>
      </c>
      <c r="B302" s="22" t="str">
        <f>IF(Calc_Engine!I299="","",Calc_Engine!I299)</f>
        <v>EMP1298</v>
      </c>
      <c r="C302" s="23" t="str">
        <f t="shared" si="64"/>
        <v>Vikram Bose</v>
      </c>
      <c r="D302" s="23" t="str">
        <f t="shared" si="65"/>
        <v>Sales Executive</v>
      </c>
      <c r="E302" s="23" t="str">
        <f t="shared" si="66"/>
        <v>Sales</v>
      </c>
      <c r="F302" s="22" t="str">
        <f t="shared" si="67"/>
        <v>L2</v>
      </c>
      <c r="G302" s="23" t="str">
        <f t="shared" si="68"/>
        <v>Nikhil Agarwal</v>
      </c>
      <c r="H302" s="22" t="str">
        <f t="shared" si="69"/>
        <v>Active</v>
      </c>
      <c r="I302" s="24">
        <f t="shared" si="70"/>
        <v>1.8</v>
      </c>
      <c r="J302" s="22">
        <f t="shared" si="71"/>
        <v>5</v>
      </c>
      <c r="K302" s="23" t="str">
        <f t="shared" si="72"/>
        <v>Star</v>
      </c>
      <c r="L302" s="22" t="str">
        <f t="shared" si="73"/>
        <v>Eligible</v>
      </c>
      <c r="M302" s="24">
        <f t="shared" si="74"/>
        <v>9.14</v>
      </c>
      <c r="N302" s="25">
        <f t="shared" si="75"/>
        <v>1.07</v>
      </c>
      <c r="O302" s="26">
        <f t="shared" si="76"/>
        <v>0.89200000000000002</v>
      </c>
      <c r="P302" s="25">
        <f t="shared" si="77"/>
        <v>4.07</v>
      </c>
      <c r="Q302" s="22" t="str">
        <f t="shared" si="78"/>
        <v>Low</v>
      </c>
      <c r="R302">
        <f t="shared" si="79"/>
        <v>298</v>
      </c>
    </row>
    <row r="303" spans="1:18" x14ac:dyDescent="0.3">
      <c r="A303" s="22">
        <f>IF(B303="","",299)</f>
        <v>299</v>
      </c>
      <c r="B303" s="22" t="str">
        <f>IF(Calc_Engine!I300="","",Calc_Engine!I300)</f>
        <v>EMP1299</v>
      </c>
      <c r="C303" s="23" t="str">
        <f t="shared" si="64"/>
        <v>Sachin Singh</v>
      </c>
      <c r="D303" s="23" t="str">
        <f t="shared" si="65"/>
        <v>HR Executive</v>
      </c>
      <c r="E303" s="23" t="str">
        <f t="shared" si="66"/>
        <v>Human Resources</v>
      </c>
      <c r="F303" s="22" t="str">
        <f t="shared" si="67"/>
        <v>L2</v>
      </c>
      <c r="G303" s="23" t="str">
        <f t="shared" si="68"/>
        <v>Ajay Patel</v>
      </c>
      <c r="H303" s="22" t="str">
        <f t="shared" si="69"/>
        <v>Active</v>
      </c>
      <c r="I303" s="24">
        <f t="shared" si="70"/>
        <v>1.8</v>
      </c>
      <c r="J303" s="22">
        <f t="shared" si="71"/>
        <v>3</v>
      </c>
      <c r="K303" s="23" t="str">
        <f t="shared" si="72"/>
        <v>Future Star</v>
      </c>
      <c r="L303" s="22" t="str">
        <f t="shared" si="73"/>
        <v>Not Eligible</v>
      </c>
      <c r="M303" s="24">
        <f t="shared" si="74"/>
        <v>7.96</v>
      </c>
      <c r="N303" s="25">
        <f t="shared" si="75"/>
        <v>0.93</v>
      </c>
      <c r="O303" s="26">
        <f t="shared" si="76"/>
        <v>0.92800000000000005</v>
      </c>
      <c r="P303" s="25">
        <f t="shared" si="77"/>
        <v>3.57</v>
      </c>
      <c r="Q303" s="22" t="str">
        <f t="shared" si="78"/>
        <v>Low</v>
      </c>
      <c r="R303">
        <f t="shared" si="79"/>
        <v>299</v>
      </c>
    </row>
    <row r="304" spans="1:18" x14ac:dyDescent="0.3">
      <c r="A304" s="22">
        <f>IF(B304="","",300)</f>
        <v>300</v>
      </c>
      <c r="B304" s="22" t="str">
        <f>IF(Calc_Engine!I301="","",Calc_Engine!I301)</f>
        <v>EMP1300</v>
      </c>
      <c r="C304" s="23" t="str">
        <f t="shared" si="64"/>
        <v>Rajesh Krishnan</v>
      </c>
      <c r="D304" s="23" t="str">
        <f t="shared" si="65"/>
        <v>Senior Operations Executive</v>
      </c>
      <c r="E304" s="23" t="str">
        <f t="shared" si="66"/>
        <v>Operations</v>
      </c>
      <c r="F304" s="22" t="str">
        <f t="shared" si="67"/>
        <v>L3</v>
      </c>
      <c r="G304" s="23" t="str">
        <f t="shared" si="68"/>
        <v>Amit Kumar</v>
      </c>
      <c r="H304" s="22" t="str">
        <f t="shared" si="69"/>
        <v>Active</v>
      </c>
      <c r="I304" s="24">
        <f t="shared" si="70"/>
        <v>1.8</v>
      </c>
      <c r="J304" s="22">
        <f t="shared" si="71"/>
        <v>3</v>
      </c>
      <c r="K304" s="23" t="str">
        <f t="shared" si="72"/>
        <v>Future Star</v>
      </c>
      <c r="L304" s="22" t="str">
        <f t="shared" si="73"/>
        <v>Not Eligible</v>
      </c>
      <c r="M304" s="24">
        <f t="shared" si="74"/>
        <v>8.86</v>
      </c>
      <c r="N304" s="25">
        <f t="shared" si="75"/>
        <v>0.61</v>
      </c>
      <c r="O304" s="26">
        <f t="shared" si="76"/>
        <v>0.90800000000000003</v>
      </c>
      <c r="P304" s="25">
        <f t="shared" si="77"/>
        <v>3.43</v>
      </c>
      <c r="Q304" s="22" t="str">
        <f t="shared" si="78"/>
        <v>Low</v>
      </c>
      <c r="R304">
        <f t="shared" si="79"/>
        <v>300</v>
      </c>
    </row>
    <row r="305" spans="1:18" x14ac:dyDescent="0.3">
      <c r="A305" s="22">
        <f>IF(B305="","",301)</f>
        <v>301</v>
      </c>
      <c r="B305" s="22" t="str">
        <f>IF(Calc_Engine!I302="","",Calc_Engine!I302)</f>
        <v>EMP1301</v>
      </c>
      <c r="C305" s="23" t="str">
        <f t="shared" si="64"/>
        <v>Gaurav Nair</v>
      </c>
      <c r="D305" s="23" t="str">
        <f t="shared" si="65"/>
        <v>Associate Software Engineer</v>
      </c>
      <c r="E305" s="23" t="str">
        <f t="shared" si="66"/>
        <v>Engineering</v>
      </c>
      <c r="F305" s="22" t="str">
        <f t="shared" si="67"/>
        <v>L1</v>
      </c>
      <c r="G305" s="23" t="str">
        <f t="shared" si="68"/>
        <v>Vikas Singh</v>
      </c>
      <c r="H305" s="22" t="str">
        <f t="shared" si="69"/>
        <v>Active</v>
      </c>
      <c r="I305" s="24">
        <f t="shared" si="70"/>
        <v>1.8</v>
      </c>
      <c r="J305" s="22">
        <f t="shared" si="71"/>
        <v>3</v>
      </c>
      <c r="K305" s="23" t="str">
        <f t="shared" si="72"/>
        <v>Core Player</v>
      </c>
      <c r="L305" s="22" t="str">
        <f t="shared" si="73"/>
        <v>Not Eligible</v>
      </c>
      <c r="M305" s="24">
        <f t="shared" si="74"/>
        <v>7.19</v>
      </c>
      <c r="N305" s="25">
        <f t="shared" si="75"/>
        <v>1.41</v>
      </c>
      <c r="O305" s="26">
        <f t="shared" si="76"/>
        <v>0.94</v>
      </c>
      <c r="P305" s="25">
        <f t="shared" si="77"/>
        <v>2.92</v>
      </c>
      <c r="Q305" s="22" t="str">
        <f t="shared" si="78"/>
        <v>Low</v>
      </c>
      <c r="R305">
        <f t="shared" si="79"/>
        <v>301</v>
      </c>
    </row>
    <row r="306" spans="1:18" x14ac:dyDescent="0.3">
      <c r="A306" s="22">
        <f>IF(B306="","",302)</f>
        <v>302</v>
      </c>
      <c r="B306" s="22" t="str">
        <f>IF(Calc_Engine!I303="","",Calc_Engine!I303)</f>
        <v>EMP1302</v>
      </c>
      <c r="C306" s="23" t="str">
        <f t="shared" si="64"/>
        <v>Shreya Thomas</v>
      </c>
      <c r="D306" s="23" t="str">
        <f t="shared" si="65"/>
        <v>Senior Marketing Executive</v>
      </c>
      <c r="E306" s="23" t="str">
        <f t="shared" si="66"/>
        <v>Marketing</v>
      </c>
      <c r="F306" s="22" t="str">
        <f t="shared" si="67"/>
        <v>L3</v>
      </c>
      <c r="G306" s="23" t="str">
        <f t="shared" si="68"/>
        <v>Isha Chatterjee</v>
      </c>
      <c r="H306" s="22" t="str">
        <f t="shared" si="69"/>
        <v>Active</v>
      </c>
      <c r="I306" s="24">
        <f t="shared" si="70"/>
        <v>1.8</v>
      </c>
      <c r="J306" s="22">
        <f t="shared" si="71"/>
        <v>3</v>
      </c>
      <c r="K306" s="23" t="str">
        <f t="shared" si="72"/>
        <v>Effective Contributor</v>
      </c>
      <c r="L306" s="22" t="str">
        <f t="shared" si="73"/>
        <v>Not Eligible</v>
      </c>
      <c r="M306" s="24">
        <f t="shared" si="74"/>
        <v>14.26</v>
      </c>
      <c r="N306" s="25">
        <f t="shared" si="75"/>
        <v>0.99</v>
      </c>
      <c r="O306" s="26">
        <f t="shared" si="76"/>
        <v>0.96</v>
      </c>
      <c r="P306" s="25">
        <f t="shared" si="77"/>
        <v>2.65</v>
      </c>
      <c r="Q306" s="22" t="str">
        <f t="shared" si="78"/>
        <v>Medium</v>
      </c>
      <c r="R306">
        <f t="shared" si="79"/>
        <v>302</v>
      </c>
    </row>
    <row r="307" spans="1:18" x14ac:dyDescent="0.3">
      <c r="A307" s="22">
        <f>IF(B307="","",303)</f>
        <v>303</v>
      </c>
      <c r="B307" s="22" t="str">
        <f>IF(Calc_Engine!I304="","",Calc_Engine!I304)</f>
        <v>EMP1303</v>
      </c>
      <c r="C307" s="23" t="str">
        <f t="shared" si="64"/>
        <v>Rakesh Thomas</v>
      </c>
      <c r="D307" s="23" t="str">
        <f t="shared" si="65"/>
        <v>Associate Software Engineer</v>
      </c>
      <c r="E307" s="23" t="str">
        <f t="shared" si="66"/>
        <v>Engineering</v>
      </c>
      <c r="F307" s="22" t="str">
        <f t="shared" si="67"/>
        <v>L1</v>
      </c>
      <c r="G307" s="23" t="str">
        <f t="shared" si="68"/>
        <v>Isha Jain</v>
      </c>
      <c r="H307" s="22" t="str">
        <f t="shared" si="69"/>
        <v>Active</v>
      </c>
      <c r="I307" s="24">
        <f t="shared" si="70"/>
        <v>1.8</v>
      </c>
      <c r="J307" s="22">
        <f t="shared" si="71"/>
        <v>4</v>
      </c>
      <c r="K307" s="23" t="str">
        <f t="shared" si="72"/>
        <v>Star</v>
      </c>
      <c r="L307" s="22" t="str">
        <f t="shared" si="73"/>
        <v>Eligible</v>
      </c>
      <c r="M307" s="24">
        <f t="shared" si="74"/>
        <v>7.48</v>
      </c>
      <c r="N307" s="25">
        <f t="shared" si="75"/>
        <v>1.47</v>
      </c>
      <c r="O307" s="26">
        <f t="shared" si="76"/>
        <v>0.95199999999999996</v>
      </c>
      <c r="P307" s="25">
        <f t="shared" si="77"/>
        <v>3.67</v>
      </c>
      <c r="Q307" s="22" t="str">
        <f t="shared" si="78"/>
        <v>Low</v>
      </c>
      <c r="R307">
        <f t="shared" si="79"/>
        <v>303</v>
      </c>
    </row>
    <row r="308" spans="1:18" x14ac:dyDescent="0.3">
      <c r="A308" s="22">
        <f>IF(B308="","",304)</f>
        <v>304</v>
      </c>
      <c r="B308" s="22" t="str">
        <f>IF(Calc_Engine!I305="","",Calc_Engine!I305)</f>
        <v>EMP1304</v>
      </c>
      <c r="C308" s="23" t="str">
        <f t="shared" si="64"/>
        <v>Harini Khan</v>
      </c>
      <c r="D308" s="23" t="str">
        <f t="shared" si="65"/>
        <v>Sales Executive</v>
      </c>
      <c r="E308" s="23" t="str">
        <f t="shared" si="66"/>
        <v>Sales</v>
      </c>
      <c r="F308" s="22" t="str">
        <f t="shared" si="67"/>
        <v>L2</v>
      </c>
      <c r="G308" s="23" t="str">
        <f t="shared" si="68"/>
        <v>Srinivas Shah</v>
      </c>
      <c r="H308" s="22" t="str">
        <f t="shared" si="69"/>
        <v>Active</v>
      </c>
      <c r="I308" s="24">
        <f t="shared" si="70"/>
        <v>1.8</v>
      </c>
      <c r="J308" s="22">
        <f t="shared" si="71"/>
        <v>5</v>
      </c>
      <c r="K308" s="23" t="str">
        <f t="shared" si="72"/>
        <v>High Performer</v>
      </c>
      <c r="L308" s="22" t="str">
        <f t="shared" si="73"/>
        <v>Eligible</v>
      </c>
      <c r="M308" s="24">
        <f t="shared" si="74"/>
        <v>9.1</v>
      </c>
      <c r="N308" s="25">
        <f t="shared" si="75"/>
        <v>1.06</v>
      </c>
      <c r="O308" s="26">
        <f t="shared" si="76"/>
        <v>0.92400000000000004</v>
      </c>
      <c r="P308" s="25">
        <f t="shared" si="77"/>
        <v>3.73</v>
      </c>
      <c r="Q308" s="22" t="str">
        <f t="shared" si="78"/>
        <v>Low</v>
      </c>
      <c r="R308">
        <f t="shared" si="79"/>
        <v>304</v>
      </c>
    </row>
    <row r="309" spans="1:18" x14ac:dyDescent="0.3">
      <c r="A309" s="22">
        <f>IF(B309="","",305)</f>
        <v>305</v>
      </c>
      <c r="B309" s="22" t="str">
        <f>IF(Calc_Engine!I306="","",Calc_Engine!I306)</f>
        <v>EMP1305</v>
      </c>
      <c r="C309" s="23" t="str">
        <f t="shared" si="64"/>
        <v>Abhishek Sharma</v>
      </c>
      <c r="D309" s="23" t="str">
        <f t="shared" si="65"/>
        <v>Operations Lead</v>
      </c>
      <c r="E309" s="23" t="str">
        <f t="shared" si="66"/>
        <v>Operations</v>
      </c>
      <c r="F309" s="22" t="str">
        <f t="shared" si="67"/>
        <v>L4</v>
      </c>
      <c r="G309" s="23" t="str">
        <f t="shared" si="68"/>
        <v>Nandini Fernandes</v>
      </c>
      <c r="H309" s="22" t="str">
        <f t="shared" si="69"/>
        <v>Active</v>
      </c>
      <c r="I309" s="24">
        <f t="shared" si="70"/>
        <v>1.8</v>
      </c>
      <c r="J309" s="22">
        <f t="shared" si="71"/>
        <v>3</v>
      </c>
      <c r="K309" s="23" t="str">
        <f t="shared" si="72"/>
        <v>Future Star</v>
      </c>
      <c r="L309" s="22" t="str">
        <f t="shared" si="73"/>
        <v>Not Eligible</v>
      </c>
      <c r="M309" s="24">
        <f t="shared" si="74"/>
        <v>19.309999999999999</v>
      </c>
      <c r="N309" s="25">
        <f t="shared" si="75"/>
        <v>0.82</v>
      </c>
      <c r="O309" s="26">
        <f t="shared" si="76"/>
        <v>0.92</v>
      </c>
      <c r="P309" s="25">
        <f t="shared" si="77"/>
        <v>2.9</v>
      </c>
      <c r="Q309" s="22" t="str">
        <f t="shared" si="78"/>
        <v>Medium</v>
      </c>
      <c r="R309">
        <f t="shared" si="79"/>
        <v>305</v>
      </c>
    </row>
    <row r="310" spans="1:18" x14ac:dyDescent="0.3">
      <c r="A310" s="22">
        <f>IF(B310="","",306)</f>
        <v>306</v>
      </c>
      <c r="B310" s="22" t="str">
        <f>IF(Calc_Engine!I307="","",Calc_Engine!I307)</f>
        <v>EMP1306</v>
      </c>
      <c r="C310" s="23" t="str">
        <f t="shared" si="64"/>
        <v>Ravi Pandey</v>
      </c>
      <c r="D310" s="23" t="str">
        <f t="shared" si="65"/>
        <v>Senior Data Analyst</v>
      </c>
      <c r="E310" s="23" t="str">
        <f t="shared" si="66"/>
        <v>Data &amp; Analytics</v>
      </c>
      <c r="F310" s="22" t="str">
        <f t="shared" si="67"/>
        <v>L3</v>
      </c>
      <c r="G310" s="23" t="str">
        <f t="shared" si="68"/>
        <v>Arun Mukherjee</v>
      </c>
      <c r="H310" s="22" t="str">
        <f t="shared" si="69"/>
        <v>Active</v>
      </c>
      <c r="I310" s="24">
        <f t="shared" si="70"/>
        <v>1.7</v>
      </c>
      <c r="J310" s="22">
        <f t="shared" si="71"/>
        <v>4</v>
      </c>
      <c r="K310" s="23" t="str">
        <f t="shared" si="72"/>
        <v>High Performer</v>
      </c>
      <c r="L310" s="22" t="str">
        <f t="shared" si="73"/>
        <v>Eligible</v>
      </c>
      <c r="M310" s="24">
        <f t="shared" si="74"/>
        <v>18.64</v>
      </c>
      <c r="N310" s="25">
        <f t="shared" si="75"/>
        <v>1.29</v>
      </c>
      <c r="O310" s="26">
        <f t="shared" si="76"/>
        <v>0.89200000000000002</v>
      </c>
      <c r="P310" s="25">
        <f t="shared" si="77"/>
        <v>3.75</v>
      </c>
      <c r="Q310" s="22" t="str">
        <f t="shared" si="78"/>
        <v>Low</v>
      </c>
      <c r="R310">
        <f t="shared" si="79"/>
        <v>306</v>
      </c>
    </row>
    <row r="311" spans="1:18" x14ac:dyDescent="0.3">
      <c r="A311" s="22">
        <f>IF(B311="","",307)</f>
        <v>307</v>
      </c>
      <c r="B311" s="22" t="str">
        <f>IF(Calc_Engine!I308="","",Calc_Engine!I308)</f>
        <v>EMP1307</v>
      </c>
      <c r="C311" s="23" t="str">
        <f t="shared" si="64"/>
        <v>Anjali Mehta</v>
      </c>
      <c r="D311" s="23" t="str">
        <f t="shared" si="65"/>
        <v>Senior Software Engineer</v>
      </c>
      <c r="E311" s="23" t="str">
        <f t="shared" si="66"/>
        <v>Engineering</v>
      </c>
      <c r="F311" s="22" t="str">
        <f t="shared" si="67"/>
        <v>L3</v>
      </c>
      <c r="G311" s="23" t="str">
        <f t="shared" si="68"/>
        <v>Gaurav Fernandes</v>
      </c>
      <c r="H311" s="22" t="str">
        <f t="shared" si="69"/>
        <v>Active</v>
      </c>
      <c r="I311" s="24">
        <f t="shared" si="70"/>
        <v>1.7</v>
      </c>
      <c r="J311" s="22">
        <f t="shared" si="71"/>
        <v>3</v>
      </c>
      <c r="K311" s="23" t="str">
        <f t="shared" si="72"/>
        <v>Core Player</v>
      </c>
      <c r="L311" s="22" t="str">
        <f t="shared" si="73"/>
        <v>Not Eligible</v>
      </c>
      <c r="M311" s="24">
        <f t="shared" si="74"/>
        <v>20.34</v>
      </c>
      <c r="N311" s="25">
        <f t="shared" si="75"/>
        <v>1.41</v>
      </c>
      <c r="O311" s="26">
        <f t="shared" si="76"/>
        <v>0.96799999999999997</v>
      </c>
      <c r="P311" s="25">
        <f t="shared" si="77"/>
        <v>3.67</v>
      </c>
      <c r="Q311" s="22" t="str">
        <f t="shared" si="78"/>
        <v>Low</v>
      </c>
      <c r="R311">
        <f t="shared" si="79"/>
        <v>307</v>
      </c>
    </row>
    <row r="312" spans="1:18" x14ac:dyDescent="0.3">
      <c r="A312" s="22">
        <f>IF(B312="","",308)</f>
        <v>308</v>
      </c>
      <c r="B312" s="22" t="str">
        <f>IF(Calc_Engine!I309="","",Calc_Engine!I309)</f>
        <v>EMP1308</v>
      </c>
      <c r="C312" s="23" t="str">
        <f t="shared" si="64"/>
        <v>Sanjay Saxena</v>
      </c>
      <c r="D312" s="23" t="str">
        <f t="shared" si="65"/>
        <v>Support Associate</v>
      </c>
      <c r="E312" s="23" t="str">
        <f t="shared" si="66"/>
        <v>Customer Support</v>
      </c>
      <c r="F312" s="22" t="str">
        <f t="shared" si="67"/>
        <v>L1</v>
      </c>
      <c r="G312" s="23" t="str">
        <f t="shared" si="68"/>
        <v>Anjali Iyer</v>
      </c>
      <c r="H312" s="22" t="str">
        <f t="shared" si="69"/>
        <v>Active</v>
      </c>
      <c r="I312" s="24">
        <f t="shared" si="70"/>
        <v>1.7</v>
      </c>
      <c r="J312" s="22">
        <f t="shared" si="71"/>
        <v>3</v>
      </c>
      <c r="K312" s="23" t="str">
        <f t="shared" si="72"/>
        <v>Future Star</v>
      </c>
      <c r="L312" s="22" t="str">
        <f t="shared" si="73"/>
        <v>Not Eligible</v>
      </c>
      <c r="M312" s="24">
        <f t="shared" si="74"/>
        <v>3.66</v>
      </c>
      <c r="N312" s="25">
        <f t="shared" si="75"/>
        <v>0.72</v>
      </c>
      <c r="O312" s="26">
        <f t="shared" si="76"/>
        <v>0.89600000000000002</v>
      </c>
      <c r="P312" s="25">
        <f t="shared" si="77"/>
        <v>2.77</v>
      </c>
      <c r="Q312" s="22" t="str">
        <f t="shared" si="78"/>
        <v>Medium</v>
      </c>
      <c r="R312">
        <f t="shared" si="79"/>
        <v>308</v>
      </c>
    </row>
    <row r="313" spans="1:18" x14ac:dyDescent="0.3">
      <c r="A313" s="22">
        <f>IF(B313="","",309)</f>
        <v>309</v>
      </c>
      <c r="B313" s="22" t="str">
        <f>IF(Calc_Engine!I310="","",Calc_Engine!I310)</f>
        <v>EMP1309</v>
      </c>
      <c r="C313" s="23" t="str">
        <f t="shared" si="64"/>
        <v>Kunal Mukherjee</v>
      </c>
      <c r="D313" s="23" t="str">
        <f t="shared" si="65"/>
        <v>Associate Software Engineer</v>
      </c>
      <c r="E313" s="23" t="str">
        <f t="shared" si="66"/>
        <v>Engineering</v>
      </c>
      <c r="F313" s="22" t="str">
        <f t="shared" si="67"/>
        <v>L1</v>
      </c>
      <c r="G313" s="23" t="str">
        <f t="shared" si="68"/>
        <v>Tejaswini Hegde</v>
      </c>
      <c r="H313" s="22" t="str">
        <f t="shared" si="69"/>
        <v>Active</v>
      </c>
      <c r="I313" s="24">
        <f t="shared" si="70"/>
        <v>1.7</v>
      </c>
      <c r="J313" s="22">
        <f t="shared" si="71"/>
        <v>3</v>
      </c>
      <c r="K313" s="23" t="str">
        <f t="shared" si="72"/>
        <v>Core Player</v>
      </c>
      <c r="L313" s="22" t="str">
        <f t="shared" si="73"/>
        <v>Not Eligible</v>
      </c>
      <c r="M313" s="24">
        <f t="shared" si="74"/>
        <v>6.44</v>
      </c>
      <c r="N313" s="25">
        <f t="shared" si="75"/>
        <v>1.27</v>
      </c>
      <c r="O313" s="26">
        <f t="shared" si="76"/>
        <v>0.9</v>
      </c>
      <c r="P313" s="25">
        <f t="shared" si="77"/>
        <v>2.95</v>
      </c>
      <c r="Q313" s="22" t="str">
        <f t="shared" si="78"/>
        <v>Medium</v>
      </c>
      <c r="R313">
        <f t="shared" si="79"/>
        <v>309</v>
      </c>
    </row>
    <row r="314" spans="1:18" x14ac:dyDescent="0.3">
      <c r="A314" s="22">
        <f>IF(B314="","",310)</f>
        <v>310</v>
      </c>
      <c r="B314" s="22" t="str">
        <f>IF(Calc_Engine!I311="","",Calc_Engine!I311)</f>
        <v>EMP1310</v>
      </c>
      <c r="C314" s="23" t="str">
        <f t="shared" si="64"/>
        <v>Swathi Mukherjee</v>
      </c>
      <c r="D314" s="23" t="str">
        <f t="shared" si="65"/>
        <v>Compliance Manager</v>
      </c>
      <c r="E314" s="23" t="str">
        <f t="shared" si="66"/>
        <v>Legal &amp; Compliance</v>
      </c>
      <c r="F314" s="22" t="str">
        <f t="shared" si="67"/>
        <v>L5</v>
      </c>
      <c r="G314" s="23" t="str">
        <f t="shared" si="68"/>
        <v>Lakshmi Subramanian</v>
      </c>
      <c r="H314" s="22" t="str">
        <f t="shared" si="69"/>
        <v>Active</v>
      </c>
      <c r="I314" s="24">
        <f t="shared" si="70"/>
        <v>1.7</v>
      </c>
      <c r="J314" s="22">
        <f t="shared" si="71"/>
        <v>4</v>
      </c>
      <c r="K314" s="23" t="str">
        <f t="shared" si="72"/>
        <v>Star</v>
      </c>
      <c r="L314" s="22" t="str">
        <f t="shared" si="73"/>
        <v>Eligible</v>
      </c>
      <c r="M314" s="24">
        <f t="shared" si="74"/>
        <v>36.82</v>
      </c>
      <c r="N314" s="25">
        <f t="shared" si="75"/>
        <v>1</v>
      </c>
      <c r="O314" s="26">
        <f t="shared" si="76"/>
        <v>0.93200000000000005</v>
      </c>
      <c r="P314" s="25">
        <f t="shared" si="77"/>
        <v>3.88</v>
      </c>
      <c r="Q314" s="22" t="str">
        <f t="shared" si="78"/>
        <v>Low</v>
      </c>
      <c r="R314">
        <f t="shared" si="79"/>
        <v>310</v>
      </c>
    </row>
    <row r="315" spans="1:18" x14ac:dyDescent="0.3">
      <c r="A315" s="22">
        <f>IF(B315="","",311)</f>
        <v>311</v>
      </c>
      <c r="B315" s="22" t="str">
        <f>IF(Calc_Engine!I312="","",Calc_Engine!I312)</f>
        <v>EMP1311</v>
      </c>
      <c r="C315" s="23" t="str">
        <f t="shared" si="64"/>
        <v>Tarun Tiwari</v>
      </c>
      <c r="D315" s="23" t="str">
        <f t="shared" si="65"/>
        <v>Sales Executive</v>
      </c>
      <c r="E315" s="23" t="str">
        <f t="shared" si="66"/>
        <v>Sales</v>
      </c>
      <c r="F315" s="22" t="str">
        <f t="shared" si="67"/>
        <v>L2</v>
      </c>
      <c r="G315" s="23" t="str">
        <f t="shared" si="68"/>
        <v>Madhuri Malhotra</v>
      </c>
      <c r="H315" s="22" t="str">
        <f t="shared" si="69"/>
        <v>Active</v>
      </c>
      <c r="I315" s="24">
        <f t="shared" si="70"/>
        <v>1.7</v>
      </c>
      <c r="J315" s="22">
        <f t="shared" si="71"/>
        <v>3</v>
      </c>
      <c r="K315" s="23" t="str">
        <f t="shared" si="72"/>
        <v>Core Player</v>
      </c>
      <c r="L315" s="22" t="str">
        <f t="shared" si="73"/>
        <v>Not Eligible</v>
      </c>
      <c r="M315" s="24">
        <f t="shared" si="74"/>
        <v>8.74</v>
      </c>
      <c r="N315" s="25">
        <f t="shared" si="75"/>
        <v>1.02</v>
      </c>
      <c r="O315" s="26">
        <f t="shared" si="76"/>
        <v>0.9</v>
      </c>
      <c r="P315" s="25">
        <f t="shared" si="77"/>
        <v>3.27</v>
      </c>
      <c r="Q315" s="22" t="str">
        <f t="shared" si="78"/>
        <v>Low</v>
      </c>
      <c r="R315">
        <f t="shared" si="79"/>
        <v>311</v>
      </c>
    </row>
    <row r="316" spans="1:18" x14ac:dyDescent="0.3">
      <c r="A316" s="22">
        <f>IF(B316="","",312)</f>
        <v>312</v>
      </c>
      <c r="B316" s="22" t="str">
        <f>IF(Calc_Engine!I313="","",Calc_Engine!I313)</f>
        <v>EMP1312</v>
      </c>
      <c r="C316" s="23" t="str">
        <f t="shared" si="64"/>
        <v>Ritu Chatterjee</v>
      </c>
      <c r="D316" s="23" t="str">
        <f t="shared" si="65"/>
        <v>Operations Associate</v>
      </c>
      <c r="E316" s="23" t="str">
        <f t="shared" si="66"/>
        <v>Operations</v>
      </c>
      <c r="F316" s="22" t="str">
        <f t="shared" si="67"/>
        <v>L1</v>
      </c>
      <c r="G316" s="23" t="str">
        <f t="shared" si="68"/>
        <v>Pallavi Nair</v>
      </c>
      <c r="H316" s="22" t="str">
        <f t="shared" si="69"/>
        <v>Active</v>
      </c>
      <c r="I316" s="24">
        <f t="shared" si="70"/>
        <v>1.7</v>
      </c>
      <c r="J316" s="22">
        <f t="shared" si="71"/>
        <v>2</v>
      </c>
      <c r="K316" s="23" t="str">
        <f t="shared" si="72"/>
        <v>Inconsistent Player</v>
      </c>
      <c r="L316" s="22" t="str">
        <f t="shared" si="73"/>
        <v>Not Eligible</v>
      </c>
      <c r="M316" s="24">
        <f t="shared" si="74"/>
        <v>4.8899999999999997</v>
      </c>
      <c r="N316" s="25">
        <f t="shared" si="75"/>
        <v>0.96</v>
      </c>
      <c r="O316" s="26">
        <f t="shared" si="76"/>
        <v>0.9</v>
      </c>
      <c r="P316" s="25">
        <f t="shared" si="77"/>
        <v>2.25</v>
      </c>
      <c r="Q316" s="22" t="str">
        <f t="shared" si="78"/>
        <v>Medium</v>
      </c>
      <c r="R316">
        <f t="shared" si="79"/>
        <v>312</v>
      </c>
    </row>
    <row r="317" spans="1:18" x14ac:dyDescent="0.3">
      <c r="A317" s="22">
        <f>IF(B317="","",313)</f>
        <v>313</v>
      </c>
      <c r="B317" s="22" t="str">
        <f>IF(Calc_Engine!I314="","",Calc_Engine!I314)</f>
        <v>EMP1313</v>
      </c>
      <c r="C317" s="23" t="str">
        <f t="shared" si="64"/>
        <v>Mohit Bose</v>
      </c>
      <c r="D317" s="23" t="str">
        <f t="shared" si="65"/>
        <v>Support Associate</v>
      </c>
      <c r="E317" s="23" t="str">
        <f t="shared" si="66"/>
        <v>Customer Support</v>
      </c>
      <c r="F317" s="22" t="str">
        <f t="shared" si="67"/>
        <v>L1</v>
      </c>
      <c r="G317" s="23" t="str">
        <f t="shared" si="68"/>
        <v>Vidya Chatterjee</v>
      </c>
      <c r="H317" s="22" t="str">
        <f t="shared" si="69"/>
        <v>Active</v>
      </c>
      <c r="I317" s="24">
        <f t="shared" si="70"/>
        <v>1.7</v>
      </c>
      <c r="J317" s="22">
        <f t="shared" si="71"/>
        <v>4</v>
      </c>
      <c r="K317" s="23" t="str">
        <f t="shared" si="72"/>
        <v>High Performer</v>
      </c>
      <c r="L317" s="22" t="str">
        <f t="shared" si="73"/>
        <v>Eligible</v>
      </c>
      <c r="M317" s="24">
        <f t="shared" si="74"/>
        <v>4.25</v>
      </c>
      <c r="N317" s="25">
        <f t="shared" si="75"/>
        <v>0.84</v>
      </c>
      <c r="O317" s="26">
        <f t="shared" si="76"/>
        <v>0.89200000000000002</v>
      </c>
      <c r="P317" s="25">
        <f t="shared" si="77"/>
        <v>3.23</v>
      </c>
      <c r="Q317" s="22" t="str">
        <f t="shared" si="78"/>
        <v>Medium</v>
      </c>
      <c r="R317">
        <f t="shared" si="79"/>
        <v>313</v>
      </c>
    </row>
    <row r="318" spans="1:18" x14ac:dyDescent="0.3">
      <c r="A318" s="22">
        <f>IF(B318="","",314)</f>
        <v>314</v>
      </c>
      <c r="B318" s="22" t="str">
        <f>IF(Calc_Engine!I315="","",Calc_Engine!I315)</f>
        <v>EMP1314</v>
      </c>
      <c r="C318" s="23" t="str">
        <f t="shared" si="64"/>
        <v>Sanjay Thomas</v>
      </c>
      <c r="D318" s="23" t="str">
        <f t="shared" si="65"/>
        <v>Legal Associate</v>
      </c>
      <c r="E318" s="23" t="str">
        <f t="shared" si="66"/>
        <v>Legal &amp; Compliance</v>
      </c>
      <c r="F318" s="22" t="str">
        <f t="shared" si="67"/>
        <v>L1</v>
      </c>
      <c r="G318" s="23" t="str">
        <f t="shared" si="68"/>
        <v>Lakshmi Subramanian</v>
      </c>
      <c r="H318" s="22" t="str">
        <f t="shared" si="69"/>
        <v>Active</v>
      </c>
      <c r="I318" s="24">
        <f t="shared" si="70"/>
        <v>1.7</v>
      </c>
      <c r="J318" s="22">
        <f t="shared" si="71"/>
        <v>3</v>
      </c>
      <c r="K318" s="23" t="str">
        <f t="shared" si="72"/>
        <v>Future Star</v>
      </c>
      <c r="L318" s="22" t="str">
        <f t="shared" si="73"/>
        <v>Not Eligible</v>
      </c>
      <c r="M318" s="24">
        <f t="shared" si="74"/>
        <v>5.18</v>
      </c>
      <c r="N318" s="25">
        <f t="shared" si="75"/>
        <v>1.02</v>
      </c>
      <c r="O318" s="26">
        <f t="shared" si="76"/>
        <v>0.88800000000000001</v>
      </c>
      <c r="P318" s="25">
        <f t="shared" si="77"/>
        <v>3.52</v>
      </c>
      <c r="Q318" s="22" t="str">
        <f t="shared" si="78"/>
        <v>Low</v>
      </c>
      <c r="R318">
        <f t="shared" si="79"/>
        <v>314</v>
      </c>
    </row>
    <row r="319" spans="1:18" x14ac:dyDescent="0.3">
      <c r="A319" s="22">
        <f>IF(B319="","",315)</f>
        <v>315</v>
      </c>
      <c r="B319" s="22" t="str">
        <f>IF(Calc_Engine!I316="","",Calc_Engine!I316)</f>
        <v>EMP1315</v>
      </c>
      <c r="C319" s="23" t="str">
        <f t="shared" si="64"/>
        <v>Revathi Fernandes</v>
      </c>
      <c r="D319" s="23" t="str">
        <f t="shared" si="65"/>
        <v>Compliance Executive</v>
      </c>
      <c r="E319" s="23" t="str">
        <f t="shared" si="66"/>
        <v>Legal &amp; Compliance</v>
      </c>
      <c r="F319" s="22" t="str">
        <f t="shared" si="67"/>
        <v>L2</v>
      </c>
      <c r="G319" s="23" t="str">
        <f t="shared" si="68"/>
        <v>Ramya Khanna</v>
      </c>
      <c r="H319" s="22" t="str">
        <f t="shared" si="69"/>
        <v>Active</v>
      </c>
      <c r="I319" s="24">
        <f t="shared" si="70"/>
        <v>1.7</v>
      </c>
      <c r="J319" s="22">
        <f t="shared" si="71"/>
        <v>4</v>
      </c>
      <c r="K319" s="23" t="str">
        <f t="shared" si="72"/>
        <v>High Performer</v>
      </c>
      <c r="L319" s="22" t="str">
        <f t="shared" si="73"/>
        <v>Eligible</v>
      </c>
      <c r="M319" s="24">
        <f t="shared" si="74"/>
        <v>10.48</v>
      </c>
      <c r="N319" s="25">
        <f t="shared" si="75"/>
        <v>1.23</v>
      </c>
      <c r="O319" s="26">
        <f t="shared" si="76"/>
        <v>0.88800000000000001</v>
      </c>
      <c r="P319" s="25">
        <f t="shared" si="77"/>
        <v>2.4500000000000002</v>
      </c>
      <c r="Q319" s="22" t="str">
        <f t="shared" si="78"/>
        <v>Medium</v>
      </c>
      <c r="R319">
        <f t="shared" si="79"/>
        <v>315</v>
      </c>
    </row>
    <row r="320" spans="1:18" x14ac:dyDescent="0.3">
      <c r="A320" s="22">
        <f>IF(B320="","",316)</f>
        <v>316</v>
      </c>
      <c r="B320" s="22" t="str">
        <f>IF(Calc_Engine!I317="","",Calc_Engine!I317)</f>
        <v>EMP1316</v>
      </c>
      <c r="C320" s="23" t="str">
        <f t="shared" si="64"/>
        <v>Fatima Patel</v>
      </c>
      <c r="D320" s="23" t="str">
        <f t="shared" si="65"/>
        <v>Sales Associate</v>
      </c>
      <c r="E320" s="23" t="str">
        <f t="shared" si="66"/>
        <v>Sales</v>
      </c>
      <c r="F320" s="22" t="str">
        <f t="shared" si="67"/>
        <v>L1</v>
      </c>
      <c r="G320" s="23" t="str">
        <f t="shared" si="68"/>
        <v>Srinivas Shah</v>
      </c>
      <c r="H320" s="22" t="str">
        <f t="shared" si="69"/>
        <v>Active</v>
      </c>
      <c r="I320" s="24">
        <f t="shared" si="70"/>
        <v>1.7</v>
      </c>
      <c r="J320" s="22">
        <f t="shared" si="71"/>
        <v>3</v>
      </c>
      <c r="K320" s="23" t="str">
        <f t="shared" si="72"/>
        <v>Core Player</v>
      </c>
      <c r="L320" s="22" t="str">
        <f t="shared" si="73"/>
        <v>Not Eligible</v>
      </c>
      <c r="M320" s="24">
        <f t="shared" si="74"/>
        <v>5.9</v>
      </c>
      <c r="N320" s="25">
        <f t="shared" si="75"/>
        <v>1.1599999999999999</v>
      </c>
      <c r="O320" s="26">
        <f t="shared" si="76"/>
        <v>0.95199999999999996</v>
      </c>
      <c r="P320" s="25">
        <f t="shared" si="77"/>
        <v>3.17</v>
      </c>
      <c r="Q320" s="22" t="str">
        <f t="shared" si="78"/>
        <v>Low</v>
      </c>
      <c r="R320">
        <f t="shared" si="79"/>
        <v>316</v>
      </c>
    </row>
    <row r="321" spans="1:18" x14ac:dyDescent="0.3">
      <c r="A321" s="22">
        <f>IF(B321="","",317)</f>
        <v>317</v>
      </c>
      <c r="B321" s="22" t="str">
        <f>IF(Calc_Engine!I318="","",Calc_Engine!I318)</f>
        <v>EMP1317</v>
      </c>
      <c r="C321" s="23" t="str">
        <f t="shared" si="64"/>
        <v>Nisha Choudhary</v>
      </c>
      <c r="D321" s="23" t="str">
        <f t="shared" si="65"/>
        <v>Accounts Executive</v>
      </c>
      <c r="E321" s="23" t="str">
        <f t="shared" si="66"/>
        <v>Finance</v>
      </c>
      <c r="F321" s="22" t="str">
        <f t="shared" si="67"/>
        <v>L2</v>
      </c>
      <c r="G321" s="23" t="str">
        <f t="shared" si="68"/>
        <v>Kritika Pandey</v>
      </c>
      <c r="H321" s="22" t="str">
        <f t="shared" si="69"/>
        <v>Active</v>
      </c>
      <c r="I321" s="24">
        <f t="shared" si="70"/>
        <v>1.7</v>
      </c>
      <c r="J321" s="22">
        <f t="shared" si="71"/>
        <v>5</v>
      </c>
      <c r="K321" s="23" t="str">
        <f t="shared" si="72"/>
        <v>High Performer</v>
      </c>
      <c r="L321" s="22" t="str">
        <f t="shared" si="73"/>
        <v>Eligible</v>
      </c>
      <c r="M321" s="24">
        <f t="shared" si="74"/>
        <v>10.54</v>
      </c>
      <c r="N321" s="25">
        <f t="shared" si="75"/>
        <v>1.23</v>
      </c>
      <c r="O321" s="26">
        <f t="shared" si="76"/>
        <v>0.91600000000000004</v>
      </c>
      <c r="P321" s="25">
        <f t="shared" si="77"/>
        <v>2.62</v>
      </c>
      <c r="Q321" s="22" t="str">
        <f t="shared" si="78"/>
        <v>Medium</v>
      </c>
      <c r="R321">
        <f t="shared" si="79"/>
        <v>317</v>
      </c>
    </row>
    <row r="322" spans="1:18" x14ac:dyDescent="0.3">
      <c r="A322" s="22">
        <f>IF(B322="","",318)</f>
        <v>318</v>
      </c>
      <c r="B322" s="22" t="str">
        <f>IF(Calc_Engine!I319="","",Calc_Engine!I319)</f>
        <v>EMP1318</v>
      </c>
      <c r="C322" s="23" t="str">
        <f t="shared" si="64"/>
        <v>Amit Desai</v>
      </c>
      <c r="D322" s="23" t="str">
        <f t="shared" si="65"/>
        <v>Software Engineer</v>
      </c>
      <c r="E322" s="23" t="str">
        <f t="shared" si="66"/>
        <v>Engineering</v>
      </c>
      <c r="F322" s="22" t="str">
        <f t="shared" si="67"/>
        <v>L2</v>
      </c>
      <c r="G322" s="23" t="str">
        <f t="shared" si="68"/>
        <v>Isha Jain</v>
      </c>
      <c r="H322" s="22" t="str">
        <f t="shared" si="69"/>
        <v>Active</v>
      </c>
      <c r="I322" s="24">
        <f t="shared" si="70"/>
        <v>1.6</v>
      </c>
      <c r="J322" s="22">
        <f t="shared" si="71"/>
        <v>4</v>
      </c>
      <c r="K322" s="23" t="str">
        <f t="shared" si="72"/>
        <v>Star</v>
      </c>
      <c r="L322" s="22" t="str">
        <f t="shared" si="73"/>
        <v>Eligible</v>
      </c>
      <c r="M322" s="24">
        <f t="shared" si="74"/>
        <v>10.01</v>
      </c>
      <c r="N322" s="25">
        <f t="shared" si="75"/>
        <v>1.17</v>
      </c>
      <c r="O322" s="26">
        <f t="shared" si="76"/>
        <v>0.89600000000000002</v>
      </c>
      <c r="P322" s="25">
        <f t="shared" si="77"/>
        <v>3.2</v>
      </c>
      <c r="Q322" s="22" t="str">
        <f t="shared" si="78"/>
        <v>Low</v>
      </c>
      <c r="R322">
        <f t="shared" si="79"/>
        <v>318</v>
      </c>
    </row>
    <row r="323" spans="1:18" x14ac:dyDescent="0.3">
      <c r="A323" s="22">
        <f>IF(B323="","",319)</f>
        <v>319</v>
      </c>
      <c r="B323" s="22" t="str">
        <f>IF(Calc_Engine!I320="","",Calc_Engine!I320)</f>
        <v>EMP1319</v>
      </c>
      <c r="C323" s="23" t="str">
        <f t="shared" si="64"/>
        <v>Neha Siddiqui</v>
      </c>
      <c r="D323" s="23" t="str">
        <f t="shared" si="65"/>
        <v>Software Engineer</v>
      </c>
      <c r="E323" s="23" t="str">
        <f t="shared" si="66"/>
        <v>Engineering</v>
      </c>
      <c r="F323" s="22" t="str">
        <f t="shared" si="67"/>
        <v>L2</v>
      </c>
      <c r="G323" s="23" t="str">
        <f t="shared" si="68"/>
        <v>Tejaswini Hegde</v>
      </c>
      <c r="H323" s="22" t="str">
        <f t="shared" si="69"/>
        <v>Active</v>
      </c>
      <c r="I323" s="24">
        <f t="shared" si="70"/>
        <v>1.6</v>
      </c>
      <c r="J323" s="22">
        <f t="shared" si="71"/>
        <v>5</v>
      </c>
      <c r="K323" s="23" t="str">
        <f t="shared" si="72"/>
        <v>Star</v>
      </c>
      <c r="L323" s="22" t="str">
        <f t="shared" si="73"/>
        <v>Eligible</v>
      </c>
      <c r="M323" s="24">
        <f t="shared" si="74"/>
        <v>9.0500000000000007</v>
      </c>
      <c r="N323" s="25">
        <f t="shared" si="75"/>
        <v>1.06</v>
      </c>
      <c r="O323" s="26">
        <f t="shared" si="76"/>
        <v>0.92400000000000004</v>
      </c>
      <c r="P323" s="25">
        <f t="shared" si="77"/>
        <v>3.9</v>
      </c>
      <c r="Q323" s="22" t="str">
        <f t="shared" si="78"/>
        <v>Low</v>
      </c>
      <c r="R323">
        <f t="shared" si="79"/>
        <v>319</v>
      </c>
    </row>
    <row r="324" spans="1:18" x14ac:dyDescent="0.3">
      <c r="A324" s="22">
        <f>IF(B324="","",320)</f>
        <v>320</v>
      </c>
      <c r="B324" s="22" t="str">
        <f>IF(Calc_Engine!I321="","",Calc_Engine!I321)</f>
        <v>EMP1320</v>
      </c>
      <c r="C324" s="23" t="str">
        <f t="shared" si="64"/>
        <v>Prakash Raghavan</v>
      </c>
      <c r="D324" s="23" t="str">
        <f t="shared" si="65"/>
        <v>Operations Executive</v>
      </c>
      <c r="E324" s="23" t="str">
        <f t="shared" si="66"/>
        <v>Operations</v>
      </c>
      <c r="F324" s="22" t="str">
        <f t="shared" si="67"/>
        <v>L2</v>
      </c>
      <c r="G324" s="23" t="str">
        <f t="shared" si="68"/>
        <v>Yash Shah</v>
      </c>
      <c r="H324" s="22" t="str">
        <f t="shared" si="69"/>
        <v>Active</v>
      </c>
      <c r="I324" s="24">
        <f t="shared" si="70"/>
        <v>1.6</v>
      </c>
      <c r="J324" s="22">
        <f t="shared" si="71"/>
        <v>5</v>
      </c>
      <c r="K324" s="23" t="str">
        <f t="shared" si="72"/>
        <v>Star</v>
      </c>
      <c r="L324" s="22" t="str">
        <f t="shared" si="73"/>
        <v>Eligible</v>
      </c>
      <c r="M324" s="24">
        <f t="shared" si="74"/>
        <v>9.14</v>
      </c>
      <c r="N324" s="25">
        <f t="shared" si="75"/>
        <v>1.07</v>
      </c>
      <c r="O324" s="26">
        <f t="shared" si="76"/>
        <v>0.92800000000000005</v>
      </c>
      <c r="P324" s="25">
        <f t="shared" si="77"/>
        <v>3.85</v>
      </c>
      <c r="Q324" s="22" t="str">
        <f t="shared" si="78"/>
        <v>Low</v>
      </c>
      <c r="R324">
        <f t="shared" si="79"/>
        <v>320</v>
      </c>
    </row>
    <row r="325" spans="1:18" x14ac:dyDescent="0.3">
      <c r="A325" s="22">
        <f>IF(B325="","",321)</f>
        <v>321</v>
      </c>
      <c r="B325" s="22" t="str">
        <f>IF(Calc_Engine!I322="","",Calc_Engine!I322)</f>
        <v>EMP1321</v>
      </c>
      <c r="C325" s="23" t="str">
        <f t="shared" ref="C325:C388" si="80">IF($R325="","",INDEX(M_Name,$R325))</f>
        <v>Imran Gupta</v>
      </c>
      <c r="D325" s="23" t="str">
        <f t="shared" ref="D325:D388" si="81">IF($R325="","",INDEX(M_Title,$R325))</f>
        <v>Key Account Manager</v>
      </c>
      <c r="E325" s="23" t="str">
        <f t="shared" ref="E325:E388" si="82">IF($R325="","",INDEX(M_Dept,$R325))</f>
        <v>Sales</v>
      </c>
      <c r="F325" s="22" t="str">
        <f t="shared" ref="F325:F388" si="83">IF($R325="","",INDEX(M_Level,$R325))</f>
        <v>L4</v>
      </c>
      <c r="G325" s="23" t="str">
        <f t="shared" ref="G325:G388" si="84">IF($R325="","",INDEX(M_Mgr,$R325))</f>
        <v>Yash Raghavan</v>
      </c>
      <c r="H325" s="22" t="str">
        <f t="shared" ref="H325:H388" si="85">IF($R325="","",INDEX(M_Status,$R325))</f>
        <v>Active</v>
      </c>
      <c r="I325" s="24">
        <f t="shared" ref="I325:I388" si="86">IF($R325="","",INDEX(M_Tenure,$R325))</f>
        <v>1.6</v>
      </c>
      <c r="J325" s="22">
        <f t="shared" ref="J325:J388" si="87">IF($R325="","",INDEX(P_Rating,$R325))</f>
        <v>5</v>
      </c>
      <c r="K325" s="23" t="str">
        <f t="shared" ref="K325:K388" si="88">IF($R325="","",INDEX(P_9Box,$R325))</f>
        <v>Star</v>
      </c>
      <c r="L325" s="22" t="str">
        <f t="shared" ref="L325:L388" si="89">IF($R325="","",INDEX(P_Elig,$R325))</f>
        <v>Eligible</v>
      </c>
      <c r="M325" s="24">
        <f t="shared" ref="M325:M388" si="90">IF($R325="","",INDEX(C_CTC,$R325)/100000)</f>
        <v>18.87</v>
      </c>
      <c r="N325" s="25">
        <f t="shared" ref="N325:N388" si="91">IF($R325="","",INDEX(C_Compa,$R325))</f>
        <v>0.81</v>
      </c>
      <c r="O325" s="26">
        <f t="shared" ref="O325:O388" si="92">IF($R325="","",INDEX(A_Att,$R325))</f>
        <v>0.93200000000000005</v>
      </c>
      <c r="P325" s="25">
        <f t="shared" ref="P325:P388" si="93">IF($R325="","",INDEX(E_Overall,$R325))</f>
        <v>3.37</v>
      </c>
      <c r="Q325" s="22" t="str">
        <f t="shared" ref="Q325:Q388" si="94">IF($R325="","",INDEX(E_Risk,$R325))</f>
        <v>Medium</v>
      </c>
      <c r="R325">
        <f t="shared" ref="R325:R388" si="95">IF(B325="","",MATCH(B325,M_ID,0))</f>
        <v>321</v>
      </c>
    </row>
    <row r="326" spans="1:18" x14ac:dyDescent="0.3">
      <c r="A326" s="22">
        <f>IF(B326="","",322)</f>
        <v>322</v>
      </c>
      <c r="B326" s="22" t="str">
        <f>IF(Calc_Engine!I323="","",Calc_Engine!I323)</f>
        <v>EMP1322</v>
      </c>
      <c r="C326" s="23" t="str">
        <f t="shared" si="80"/>
        <v>Radhika Kapoor</v>
      </c>
      <c r="D326" s="23" t="str">
        <f t="shared" si="81"/>
        <v>Associate Product Analyst</v>
      </c>
      <c r="E326" s="23" t="str">
        <f t="shared" si="82"/>
        <v>Product</v>
      </c>
      <c r="F326" s="22" t="str">
        <f t="shared" si="83"/>
        <v>L1</v>
      </c>
      <c r="G326" s="23" t="str">
        <f t="shared" si="84"/>
        <v>Sachin Shetty</v>
      </c>
      <c r="H326" s="22" t="str">
        <f t="shared" si="85"/>
        <v>Active</v>
      </c>
      <c r="I326" s="24">
        <f t="shared" si="86"/>
        <v>1.6</v>
      </c>
      <c r="J326" s="22">
        <f t="shared" si="87"/>
        <v>5</v>
      </c>
      <c r="K326" s="23" t="str">
        <f t="shared" si="88"/>
        <v>Star</v>
      </c>
      <c r="L326" s="22" t="str">
        <f t="shared" si="89"/>
        <v>Eligible</v>
      </c>
      <c r="M326" s="24">
        <f t="shared" si="90"/>
        <v>4.5199999999999996</v>
      </c>
      <c r="N326" s="25">
        <f t="shared" si="91"/>
        <v>0.89</v>
      </c>
      <c r="O326" s="26">
        <f t="shared" si="92"/>
        <v>0.94799999999999995</v>
      </c>
      <c r="P326" s="25">
        <f t="shared" si="93"/>
        <v>4.03</v>
      </c>
      <c r="Q326" s="22" t="str">
        <f t="shared" si="94"/>
        <v>Medium</v>
      </c>
      <c r="R326">
        <f t="shared" si="95"/>
        <v>322</v>
      </c>
    </row>
    <row r="327" spans="1:18" x14ac:dyDescent="0.3">
      <c r="A327" s="22">
        <f>IF(B327="","",323)</f>
        <v>323</v>
      </c>
      <c r="B327" s="22" t="str">
        <f>IF(Calc_Engine!I324="","",Calc_Engine!I324)</f>
        <v>EMP1323</v>
      </c>
      <c r="C327" s="23" t="str">
        <f t="shared" si="80"/>
        <v>Dev Bansal</v>
      </c>
      <c r="D327" s="23" t="str">
        <f t="shared" si="81"/>
        <v>Sales Associate</v>
      </c>
      <c r="E327" s="23" t="str">
        <f t="shared" si="82"/>
        <v>Sales</v>
      </c>
      <c r="F327" s="22" t="str">
        <f t="shared" si="83"/>
        <v>L1</v>
      </c>
      <c r="G327" s="23" t="str">
        <f t="shared" si="84"/>
        <v>Kavya Krishnan</v>
      </c>
      <c r="H327" s="22" t="str">
        <f t="shared" si="85"/>
        <v>Active</v>
      </c>
      <c r="I327" s="24">
        <f t="shared" si="86"/>
        <v>1.6</v>
      </c>
      <c r="J327" s="22">
        <f t="shared" si="87"/>
        <v>4</v>
      </c>
      <c r="K327" s="23" t="str">
        <f t="shared" si="88"/>
        <v>Star</v>
      </c>
      <c r="L327" s="22" t="str">
        <f t="shared" si="89"/>
        <v>Eligible</v>
      </c>
      <c r="M327" s="24">
        <f t="shared" si="90"/>
        <v>4.3899999999999997</v>
      </c>
      <c r="N327" s="25">
        <f t="shared" si="91"/>
        <v>0.86</v>
      </c>
      <c r="O327" s="26">
        <f t="shared" si="92"/>
        <v>0.89600000000000002</v>
      </c>
      <c r="P327" s="25">
        <f t="shared" si="93"/>
        <v>3.33</v>
      </c>
      <c r="Q327" s="22" t="str">
        <f t="shared" si="94"/>
        <v>Medium</v>
      </c>
      <c r="R327">
        <f t="shared" si="95"/>
        <v>323</v>
      </c>
    </row>
    <row r="328" spans="1:18" x14ac:dyDescent="0.3">
      <c r="A328" s="22">
        <f>IF(B328="","",324)</f>
        <v>324</v>
      </c>
      <c r="B328" s="22" t="str">
        <f>IF(Calc_Engine!I325="","",Calc_Engine!I325)</f>
        <v>EMP1324</v>
      </c>
      <c r="C328" s="23" t="str">
        <f t="shared" si="80"/>
        <v>Divya Banerjee</v>
      </c>
      <c r="D328" s="23" t="str">
        <f t="shared" si="81"/>
        <v>Operations Executive</v>
      </c>
      <c r="E328" s="23" t="str">
        <f t="shared" si="82"/>
        <v>Operations</v>
      </c>
      <c r="F328" s="22" t="str">
        <f t="shared" si="83"/>
        <v>L2</v>
      </c>
      <c r="G328" s="23" t="str">
        <f t="shared" si="84"/>
        <v>Ramya Menon</v>
      </c>
      <c r="H328" s="22" t="str">
        <f t="shared" si="85"/>
        <v>Active</v>
      </c>
      <c r="I328" s="24">
        <f t="shared" si="86"/>
        <v>1.6</v>
      </c>
      <c r="J328" s="22">
        <f t="shared" si="87"/>
        <v>3</v>
      </c>
      <c r="K328" s="23" t="str">
        <f t="shared" si="88"/>
        <v>Core Player</v>
      </c>
      <c r="L328" s="22" t="str">
        <f t="shared" si="89"/>
        <v>Not Eligible</v>
      </c>
      <c r="M328" s="24">
        <f t="shared" si="90"/>
        <v>6.3</v>
      </c>
      <c r="N328" s="25">
        <f t="shared" si="91"/>
        <v>0.74</v>
      </c>
      <c r="O328" s="26">
        <f t="shared" si="92"/>
        <v>0.89600000000000002</v>
      </c>
      <c r="P328" s="25">
        <f t="shared" si="93"/>
        <v>3.75</v>
      </c>
      <c r="Q328" s="22" t="str">
        <f t="shared" si="94"/>
        <v>Low</v>
      </c>
      <c r="R328">
        <f t="shared" si="95"/>
        <v>324</v>
      </c>
    </row>
    <row r="329" spans="1:18" x14ac:dyDescent="0.3">
      <c r="A329" s="22">
        <f>IF(B329="","",325)</f>
        <v>325</v>
      </c>
      <c r="B329" s="22" t="str">
        <f>IF(Calc_Engine!I326="","",Calc_Engine!I326)</f>
        <v>EMP1325</v>
      </c>
      <c r="C329" s="23" t="str">
        <f t="shared" si="80"/>
        <v>Aditya Nair</v>
      </c>
      <c r="D329" s="23" t="str">
        <f t="shared" si="81"/>
        <v>Senior Support Executive</v>
      </c>
      <c r="E329" s="23" t="str">
        <f t="shared" si="82"/>
        <v>Customer Support</v>
      </c>
      <c r="F329" s="22" t="str">
        <f t="shared" si="83"/>
        <v>L3</v>
      </c>
      <c r="G329" s="23" t="str">
        <f t="shared" si="84"/>
        <v>Anjali Iyer</v>
      </c>
      <c r="H329" s="22" t="str">
        <f t="shared" si="85"/>
        <v>Active</v>
      </c>
      <c r="I329" s="24">
        <f t="shared" si="86"/>
        <v>1.6</v>
      </c>
      <c r="J329" s="22">
        <f t="shared" si="87"/>
        <v>4</v>
      </c>
      <c r="K329" s="23" t="str">
        <f t="shared" si="88"/>
        <v>Star</v>
      </c>
      <c r="L329" s="22" t="str">
        <f t="shared" si="89"/>
        <v>Eligible</v>
      </c>
      <c r="M329" s="24">
        <f t="shared" si="90"/>
        <v>11.77</v>
      </c>
      <c r="N329" s="25">
        <f t="shared" si="91"/>
        <v>0.81</v>
      </c>
      <c r="O329" s="26">
        <f t="shared" si="92"/>
        <v>0.96</v>
      </c>
      <c r="P329" s="25">
        <f t="shared" si="93"/>
        <v>4.05</v>
      </c>
      <c r="Q329" s="22" t="str">
        <f t="shared" si="94"/>
        <v>Medium</v>
      </c>
      <c r="R329">
        <f t="shared" si="95"/>
        <v>325</v>
      </c>
    </row>
    <row r="330" spans="1:18" x14ac:dyDescent="0.3">
      <c r="A330" s="22">
        <f>IF(B330="","",326)</f>
        <v>326</v>
      </c>
      <c r="B330" s="22" t="str">
        <f>IF(Calc_Engine!I327="","",Calc_Engine!I327)</f>
        <v>EMP1326</v>
      </c>
      <c r="C330" s="23" t="str">
        <f t="shared" si="80"/>
        <v>Ramya Verma</v>
      </c>
      <c r="D330" s="23" t="str">
        <f t="shared" si="81"/>
        <v>Data Analyst II</v>
      </c>
      <c r="E330" s="23" t="str">
        <f t="shared" si="82"/>
        <v>Data &amp; Analytics</v>
      </c>
      <c r="F330" s="22" t="str">
        <f t="shared" si="83"/>
        <v>L2</v>
      </c>
      <c r="G330" s="23" t="str">
        <f t="shared" si="84"/>
        <v>Karan Verma</v>
      </c>
      <c r="H330" s="22" t="str">
        <f t="shared" si="85"/>
        <v>Active</v>
      </c>
      <c r="I330" s="24">
        <f t="shared" si="86"/>
        <v>1.6</v>
      </c>
      <c r="J330" s="22">
        <f t="shared" si="87"/>
        <v>4</v>
      </c>
      <c r="K330" s="23" t="str">
        <f t="shared" si="88"/>
        <v>Star</v>
      </c>
      <c r="L330" s="22" t="str">
        <f t="shared" si="89"/>
        <v>Eligible</v>
      </c>
      <c r="M330" s="24">
        <f t="shared" si="90"/>
        <v>10.4</v>
      </c>
      <c r="N330" s="25">
        <f t="shared" si="91"/>
        <v>1.22</v>
      </c>
      <c r="O330" s="26">
        <f t="shared" si="92"/>
        <v>0.9</v>
      </c>
      <c r="P330" s="25">
        <f t="shared" si="93"/>
        <v>4.2300000000000004</v>
      </c>
      <c r="Q330" s="22" t="str">
        <f t="shared" si="94"/>
        <v>Low</v>
      </c>
      <c r="R330">
        <f t="shared" si="95"/>
        <v>326</v>
      </c>
    </row>
    <row r="331" spans="1:18" x14ac:dyDescent="0.3">
      <c r="A331" s="22">
        <f>IF(B331="","",327)</f>
        <v>327</v>
      </c>
      <c r="B331" s="22" t="str">
        <f>IF(Calc_Engine!I328="","",Calc_Engine!I328)</f>
        <v>EMP1327</v>
      </c>
      <c r="C331" s="23" t="str">
        <f t="shared" si="80"/>
        <v>Keerthi Agarwal</v>
      </c>
      <c r="D331" s="23" t="str">
        <f t="shared" si="81"/>
        <v>Operations Lead</v>
      </c>
      <c r="E331" s="23" t="str">
        <f t="shared" si="82"/>
        <v>Operations</v>
      </c>
      <c r="F331" s="22" t="str">
        <f t="shared" si="83"/>
        <v>L4</v>
      </c>
      <c r="G331" s="23" t="str">
        <f t="shared" si="84"/>
        <v>Ankit Khanna</v>
      </c>
      <c r="H331" s="22" t="str">
        <f t="shared" si="85"/>
        <v>Active</v>
      </c>
      <c r="I331" s="24">
        <f t="shared" si="86"/>
        <v>1.6</v>
      </c>
      <c r="J331" s="22">
        <f t="shared" si="87"/>
        <v>3</v>
      </c>
      <c r="K331" s="23" t="str">
        <f t="shared" si="88"/>
        <v>Effective Contributor</v>
      </c>
      <c r="L331" s="22" t="str">
        <f t="shared" si="89"/>
        <v>Not Eligible</v>
      </c>
      <c r="M331" s="24">
        <f t="shared" si="90"/>
        <v>23.18</v>
      </c>
      <c r="N331" s="25">
        <f t="shared" si="91"/>
        <v>0.99</v>
      </c>
      <c r="O331" s="26">
        <f t="shared" si="92"/>
        <v>0.94</v>
      </c>
      <c r="P331" s="25">
        <f t="shared" si="93"/>
        <v>3.47</v>
      </c>
      <c r="Q331" s="22" t="str">
        <f t="shared" si="94"/>
        <v>Low</v>
      </c>
      <c r="R331">
        <f t="shared" si="95"/>
        <v>327</v>
      </c>
    </row>
    <row r="332" spans="1:18" x14ac:dyDescent="0.3">
      <c r="A332" s="22">
        <f>IF(B332="","",328)</f>
        <v>328</v>
      </c>
      <c r="B332" s="22" t="str">
        <f>IF(Calc_Engine!I329="","",Calc_Engine!I329)</f>
        <v>EMP1328</v>
      </c>
      <c r="C332" s="23" t="str">
        <f t="shared" si="80"/>
        <v>Vishal Subramanian</v>
      </c>
      <c r="D332" s="23" t="str">
        <f t="shared" si="81"/>
        <v>Operations Associate</v>
      </c>
      <c r="E332" s="23" t="str">
        <f t="shared" si="82"/>
        <v>Operations</v>
      </c>
      <c r="F332" s="22" t="str">
        <f t="shared" si="83"/>
        <v>L1</v>
      </c>
      <c r="G332" s="23" t="str">
        <f t="shared" si="84"/>
        <v>Ramya Menon</v>
      </c>
      <c r="H332" s="22" t="str">
        <f t="shared" si="85"/>
        <v>Active</v>
      </c>
      <c r="I332" s="24">
        <f t="shared" si="86"/>
        <v>1.6</v>
      </c>
      <c r="J332" s="22">
        <f t="shared" si="87"/>
        <v>4</v>
      </c>
      <c r="K332" s="23" t="str">
        <f t="shared" si="88"/>
        <v>High Performer</v>
      </c>
      <c r="L332" s="22" t="str">
        <f t="shared" si="89"/>
        <v>Eligible</v>
      </c>
      <c r="M332" s="24">
        <f t="shared" si="90"/>
        <v>4.3</v>
      </c>
      <c r="N332" s="25">
        <f t="shared" si="91"/>
        <v>0.85</v>
      </c>
      <c r="O332" s="26">
        <f t="shared" si="92"/>
        <v>0.90800000000000003</v>
      </c>
      <c r="P332" s="25">
        <f t="shared" si="93"/>
        <v>3.35</v>
      </c>
      <c r="Q332" s="22" t="str">
        <f t="shared" si="94"/>
        <v>Medium</v>
      </c>
      <c r="R332">
        <f t="shared" si="95"/>
        <v>328</v>
      </c>
    </row>
    <row r="333" spans="1:18" x14ac:dyDescent="0.3">
      <c r="A333" s="22">
        <f>IF(B333="","",329)</f>
        <v>329</v>
      </c>
      <c r="B333" s="22" t="str">
        <f>IF(Calc_Engine!I330="","",Calc_Engine!I330)</f>
        <v>EMP1329</v>
      </c>
      <c r="C333" s="23" t="str">
        <f t="shared" si="80"/>
        <v>Akash Fernandes</v>
      </c>
      <c r="D333" s="23" t="str">
        <f t="shared" si="81"/>
        <v>Software Engineer</v>
      </c>
      <c r="E333" s="23" t="str">
        <f t="shared" si="82"/>
        <v>Engineering</v>
      </c>
      <c r="F333" s="22" t="str">
        <f t="shared" si="83"/>
        <v>L2</v>
      </c>
      <c r="G333" s="23" t="str">
        <f t="shared" si="84"/>
        <v>Fatima Choudhary</v>
      </c>
      <c r="H333" s="22" t="str">
        <f t="shared" si="85"/>
        <v>Active</v>
      </c>
      <c r="I333" s="24">
        <f t="shared" si="86"/>
        <v>1.6</v>
      </c>
      <c r="J333" s="22">
        <f t="shared" si="87"/>
        <v>2</v>
      </c>
      <c r="K333" s="23" t="str">
        <f t="shared" si="88"/>
        <v>Inconsistent Player</v>
      </c>
      <c r="L333" s="22" t="str">
        <f t="shared" si="89"/>
        <v>Not Eligible</v>
      </c>
      <c r="M333" s="24">
        <f t="shared" si="90"/>
        <v>8.74</v>
      </c>
      <c r="N333" s="25">
        <f t="shared" si="91"/>
        <v>1.02</v>
      </c>
      <c r="O333" s="26">
        <f t="shared" si="92"/>
        <v>0.90400000000000003</v>
      </c>
      <c r="P333" s="25">
        <f t="shared" si="93"/>
        <v>3.02</v>
      </c>
      <c r="Q333" s="22" t="str">
        <f t="shared" si="94"/>
        <v>Low</v>
      </c>
      <c r="R333">
        <f t="shared" si="95"/>
        <v>329</v>
      </c>
    </row>
    <row r="334" spans="1:18" x14ac:dyDescent="0.3">
      <c r="A334" s="22">
        <f>IF(B334="","",330)</f>
        <v>330</v>
      </c>
      <c r="B334" s="22" t="str">
        <f>IF(Calc_Engine!I331="","",Calc_Engine!I331)</f>
        <v>EMP1330</v>
      </c>
      <c r="C334" s="23" t="str">
        <f t="shared" si="80"/>
        <v>Prakash Singh</v>
      </c>
      <c r="D334" s="23" t="str">
        <f t="shared" si="81"/>
        <v>Senior Sales Executive</v>
      </c>
      <c r="E334" s="23" t="str">
        <f t="shared" si="82"/>
        <v>Sales</v>
      </c>
      <c r="F334" s="22" t="str">
        <f t="shared" si="83"/>
        <v>L3</v>
      </c>
      <c r="G334" s="23" t="str">
        <f t="shared" si="84"/>
        <v>Yash Raghavan</v>
      </c>
      <c r="H334" s="22" t="str">
        <f t="shared" si="85"/>
        <v>Active</v>
      </c>
      <c r="I334" s="24">
        <f t="shared" si="86"/>
        <v>1.5</v>
      </c>
      <c r="J334" s="22">
        <f t="shared" si="87"/>
        <v>3</v>
      </c>
      <c r="K334" s="23" t="str">
        <f t="shared" si="88"/>
        <v>Core Player</v>
      </c>
      <c r="L334" s="22" t="str">
        <f t="shared" si="89"/>
        <v>Not Eligible</v>
      </c>
      <c r="M334" s="24">
        <f t="shared" si="90"/>
        <v>13.86</v>
      </c>
      <c r="N334" s="25">
        <f t="shared" si="91"/>
        <v>0.96</v>
      </c>
      <c r="O334" s="26">
        <f t="shared" si="92"/>
        <v>0.91600000000000004</v>
      </c>
      <c r="P334" s="25">
        <f t="shared" si="93"/>
        <v>3.3</v>
      </c>
      <c r="Q334" s="22" t="str">
        <f t="shared" si="94"/>
        <v>Low</v>
      </c>
      <c r="R334">
        <f t="shared" si="95"/>
        <v>330</v>
      </c>
    </row>
    <row r="335" spans="1:18" x14ac:dyDescent="0.3">
      <c r="A335" s="22">
        <f>IF(B335="","",331)</f>
        <v>331</v>
      </c>
      <c r="B335" s="22" t="str">
        <f>IF(Calc_Engine!I332="","",Calc_Engine!I332)</f>
        <v>EMP1331</v>
      </c>
      <c r="C335" s="23" t="str">
        <f t="shared" si="80"/>
        <v>Sindhu Kapoor</v>
      </c>
      <c r="D335" s="23" t="str">
        <f t="shared" si="81"/>
        <v>Lead Data Scientist</v>
      </c>
      <c r="E335" s="23" t="str">
        <f t="shared" si="82"/>
        <v>Data &amp; Analytics</v>
      </c>
      <c r="F335" s="22" t="str">
        <f t="shared" si="83"/>
        <v>L4</v>
      </c>
      <c r="G335" s="23" t="str">
        <f t="shared" si="84"/>
        <v>Karan Verma</v>
      </c>
      <c r="H335" s="22" t="str">
        <f t="shared" si="85"/>
        <v>Active</v>
      </c>
      <c r="I335" s="24">
        <f t="shared" si="86"/>
        <v>1.5</v>
      </c>
      <c r="J335" s="22">
        <f t="shared" si="87"/>
        <v>3</v>
      </c>
      <c r="K335" s="23" t="str">
        <f t="shared" si="88"/>
        <v>Effective Contributor</v>
      </c>
      <c r="L335" s="22" t="str">
        <f t="shared" si="89"/>
        <v>Not Eligible</v>
      </c>
      <c r="M335" s="24">
        <f t="shared" si="90"/>
        <v>20.55</v>
      </c>
      <c r="N335" s="25">
        <f t="shared" si="91"/>
        <v>0.88</v>
      </c>
      <c r="O335" s="26">
        <f t="shared" si="92"/>
        <v>0.94399999999999995</v>
      </c>
      <c r="P335" s="25">
        <f t="shared" si="93"/>
        <v>3.37</v>
      </c>
      <c r="Q335" s="22" t="str">
        <f t="shared" si="94"/>
        <v>Low</v>
      </c>
      <c r="R335">
        <f t="shared" si="95"/>
        <v>331</v>
      </c>
    </row>
    <row r="336" spans="1:18" x14ac:dyDescent="0.3">
      <c r="A336" s="22">
        <f>IF(B336="","",332)</f>
        <v>332</v>
      </c>
      <c r="B336" s="22" t="str">
        <f>IF(Calc_Engine!I333="","",Calc_Engine!I333)</f>
        <v>EMP1332</v>
      </c>
      <c r="C336" s="23" t="str">
        <f t="shared" si="80"/>
        <v>Swathi Khanna</v>
      </c>
      <c r="D336" s="23" t="str">
        <f t="shared" si="81"/>
        <v>Software Engineer</v>
      </c>
      <c r="E336" s="23" t="str">
        <f t="shared" si="82"/>
        <v>Engineering</v>
      </c>
      <c r="F336" s="22" t="str">
        <f t="shared" si="83"/>
        <v>L2</v>
      </c>
      <c r="G336" s="23" t="str">
        <f t="shared" si="84"/>
        <v>Madhuri Menon</v>
      </c>
      <c r="H336" s="22" t="str">
        <f t="shared" si="85"/>
        <v>Active</v>
      </c>
      <c r="I336" s="24">
        <f t="shared" si="86"/>
        <v>1.5</v>
      </c>
      <c r="J336" s="22">
        <f t="shared" si="87"/>
        <v>3</v>
      </c>
      <c r="K336" s="23" t="str">
        <f t="shared" si="88"/>
        <v>Core Player</v>
      </c>
      <c r="L336" s="22" t="str">
        <f t="shared" si="89"/>
        <v>Not Eligible</v>
      </c>
      <c r="M336" s="24">
        <f t="shared" si="90"/>
        <v>11.83</v>
      </c>
      <c r="N336" s="25">
        <f t="shared" si="91"/>
        <v>1.38</v>
      </c>
      <c r="O336" s="26">
        <f t="shared" si="92"/>
        <v>0.88800000000000001</v>
      </c>
      <c r="P336" s="25">
        <f t="shared" si="93"/>
        <v>3.32</v>
      </c>
      <c r="Q336" s="22" t="str">
        <f t="shared" si="94"/>
        <v>Low</v>
      </c>
      <c r="R336">
        <f t="shared" si="95"/>
        <v>332</v>
      </c>
    </row>
    <row r="337" spans="1:18" x14ac:dyDescent="0.3">
      <c r="A337" s="22">
        <f>IF(B337="","",333)</f>
        <v>333</v>
      </c>
      <c r="B337" s="22" t="str">
        <f>IF(Calc_Engine!I334="","",Calc_Engine!I334)</f>
        <v>EMP1333</v>
      </c>
      <c r="C337" s="23" t="str">
        <f t="shared" si="80"/>
        <v>Siddharth Reddy</v>
      </c>
      <c r="D337" s="23" t="str">
        <f t="shared" si="81"/>
        <v>Senior Marketing Executive</v>
      </c>
      <c r="E337" s="23" t="str">
        <f t="shared" si="82"/>
        <v>Marketing</v>
      </c>
      <c r="F337" s="22" t="str">
        <f t="shared" si="83"/>
        <v>L3</v>
      </c>
      <c r="G337" s="23" t="str">
        <f t="shared" si="84"/>
        <v>Isha Chatterjee</v>
      </c>
      <c r="H337" s="22" t="str">
        <f t="shared" si="85"/>
        <v>Active</v>
      </c>
      <c r="I337" s="24">
        <f t="shared" si="86"/>
        <v>1.5</v>
      </c>
      <c r="J337" s="22">
        <f t="shared" si="87"/>
        <v>5</v>
      </c>
      <c r="K337" s="23" t="str">
        <f t="shared" si="88"/>
        <v>Star</v>
      </c>
      <c r="L337" s="22" t="str">
        <f t="shared" si="89"/>
        <v>Eligible</v>
      </c>
      <c r="M337" s="24">
        <f t="shared" si="90"/>
        <v>15.75</v>
      </c>
      <c r="N337" s="25">
        <f t="shared" si="91"/>
        <v>1.0900000000000001</v>
      </c>
      <c r="O337" s="26">
        <f t="shared" si="92"/>
        <v>0.89200000000000002</v>
      </c>
      <c r="P337" s="25">
        <f t="shared" si="93"/>
        <v>3.62</v>
      </c>
      <c r="Q337" s="22" t="str">
        <f t="shared" si="94"/>
        <v>Low</v>
      </c>
      <c r="R337">
        <f t="shared" si="95"/>
        <v>333</v>
      </c>
    </row>
    <row r="338" spans="1:18" x14ac:dyDescent="0.3">
      <c r="A338" s="22">
        <f>IF(B338="","",334)</f>
        <v>334</v>
      </c>
      <c r="B338" s="22" t="str">
        <f>IF(Calc_Engine!I335="","",Calc_Engine!I335)</f>
        <v>EMP1334</v>
      </c>
      <c r="C338" s="23" t="str">
        <f t="shared" si="80"/>
        <v>Megha Subramanian</v>
      </c>
      <c r="D338" s="23" t="str">
        <f t="shared" si="81"/>
        <v>Support Associate</v>
      </c>
      <c r="E338" s="23" t="str">
        <f t="shared" si="82"/>
        <v>Customer Support</v>
      </c>
      <c r="F338" s="22" t="str">
        <f t="shared" si="83"/>
        <v>L1</v>
      </c>
      <c r="G338" s="23" t="str">
        <f t="shared" si="84"/>
        <v>Imran Joshi</v>
      </c>
      <c r="H338" s="22" t="str">
        <f t="shared" si="85"/>
        <v>Exited</v>
      </c>
      <c r="I338" s="24">
        <f t="shared" si="86"/>
        <v>1.3</v>
      </c>
      <c r="J338" s="22">
        <f t="shared" si="87"/>
        <v>1</v>
      </c>
      <c r="K338" s="23" t="str">
        <f t="shared" si="88"/>
        <v>Underperformer</v>
      </c>
      <c r="L338" s="22" t="str">
        <f t="shared" si="89"/>
        <v>Not Eligible</v>
      </c>
      <c r="M338" s="24">
        <f t="shared" si="90"/>
        <v>4.0199999999999996</v>
      </c>
      <c r="N338" s="25">
        <f t="shared" si="91"/>
        <v>0.79</v>
      </c>
      <c r="O338" s="26">
        <f t="shared" si="92"/>
        <v>0.8666666666666667</v>
      </c>
      <c r="P338" s="25">
        <f t="shared" si="93"/>
        <v>3.07</v>
      </c>
      <c r="Q338" s="22" t="str">
        <f t="shared" si="94"/>
        <v>Exited</v>
      </c>
      <c r="R338">
        <f t="shared" si="95"/>
        <v>334</v>
      </c>
    </row>
    <row r="339" spans="1:18" x14ac:dyDescent="0.3">
      <c r="A339" s="22">
        <f>IF(B339="","",335)</f>
        <v>335</v>
      </c>
      <c r="B339" s="22" t="str">
        <f>IF(Calc_Engine!I336="","",Calc_Engine!I336)</f>
        <v>EMP1335</v>
      </c>
      <c r="C339" s="23" t="str">
        <f t="shared" si="80"/>
        <v>Farhan Kamath</v>
      </c>
      <c r="D339" s="23" t="str">
        <f t="shared" si="81"/>
        <v>Operations Executive</v>
      </c>
      <c r="E339" s="23" t="str">
        <f t="shared" si="82"/>
        <v>Operations</v>
      </c>
      <c r="F339" s="22" t="str">
        <f t="shared" si="83"/>
        <v>L2</v>
      </c>
      <c r="G339" s="23" t="str">
        <f t="shared" si="84"/>
        <v>Yash Shah</v>
      </c>
      <c r="H339" s="22" t="str">
        <f t="shared" si="85"/>
        <v>Active</v>
      </c>
      <c r="I339" s="24">
        <f t="shared" si="86"/>
        <v>1.5</v>
      </c>
      <c r="J339" s="22">
        <f t="shared" si="87"/>
        <v>3</v>
      </c>
      <c r="K339" s="23" t="str">
        <f t="shared" si="88"/>
        <v>Core Player</v>
      </c>
      <c r="L339" s="22" t="str">
        <f t="shared" si="89"/>
        <v>Not Eligible</v>
      </c>
      <c r="M339" s="24">
        <f t="shared" si="90"/>
        <v>6.85</v>
      </c>
      <c r="N339" s="25">
        <f t="shared" si="91"/>
        <v>0.8</v>
      </c>
      <c r="O339" s="26">
        <f t="shared" si="92"/>
        <v>0.91600000000000004</v>
      </c>
      <c r="P339" s="25">
        <f t="shared" si="93"/>
        <v>3.62</v>
      </c>
      <c r="Q339" s="22" t="str">
        <f t="shared" si="94"/>
        <v>Low</v>
      </c>
      <c r="R339">
        <f t="shared" si="95"/>
        <v>335</v>
      </c>
    </row>
    <row r="340" spans="1:18" x14ac:dyDescent="0.3">
      <c r="A340" s="22">
        <f>IF(B340="","",336)</f>
        <v>336</v>
      </c>
      <c r="B340" s="22" t="str">
        <f>IF(Calc_Engine!I337="","",Calc_Engine!I337)</f>
        <v>EMP1336</v>
      </c>
      <c r="C340" s="23" t="str">
        <f t="shared" si="80"/>
        <v>Rahul Siddiqui</v>
      </c>
      <c r="D340" s="23" t="str">
        <f t="shared" si="81"/>
        <v>Senior Support Executive</v>
      </c>
      <c r="E340" s="23" t="str">
        <f t="shared" si="82"/>
        <v>Customer Support</v>
      </c>
      <c r="F340" s="22" t="str">
        <f t="shared" si="83"/>
        <v>L3</v>
      </c>
      <c r="G340" s="23" t="str">
        <f t="shared" si="84"/>
        <v>Ashish Varghese</v>
      </c>
      <c r="H340" s="22" t="str">
        <f t="shared" si="85"/>
        <v>Active</v>
      </c>
      <c r="I340" s="24">
        <f t="shared" si="86"/>
        <v>1.5</v>
      </c>
      <c r="J340" s="22">
        <f t="shared" si="87"/>
        <v>3</v>
      </c>
      <c r="K340" s="23" t="str">
        <f t="shared" si="88"/>
        <v>Effective Contributor</v>
      </c>
      <c r="L340" s="22" t="str">
        <f t="shared" si="89"/>
        <v>Not Eligible</v>
      </c>
      <c r="M340" s="24">
        <f t="shared" si="90"/>
        <v>9.2100000000000009</v>
      </c>
      <c r="N340" s="25">
        <f t="shared" si="91"/>
        <v>0.64</v>
      </c>
      <c r="O340" s="26">
        <f t="shared" si="92"/>
        <v>0.93200000000000005</v>
      </c>
      <c r="P340" s="25">
        <f t="shared" si="93"/>
        <v>3.4</v>
      </c>
      <c r="Q340" s="22" t="str">
        <f t="shared" si="94"/>
        <v>Low</v>
      </c>
      <c r="R340">
        <f t="shared" si="95"/>
        <v>336</v>
      </c>
    </row>
    <row r="341" spans="1:18" x14ac:dyDescent="0.3">
      <c r="A341" s="22">
        <f>IF(B341="","",337)</f>
        <v>337</v>
      </c>
      <c r="B341" s="22" t="str">
        <f>IF(Calc_Engine!I338="","",Calc_Engine!I338)</f>
        <v>EMP1337</v>
      </c>
      <c r="C341" s="23" t="str">
        <f t="shared" si="80"/>
        <v>Ajay Naidu</v>
      </c>
      <c r="D341" s="23" t="str">
        <f t="shared" si="81"/>
        <v>Senior Software Engineer</v>
      </c>
      <c r="E341" s="23" t="str">
        <f t="shared" si="82"/>
        <v>Engineering</v>
      </c>
      <c r="F341" s="22" t="str">
        <f t="shared" si="83"/>
        <v>L3</v>
      </c>
      <c r="G341" s="23" t="str">
        <f t="shared" si="84"/>
        <v>Isha Jain</v>
      </c>
      <c r="H341" s="22" t="str">
        <f t="shared" si="85"/>
        <v>Active</v>
      </c>
      <c r="I341" s="24">
        <f t="shared" si="86"/>
        <v>1.5</v>
      </c>
      <c r="J341" s="22">
        <f t="shared" si="87"/>
        <v>4</v>
      </c>
      <c r="K341" s="23" t="str">
        <f t="shared" si="88"/>
        <v>High Performer</v>
      </c>
      <c r="L341" s="22" t="str">
        <f t="shared" si="89"/>
        <v>Not Eligible</v>
      </c>
      <c r="M341" s="24">
        <f t="shared" si="90"/>
        <v>13.61</v>
      </c>
      <c r="N341" s="25">
        <f t="shared" si="91"/>
        <v>0.94</v>
      </c>
      <c r="O341" s="26">
        <f t="shared" si="92"/>
        <v>0.94</v>
      </c>
      <c r="P341" s="25">
        <f t="shared" si="93"/>
        <v>2.95</v>
      </c>
      <c r="Q341" s="22" t="str">
        <f t="shared" si="94"/>
        <v>Medium</v>
      </c>
      <c r="R341">
        <f t="shared" si="95"/>
        <v>337</v>
      </c>
    </row>
    <row r="342" spans="1:18" x14ac:dyDescent="0.3">
      <c r="A342" s="22">
        <f>IF(B342="","",338)</f>
        <v>338</v>
      </c>
      <c r="B342" s="22" t="str">
        <f>IF(Calc_Engine!I339="","",Calc_Engine!I339)</f>
        <v>EMP1338</v>
      </c>
      <c r="C342" s="23" t="str">
        <f t="shared" si="80"/>
        <v>Sai Kulkarni</v>
      </c>
      <c r="D342" s="23" t="str">
        <f t="shared" si="81"/>
        <v>Operations Associate</v>
      </c>
      <c r="E342" s="23" t="str">
        <f t="shared" si="82"/>
        <v>Operations</v>
      </c>
      <c r="F342" s="22" t="str">
        <f t="shared" si="83"/>
        <v>L1</v>
      </c>
      <c r="G342" s="23" t="str">
        <f t="shared" si="84"/>
        <v>Nandini Fernandes</v>
      </c>
      <c r="H342" s="22" t="str">
        <f t="shared" si="85"/>
        <v>Exited</v>
      </c>
      <c r="I342" s="24">
        <f t="shared" si="86"/>
        <v>1</v>
      </c>
      <c r="J342" s="22">
        <f t="shared" si="87"/>
        <v>3</v>
      </c>
      <c r="K342" s="23" t="str">
        <f t="shared" si="88"/>
        <v>Effective Contributor</v>
      </c>
      <c r="L342" s="22" t="str">
        <f t="shared" si="89"/>
        <v>Not Eligible</v>
      </c>
      <c r="M342" s="24">
        <f t="shared" si="90"/>
        <v>4.4000000000000004</v>
      </c>
      <c r="N342" s="25">
        <f t="shared" si="91"/>
        <v>0.86</v>
      </c>
      <c r="O342" s="26">
        <f t="shared" si="92"/>
        <v>0.89130434782608692</v>
      </c>
      <c r="P342" s="25">
        <f t="shared" si="93"/>
        <v>3.15</v>
      </c>
      <c r="Q342" s="22" t="str">
        <f t="shared" si="94"/>
        <v>Exited</v>
      </c>
      <c r="R342">
        <f t="shared" si="95"/>
        <v>338</v>
      </c>
    </row>
    <row r="343" spans="1:18" x14ac:dyDescent="0.3">
      <c r="A343" s="22">
        <f>IF(B343="","",339)</f>
        <v>339</v>
      </c>
      <c r="B343" s="22" t="str">
        <f>IF(Calc_Engine!I340="","",Calc_Engine!I340)</f>
        <v>EMP1339</v>
      </c>
      <c r="C343" s="23" t="str">
        <f t="shared" si="80"/>
        <v>Lakshmi Subramanian</v>
      </c>
      <c r="D343" s="23" t="str">
        <f t="shared" si="81"/>
        <v>Senior Legal Manager</v>
      </c>
      <c r="E343" s="23" t="str">
        <f t="shared" si="82"/>
        <v>Legal &amp; Compliance</v>
      </c>
      <c r="F343" s="22" t="str">
        <f t="shared" si="83"/>
        <v>L6</v>
      </c>
      <c r="G343" s="23" t="str">
        <f t="shared" si="84"/>
        <v>Aditi Nair</v>
      </c>
      <c r="H343" s="22" t="str">
        <f t="shared" si="85"/>
        <v>Active</v>
      </c>
      <c r="I343" s="24">
        <f t="shared" si="86"/>
        <v>1.5</v>
      </c>
      <c r="J343" s="22">
        <f t="shared" si="87"/>
        <v>1</v>
      </c>
      <c r="K343" s="23" t="str">
        <f t="shared" si="88"/>
        <v>Underperformer</v>
      </c>
      <c r="L343" s="22" t="str">
        <f t="shared" si="89"/>
        <v>Not Eligible</v>
      </c>
      <c r="M343" s="24">
        <f t="shared" si="90"/>
        <v>60.67</v>
      </c>
      <c r="N343" s="25">
        <f t="shared" si="91"/>
        <v>1.1299999999999999</v>
      </c>
      <c r="O343" s="26">
        <f t="shared" si="92"/>
        <v>0.86</v>
      </c>
      <c r="P343" s="25">
        <f t="shared" si="93"/>
        <v>2.85</v>
      </c>
      <c r="Q343" s="22" t="str">
        <f t="shared" si="94"/>
        <v>Low</v>
      </c>
      <c r="R343">
        <f t="shared" si="95"/>
        <v>339</v>
      </c>
    </row>
    <row r="344" spans="1:18" x14ac:dyDescent="0.3">
      <c r="A344" s="22">
        <f>IF(B344="","",340)</f>
        <v>340</v>
      </c>
      <c r="B344" s="22" t="str">
        <f>IF(Calc_Engine!I341="","",Calc_Engine!I341)</f>
        <v>EMP1340</v>
      </c>
      <c r="C344" s="23" t="str">
        <f t="shared" si="80"/>
        <v>Rohan Raghavan</v>
      </c>
      <c r="D344" s="23" t="str">
        <f t="shared" si="81"/>
        <v>Associate Software Engineer</v>
      </c>
      <c r="E344" s="23" t="str">
        <f t="shared" si="82"/>
        <v>Engineering</v>
      </c>
      <c r="F344" s="22" t="str">
        <f t="shared" si="83"/>
        <v>L1</v>
      </c>
      <c r="G344" s="23" t="str">
        <f t="shared" si="84"/>
        <v>Bhavana Hegde</v>
      </c>
      <c r="H344" s="22" t="str">
        <f t="shared" si="85"/>
        <v>Active</v>
      </c>
      <c r="I344" s="24">
        <f t="shared" si="86"/>
        <v>1.5</v>
      </c>
      <c r="J344" s="22">
        <f t="shared" si="87"/>
        <v>4</v>
      </c>
      <c r="K344" s="23" t="str">
        <f t="shared" si="88"/>
        <v>High Performer</v>
      </c>
      <c r="L344" s="22" t="str">
        <f t="shared" si="89"/>
        <v>Not Eligible</v>
      </c>
      <c r="M344" s="24">
        <f t="shared" si="90"/>
        <v>4.82</v>
      </c>
      <c r="N344" s="25">
        <f t="shared" si="91"/>
        <v>0.95</v>
      </c>
      <c r="O344" s="26">
        <f t="shared" si="92"/>
        <v>0.86</v>
      </c>
      <c r="P344" s="25">
        <f t="shared" si="93"/>
        <v>3.63</v>
      </c>
      <c r="Q344" s="22" t="str">
        <f t="shared" si="94"/>
        <v>Low</v>
      </c>
      <c r="R344">
        <f t="shared" si="95"/>
        <v>340</v>
      </c>
    </row>
    <row r="345" spans="1:18" x14ac:dyDescent="0.3">
      <c r="A345" s="22">
        <f>IF(B345="","",341)</f>
        <v>341</v>
      </c>
      <c r="B345" s="22" t="str">
        <f>IF(Calc_Engine!I342="","",Calc_Engine!I342)</f>
        <v>EMP1341</v>
      </c>
      <c r="C345" s="23" t="str">
        <f t="shared" si="80"/>
        <v>Gayatri Naidu</v>
      </c>
      <c r="D345" s="23" t="str">
        <f t="shared" si="81"/>
        <v>Support Team Lead</v>
      </c>
      <c r="E345" s="23" t="str">
        <f t="shared" si="82"/>
        <v>Customer Support</v>
      </c>
      <c r="F345" s="22" t="str">
        <f t="shared" si="83"/>
        <v>L4</v>
      </c>
      <c r="G345" s="23" t="str">
        <f t="shared" si="84"/>
        <v>Ashish Varghese</v>
      </c>
      <c r="H345" s="22" t="str">
        <f t="shared" si="85"/>
        <v>Exited</v>
      </c>
      <c r="I345" s="24">
        <f t="shared" si="86"/>
        <v>0.5</v>
      </c>
      <c r="J345" s="22">
        <f t="shared" si="87"/>
        <v>4</v>
      </c>
      <c r="K345" s="23" t="str">
        <f t="shared" si="88"/>
        <v>High Performer</v>
      </c>
      <c r="L345" s="22" t="str">
        <f t="shared" si="89"/>
        <v>Not Eligible</v>
      </c>
      <c r="M345" s="24">
        <f t="shared" si="90"/>
        <v>16.690000000000001</v>
      </c>
      <c r="N345" s="25">
        <f t="shared" si="91"/>
        <v>0.71</v>
      </c>
      <c r="O345" s="26">
        <f t="shared" si="92"/>
        <v>0.8</v>
      </c>
      <c r="P345" s="25">
        <f t="shared" si="93"/>
        <v>2.1800000000000002</v>
      </c>
      <c r="Q345" s="22" t="str">
        <f t="shared" si="94"/>
        <v>Exited</v>
      </c>
      <c r="R345">
        <f t="shared" si="95"/>
        <v>341</v>
      </c>
    </row>
    <row r="346" spans="1:18" x14ac:dyDescent="0.3">
      <c r="A346" s="22">
        <f>IF(B346="","",342)</f>
        <v>342</v>
      </c>
      <c r="B346" s="22" t="str">
        <f>IF(Calc_Engine!I343="","",Calc_Engine!I343)</f>
        <v>EMP1342</v>
      </c>
      <c r="C346" s="23" t="str">
        <f t="shared" si="80"/>
        <v>Kiran Bose</v>
      </c>
      <c r="D346" s="23" t="str">
        <f t="shared" si="81"/>
        <v>Sales Associate</v>
      </c>
      <c r="E346" s="23" t="str">
        <f t="shared" si="82"/>
        <v>Sales</v>
      </c>
      <c r="F346" s="22" t="str">
        <f t="shared" si="83"/>
        <v>L1</v>
      </c>
      <c r="G346" s="23" t="str">
        <f t="shared" si="84"/>
        <v>Kavya Krishnan</v>
      </c>
      <c r="H346" s="22" t="str">
        <f t="shared" si="85"/>
        <v>Active</v>
      </c>
      <c r="I346" s="24">
        <f t="shared" si="86"/>
        <v>1.4</v>
      </c>
      <c r="J346" s="22">
        <f t="shared" si="87"/>
        <v>2</v>
      </c>
      <c r="K346" s="23" t="str">
        <f t="shared" si="88"/>
        <v>Underperformer</v>
      </c>
      <c r="L346" s="22" t="str">
        <f t="shared" si="89"/>
        <v>Not Eligible</v>
      </c>
      <c r="M346" s="24">
        <f t="shared" si="90"/>
        <v>4.0999999999999996</v>
      </c>
      <c r="N346" s="25">
        <f t="shared" si="91"/>
        <v>0.81</v>
      </c>
      <c r="O346" s="26">
        <f t="shared" si="92"/>
        <v>0.88400000000000001</v>
      </c>
      <c r="P346" s="25">
        <f t="shared" si="93"/>
        <v>2.98</v>
      </c>
      <c r="Q346" s="22" t="str">
        <f t="shared" si="94"/>
        <v>High</v>
      </c>
      <c r="R346">
        <f t="shared" si="95"/>
        <v>342</v>
      </c>
    </row>
    <row r="347" spans="1:18" x14ac:dyDescent="0.3">
      <c r="A347" s="22">
        <f>IF(B347="","",343)</f>
        <v>343</v>
      </c>
      <c r="B347" s="22" t="str">
        <f>IF(Calc_Engine!I344="","",Calc_Engine!I344)</f>
        <v>EMP1343</v>
      </c>
      <c r="C347" s="23" t="str">
        <f t="shared" si="80"/>
        <v>Trisha Gowda</v>
      </c>
      <c r="D347" s="23" t="str">
        <f t="shared" si="81"/>
        <v>Senior Operations Executive</v>
      </c>
      <c r="E347" s="23" t="str">
        <f t="shared" si="82"/>
        <v>Operations</v>
      </c>
      <c r="F347" s="22" t="str">
        <f t="shared" si="83"/>
        <v>L3</v>
      </c>
      <c r="G347" s="23" t="str">
        <f t="shared" si="84"/>
        <v>Ramya Menon</v>
      </c>
      <c r="H347" s="22" t="str">
        <f t="shared" si="85"/>
        <v>Exited</v>
      </c>
      <c r="I347" s="24">
        <f t="shared" si="86"/>
        <v>0.9</v>
      </c>
      <c r="J347" s="22">
        <f t="shared" si="87"/>
        <v>4</v>
      </c>
      <c r="K347" s="23" t="str">
        <f t="shared" si="88"/>
        <v>Trusted Professional</v>
      </c>
      <c r="L347" s="22" t="str">
        <f t="shared" si="89"/>
        <v>Not Eligible</v>
      </c>
      <c r="M347" s="24">
        <f t="shared" si="90"/>
        <v>10.3</v>
      </c>
      <c r="N347" s="25">
        <f t="shared" si="91"/>
        <v>0.71</v>
      </c>
      <c r="O347" s="26">
        <f t="shared" si="92"/>
        <v>0.85039370078740162</v>
      </c>
      <c r="P347" s="25">
        <f t="shared" si="93"/>
        <v>3.02</v>
      </c>
      <c r="Q347" s="22" t="str">
        <f t="shared" si="94"/>
        <v>Exited</v>
      </c>
      <c r="R347">
        <f t="shared" si="95"/>
        <v>343</v>
      </c>
    </row>
    <row r="348" spans="1:18" x14ac:dyDescent="0.3">
      <c r="A348" s="22">
        <f>IF(B348="","",344)</f>
        <v>344</v>
      </c>
      <c r="B348" s="22" t="str">
        <f>IF(Calc_Engine!I345="","",Calc_Engine!I345)</f>
        <v>EMP1344</v>
      </c>
      <c r="C348" s="23" t="str">
        <f t="shared" si="80"/>
        <v>Pooja Subramanian</v>
      </c>
      <c r="D348" s="23" t="str">
        <f t="shared" si="81"/>
        <v>Senior Operations Executive</v>
      </c>
      <c r="E348" s="23" t="str">
        <f t="shared" si="82"/>
        <v>Operations</v>
      </c>
      <c r="F348" s="22" t="str">
        <f t="shared" si="83"/>
        <v>L3</v>
      </c>
      <c r="G348" s="23" t="str">
        <f t="shared" si="84"/>
        <v>Nandini Fernandes</v>
      </c>
      <c r="H348" s="22" t="str">
        <f t="shared" si="85"/>
        <v>Active</v>
      </c>
      <c r="I348" s="24">
        <f t="shared" si="86"/>
        <v>1.4</v>
      </c>
      <c r="J348" s="22">
        <f t="shared" si="87"/>
        <v>3</v>
      </c>
      <c r="K348" s="23" t="str">
        <f t="shared" si="88"/>
        <v>Future Star</v>
      </c>
      <c r="L348" s="22" t="str">
        <f t="shared" si="89"/>
        <v>Not Eligible</v>
      </c>
      <c r="M348" s="24">
        <f t="shared" si="90"/>
        <v>11.46</v>
      </c>
      <c r="N348" s="25">
        <f t="shared" si="91"/>
        <v>0.79</v>
      </c>
      <c r="O348" s="26">
        <f t="shared" si="92"/>
        <v>0.89200000000000002</v>
      </c>
      <c r="P348" s="25">
        <f t="shared" si="93"/>
        <v>3.07</v>
      </c>
      <c r="Q348" s="22" t="str">
        <f t="shared" si="94"/>
        <v>Low</v>
      </c>
      <c r="R348">
        <f t="shared" si="95"/>
        <v>344</v>
      </c>
    </row>
    <row r="349" spans="1:18" x14ac:dyDescent="0.3">
      <c r="A349" s="22">
        <f>IF(B349="","",345)</f>
        <v>345</v>
      </c>
      <c r="B349" s="22" t="str">
        <f>IF(Calc_Engine!I346="","",Calc_Engine!I346)</f>
        <v>EMP1345</v>
      </c>
      <c r="C349" s="23" t="str">
        <f t="shared" si="80"/>
        <v>Nikhil Nair</v>
      </c>
      <c r="D349" s="23" t="str">
        <f t="shared" si="81"/>
        <v>Data Analyst I</v>
      </c>
      <c r="E349" s="23" t="str">
        <f t="shared" si="82"/>
        <v>Data &amp; Analytics</v>
      </c>
      <c r="F349" s="22" t="str">
        <f t="shared" si="83"/>
        <v>L1</v>
      </c>
      <c r="G349" s="23" t="str">
        <f t="shared" si="84"/>
        <v>Arun Mukherjee</v>
      </c>
      <c r="H349" s="22" t="str">
        <f t="shared" si="85"/>
        <v>Active</v>
      </c>
      <c r="I349" s="24">
        <f t="shared" si="86"/>
        <v>1.4</v>
      </c>
      <c r="J349" s="22">
        <f t="shared" si="87"/>
        <v>2</v>
      </c>
      <c r="K349" s="23" t="str">
        <f t="shared" si="88"/>
        <v>Inconsistent Player</v>
      </c>
      <c r="L349" s="22" t="str">
        <f t="shared" si="89"/>
        <v>Not Eligible</v>
      </c>
      <c r="M349" s="24">
        <f t="shared" si="90"/>
        <v>6.21</v>
      </c>
      <c r="N349" s="25">
        <f t="shared" si="91"/>
        <v>1.22</v>
      </c>
      <c r="O349" s="26">
        <f t="shared" si="92"/>
        <v>0.93200000000000005</v>
      </c>
      <c r="P349" s="25">
        <f t="shared" si="93"/>
        <v>2.6</v>
      </c>
      <c r="Q349" s="22" t="str">
        <f t="shared" si="94"/>
        <v>Low</v>
      </c>
      <c r="R349">
        <f t="shared" si="95"/>
        <v>345</v>
      </c>
    </row>
    <row r="350" spans="1:18" x14ac:dyDescent="0.3">
      <c r="A350" s="22">
        <f>IF(B350="","",346)</f>
        <v>346</v>
      </c>
      <c r="B350" s="22" t="str">
        <f>IF(Calc_Engine!I347="","",Calc_Engine!I347)</f>
        <v>EMP1346</v>
      </c>
      <c r="C350" s="23" t="str">
        <f t="shared" si="80"/>
        <v>Imran Mukherjee</v>
      </c>
      <c r="D350" s="23" t="str">
        <f t="shared" si="81"/>
        <v>Senior Software Engineer</v>
      </c>
      <c r="E350" s="23" t="str">
        <f t="shared" si="82"/>
        <v>Engineering</v>
      </c>
      <c r="F350" s="22" t="str">
        <f t="shared" si="83"/>
        <v>L3</v>
      </c>
      <c r="G350" s="23" t="str">
        <f t="shared" si="84"/>
        <v>Isha Jain</v>
      </c>
      <c r="H350" s="22" t="str">
        <f t="shared" si="85"/>
        <v>Active</v>
      </c>
      <c r="I350" s="24">
        <f t="shared" si="86"/>
        <v>1.4</v>
      </c>
      <c r="J350" s="22">
        <f t="shared" si="87"/>
        <v>3</v>
      </c>
      <c r="K350" s="23" t="str">
        <f t="shared" si="88"/>
        <v>Core Player</v>
      </c>
      <c r="L350" s="22" t="str">
        <f t="shared" si="89"/>
        <v>Not Eligible</v>
      </c>
      <c r="M350" s="24">
        <f t="shared" si="90"/>
        <v>13.36</v>
      </c>
      <c r="N350" s="25">
        <f t="shared" si="91"/>
        <v>0.92</v>
      </c>
      <c r="O350" s="26">
        <f t="shared" si="92"/>
        <v>0.92</v>
      </c>
      <c r="P350" s="25">
        <f t="shared" si="93"/>
        <v>3.05</v>
      </c>
      <c r="Q350" s="22" t="str">
        <f t="shared" si="94"/>
        <v>Low</v>
      </c>
      <c r="R350">
        <f t="shared" si="95"/>
        <v>346</v>
      </c>
    </row>
    <row r="351" spans="1:18" x14ac:dyDescent="0.3">
      <c r="A351" s="22">
        <f>IF(B351="","",347)</f>
        <v>347</v>
      </c>
      <c r="B351" s="22" t="str">
        <f>IF(Calc_Engine!I348="","",Calc_Engine!I348)</f>
        <v>EMP1347</v>
      </c>
      <c r="C351" s="23" t="str">
        <f t="shared" si="80"/>
        <v>Vinay Krishnan</v>
      </c>
      <c r="D351" s="23" t="str">
        <f t="shared" si="81"/>
        <v>Support Associate</v>
      </c>
      <c r="E351" s="23" t="str">
        <f t="shared" si="82"/>
        <v>Customer Support</v>
      </c>
      <c r="F351" s="22" t="str">
        <f t="shared" si="83"/>
        <v>L1</v>
      </c>
      <c r="G351" s="23" t="str">
        <f t="shared" si="84"/>
        <v>Anjali Iyer</v>
      </c>
      <c r="H351" s="22" t="str">
        <f t="shared" si="85"/>
        <v>Active</v>
      </c>
      <c r="I351" s="24">
        <f t="shared" si="86"/>
        <v>1.4</v>
      </c>
      <c r="J351" s="22">
        <f t="shared" si="87"/>
        <v>3</v>
      </c>
      <c r="K351" s="23" t="str">
        <f t="shared" si="88"/>
        <v>Core Player</v>
      </c>
      <c r="L351" s="22" t="str">
        <f t="shared" si="89"/>
        <v>Not Eligible</v>
      </c>
      <c r="M351" s="24">
        <f t="shared" si="90"/>
        <v>3.88</v>
      </c>
      <c r="N351" s="25">
        <f t="shared" si="91"/>
        <v>0.76</v>
      </c>
      <c r="O351" s="26">
        <f t="shared" si="92"/>
        <v>0.89600000000000002</v>
      </c>
      <c r="P351" s="25">
        <f t="shared" si="93"/>
        <v>3.38</v>
      </c>
      <c r="Q351" s="22" t="str">
        <f t="shared" si="94"/>
        <v>Low</v>
      </c>
      <c r="R351">
        <f t="shared" si="95"/>
        <v>347</v>
      </c>
    </row>
    <row r="352" spans="1:18" x14ac:dyDescent="0.3">
      <c r="A352" s="22">
        <f>IF(B352="","",348)</f>
        <v>348</v>
      </c>
      <c r="B352" s="22" t="str">
        <f>IF(Calc_Engine!I349="","",Calc_Engine!I349)</f>
        <v>EMP1348</v>
      </c>
      <c r="C352" s="23" t="str">
        <f t="shared" si="80"/>
        <v>Tarun Mehta</v>
      </c>
      <c r="D352" s="23" t="str">
        <f t="shared" si="81"/>
        <v>Support Associate</v>
      </c>
      <c r="E352" s="23" t="str">
        <f t="shared" si="82"/>
        <v>Customer Support</v>
      </c>
      <c r="F352" s="22" t="str">
        <f t="shared" si="83"/>
        <v>L1</v>
      </c>
      <c r="G352" s="23" t="str">
        <f t="shared" si="84"/>
        <v>Akash Dsouza</v>
      </c>
      <c r="H352" s="22" t="str">
        <f t="shared" si="85"/>
        <v>Active</v>
      </c>
      <c r="I352" s="24">
        <f t="shared" si="86"/>
        <v>1.4</v>
      </c>
      <c r="J352" s="22">
        <f t="shared" si="87"/>
        <v>3</v>
      </c>
      <c r="K352" s="23" t="str">
        <f t="shared" si="88"/>
        <v>Effective Contributor</v>
      </c>
      <c r="L352" s="22" t="str">
        <f t="shared" si="89"/>
        <v>Not Eligible</v>
      </c>
      <c r="M352" s="24">
        <f t="shared" si="90"/>
        <v>2.75</v>
      </c>
      <c r="N352" s="25">
        <f t="shared" si="91"/>
        <v>0.54</v>
      </c>
      <c r="O352" s="26">
        <f t="shared" si="92"/>
        <v>0.93200000000000005</v>
      </c>
      <c r="P352" s="25">
        <f t="shared" si="93"/>
        <v>3.22</v>
      </c>
      <c r="Q352" s="22" t="str">
        <f t="shared" si="94"/>
        <v>Medium</v>
      </c>
      <c r="R352">
        <f t="shared" si="95"/>
        <v>348</v>
      </c>
    </row>
    <row r="353" spans="1:18" x14ac:dyDescent="0.3">
      <c r="A353" s="22">
        <f>IF(B353="","",349)</f>
        <v>349</v>
      </c>
      <c r="B353" s="22" t="str">
        <f>IF(Calc_Engine!I350="","",Calc_Engine!I350)</f>
        <v>EMP1349</v>
      </c>
      <c r="C353" s="23" t="str">
        <f t="shared" si="80"/>
        <v>Mohit Nair</v>
      </c>
      <c r="D353" s="23" t="str">
        <f t="shared" si="81"/>
        <v>Data Analyst II</v>
      </c>
      <c r="E353" s="23" t="str">
        <f t="shared" si="82"/>
        <v>Data &amp; Analytics</v>
      </c>
      <c r="F353" s="22" t="str">
        <f t="shared" si="83"/>
        <v>L2</v>
      </c>
      <c r="G353" s="23" t="str">
        <f t="shared" si="84"/>
        <v>Arun Mukherjee</v>
      </c>
      <c r="H353" s="22" t="str">
        <f t="shared" si="85"/>
        <v>Exited</v>
      </c>
      <c r="I353" s="24">
        <f t="shared" si="86"/>
        <v>1.1000000000000001</v>
      </c>
      <c r="J353" s="22">
        <f t="shared" si="87"/>
        <v>3</v>
      </c>
      <c r="K353" s="23" t="str">
        <f t="shared" si="88"/>
        <v>Core Player</v>
      </c>
      <c r="L353" s="22" t="str">
        <f t="shared" si="89"/>
        <v>Not Eligible</v>
      </c>
      <c r="M353" s="24">
        <f t="shared" si="90"/>
        <v>8.4600000000000009</v>
      </c>
      <c r="N353" s="25">
        <f t="shared" si="91"/>
        <v>0.99</v>
      </c>
      <c r="O353" s="26">
        <f t="shared" si="92"/>
        <v>0.88481675392670156</v>
      </c>
      <c r="P353" s="25">
        <f t="shared" si="93"/>
        <v>3</v>
      </c>
      <c r="Q353" s="22" t="str">
        <f t="shared" si="94"/>
        <v>Exited</v>
      </c>
      <c r="R353">
        <f t="shared" si="95"/>
        <v>349</v>
      </c>
    </row>
    <row r="354" spans="1:18" x14ac:dyDescent="0.3">
      <c r="A354" s="22">
        <f>IF(B354="","",350)</f>
        <v>350</v>
      </c>
      <c r="B354" s="22" t="str">
        <f>IF(Calc_Engine!I351="","",Calc_Engine!I351)</f>
        <v>EMP1350</v>
      </c>
      <c r="C354" s="23" t="str">
        <f t="shared" si="80"/>
        <v>Akash Naidu</v>
      </c>
      <c r="D354" s="23" t="str">
        <f t="shared" si="81"/>
        <v>Software Engineer</v>
      </c>
      <c r="E354" s="23" t="str">
        <f t="shared" si="82"/>
        <v>Engineering</v>
      </c>
      <c r="F354" s="22" t="str">
        <f t="shared" si="83"/>
        <v>L2</v>
      </c>
      <c r="G354" s="23" t="str">
        <f t="shared" si="84"/>
        <v>Isha Jain</v>
      </c>
      <c r="H354" s="22" t="str">
        <f t="shared" si="85"/>
        <v>Active</v>
      </c>
      <c r="I354" s="24">
        <f t="shared" si="86"/>
        <v>1.3</v>
      </c>
      <c r="J354" s="22">
        <f t="shared" si="87"/>
        <v>3</v>
      </c>
      <c r="K354" s="23" t="str">
        <f t="shared" si="88"/>
        <v>Core Player</v>
      </c>
      <c r="L354" s="22" t="str">
        <f t="shared" si="89"/>
        <v>Not Eligible</v>
      </c>
      <c r="M354" s="24">
        <f t="shared" si="90"/>
        <v>8.82</v>
      </c>
      <c r="N354" s="25">
        <f t="shared" si="91"/>
        <v>1.03</v>
      </c>
      <c r="O354" s="26">
        <f t="shared" si="92"/>
        <v>0.97599999999999998</v>
      </c>
      <c r="P354" s="25">
        <f t="shared" si="93"/>
        <v>3.13</v>
      </c>
      <c r="Q354" s="22" t="str">
        <f t="shared" si="94"/>
        <v>Low</v>
      </c>
      <c r="R354">
        <f t="shared" si="95"/>
        <v>350</v>
      </c>
    </row>
    <row r="355" spans="1:18" x14ac:dyDescent="0.3">
      <c r="A355" s="22">
        <f>IF(B355="","",351)</f>
        <v>351</v>
      </c>
      <c r="B355" s="22" t="str">
        <f>IF(Calc_Engine!I352="","",Calc_Engine!I352)</f>
        <v>EMP1351</v>
      </c>
      <c r="C355" s="23" t="str">
        <f t="shared" si="80"/>
        <v>Pallavi Desai</v>
      </c>
      <c r="D355" s="23" t="str">
        <f t="shared" si="81"/>
        <v>Senior Support Executive</v>
      </c>
      <c r="E355" s="23" t="str">
        <f t="shared" si="82"/>
        <v>Customer Support</v>
      </c>
      <c r="F355" s="22" t="str">
        <f t="shared" si="83"/>
        <v>L3</v>
      </c>
      <c r="G355" s="23" t="str">
        <f t="shared" si="84"/>
        <v>Isha Verma</v>
      </c>
      <c r="H355" s="22" t="str">
        <f t="shared" si="85"/>
        <v>Active</v>
      </c>
      <c r="I355" s="24">
        <f t="shared" si="86"/>
        <v>1.3</v>
      </c>
      <c r="J355" s="22">
        <f t="shared" si="87"/>
        <v>3</v>
      </c>
      <c r="K355" s="23" t="str">
        <f t="shared" si="88"/>
        <v>Core Player</v>
      </c>
      <c r="L355" s="22" t="str">
        <f t="shared" si="89"/>
        <v>Not Eligible</v>
      </c>
      <c r="M355" s="24">
        <f t="shared" si="90"/>
        <v>11.51</v>
      </c>
      <c r="N355" s="25">
        <f t="shared" si="91"/>
        <v>0.8</v>
      </c>
      <c r="O355" s="26">
        <f t="shared" si="92"/>
        <v>0.88800000000000001</v>
      </c>
      <c r="P355" s="25">
        <f t="shared" si="93"/>
        <v>3.48</v>
      </c>
      <c r="Q355" s="22" t="str">
        <f t="shared" si="94"/>
        <v>Low</v>
      </c>
      <c r="R355">
        <f t="shared" si="95"/>
        <v>351</v>
      </c>
    </row>
    <row r="356" spans="1:18" x14ac:dyDescent="0.3">
      <c r="A356" s="22">
        <f>IF(B356="","",352)</f>
        <v>352</v>
      </c>
      <c r="B356" s="22" t="str">
        <f>IF(Calc_Engine!I353="","",Calc_Engine!I353)</f>
        <v>EMP1352</v>
      </c>
      <c r="C356" s="23" t="str">
        <f t="shared" si="80"/>
        <v>Imran Das</v>
      </c>
      <c r="D356" s="23" t="str">
        <f t="shared" si="81"/>
        <v>Finance Associate</v>
      </c>
      <c r="E356" s="23" t="str">
        <f t="shared" si="82"/>
        <v>Finance</v>
      </c>
      <c r="F356" s="22" t="str">
        <f t="shared" si="83"/>
        <v>L1</v>
      </c>
      <c r="G356" s="23" t="str">
        <f t="shared" si="84"/>
        <v>Kritika Pandey</v>
      </c>
      <c r="H356" s="22" t="str">
        <f t="shared" si="85"/>
        <v>Exited</v>
      </c>
      <c r="I356" s="24">
        <f t="shared" si="86"/>
        <v>1.1000000000000001</v>
      </c>
      <c r="J356" s="22">
        <f t="shared" si="87"/>
        <v>3</v>
      </c>
      <c r="K356" s="23" t="str">
        <f t="shared" si="88"/>
        <v>Future Star</v>
      </c>
      <c r="L356" s="22" t="str">
        <f t="shared" si="89"/>
        <v>Not Eligible</v>
      </c>
      <c r="M356" s="24">
        <f t="shared" si="90"/>
        <v>4.38</v>
      </c>
      <c r="N356" s="25">
        <f t="shared" si="91"/>
        <v>0.86</v>
      </c>
      <c r="O356" s="26">
        <f t="shared" si="92"/>
        <v>0.9285714285714286</v>
      </c>
      <c r="P356" s="25">
        <f t="shared" si="93"/>
        <v>2.25</v>
      </c>
      <c r="Q356" s="22" t="str">
        <f t="shared" si="94"/>
        <v>Exited</v>
      </c>
      <c r="R356">
        <f t="shared" si="95"/>
        <v>352</v>
      </c>
    </row>
    <row r="357" spans="1:18" x14ac:dyDescent="0.3">
      <c r="A357" s="22">
        <f>IF(B357="","",353)</f>
        <v>353</v>
      </c>
      <c r="B357" s="22" t="str">
        <f>IF(Calc_Engine!I354="","",Calc_Engine!I354)</f>
        <v>EMP1353</v>
      </c>
      <c r="C357" s="23" t="str">
        <f t="shared" si="80"/>
        <v>Anusha Das</v>
      </c>
      <c r="D357" s="23" t="str">
        <f t="shared" si="81"/>
        <v>Finance Lead</v>
      </c>
      <c r="E357" s="23" t="str">
        <f t="shared" si="82"/>
        <v>Finance</v>
      </c>
      <c r="F357" s="22" t="str">
        <f t="shared" si="83"/>
        <v>L4</v>
      </c>
      <c r="G357" s="23" t="str">
        <f t="shared" si="84"/>
        <v>Kritika Pandey</v>
      </c>
      <c r="H357" s="22" t="str">
        <f t="shared" si="85"/>
        <v>Active</v>
      </c>
      <c r="I357" s="24">
        <f t="shared" si="86"/>
        <v>1.3</v>
      </c>
      <c r="J357" s="22">
        <f t="shared" si="87"/>
        <v>2</v>
      </c>
      <c r="K357" s="23" t="str">
        <f t="shared" si="88"/>
        <v>Inconsistent Player</v>
      </c>
      <c r="L357" s="22" t="str">
        <f t="shared" si="89"/>
        <v>Not Eligible</v>
      </c>
      <c r="M357" s="24">
        <f t="shared" si="90"/>
        <v>25.75</v>
      </c>
      <c r="N357" s="25">
        <f t="shared" si="91"/>
        <v>1.1000000000000001</v>
      </c>
      <c r="O357" s="26">
        <f t="shared" si="92"/>
        <v>0.91200000000000003</v>
      </c>
      <c r="P357" s="25">
        <f t="shared" si="93"/>
        <v>3.03</v>
      </c>
      <c r="Q357" s="22" t="str">
        <f t="shared" si="94"/>
        <v>Low</v>
      </c>
      <c r="R357">
        <f t="shared" si="95"/>
        <v>353</v>
      </c>
    </row>
    <row r="358" spans="1:18" x14ac:dyDescent="0.3">
      <c r="A358" s="22">
        <f>IF(B358="","",354)</f>
        <v>354</v>
      </c>
      <c r="B358" s="22" t="str">
        <f>IF(Calc_Engine!I355="","",Calc_Engine!I355)</f>
        <v>EMP1354</v>
      </c>
      <c r="C358" s="23" t="str">
        <f t="shared" si="80"/>
        <v>Imran Thomas</v>
      </c>
      <c r="D358" s="23" t="str">
        <f t="shared" si="81"/>
        <v>Senior Operations Executive</v>
      </c>
      <c r="E358" s="23" t="str">
        <f t="shared" si="82"/>
        <v>Operations</v>
      </c>
      <c r="F358" s="22" t="str">
        <f t="shared" si="83"/>
        <v>L3</v>
      </c>
      <c r="G358" s="23" t="str">
        <f t="shared" si="84"/>
        <v>Pallavi Nair</v>
      </c>
      <c r="H358" s="22" t="str">
        <f t="shared" si="85"/>
        <v>Exited</v>
      </c>
      <c r="I358" s="24">
        <f t="shared" si="86"/>
        <v>1</v>
      </c>
      <c r="J358" s="22">
        <f t="shared" si="87"/>
        <v>5</v>
      </c>
      <c r="K358" s="23" t="str">
        <f t="shared" si="88"/>
        <v>Star</v>
      </c>
      <c r="L358" s="22" t="str">
        <f t="shared" si="89"/>
        <v>Not Eligible</v>
      </c>
      <c r="M358" s="24">
        <f t="shared" si="90"/>
        <v>9.57</v>
      </c>
      <c r="N358" s="25">
        <f t="shared" si="91"/>
        <v>0.66</v>
      </c>
      <c r="O358" s="26">
        <f t="shared" si="92"/>
        <v>0.86982248520710059</v>
      </c>
      <c r="P358" s="25">
        <f t="shared" si="93"/>
        <v>2.63</v>
      </c>
      <c r="Q358" s="22" t="str">
        <f t="shared" si="94"/>
        <v>Exited</v>
      </c>
      <c r="R358">
        <f t="shared" si="95"/>
        <v>354</v>
      </c>
    </row>
    <row r="359" spans="1:18" x14ac:dyDescent="0.3">
      <c r="A359" s="22">
        <f>IF(B359="","",355)</f>
        <v>355</v>
      </c>
      <c r="B359" s="22" t="str">
        <f>IF(Calc_Engine!I356="","",Calc_Engine!I356)</f>
        <v>EMP1355</v>
      </c>
      <c r="C359" s="23" t="str">
        <f t="shared" si="80"/>
        <v>Vinay Nair</v>
      </c>
      <c r="D359" s="23" t="str">
        <f t="shared" si="81"/>
        <v>Senior Software Engineer</v>
      </c>
      <c r="E359" s="23" t="str">
        <f t="shared" si="82"/>
        <v>Engineering</v>
      </c>
      <c r="F359" s="22" t="str">
        <f t="shared" si="83"/>
        <v>L3</v>
      </c>
      <c r="G359" s="23" t="str">
        <f t="shared" si="84"/>
        <v>Bhavana Hegde</v>
      </c>
      <c r="H359" s="22" t="str">
        <f t="shared" si="85"/>
        <v>Active</v>
      </c>
      <c r="I359" s="24">
        <f t="shared" si="86"/>
        <v>1.3</v>
      </c>
      <c r="J359" s="22">
        <f t="shared" si="87"/>
        <v>4</v>
      </c>
      <c r="K359" s="23" t="str">
        <f t="shared" si="88"/>
        <v>Star</v>
      </c>
      <c r="L359" s="22" t="str">
        <f t="shared" si="89"/>
        <v>Not Eligible</v>
      </c>
      <c r="M359" s="24">
        <f t="shared" si="90"/>
        <v>17.07</v>
      </c>
      <c r="N359" s="25">
        <f t="shared" si="91"/>
        <v>1.18</v>
      </c>
      <c r="O359" s="26">
        <f t="shared" si="92"/>
        <v>0.96</v>
      </c>
      <c r="P359" s="25">
        <f t="shared" si="93"/>
        <v>3.92</v>
      </c>
      <c r="Q359" s="22" t="str">
        <f t="shared" si="94"/>
        <v>Low</v>
      </c>
      <c r="R359">
        <f t="shared" si="95"/>
        <v>355</v>
      </c>
    </row>
    <row r="360" spans="1:18" x14ac:dyDescent="0.3">
      <c r="A360" s="22">
        <f>IF(B360="","",356)</f>
        <v>356</v>
      </c>
      <c r="B360" s="22" t="str">
        <f>IF(Calc_Engine!I357="","",Calc_Engine!I357)</f>
        <v>EMP1356</v>
      </c>
      <c r="C360" s="23" t="str">
        <f t="shared" si="80"/>
        <v>Trisha Menon</v>
      </c>
      <c r="D360" s="23" t="str">
        <f t="shared" si="81"/>
        <v>Associate Software Engineer</v>
      </c>
      <c r="E360" s="23" t="str">
        <f t="shared" si="82"/>
        <v>Engineering</v>
      </c>
      <c r="F360" s="22" t="str">
        <f t="shared" si="83"/>
        <v>L1</v>
      </c>
      <c r="G360" s="23" t="str">
        <f t="shared" si="84"/>
        <v>Fatima Choudhary</v>
      </c>
      <c r="H360" s="22" t="str">
        <f t="shared" si="85"/>
        <v>Active</v>
      </c>
      <c r="I360" s="24">
        <f t="shared" si="86"/>
        <v>1.3</v>
      </c>
      <c r="J360" s="22">
        <f t="shared" si="87"/>
        <v>3</v>
      </c>
      <c r="K360" s="23" t="str">
        <f t="shared" si="88"/>
        <v>Core Player</v>
      </c>
      <c r="L360" s="22" t="str">
        <f t="shared" si="89"/>
        <v>Not Eligible</v>
      </c>
      <c r="M360" s="24">
        <f t="shared" si="90"/>
        <v>5.13</v>
      </c>
      <c r="N360" s="25">
        <f t="shared" si="91"/>
        <v>1.01</v>
      </c>
      <c r="O360" s="26">
        <f t="shared" si="92"/>
        <v>0.91200000000000003</v>
      </c>
      <c r="P360" s="25">
        <f t="shared" si="93"/>
        <v>3.62</v>
      </c>
      <c r="Q360" s="22" t="str">
        <f t="shared" si="94"/>
        <v>Low</v>
      </c>
      <c r="R360">
        <f t="shared" si="95"/>
        <v>356</v>
      </c>
    </row>
    <row r="361" spans="1:18" x14ac:dyDescent="0.3">
      <c r="A361" s="22">
        <f>IF(B361="","",357)</f>
        <v>357</v>
      </c>
      <c r="B361" s="22" t="str">
        <f>IF(Calc_Engine!I358="","",Calc_Engine!I358)</f>
        <v>EMP1357</v>
      </c>
      <c r="C361" s="23" t="str">
        <f t="shared" si="80"/>
        <v>Abhishek Kapoor</v>
      </c>
      <c r="D361" s="23" t="str">
        <f t="shared" si="81"/>
        <v>Operations Executive</v>
      </c>
      <c r="E361" s="23" t="str">
        <f t="shared" si="82"/>
        <v>Operations</v>
      </c>
      <c r="F361" s="22" t="str">
        <f t="shared" si="83"/>
        <v>L2</v>
      </c>
      <c r="G361" s="23" t="str">
        <f t="shared" si="84"/>
        <v>Amit Kumar</v>
      </c>
      <c r="H361" s="22" t="str">
        <f t="shared" si="85"/>
        <v>Active</v>
      </c>
      <c r="I361" s="24">
        <f t="shared" si="86"/>
        <v>1.3</v>
      </c>
      <c r="J361" s="22">
        <f t="shared" si="87"/>
        <v>3</v>
      </c>
      <c r="K361" s="23" t="str">
        <f t="shared" si="88"/>
        <v>Core Player</v>
      </c>
      <c r="L361" s="22" t="str">
        <f t="shared" si="89"/>
        <v>Not Eligible</v>
      </c>
      <c r="M361" s="24">
        <f t="shared" si="90"/>
        <v>7.33</v>
      </c>
      <c r="N361" s="25">
        <f t="shared" si="91"/>
        <v>0.86</v>
      </c>
      <c r="O361" s="26">
        <f t="shared" si="92"/>
        <v>0.96399999999999997</v>
      </c>
      <c r="P361" s="25">
        <f t="shared" si="93"/>
        <v>3</v>
      </c>
      <c r="Q361" s="22" t="str">
        <f t="shared" si="94"/>
        <v>Low</v>
      </c>
      <c r="R361">
        <f t="shared" si="95"/>
        <v>357</v>
      </c>
    </row>
    <row r="362" spans="1:18" x14ac:dyDescent="0.3">
      <c r="A362" s="22">
        <f>IF(B362="","",358)</f>
        <v>358</v>
      </c>
      <c r="B362" s="22" t="str">
        <f>IF(Calc_Engine!I359="","",Calc_Engine!I359)</f>
        <v>EMP1358</v>
      </c>
      <c r="C362" s="23" t="str">
        <f t="shared" si="80"/>
        <v>Rohit Patel</v>
      </c>
      <c r="D362" s="23" t="str">
        <f t="shared" si="81"/>
        <v>Senior Software Engineer</v>
      </c>
      <c r="E362" s="23" t="str">
        <f t="shared" si="82"/>
        <v>Engineering</v>
      </c>
      <c r="F362" s="22" t="str">
        <f t="shared" si="83"/>
        <v>L3</v>
      </c>
      <c r="G362" s="23" t="str">
        <f t="shared" si="84"/>
        <v>Vikas Singh</v>
      </c>
      <c r="H362" s="22" t="str">
        <f t="shared" si="85"/>
        <v>Active</v>
      </c>
      <c r="I362" s="24">
        <f t="shared" si="86"/>
        <v>1.3</v>
      </c>
      <c r="J362" s="22">
        <f t="shared" si="87"/>
        <v>5</v>
      </c>
      <c r="K362" s="23" t="str">
        <f t="shared" si="88"/>
        <v>Star</v>
      </c>
      <c r="L362" s="22" t="str">
        <f t="shared" si="89"/>
        <v>Not Eligible</v>
      </c>
      <c r="M362" s="24">
        <f t="shared" si="90"/>
        <v>14.94</v>
      </c>
      <c r="N362" s="25">
        <f t="shared" si="91"/>
        <v>1.03</v>
      </c>
      <c r="O362" s="26">
        <f t="shared" si="92"/>
        <v>0.95599999999999996</v>
      </c>
      <c r="P362" s="25">
        <f t="shared" si="93"/>
        <v>3.23</v>
      </c>
      <c r="Q362" s="22" t="str">
        <f t="shared" si="94"/>
        <v>Low</v>
      </c>
      <c r="R362">
        <f t="shared" si="95"/>
        <v>358</v>
      </c>
    </row>
    <row r="363" spans="1:18" x14ac:dyDescent="0.3">
      <c r="A363" s="22">
        <f>IF(B363="","",359)</f>
        <v>359</v>
      </c>
      <c r="B363" s="22" t="str">
        <f>IF(Calc_Engine!I360="","",Calc_Engine!I360)</f>
        <v>EMP1359</v>
      </c>
      <c r="C363" s="23" t="str">
        <f t="shared" si="80"/>
        <v>Rohan Banerjee</v>
      </c>
      <c r="D363" s="23" t="str">
        <f t="shared" si="81"/>
        <v>Senior Software Engineer</v>
      </c>
      <c r="E363" s="23" t="str">
        <f t="shared" si="82"/>
        <v>Engineering</v>
      </c>
      <c r="F363" s="22" t="str">
        <f t="shared" si="83"/>
        <v>L3</v>
      </c>
      <c r="G363" s="23" t="str">
        <f t="shared" si="84"/>
        <v>Isha Jain</v>
      </c>
      <c r="H363" s="22" t="str">
        <f t="shared" si="85"/>
        <v>Active</v>
      </c>
      <c r="I363" s="24">
        <f t="shared" si="86"/>
        <v>1.2</v>
      </c>
      <c r="J363" s="22">
        <f t="shared" si="87"/>
        <v>5</v>
      </c>
      <c r="K363" s="23" t="str">
        <f t="shared" si="88"/>
        <v>Star</v>
      </c>
      <c r="L363" s="22" t="str">
        <f t="shared" si="89"/>
        <v>Not Eligible</v>
      </c>
      <c r="M363" s="24">
        <f t="shared" si="90"/>
        <v>21.76</v>
      </c>
      <c r="N363" s="25">
        <f t="shared" si="91"/>
        <v>1.51</v>
      </c>
      <c r="O363" s="26">
        <f t="shared" si="92"/>
        <v>0.94799999999999995</v>
      </c>
      <c r="P363" s="25">
        <f t="shared" si="93"/>
        <v>3.82</v>
      </c>
      <c r="Q363" s="22" t="str">
        <f t="shared" si="94"/>
        <v>Medium</v>
      </c>
      <c r="R363">
        <f t="shared" si="95"/>
        <v>359</v>
      </c>
    </row>
    <row r="364" spans="1:18" x14ac:dyDescent="0.3">
      <c r="A364" s="22">
        <f>IF(B364="","",360)</f>
        <v>360</v>
      </c>
      <c r="B364" s="22" t="str">
        <f>IF(Calc_Engine!I361="","",Calc_Engine!I361)</f>
        <v>EMP1360</v>
      </c>
      <c r="C364" s="23" t="str">
        <f t="shared" si="80"/>
        <v>Amit Nair</v>
      </c>
      <c r="D364" s="23" t="str">
        <f t="shared" si="81"/>
        <v>Senior Software Engineer</v>
      </c>
      <c r="E364" s="23" t="str">
        <f t="shared" si="82"/>
        <v>Engineering</v>
      </c>
      <c r="F364" s="22" t="str">
        <f t="shared" si="83"/>
        <v>L3</v>
      </c>
      <c r="G364" s="23" t="str">
        <f t="shared" si="84"/>
        <v>Fatima Choudhary</v>
      </c>
      <c r="H364" s="22" t="str">
        <f t="shared" si="85"/>
        <v>Active</v>
      </c>
      <c r="I364" s="24">
        <f t="shared" si="86"/>
        <v>1.2</v>
      </c>
      <c r="J364" s="22">
        <f t="shared" si="87"/>
        <v>4</v>
      </c>
      <c r="K364" s="23" t="str">
        <f t="shared" si="88"/>
        <v>Trusted Professional</v>
      </c>
      <c r="L364" s="22" t="str">
        <f t="shared" si="89"/>
        <v>Not Eligible</v>
      </c>
      <c r="M364" s="24">
        <f t="shared" si="90"/>
        <v>19.79</v>
      </c>
      <c r="N364" s="25">
        <f t="shared" si="91"/>
        <v>1.37</v>
      </c>
      <c r="O364" s="26">
        <f t="shared" si="92"/>
        <v>0.96799999999999997</v>
      </c>
      <c r="P364" s="25">
        <f t="shared" si="93"/>
        <v>2.93</v>
      </c>
      <c r="Q364" s="22" t="str">
        <f t="shared" si="94"/>
        <v>High</v>
      </c>
      <c r="R364">
        <f t="shared" si="95"/>
        <v>360</v>
      </c>
    </row>
    <row r="365" spans="1:18" x14ac:dyDescent="0.3">
      <c r="A365" s="22">
        <f>IF(B365="","",361)</f>
        <v>361</v>
      </c>
      <c r="B365" s="22" t="str">
        <f>IF(Calc_Engine!I362="","",Calc_Engine!I362)</f>
        <v>EMP1361</v>
      </c>
      <c r="C365" s="23" t="str">
        <f t="shared" si="80"/>
        <v>Ritu Joshi</v>
      </c>
      <c r="D365" s="23" t="str">
        <f t="shared" si="81"/>
        <v>Data Analyst I</v>
      </c>
      <c r="E365" s="23" t="str">
        <f t="shared" si="82"/>
        <v>Data &amp; Analytics</v>
      </c>
      <c r="F365" s="22" t="str">
        <f t="shared" si="83"/>
        <v>L1</v>
      </c>
      <c r="G365" s="23" t="str">
        <f t="shared" si="84"/>
        <v>Arun Mukherjee</v>
      </c>
      <c r="H365" s="22" t="str">
        <f t="shared" si="85"/>
        <v>Active</v>
      </c>
      <c r="I365" s="24">
        <f t="shared" si="86"/>
        <v>1.2</v>
      </c>
      <c r="J365" s="22">
        <f t="shared" si="87"/>
        <v>3</v>
      </c>
      <c r="K365" s="23" t="str">
        <f t="shared" si="88"/>
        <v>Effective Contributor</v>
      </c>
      <c r="L365" s="22" t="str">
        <f t="shared" si="89"/>
        <v>Not Eligible</v>
      </c>
      <c r="M365" s="24">
        <f t="shared" si="90"/>
        <v>6.16</v>
      </c>
      <c r="N365" s="25">
        <f t="shared" si="91"/>
        <v>1.21</v>
      </c>
      <c r="O365" s="26">
        <f t="shared" si="92"/>
        <v>0.89200000000000002</v>
      </c>
      <c r="P365" s="25">
        <f t="shared" si="93"/>
        <v>4.0999999999999996</v>
      </c>
      <c r="Q365" s="22" t="str">
        <f t="shared" si="94"/>
        <v>Low</v>
      </c>
      <c r="R365">
        <f t="shared" si="95"/>
        <v>361</v>
      </c>
    </row>
    <row r="366" spans="1:18" x14ac:dyDescent="0.3">
      <c r="A366" s="22">
        <f>IF(B366="","",362)</f>
        <v>362</v>
      </c>
      <c r="B366" s="22" t="str">
        <f>IF(Calc_Engine!I363="","",Calc_Engine!I363)</f>
        <v>EMP1362</v>
      </c>
      <c r="C366" s="23" t="str">
        <f t="shared" si="80"/>
        <v>Ashish Rao</v>
      </c>
      <c r="D366" s="23" t="str">
        <f t="shared" si="81"/>
        <v>Operations Associate</v>
      </c>
      <c r="E366" s="23" t="str">
        <f t="shared" si="82"/>
        <v>Operations</v>
      </c>
      <c r="F366" s="22" t="str">
        <f t="shared" si="83"/>
        <v>L1</v>
      </c>
      <c r="G366" s="23" t="str">
        <f t="shared" si="84"/>
        <v>Pallavi Shah</v>
      </c>
      <c r="H366" s="22" t="str">
        <f t="shared" si="85"/>
        <v>Active</v>
      </c>
      <c r="I366" s="24">
        <f t="shared" si="86"/>
        <v>1.2</v>
      </c>
      <c r="J366" s="22">
        <f t="shared" si="87"/>
        <v>3</v>
      </c>
      <c r="K366" s="23" t="str">
        <f t="shared" si="88"/>
        <v>Core Player</v>
      </c>
      <c r="L366" s="22" t="str">
        <f t="shared" si="89"/>
        <v>Not Eligible</v>
      </c>
      <c r="M366" s="24">
        <f t="shared" si="90"/>
        <v>5.16</v>
      </c>
      <c r="N366" s="25">
        <f t="shared" si="91"/>
        <v>1.01</v>
      </c>
      <c r="O366" s="26">
        <f t="shared" si="92"/>
        <v>0.92</v>
      </c>
      <c r="P366" s="25">
        <f t="shared" si="93"/>
        <v>3.35</v>
      </c>
      <c r="Q366" s="22" t="str">
        <f t="shared" si="94"/>
        <v>Low</v>
      </c>
      <c r="R366">
        <f t="shared" si="95"/>
        <v>362</v>
      </c>
    </row>
    <row r="367" spans="1:18" x14ac:dyDescent="0.3">
      <c r="A367" s="22">
        <f>IF(B367="","",363)</f>
        <v>363</v>
      </c>
      <c r="B367" s="22" t="str">
        <f>IF(Calc_Engine!I364="","",Calc_Engine!I364)</f>
        <v>EMP1363</v>
      </c>
      <c r="C367" s="23" t="str">
        <f t="shared" si="80"/>
        <v>Nikhil Singh</v>
      </c>
      <c r="D367" s="23" t="str">
        <f t="shared" si="81"/>
        <v>Sales Executive</v>
      </c>
      <c r="E367" s="23" t="str">
        <f t="shared" si="82"/>
        <v>Sales</v>
      </c>
      <c r="F367" s="22" t="str">
        <f t="shared" si="83"/>
        <v>L2</v>
      </c>
      <c r="G367" s="23" t="str">
        <f t="shared" si="84"/>
        <v>Srinivas Shah</v>
      </c>
      <c r="H367" s="22" t="str">
        <f t="shared" si="85"/>
        <v>Exited</v>
      </c>
      <c r="I367" s="24">
        <f t="shared" si="86"/>
        <v>0.8</v>
      </c>
      <c r="J367" s="22">
        <f t="shared" si="87"/>
        <v>3</v>
      </c>
      <c r="K367" s="23" t="str">
        <f t="shared" si="88"/>
        <v>Future Star</v>
      </c>
      <c r="L367" s="22" t="str">
        <f t="shared" si="89"/>
        <v>Not Eligible</v>
      </c>
      <c r="M367" s="24">
        <f t="shared" si="90"/>
        <v>8.84</v>
      </c>
      <c r="N367" s="25">
        <f t="shared" si="91"/>
        <v>1.03</v>
      </c>
      <c r="O367" s="26">
        <f t="shared" si="92"/>
        <v>0.86805555555555558</v>
      </c>
      <c r="P367" s="25">
        <f t="shared" si="93"/>
        <v>3.08</v>
      </c>
      <c r="Q367" s="22" t="str">
        <f t="shared" si="94"/>
        <v>Exited</v>
      </c>
      <c r="R367">
        <f t="shared" si="95"/>
        <v>363</v>
      </c>
    </row>
    <row r="368" spans="1:18" x14ac:dyDescent="0.3">
      <c r="A368" s="22">
        <f>IF(B368="","",364)</f>
        <v>364</v>
      </c>
      <c r="B368" s="22" t="str">
        <f>IF(Calc_Engine!I365="","",Calc_Engine!I365)</f>
        <v>EMP1364</v>
      </c>
      <c r="C368" s="23" t="str">
        <f t="shared" si="80"/>
        <v>Arun Khan</v>
      </c>
      <c r="D368" s="23" t="str">
        <f t="shared" si="81"/>
        <v>Head of Marketing</v>
      </c>
      <c r="E368" s="23" t="str">
        <f t="shared" si="82"/>
        <v>Marketing</v>
      </c>
      <c r="F368" s="22" t="str">
        <f t="shared" si="83"/>
        <v>L7</v>
      </c>
      <c r="G368" s="23" t="str">
        <f t="shared" si="84"/>
        <v>Arvind Rao (CEO)</v>
      </c>
      <c r="H368" s="22" t="str">
        <f t="shared" si="85"/>
        <v>Active</v>
      </c>
      <c r="I368" s="24">
        <f t="shared" si="86"/>
        <v>1.2</v>
      </c>
      <c r="J368" s="22">
        <f t="shared" si="87"/>
        <v>3</v>
      </c>
      <c r="K368" s="23" t="str">
        <f t="shared" si="88"/>
        <v>Core Player</v>
      </c>
      <c r="L368" s="22" t="str">
        <f t="shared" si="89"/>
        <v>Not Eligible</v>
      </c>
      <c r="M368" s="24">
        <f t="shared" si="90"/>
        <v>86.12</v>
      </c>
      <c r="N368" s="25">
        <f t="shared" si="91"/>
        <v>1.04</v>
      </c>
      <c r="O368" s="26">
        <f t="shared" si="92"/>
        <v>0.92400000000000004</v>
      </c>
      <c r="P368" s="25">
        <f t="shared" si="93"/>
        <v>3.62</v>
      </c>
      <c r="Q368" s="22" t="str">
        <f t="shared" si="94"/>
        <v>Low</v>
      </c>
      <c r="R368">
        <f t="shared" si="95"/>
        <v>364</v>
      </c>
    </row>
    <row r="369" spans="1:18" x14ac:dyDescent="0.3">
      <c r="A369" s="22">
        <f>IF(B369="","",365)</f>
        <v>365</v>
      </c>
      <c r="B369" s="22" t="str">
        <f>IF(Calc_Engine!I366="","",Calc_Engine!I366)</f>
        <v>EMP1365</v>
      </c>
      <c r="C369" s="23" t="str">
        <f t="shared" si="80"/>
        <v>Rashmi Mishra</v>
      </c>
      <c r="D369" s="23" t="str">
        <f t="shared" si="81"/>
        <v>Associate Software Engineer</v>
      </c>
      <c r="E369" s="23" t="str">
        <f t="shared" si="82"/>
        <v>Engineering</v>
      </c>
      <c r="F369" s="22" t="str">
        <f t="shared" si="83"/>
        <v>L1</v>
      </c>
      <c r="G369" s="23" t="str">
        <f t="shared" si="84"/>
        <v>Fatima Choudhary</v>
      </c>
      <c r="H369" s="22" t="str">
        <f t="shared" si="85"/>
        <v>Exited</v>
      </c>
      <c r="I369" s="24">
        <f t="shared" si="86"/>
        <v>0.3</v>
      </c>
      <c r="J369" s="22">
        <f t="shared" si="87"/>
        <v>4</v>
      </c>
      <c r="K369" s="23" t="str">
        <f t="shared" si="88"/>
        <v>Trusted Professional</v>
      </c>
      <c r="L369" s="22" t="str">
        <f t="shared" si="89"/>
        <v>Not Eligible</v>
      </c>
      <c r="M369" s="24">
        <f t="shared" si="90"/>
        <v>6.72</v>
      </c>
      <c r="N369" s="25">
        <f t="shared" si="91"/>
        <v>1.32</v>
      </c>
      <c r="O369" s="26">
        <f t="shared" si="92"/>
        <v>0.35</v>
      </c>
      <c r="P369" s="25">
        <f t="shared" si="93"/>
        <v>3.08</v>
      </c>
      <c r="Q369" s="22" t="str">
        <f t="shared" si="94"/>
        <v>Exited</v>
      </c>
      <c r="R369">
        <f t="shared" si="95"/>
        <v>365</v>
      </c>
    </row>
    <row r="370" spans="1:18" x14ac:dyDescent="0.3">
      <c r="A370" s="22">
        <f>IF(B370="","",366)</f>
        <v>366</v>
      </c>
      <c r="B370" s="22" t="str">
        <f>IF(Calc_Engine!I367="","",Calc_Engine!I367)</f>
        <v>EMP1366</v>
      </c>
      <c r="C370" s="23" t="str">
        <f t="shared" si="80"/>
        <v>Anjali Gupta</v>
      </c>
      <c r="D370" s="23" t="str">
        <f t="shared" si="81"/>
        <v>Support Team Lead</v>
      </c>
      <c r="E370" s="23" t="str">
        <f t="shared" si="82"/>
        <v>Customer Support</v>
      </c>
      <c r="F370" s="22" t="str">
        <f t="shared" si="83"/>
        <v>L4</v>
      </c>
      <c r="G370" s="23" t="str">
        <f t="shared" si="84"/>
        <v>Isha Verma</v>
      </c>
      <c r="H370" s="22" t="str">
        <f t="shared" si="85"/>
        <v>Active</v>
      </c>
      <c r="I370" s="24">
        <f t="shared" si="86"/>
        <v>1.2</v>
      </c>
      <c r="J370" s="22">
        <f t="shared" si="87"/>
        <v>5</v>
      </c>
      <c r="K370" s="23" t="str">
        <f t="shared" si="88"/>
        <v>Star</v>
      </c>
      <c r="L370" s="22" t="str">
        <f t="shared" si="89"/>
        <v>Not Eligible</v>
      </c>
      <c r="M370" s="24">
        <f t="shared" si="90"/>
        <v>20.75</v>
      </c>
      <c r="N370" s="25">
        <f t="shared" si="91"/>
        <v>0.89</v>
      </c>
      <c r="O370" s="26">
        <f t="shared" si="92"/>
        <v>0.89600000000000002</v>
      </c>
      <c r="P370" s="25">
        <f t="shared" si="93"/>
        <v>4.12</v>
      </c>
      <c r="Q370" s="22" t="str">
        <f t="shared" si="94"/>
        <v>Medium</v>
      </c>
      <c r="R370">
        <f t="shared" si="95"/>
        <v>366</v>
      </c>
    </row>
    <row r="371" spans="1:18" x14ac:dyDescent="0.3">
      <c r="A371" s="22">
        <f>IF(B371="","",367)</f>
        <v>367</v>
      </c>
      <c r="B371" s="22" t="str">
        <f>IF(Calc_Engine!I368="","",Calc_Engine!I368)</f>
        <v>EMP1367</v>
      </c>
      <c r="C371" s="23" t="str">
        <f t="shared" si="80"/>
        <v>Mary Dsouza</v>
      </c>
      <c r="D371" s="23" t="str">
        <f t="shared" si="81"/>
        <v>Software Engineer</v>
      </c>
      <c r="E371" s="23" t="str">
        <f t="shared" si="82"/>
        <v>Engineering</v>
      </c>
      <c r="F371" s="22" t="str">
        <f t="shared" si="83"/>
        <v>L2</v>
      </c>
      <c r="G371" s="23" t="str">
        <f t="shared" si="84"/>
        <v>Prakash Desai</v>
      </c>
      <c r="H371" s="22" t="str">
        <f t="shared" si="85"/>
        <v>Active</v>
      </c>
      <c r="I371" s="24">
        <f t="shared" si="86"/>
        <v>1.2</v>
      </c>
      <c r="J371" s="22">
        <f t="shared" si="87"/>
        <v>4</v>
      </c>
      <c r="K371" s="23" t="str">
        <f t="shared" si="88"/>
        <v>Star</v>
      </c>
      <c r="L371" s="22" t="str">
        <f t="shared" si="89"/>
        <v>Not Eligible</v>
      </c>
      <c r="M371" s="24">
        <f t="shared" si="90"/>
        <v>8.3800000000000008</v>
      </c>
      <c r="N371" s="25">
        <f t="shared" si="91"/>
        <v>0.98</v>
      </c>
      <c r="O371" s="26">
        <f t="shared" si="92"/>
        <v>0.92</v>
      </c>
      <c r="P371" s="25">
        <f t="shared" si="93"/>
        <v>3.42</v>
      </c>
      <c r="Q371" s="22" t="str">
        <f t="shared" si="94"/>
        <v>Low</v>
      </c>
      <c r="R371">
        <f t="shared" si="95"/>
        <v>367</v>
      </c>
    </row>
    <row r="372" spans="1:18" x14ac:dyDescent="0.3">
      <c r="A372" s="22">
        <f>IF(B372="","",368)</f>
        <v>368</v>
      </c>
      <c r="B372" s="22" t="str">
        <f>IF(Calc_Engine!I369="","",Calc_Engine!I369)</f>
        <v>EMP1368</v>
      </c>
      <c r="C372" s="23" t="str">
        <f t="shared" si="80"/>
        <v>Ravi Kamath</v>
      </c>
      <c r="D372" s="23" t="str">
        <f t="shared" si="81"/>
        <v>HR Associate</v>
      </c>
      <c r="E372" s="23" t="str">
        <f t="shared" si="82"/>
        <v>Human Resources</v>
      </c>
      <c r="F372" s="22" t="str">
        <f t="shared" si="83"/>
        <v>L1</v>
      </c>
      <c r="G372" s="23" t="str">
        <f t="shared" si="84"/>
        <v>Akash Das</v>
      </c>
      <c r="H372" s="22" t="str">
        <f t="shared" si="85"/>
        <v>Active</v>
      </c>
      <c r="I372" s="24">
        <f t="shared" si="86"/>
        <v>1.1000000000000001</v>
      </c>
      <c r="J372" s="22">
        <f t="shared" si="87"/>
        <v>2</v>
      </c>
      <c r="K372" s="23" t="str">
        <f t="shared" si="88"/>
        <v>Underperformer</v>
      </c>
      <c r="L372" s="22" t="str">
        <f t="shared" si="89"/>
        <v>Not Eligible</v>
      </c>
      <c r="M372" s="24">
        <f t="shared" si="90"/>
        <v>4.3</v>
      </c>
      <c r="N372" s="25">
        <f t="shared" si="91"/>
        <v>0.85</v>
      </c>
      <c r="O372" s="26">
        <f t="shared" si="92"/>
        <v>0.86799999999999999</v>
      </c>
      <c r="P372" s="25">
        <f t="shared" si="93"/>
        <v>2.63</v>
      </c>
      <c r="Q372" s="22" t="str">
        <f t="shared" si="94"/>
        <v>Medium</v>
      </c>
      <c r="R372">
        <f t="shared" si="95"/>
        <v>368</v>
      </c>
    </row>
    <row r="373" spans="1:18" x14ac:dyDescent="0.3">
      <c r="A373" s="22">
        <f>IF(B373="","",369)</f>
        <v>369</v>
      </c>
      <c r="B373" s="22" t="str">
        <f>IF(Calc_Engine!I370="","",Calc_Engine!I370)</f>
        <v>EMP1369</v>
      </c>
      <c r="C373" s="23" t="str">
        <f t="shared" si="80"/>
        <v>Aditi Nair</v>
      </c>
      <c r="D373" s="23" t="str">
        <f t="shared" si="81"/>
        <v>Head of Legal</v>
      </c>
      <c r="E373" s="23" t="str">
        <f t="shared" si="82"/>
        <v>Legal &amp; Compliance</v>
      </c>
      <c r="F373" s="22" t="str">
        <f t="shared" si="83"/>
        <v>L7</v>
      </c>
      <c r="G373" s="23" t="str">
        <f t="shared" si="84"/>
        <v>Arvind Rao (CEO)</v>
      </c>
      <c r="H373" s="22" t="str">
        <f t="shared" si="85"/>
        <v>Active</v>
      </c>
      <c r="I373" s="24">
        <f t="shared" si="86"/>
        <v>1.1000000000000001</v>
      </c>
      <c r="J373" s="22">
        <f t="shared" si="87"/>
        <v>3</v>
      </c>
      <c r="K373" s="23" t="str">
        <f t="shared" si="88"/>
        <v>Effective Contributor</v>
      </c>
      <c r="L373" s="22" t="str">
        <f t="shared" si="89"/>
        <v>Not Eligible</v>
      </c>
      <c r="M373" s="24">
        <f t="shared" si="90"/>
        <v>83.61</v>
      </c>
      <c r="N373" s="25">
        <f t="shared" si="91"/>
        <v>1.01</v>
      </c>
      <c r="O373" s="26">
        <f t="shared" si="92"/>
        <v>0.93600000000000005</v>
      </c>
      <c r="P373" s="25">
        <f t="shared" si="93"/>
        <v>3.5</v>
      </c>
      <c r="Q373" s="22" t="str">
        <f t="shared" si="94"/>
        <v>Low</v>
      </c>
      <c r="R373">
        <f t="shared" si="95"/>
        <v>369</v>
      </c>
    </row>
    <row r="374" spans="1:18" x14ac:dyDescent="0.3">
      <c r="A374" s="22">
        <f>IF(B374="","",370)</f>
        <v>370</v>
      </c>
      <c r="B374" s="22" t="str">
        <f>IF(Calc_Engine!I371="","",Calc_Engine!I371)</f>
        <v>EMP1370</v>
      </c>
      <c r="C374" s="23" t="str">
        <f t="shared" si="80"/>
        <v>Venkat Bansal</v>
      </c>
      <c r="D374" s="23" t="str">
        <f t="shared" si="81"/>
        <v>Marketing Associate</v>
      </c>
      <c r="E374" s="23" t="str">
        <f t="shared" si="82"/>
        <v>Marketing</v>
      </c>
      <c r="F374" s="22" t="str">
        <f t="shared" si="83"/>
        <v>L1</v>
      </c>
      <c r="G374" s="23" t="str">
        <f t="shared" si="84"/>
        <v>Isha Chatterjee</v>
      </c>
      <c r="H374" s="22" t="str">
        <f t="shared" si="85"/>
        <v>Active</v>
      </c>
      <c r="I374" s="24">
        <f t="shared" si="86"/>
        <v>1.1000000000000001</v>
      </c>
      <c r="J374" s="22">
        <f t="shared" si="87"/>
        <v>2</v>
      </c>
      <c r="K374" s="23" t="str">
        <f t="shared" si="88"/>
        <v>Inconsistent Player</v>
      </c>
      <c r="L374" s="22" t="str">
        <f t="shared" si="89"/>
        <v>Not Eligible</v>
      </c>
      <c r="M374" s="24">
        <f t="shared" si="90"/>
        <v>4.3</v>
      </c>
      <c r="N374" s="25">
        <f t="shared" si="91"/>
        <v>0.85</v>
      </c>
      <c r="O374" s="26">
        <f t="shared" si="92"/>
        <v>0.92</v>
      </c>
      <c r="P374" s="25">
        <f t="shared" si="93"/>
        <v>3.38</v>
      </c>
      <c r="Q374" s="22" t="str">
        <f t="shared" si="94"/>
        <v>Low</v>
      </c>
      <c r="R374">
        <f t="shared" si="95"/>
        <v>370</v>
      </c>
    </row>
    <row r="375" spans="1:18" x14ac:dyDescent="0.3">
      <c r="A375" s="22">
        <f>IF(B375="","",371)</f>
        <v>371</v>
      </c>
      <c r="B375" s="22" t="str">
        <f>IF(Calc_Engine!I372="","",Calc_Engine!I372)</f>
        <v>EMP1371</v>
      </c>
      <c r="C375" s="23" t="str">
        <f t="shared" si="80"/>
        <v>Shreya Varghese</v>
      </c>
      <c r="D375" s="23" t="str">
        <f t="shared" si="81"/>
        <v>Sales Associate</v>
      </c>
      <c r="E375" s="23" t="str">
        <f t="shared" si="82"/>
        <v>Sales</v>
      </c>
      <c r="F375" s="22" t="str">
        <f t="shared" si="83"/>
        <v>L1</v>
      </c>
      <c r="G375" s="23" t="str">
        <f t="shared" si="84"/>
        <v>Nikhil Agarwal</v>
      </c>
      <c r="H375" s="22" t="str">
        <f t="shared" si="85"/>
        <v>Active</v>
      </c>
      <c r="I375" s="24">
        <f t="shared" si="86"/>
        <v>1.1000000000000001</v>
      </c>
      <c r="J375" s="22">
        <f t="shared" si="87"/>
        <v>1</v>
      </c>
      <c r="K375" s="23" t="str">
        <f t="shared" si="88"/>
        <v>Underperformer</v>
      </c>
      <c r="L375" s="22" t="str">
        <f t="shared" si="89"/>
        <v>Not Eligible</v>
      </c>
      <c r="M375" s="24">
        <f t="shared" si="90"/>
        <v>4.95</v>
      </c>
      <c r="N375" s="25">
        <f t="shared" si="91"/>
        <v>0.97</v>
      </c>
      <c r="O375" s="26">
        <f t="shared" si="92"/>
        <v>0.91200000000000003</v>
      </c>
      <c r="P375" s="25">
        <f t="shared" si="93"/>
        <v>2.37</v>
      </c>
      <c r="Q375" s="22" t="str">
        <f t="shared" si="94"/>
        <v>Low</v>
      </c>
      <c r="R375">
        <f t="shared" si="95"/>
        <v>371</v>
      </c>
    </row>
    <row r="376" spans="1:18" x14ac:dyDescent="0.3">
      <c r="A376" s="22">
        <f>IF(B376="","",372)</f>
        <v>372</v>
      </c>
      <c r="B376" s="22" t="str">
        <f>IF(Calc_Engine!I373="","",Calc_Engine!I373)</f>
        <v>EMP1372</v>
      </c>
      <c r="C376" s="23" t="str">
        <f t="shared" si="80"/>
        <v>Joseph Gupta</v>
      </c>
      <c r="D376" s="23" t="str">
        <f t="shared" si="81"/>
        <v>Lead Data Scientist</v>
      </c>
      <c r="E376" s="23" t="str">
        <f t="shared" si="82"/>
        <v>Data &amp; Analytics</v>
      </c>
      <c r="F376" s="22" t="str">
        <f t="shared" si="83"/>
        <v>L4</v>
      </c>
      <c r="G376" s="23" t="str">
        <f t="shared" si="84"/>
        <v>Karan Verma</v>
      </c>
      <c r="H376" s="22" t="str">
        <f t="shared" si="85"/>
        <v>Exited</v>
      </c>
      <c r="I376" s="24">
        <f t="shared" si="86"/>
        <v>1</v>
      </c>
      <c r="J376" s="22">
        <f t="shared" si="87"/>
        <v>4</v>
      </c>
      <c r="K376" s="23" t="str">
        <f t="shared" si="88"/>
        <v>Star</v>
      </c>
      <c r="L376" s="22" t="str">
        <f t="shared" si="89"/>
        <v>Not Eligible</v>
      </c>
      <c r="M376" s="24">
        <f t="shared" si="90"/>
        <v>31.43</v>
      </c>
      <c r="N376" s="25">
        <f t="shared" si="91"/>
        <v>1.34</v>
      </c>
      <c r="O376" s="26">
        <f t="shared" si="92"/>
        <v>0.92608695652173911</v>
      </c>
      <c r="P376" s="25">
        <f t="shared" si="93"/>
        <v>3.43</v>
      </c>
      <c r="Q376" s="22" t="str">
        <f t="shared" si="94"/>
        <v>Exited</v>
      </c>
      <c r="R376">
        <f t="shared" si="95"/>
        <v>372</v>
      </c>
    </row>
    <row r="377" spans="1:18" x14ac:dyDescent="0.3">
      <c r="A377" s="22">
        <f>IF(B377="","",373)</f>
        <v>373</v>
      </c>
      <c r="B377" s="22" t="str">
        <f>IF(Calc_Engine!I374="","",Calc_Engine!I374)</f>
        <v>EMP1373</v>
      </c>
      <c r="C377" s="23" t="str">
        <f t="shared" si="80"/>
        <v>Imran Mishra</v>
      </c>
      <c r="D377" s="23" t="str">
        <f t="shared" si="81"/>
        <v>Senior Operations Manager</v>
      </c>
      <c r="E377" s="23" t="str">
        <f t="shared" si="82"/>
        <v>Operations</v>
      </c>
      <c r="F377" s="22" t="str">
        <f t="shared" si="83"/>
        <v>L6</v>
      </c>
      <c r="G377" s="23" t="str">
        <f t="shared" si="84"/>
        <v>Tejaswini Naidu</v>
      </c>
      <c r="H377" s="22" t="str">
        <f t="shared" si="85"/>
        <v>Active</v>
      </c>
      <c r="I377" s="24">
        <f t="shared" si="86"/>
        <v>1.1000000000000001</v>
      </c>
      <c r="J377" s="22">
        <f t="shared" si="87"/>
        <v>4</v>
      </c>
      <c r="K377" s="23" t="str">
        <f t="shared" si="88"/>
        <v>High Performer</v>
      </c>
      <c r="L377" s="22" t="str">
        <f t="shared" si="89"/>
        <v>Not Eligible</v>
      </c>
      <c r="M377" s="24">
        <f t="shared" si="90"/>
        <v>47.17</v>
      </c>
      <c r="N377" s="25">
        <f t="shared" si="91"/>
        <v>0.88</v>
      </c>
      <c r="O377" s="26">
        <f t="shared" si="92"/>
        <v>0.88800000000000001</v>
      </c>
      <c r="P377" s="25">
        <f t="shared" si="93"/>
        <v>3.2</v>
      </c>
      <c r="Q377" s="22" t="str">
        <f t="shared" si="94"/>
        <v>Medium</v>
      </c>
      <c r="R377">
        <f t="shared" si="95"/>
        <v>373</v>
      </c>
    </row>
    <row r="378" spans="1:18" x14ac:dyDescent="0.3">
      <c r="A378" s="22">
        <f>IF(B378="","",374)</f>
        <v>374</v>
      </c>
      <c r="B378" s="22" t="str">
        <f>IF(Calc_Engine!I375="","",Calc_Engine!I375)</f>
        <v>EMP1374</v>
      </c>
      <c r="C378" s="23" t="str">
        <f t="shared" si="80"/>
        <v>Isha Choudhary</v>
      </c>
      <c r="D378" s="23" t="str">
        <f t="shared" si="81"/>
        <v>Tech Lead</v>
      </c>
      <c r="E378" s="23" t="str">
        <f t="shared" si="82"/>
        <v>Engineering</v>
      </c>
      <c r="F378" s="22" t="str">
        <f t="shared" si="83"/>
        <v>L4</v>
      </c>
      <c r="G378" s="23" t="str">
        <f t="shared" si="84"/>
        <v>Vikas Singh</v>
      </c>
      <c r="H378" s="22" t="str">
        <f t="shared" si="85"/>
        <v>Exited</v>
      </c>
      <c r="I378" s="24">
        <f t="shared" si="86"/>
        <v>0.7</v>
      </c>
      <c r="J378" s="22">
        <f t="shared" si="87"/>
        <v>4</v>
      </c>
      <c r="K378" s="23" t="str">
        <f t="shared" si="88"/>
        <v>High Performer</v>
      </c>
      <c r="L378" s="22" t="str">
        <f t="shared" si="89"/>
        <v>Not Eligible</v>
      </c>
      <c r="M378" s="24">
        <f t="shared" si="90"/>
        <v>25.55</v>
      </c>
      <c r="N378" s="25">
        <f t="shared" si="91"/>
        <v>1.0900000000000001</v>
      </c>
      <c r="O378" s="26">
        <f t="shared" si="92"/>
        <v>0.84563758389261745</v>
      </c>
      <c r="P378" s="25">
        <f t="shared" si="93"/>
        <v>2.2999999999999998</v>
      </c>
      <c r="Q378" s="22" t="str">
        <f t="shared" si="94"/>
        <v>Exited</v>
      </c>
      <c r="R378">
        <f t="shared" si="95"/>
        <v>374</v>
      </c>
    </row>
    <row r="379" spans="1:18" x14ac:dyDescent="0.3">
      <c r="A379" s="22">
        <f>IF(B379="","",375)</f>
        <v>375</v>
      </c>
      <c r="B379" s="22" t="str">
        <f>IF(Calc_Engine!I376="","",Calc_Engine!I376)</f>
        <v>EMP1375</v>
      </c>
      <c r="C379" s="23" t="str">
        <f t="shared" si="80"/>
        <v>Rakesh Jain</v>
      </c>
      <c r="D379" s="23" t="str">
        <f t="shared" si="81"/>
        <v>Sales Associate</v>
      </c>
      <c r="E379" s="23" t="str">
        <f t="shared" si="82"/>
        <v>Sales</v>
      </c>
      <c r="F379" s="22" t="str">
        <f t="shared" si="83"/>
        <v>L1</v>
      </c>
      <c r="G379" s="23" t="str">
        <f t="shared" si="84"/>
        <v>Kavya Krishnan</v>
      </c>
      <c r="H379" s="22" t="str">
        <f t="shared" si="85"/>
        <v>Exited</v>
      </c>
      <c r="I379" s="24">
        <f t="shared" si="86"/>
        <v>0.9</v>
      </c>
      <c r="J379" s="22">
        <f t="shared" si="87"/>
        <v>3</v>
      </c>
      <c r="K379" s="23" t="str">
        <f t="shared" si="88"/>
        <v>Core Player</v>
      </c>
      <c r="L379" s="22" t="str">
        <f t="shared" si="89"/>
        <v>Not Eligible</v>
      </c>
      <c r="M379" s="24">
        <f t="shared" si="90"/>
        <v>5.6</v>
      </c>
      <c r="N379" s="25">
        <f t="shared" si="91"/>
        <v>1.1000000000000001</v>
      </c>
      <c r="O379" s="26">
        <f t="shared" si="92"/>
        <v>0.93069306930693074</v>
      </c>
      <c r="P379" s="25">
        <f t="shared" si="93"/>
        <v>1.93</v>
      </c>
      <c r="Q379" s="22" t="str">
        <f t="shared" si="94"/>
        <v>Exited</v>
      </c>
      <c r="R379">
        <f t="shared" si="95"/>
        <v>375</v>
      </c>
    </row>
    <row r="380" spans="1:18" x14ac:dyDescent="0.3">
      <c r="A380" s="22">
        <f>IF(B380="","",376)</f>
        <v>376</v>
      </c>
      <c r="B380" s="22" t="str">
        <f>IF(Calc_Engine!I377="","",Calc_Engine!I377)</f>
        <v>EMP1376</v>
      </c>
      <c r="C380" s="23" t="str">
        <f t="shared" si="80"/>
        <v>Mary Prabhu</v>
      </c>
      <c r="D380" s="23" t="str">
        <f t="shared" si="81"/>
        <v>Operations Associate</v>
      </c>
      <c r="E380" s="23" t="str">
        <f t="shared" si="82"/>
        <v>Operations</v>
      </c>
      <c r="F380" s="22" t="str">
        <f t="shared" si="83"/>
        <v>L1</v>
      </c>
      <c r="G380" s="23" t="str">
        <f t="shared" si="84"/>
        <v>Yash Shah</v>
      </c>
      <c r="H380" s="22" t="str">
        <f t="shared" si="85"/>
        <v>Active</v>
      </c>
      <c r="I380" s="24">
        <f t="shared" si="86"/>
        <v>1.1000000000000001</v>
      </c>
      <c r="J380" s="22">
        <f t="shared" si="87"/>
        <v>5</v>
      </c>
      <c r="K380" s="23" t="str">
        <f t="shared" si="88"/>
        <v>Star</v>
      </c>
      <c r="L380" s="22" t="str">
        <f t="shared" si="89"/>
        <v>Not Eligible</v>
      </c>
      <c r="M380" s="24">
        <f t="shared" si="90"/>
        <v>5.46</v>
      </c>
      <c r="N380" s="25">
        <f t="shared" si="91"/>
        <v>1.07</v>
      </c>
      <c r="O380" s="26">
        <f t="shared" si="92"/>
        <v>0.90800000000000003</v>
      </c>
      <c r="P380" s="25">
        <f t="shared" si="93"/>
        <v>4.2699999999999996</v>
      </c>
      <c r="Q380" s="22" t="str">
        <f t="shared" si="94"/>
        <v>Low</v>
      </c>
      <c r="R380">
        <f t="shared" si="95"/>
        <v>376</v>
      </c>
    </row>
    <row r="381" spans="1:18" x14ac:dyDescent="0.3">
      <c r="A381" s="22">
        <f>IF(B381="","",377)</f>
        <v>377</v>
      </c>
      <c r="B381" s="22" t="str">
        <f>IF(Calc_Engine!I378="","",Calc_Engine!I378)</f>
        <v>EMP1377</v>
      </c>
      <c r="C381" s="23" t="str">
        <f t="shared" si="80"/>
        <v>Anand Siddiqui</v>
      </c>
      <c r="D381" s="23" t="str">
        <f t="shared" si="81"/>
        <v>Tech Lead</v>
      </c>
      <c r="E381" s="23" t="str">
        <f t="shared" si="82"/>
        <v>Engineering</v>
      </c>
      <c r="F381" s="22" t="str">
        <f t="shared" si="83"/>
        <v>L4</v>
      </c>
      <c r="G381" s="23" t="str">
        <f t="shared" si="84"/>
        <v>Harsh Siddiqui</v>
      </c>
      <c r="H381" s="22" t="str">
        <f t="shared" si="85"/>
        <v>Active</v>
      </c>
      <c r="I381" s="24">
        <f t="shared" si="86"/>
        <v>1</v>
      </c>
      <c r="J381" s="22">
        <f t="shared" si="87"/>
        <v>4</v>
      </c>
      <c r="K381" s="23" t="str">
        <f t="shared" si="88"/>
        <v>High Performer</v>
      </c>
      <c r="L381" s="22" t="str">
        <f t="shared" si="89"/>
        <v>Not Eligible</v>
      </c>
      <c r="M381" s="24">
        <f t="shared" si="90"/>
        <v>29.73</v>
      </c>
      <c r="N381" s="25">
        <f t="shared" si="91"/>
        <v>1.27</v>
      </c>
      <c r="O381" s="26">
        <f t="shared" si="92"/>
        <v>0.88400000000000001</v>
      </c>
      <c r="P381" s="25">
        <f t="shared" si="93"/>
        <v>3.98</v>
      </c>
      <c r="Q381" s="22" t="str">
        <f t="shared" si="94"/>
        <v>Low</v>
      </c>
      <c r="R381">
        <f t="shared" si="95"/>
        <v>377</v>
      </c>
    </row>
    <row r="382" spans="1:18" x14ac:dyDescent="0.3">
      <c r="A382" s="22">
        <f>IF(B382="","",378)</f>
        <v>378</v>
      </c>
      <c r="B382" s="22" t="str">
        <f>IF(Calc_Engine!I379="","",Calc_Engine!I379)</f>
        <v>EMP1378</v>
      </c>
      <c r="C382" s="23" t="str">
        <f t="shared" si="80"/>
        <v>Sachin Raghavan</v>
      </c>
      <c r="D382" s="23" t="str">
        <f t="shared" si="81"/>
        <v>Software Engineer</v>
      </c>
      <c r="E382" s="23" t="str">
        <f t="shared" si="82"/>
        <v>Engineering</v>
      </c>
      <c r="F382" s="22" t="str">
        <f t="shared" si="83"/>
        <v>L2</v>
      </c>
      <c r="G382" s="23" t="str">
        <f t="shared" si="84"/>
        <v>Madhuri Menon</v>
      </c>
      <c r="H382" s="22" t="str">
        <f t="shared" si="85"/>
        <v>Active</v>
      </c>
      <c r="I382" s="24">
        <f t="shared" si="86"/>
        <v>1</v>
      </c>
      <c r="J382" s="22">
        <f t="shared" si="87"/>
        <v>4</v>
      </c>
      <c r="K382" s="23" t="str">
        <f t="shared" si="88"/>
        <v>Star</v>
      </c>
      <c r="L382" s="22" t="str">
        <f t="shared" si="89"/>
        <v>Not Eligible</v>
      </c>
      <c r="M382" s="24">
        <f t="shared" si="90"/>
        <v>9.81</v>
      </c>
      <c r="N382" s="25">
        <f t="shared" si="91"/>
        <v>1.1499999999999999</v>
      </c>
      <c r="O382" s="26">
        <f t="shared" si="92"/>
        <v>0.90400000000000003</v>
      </c>
      <c r="P382" s="25">
        <f t="shared" si="93"/>
        <v>2.72</v>
      </c>
      <c r="Q382" s="22" t="str">
        <f t="shared" si="94"/>
        <v>High</v>
      </c>
      <c r="R382">
        <f t="shared" si="95"/>
        <v>378</v>
      </c>
    </row>
    <row r="383" spans="1:18" x14ac:dyDescent="0.3">
      <c r="A383" s="22">
        <f>IF(B383="","",379)</f>
        <v>379</v>
      </c>
      <c r="B383" s="22" t="str">
        <f>IF(Calc_Engine!I380="","",Calc_Engine!I380)</f>
        <v>EMP1379</v>
      </c>
      <c r="C383" s="23" t="str">
        <f t="shared" si="80"/>
        <v>Dev Saxena</v>
      </c>
      <c r="D383" s="23" t="str">
        <f t="shared" si="81"/>
        <v>Support Executive</v>
      </c>
      <c r="E383" s="23" t="str">
        <f t="shared" si="82"/>
        <v>Customer Support</v>
      </c>
      <c r="F383" s="22" t="str">
        <f t="shared" si="83"/>
        <v>L2</v>
      </c>
      <c r="G383" s="23" t="str">
        <f t="shared" si="84"/>
        <v>Ashish Varghese</v>
      </c>
      <c r="H383" s="22" t="str">
        <f t="shared" si="85"/>
        <v>Active</v>
      </c>
      <c r="I383" s="24">
        <f t="shared" si="86"/>
        <v>1</v>
      </c>
      <c r="J383" s="22">
        <f t="shared" si="87"/>
        <v>3</v>
      </c>
      <c r="K383" s="23" t="str">
        <f t="shared" si="88"/>
        <v>Core Player</v>
      </c>
      <c r="L383" s="22" t="str">
        <f t="shared" si="89"/>
        <v>Not Eligible</v>
      </c>
      <c r="M383" s="24">
        <f t="shared" si="90"/>
        <v>7.48</v>
      </c>
      <c r="N383" s="25">
        <f t="shared" si="91"/>
        <v>0.87</v>
      </c>
      <c r="O383" s="26">
        <f t="shared" si="92"/>
        <v>0.90800000000000003</v>
      </c>
      <c r="P383" s="25">
        <f t="shared" si="93"/>
        <v>3.53</v>
      </c>
      <c r="Q383" s="22" t="str">
        <f t="shared" si="94"/>
        <v>Low</v>
      </c>
      <c r="R383">
        <f t="shared" si="95"/>
        <v>379</v>
      </c>
    </row>
    <row r="384" spans="1:18" x14ac:dyDescent="0.3">
      <c r="A384" s="22">
        <f>IF(B384="","",380)</f>
        <v>380</v>
      </c>
      <c r="B384" s="22" t="str">
        <f>IF(Calc_Engine!I381="","",Calc_Engine!I381)</f>
        <v>EMP1380</v>
      </c>
      <c r="C384" s="23" t="str">
        <f t="shared" si="80"/>
        <v>Siddharth Malhotra</v>
      </c>
      <c r="D384" s="23" t="str">
        <f t="shared" si="81"/>
        <v>Data Analyst I</v>
      </c>
      <c r="E384" s="23" t="str">
        <f t="shared" si="82"/>
        <v>Data &amp; Analytics</v>
      </c>
      <c r="F384" s="22" t="str">
        <f t="shared" si="83"/>
        <v>L1</v>
      </c>
      <c r="G384" s="23" t="str">
        <f t="shared" si="84"/>
        <v>Karan Verma</v>
      </c>
      <c r="H384" s="22" t="str">
        <f t="shared" si="85"/>
        <v>Active</v>
      </c>
      <c r="I384" s="24">
        <f t="shared" si="86"/>
        <v>1</v>
      </c>
      <c r="J384" s="22">
        <f t="shared" si="87"/>
        <v>1</v>
      </c>
      <c r="K384" s="23" t="str">
        <f t="shared" si="88"/>
        <v>Underperformer</v>
      </c>
      <c r="L384" s="22" t="str">
        <f t="shared" si="89"/>
        <v>Not Eligible</v>
      </c>
      <c r="M384" s="24">
        <f t="shared" si="90"/>
        <v>6.05</v>
      </c>
      <c r="N384" s="25">
        <f t="shared" si="91"/>
        <v>1.19</v>
      </c>
      <c r="O384" s="26">
        <f t="shared" si="92"/>
        <v>0.90763052208835338</v>
      </c>
      <c r="P384" s="25">
        <f t="shared" si="93"/>
        <v>2.52</v>
      </c>
      <c r="Q384" s="22" t="str">
        <f t="shared" si="94"/>
        <v>Medium</v>
      </c>
      <c r="R384">
        <f t="shared" si="95"/>
        <v>380</v>
      </c>
    </row>
    <row r="385" spans="1:18" x14ac:dyDescent="0.3">
      <c r="A385" s="22">
        <f>IF(B385="","",381)</f>
        <v>381</v>
      </c>
      <c r="B385" s="22" t="str">
        <f>IF(Calc_Engine!I382="","",Calc_Engine!I382)</f>
        <v>EMP1381</v>
      </c>
      <c r="C385" s="23" t="str">
        <f t="shared" si="80"/>
        <v>Ravi Gupta</v>
      </c>
      <c r="D385" s="23" t="str">
        <f t="shared" si="81"/>
        <v>Marketing Executive</v>
      </c>
      <c r="E385" s="23" t="str">
        <f t="shared" si="82"/>
        <v>Marketing</v>
      </c>
      <c r="F385" s="22" t="str">
        <f t="shared" si="83"/>
        <v>L2</v>
      </c>
      <c r="G385" s="23" t="str">
        <f t="shared" si="84"/>
        <v>Isha Chatterjee</v>
      </c>
      <c r="H385" s="22" t="str">
        <f t="shared" si="85"/>
        <v>Active</v>
      </c>
      <c r="I385" s="24">
        <f t="shared" si="86"/>
        <v>1</v>
      </c>
      <c r="J385" s="22">
        <f t="shared" si="87"/>
        <v>1</v>
      </c>
      <c r="K385" s="23" t="str">
        <f t="shared" si="88"/>
        <v>Underperformer</v>
      </c>
      <c r="L385" s="22" t="str">
        <f t="shared" si="89"/>
        <v>Not Eligible</v>
      </c>
      <c r="M385" s="24">
        <f t="shared" si="90"/>
        <v>8.01</v>
      </c>
      <c r="N385" s="25">
        <f t="shared" si="91"/>
        <v>0.94</v>
      </c>
      <c r="O385" s="26">
        <f t="shared" si="92"/>
        <v>0.89919354838709675</v>
      </c>
      <c r="P385" s="25">
        <f t="shared" si="93"/>
        <v>3.05</v>
      </c>
      <c r="Q385" s="22" t="str">
        <f t="shared" si="94"/>
        <v>Low</v>
      </c>
      <c r="R385">
        <f t="shared" si="95"/>
        <v>381</v>
      </c>
    </row>
    <row r="386" spans="1:18" x14ac:dyDescent="0.3">
      <c r="A386" s="22">
        <f>IF(B386="","",382)</f>
        <v>382</v>
      </c>
      <c r="B386" s="22" t="str">
        <f>IF(Calc_Engine!I383="","",Calc_Engine!I383)</f>
        <v>EMP1382</v>
      </c>
      <c r="C386" s="23" t="str">
        <f t="shared" si="80"/>
        <v>Ritu Nair</v>
      </c>
      <c r="D386" s="23" t="str">
        <f t="shared" si="81"/>
        <v>Key Account Manager</v>
      </c>
      <c r="E386" s="23" t="str">
        <f t="shared" si="82"/>
        <v>Sales</v>
      </c>
      <c r="F386" s="22" t="str">
        <f t="shared" si="83"/>
        <v>L4</v>
      </c>
      <c r="G386" s="23" t="str">
        <f t="shared" si="84"/>
        <v>Kavya Krishnan</v>
      </c>
      <c r="H386" s="22" t="str">
        <f t="shared" si="85"/>
        <v>Active</v>
      </c>
      <c r="I386" s="24">
        <f t="shared" si="86"/>
        <v>1</v>
      </c>
      <c r="J386" s="22">
        <f t="shared" si="87"/>
        <v>2</v>
      </c>
      <c r="K386" s="23" t="str">
        <f t="shared" si="88"/>
        <v>Underperformer</v>
      </c>
      <c r="L386" s="22" t="str">
        <f t="shared" si="89"/>
        <v>Not Eligible</v>
      </c>
      <c r="M386" s="24">
        <f t="shared" si="90"/>
        <v>24.53</v>
      </c>
      <c r="N386" s="25">
        <f t="shared" si="91"/>
        <v>1.05</v>
      </c>
      <c r="O386" s="26">
        <f t="shared" si="92"/>
        <v>0.90283400809716596</v>
      </c>
      <c r="P386" s="25">
        <f t="shared" si="93"/>
        <v>2.17</v>
      </c>
      <c r="Q386" s="22" t="str">
        <f t="shared" si="94"/>
        <v>Medium</v>
      </c>
      <c r="R386">
        <f t="shared" si="95"/>
        <v>382</v>
      </c>
    </row>
    <row r="387" spans="1:18" x14ac:dyDescent="0.3">
      <c r="A387" s="22">
        <f>IF(B387="","",383)</f>
        <v>383</v>
      </c>
      <c r="B387" s="22" t="str">
        <f>IF(Calc_Engine!I384="","",Calc_Engine!I384)</f>
        <v>EMP1383</v>
      </c>
      <c r="C387" s="23" t="str">
        <f t="shared" si="80"/>
        <v>Keerthi Kamath</v>
      </c>
      <c r="D387" s="23" t="str">
        <f t="shared" si="81"/>
        <v>Sales Associate</v>
      </c>
      <c r="E387" s="23" t="str">
        <f t="shared" si="82"/>
        <v>Sales</v>
      </c>
      <c r="F387" s="22" t="str">
        <f t="shared" si="83"/>
        <v>L1</v>
      </c>
      <c r="G387" s="23" t="str">
        <f t="shared" si="84"/>
        <v>Kavya Krishnan</v>
      </c>
      <c r="H387" s="22" t="str">
        <f t="shared" si="85"/>
        <v>Exited</v>
      </c>
      <c r="I387" s="24">
        <f t="shared" si="86"/>
        <v>1</v>
      </c>
      <c r="J387" s="22">
        <f t="shared" si="87"/>
        <v>3</v>
      </c>
      <c r="K387" s="23" t="str">
        <f t="shared" si="88"/>
        <v>Core Player</v>
      </c>
      <c r="L387" s="22" t="str">
        <f t="shared" si="89"/>
        <v>Not Eligible</v>
      </c>
      <c r="M387" s="24">
        <f t="shared" si="90"/>
        <v>5.4</v>
      </c>
      <c r="N387" s="25">
        <f t="shared" si="91"/>
        <v>1.06</v>
      </c>
      <c r="O387" s="26">
        <f t="shared" si="92"/>
        <v>0.90909090909090906</v>
      </c>
      <c r="P387" s="25">
        <f t="shared" si="93"/>
        <v>2.67</v>
      </c>
      <c r="Q387" s="22" t="str">
        <f t="shared" si="94"/>
        <v>Exited</v>
      </c>
      <c r="R387">
        <f t="shared" si="95"/>
        <v>383</v>
      </c>
    </row>
    <row r="388" spans="1:18" x14ac:dyDescent="0.3">
      <c r="A388" s="22">
        <f>IF(B388="","",384)</f>
        <v>384</v>
      </c>
      <c r="B388" s="22" t="str">
        <f>IF(Calc_Engine!I385="","",Calc_Engine!I385)</f>
        <v>EMP1384</v>
      </c>
      <c r="C388" s="23" t="str">
        <f t="shared" si="80"/>
        <v>Sakshi Varghese</v>
      </c>
      <c r="D388" s="23" t="str">
        <f t="shared" si="81"/>
        <v>Sales Executive</v>
      </c>
      <c r="E388" s="23" t="str">
        <f t="shared" si="82"/>
        <v>Sales</v>
      </c>
      <c r="F388" s="22" t="str">
        <f t="shared" si="83"/>
        <v>L2</v>
      </c>
      <c r="G388" s="23" t="str">
        <f t="shared" si="84"/>
        <v>Nikhil Agarwal</v>
      </c>
      <c r="H388" s="22" t="str">
        <f t="shared" si="85"/>
        <v>Active</v>
      </c>
      <c r="I388" s="24">
        <f t="shared" si="86"/>
        <v>1</v>
      </c>
      <c r="J388" s="22">
        <f t="shared" si="87"/>
        <v>3</v>
      </c>
      <c r="K388" s="23" t="str">
        <f t="shared" si="88"/>
        <v>Future Star</v>
      </c>
      <c r="L388" s="22" t="str">
        <f t="shared" si="89"/>
        <v>Not Eligible</v>
      </c>
      <c r="M388" s="24">
        <f t="shared" si="90"/>
        <v>7.42</v>
      </c>
      <c r="N388" s="25">
        <f t="shared" si="91"/>
        <v>0.87</v>
      </c>
      <c r="O388" s="26">
        <f t="shared" si="92"/>
        <v>0.89626556016597514</v>
      </c>
      <c r="P388" s="25">
        <f t="shared" si="93"/>
        <v>2.4300000000000002</v>
      </c>
      <c r="Q388" s="22" t="str">
        <f t="shared" si="94"/>
        <v>High</v>
      </c>
      <c r="R388">
        <f t="shared" si="95"/>
        <v>384</v>
      </c>
    </row>
    <row r="389" spans="1:18" x14ac:dyDescent="0.3">
      <c r="A389" s="22">
        <f>IF(B389="","",385)</f>
        <v>385</v>
      </c>
      <c r="B389" s="22" t="str">
        <f>IF(Calc_Engine!I386="","",Calc_Engine!I386)</f>
        <v>EMP1385</v>
      </c>
      <c r="C389" s="23" t="str">
        <f t="shared" ref="C389:C452" si="96">IF($R389="","",INDEX(M_Name,$R389))</f>
        <v>Mohit Desai</v>
      </c>
      <c r="D389" s="23" t="str">
        <f t="shared" ref="D389:D452" si="97">IF($R389="","",INDEX(M_Title,$R389))</f>
        <v>Compliance Executive</v>
      </c>
      <c r="E389" s="23" t="str">
        <f t="shared" ref="E389:E452" si="98">IF($R389="","",INDEX(M_Dept,$R389))</f>
        <v>Legal &amp; Compliance</v>
      </c>
      <c r="F389" s="22" t="str">
        <f t="shared" ref="F389:F452" si="99">IF($R389="","",INDEX(M_Level,$R389))</f>
        <v>L2</v>
      </c>
      <c r="G389" s="23" t="str">
        <f t="shared" ref="G389:G452" si="100">IF($R389="","",INDEX(M_Mgr,$R389))</f>
        <v>Ramya Khanna</v>
      </c>
      <c r="H389" s="22" t="str">
        <f t="shared" ref="H389:H452" si="101">IF($R389="","",INDEX(M_Status,$R389))</f>
        <v>Active</v>
      </c>
      <c r="I389" s="24">
        <f t="shared" ref="I389:I452" si="102">IF($R389="","",INDEX(M_Tenure,$R389))</f>
        <v>1</v>
      </c>
      <c r="J389" s="22">
        <f t="shared" ref="J389:J452" si="103">IF($R389="","",INDEX(P_Rating,$R389))</f>
        <v>3</v>
      </c>
      <c r="K389" s="23" t="str">
        <f t="shared" ref="K389:K452" si="104">IF($R389="","",INDEX(P_9Box,$R389))</f>
        <v>Core Player</v>
      </c>
      <c r="L389" s="22" t="str">
        <f t="shared" ref="L389:L452" si="105">IF($R389="","",INDEX(P_Elig,$R389))</f>
        <v>Not Eligible</v>
      </c>
      <c r="M389" s="24">
        <f t="shared" ref="M389:M452" si="106">IF($R389="","",INDEX(C_CTC,$R389)/100000)</f>
        <v>9.52</v>
      </c>
      <c r="N389" s="25">
        <f t="shared" ref="N389:N452" si="107">IF($R389="","",INDEX(C_Compa,$R389))</f>
        <v>1.1100000000000001</v>
      </c>
      <c r="O389" s="26">
        <f t="shared" ref="O389:O452" si="108">IF($R389="","",INDEX(A_Att,$R389))</f>
        <v>0.93775933609958506</v>
      </c>
      <c r="P389" s="25">
        <f t="shared" ref="P389:P452" si="109">IF($R389="","",INDEX(E_Overall,$R389))</f>
        <v>3.42</v>
      </c>
      <c r="Q389" s="22" t="str">
        <f t="shared" ref="Q389:Q452" si="110">IF($R389="","",INDEX(E_Risk,$R389))</f>
        <v>Low</v>
      </c>
      <c r="R389">
        <f t="shared" ref="R389:R452" si="111">IF(B389="","",MATCH(B389,M_ID,0))</f>
        <v>385</v>
      </c>
    </row>
    <row r="390" spans="1:18" x14ac:dyDescent="0.3">
      <c r="A390" s="22">
        <f>IF(B390="","",386)</f>
        <v>386</v>
      </c>
      <c r="B390" s="22" t="str">
        <f>IF(Calc_Engine!I387="","",Calc_Engine!I387)</f>
        <v>EMP1386</v>
      </c>
      <c r="C390" s="23" t="str">
        <f t="shared" si="96"/>
        <v>Ajay Bose</v>
      </c>
      <c r="D390" s="23" t="str">
        <f t="shared" si="97"/>
        <v>Legal Associate</v>
      </c>
      <c r="E390" s="23" t="str">
        <f t="shared" si="98"/>
        <v>Legal &amp; Compliance</v>
      </c>
      <c r="F390" s="22" t="str">
        <f t="shared" si="99"/>
        <v>L1</v>
      </c>
      <c r="G390" s="23" t="str">
        <f t="shared" si="100"/>
        <v>Ramya Khanna</v>
      </c>
      <c r="H390" s="22" t="str">
        <f t="shared" si="101"/>
        <v>Active</v>
      </c>
      <c r="I390" s="24">
        <f t="shared" si="102"/>
        <v>1</v>
      </c>
      <c r="J390" s="22">
        <f t="shared" si="103"/>
        <v>5</v>
      </c>
      <c r="K390" s="23" t="str">
        <f t="shared" si="104"/>
        <v>Star</v>
      </c>
      <c r="L390" s="22" t="str">
        <f t="shared" si="105"/>
        <v>Not Eligible</v>
      </c>
      <c r="M390" s="24">
        <f t="shared" si="106"/>
        <v>4.21</v>
      </c>
      <c r="N390" s="25">
        <f t="shared" si="107"/>
        <v>0.83</v>
      </c>
      <c r="O390" s="26">
        <f t="shared" si="108"/>
        <v>0.88607594936708856</v>
      </c>
      <c r="P390" s="25">
        <f t="shared" si="109"/>
        <v>3.6</v>
      </c>
      <c r="Q390" s="22" t="str">
        <f t="shared" si="110"/>
        <v>Medium</v>
      </c>
      <c r="R390">
        <f t="shared" si="111"/>
        <v>386</v>
      </c>
    </row>
    <row r="391" spans="1:18" x14ac:dyDescent="0.3">
      <c r="A391" s="22">
        <f>IF(B391="","",387)</f>
        <v>387</v>
      </c>
      <c r="B391" s="22" t="str">
        <f>IF(Calc_Engine!I388="","",Calc_Engine!I388)</f>
        <v>EMP1387</v>
      </c>
      <c r="C391" s="23" t="str">
        <f t="shared" si="96"/>
        <v>Rakesh Khanna</v>
      </c>
      <c r="D391" s="23" t="str">
        <f t="shared" si="97"/>
        <v>Marketing Associate</v>
      </c>
      <c r="E391" s="23" t="str">
        <f t="shared" si="98"/>
        <v>Marketing</v>
      </c>
      <c r="F391" s="22" t="str">
        <f t="shared" si="99"/>
        <v>L1</v>
      </c>
      <c r="G391" s="23" t="str">
        <f t="shared" si="100"/>
        <v>Nandini Iyer</v>
      </c>
      <c r="H391" s="22" t="str">
        <f t="shared" si="101"/>
        <v>Active</v>
      </c>
      <c r="I391" s="24">
        <f t="shared" si="102"/>
        <v>0.9</v>
      </c>
      <c r="J391" s="22">
        <f t="shared" si="103"/>
        <v>3</v>
      </c>
      <c r="K391" s="23" t="str">
        <f t="shared" si="104"/>
        <v>Effective Contributor</v>
      </c>
      <c r="L391" s="22" t="str">
        <f t="shared" si="105"/>
        <v>Not Eligible</v>
      </c>
      <c r="M391" s="24">
        <f t="shared" si="106"/>
        <v>4.63</v>
      </c>
      <c r="N391" s="25">
        <f t="shared" si="107"/>
        <v>0.91</v>
      </c>
      <c r="O391" s="26">
        <f t="shared" si="108"/>
        <v>0.90170940170940173</v>
      </c>
      <c r="P391" s="25">
        <f t="shared" si="109"/>
        <v>2.87</v>
      </c>
      <c r="Q391" s="22" t="str">
        <f t="shared" si="110"/>
        <v>Low</v>
      </c>
      <c r="R391">
        <f t="shared" si="111"/>
        <v>387</v>
      </c>
    </row>
    <row r="392" spans="1:18" x14ac:dyDescent="0.3">
      <c r="A392" s="22">
        <f>IF(B392="","",388)</f>
        <v>388</v>
      </c>
      <c r="B392" s="22" t="str">
        <f>IF(Calc_Engine!I389="","",Calc_Engine!I389)</f>
        <v>EMP1388</v>
      </c>
      <c r="C392" s="23" t="str">
        <f t="shared" si="96"/>
        <v>Shreya Jain</v>
      </c>
      <c r="D392" s="23" t="str">
        <f t="shared" si="97"/>
        <v>Software Engineer</v>
      </c>
      <c r="E392" s="23" t="str">
        <f t="shared" si="98"/>
        <v>Engineering</v>
      </c>
      <c r="F392" s="22" t="str">
        <f t="shared" si="99"/>
        <v>L2</v>
      </c>
      <c r="G392" s="23" t="str">
        <f t="shared" si="100"/>
        <v>Tejaswini Hegde</v>
      </c>
      <c r="H392" s="22" t="str">
        <f t="shared" si="101"/>
        <v>Active</v>
      </c>
      <c r="I392" s="24">
        <f t="shared" si="102"/>
        <v>0.9</v>
      </c>
      <c r="J392" s="22">
        <f t="shared" si="103"/>
        <v>3</v>
      </c>
      <c r="K392" s="23" t="str">
        <f t="shared" si="104"/>
        <v>Future Star</v>
      </c>
      <c r="L392" s="22" t="str">
        <f t="shared" si="105"/>
        <v>Not Eligible</v>
      </c>
      <c r="M392" s="24">
        <f t="shared" si="106"/>
        <v>7.94</v>
      </c>
      <c r="N392" s="25">
        <f t="shared" si="107"/>
        <v>0.93</v>
      </c>
      <c r="O392" s="26">
        <f t="shared" si="108"/>
        <v>0.92307692307692313</v>
      </c>
      <c r="P392" s="25">
        <f t="shared" si="109"/>
        <v>3.65</v>
      </c>
      <c r="Q392" s="22" t="str">
        <f t="shared" si="110"/>
        <v>Low</v>
      </c>
      <c r="R392">
        <f t="shared" si="111"/>
        <v>388</v>
      </c>
    </row>
    <row r="393" spans="1:18" x14ac:dyDescent="0.3">
      <c r="A393" s="22">
        <f>IF(B393="","",389)</f>
        <v>389</v>
      </c>
      <c r="B393" s="22" t="str">
        <f>IF(Calc_Engine!I390="","",Calc_Engine!I390)</f>
        <v>EMP1389</v>
      </c>
      <c r="C393" s="23" t="str">
        <f t="shared" si="96"/>
        <v>Sneha Yadav</v>
      </c>
      <c r="D393" s="23" t="str">
        <f t="shared" si="97"/>
        <v>Senior Software Engineer</v>
      </c>
      <c r="E393" s="23" t="str">
        <f t="shared" si="98"/>
        <v>Engineering</v>
      </c>
      <c r="F393" s="22" t="str">
        <f t="shared" si="99"/>
        <v>L3</v>
      </c>
      <c r="G393" s="23" t="str">
        <f t="shared" si="100"/>
        <v>Bhavana Hegde</v>
      </c>
      <c r="H393" s="22" t="str">
        <f t="shared" si="101"/>
        <v>Active</v>
      </c>
      <c r="I393" s="24">
        <f t="shared" si="102"/>
        <v>0.9</v>
      </c>
      <c r="J393" s="22">
        <f t="shared" si="103"/>
        <v>4</v>
      </c>
      <c r="K393" s="23" t="str">
        <f t="shared" si="104"/>
        <v>Star</v>
      </c>
      <c r="L393" s="22" t="str">
        <f t="shared" si="105"/>
        <v>Not Eligible</v>
      </c>
      <c r="M393" s="24">
        <f t="shared" si="106"/>
        <v>15.62</v>
      </c>
      <c r="N393" s="25">
        <f t="shared" si="107"/>
        <v>1.08</v>
      </c>
      <c r="O393" s="26">
        <f t="shared" si="108"/>
        <v>0.94420600858369097</v>
      </c>
      <c r="P393" s="25">
        <f t="shared" si="109"/>
        <v>3.3</v>
      </c>
      <c r="Q393" s="22" t="str">
        <f t="shared" si="110"/>
        <v>Low</v>
      </c>
      <c r="R393">
        <f t="shared" si="111"/>
        <v>389</v>
      </c>
    </row>
    <row r="394" spans="1:18" x14ac:dyDescent="0.3">
      <c r="A394" s="22">
        <f>IF(B394="","",390)</f>
        <v>390</v>
      </c>
      <c r="B394" s="22" t="str">
        <f>IF(Calc_Engine!I391="","",Calc_Engine!I391)</f>
        <v>EMP1390</v>
      </c>
      <c r="C394" s="23" t="str">
        <f t="shared" si="96"/>
        <v>Harsh Kapoor</v>
      </c>
      <c r="D394" s="23" t="str">
        <f t="shared" si="97"/>
        <v>Senior Operations Executive</v>
      </c>
      <c r="E394" s="23" t="str">
        <f t="shared" si="98"/>
        <v>Operations</v>
      </c>
      <c r="F394" s="22" t="str">
        <f t="shared" si="99"/>
        <v>L3</v>
      </c>
      <c r="G394" s="23" t="str">
        <f t="shared" si="100"/>
        <v>Ankit Khanna</v>
      </c>
      <c r="H394" s="22" t="str">
        <f t="shared" si="101"/>
        <v>Active</v>
      </c>
      <c r="I394" s="24">
        <f t="shared" si="102"/>
        <v>0.9</v>
      </c>
      <c r="J394" s="22">
        <f t="shared" si="103"/>
        <v>4</v>
      </c>
      <c r="K394" s="23" t="str">
        <f t="shared" si="104"/>
        <v>Star</v>
      </c>
      <c r="L394" s="22" t="str">
        <f t="shared" si="105"/>
        <v>Not Eligible</v>
      </c>
      <c r="M394" s="24">
        <f t="shared" si="106"/>
        <v>10.039999999999999</v>
      </c>
      <c r="N394" s="25">
        <f t="shared" si="107"/>
        <v>0.69</v>
      </c>
      <c r="O394" s="26">
        <f t="shared" si="108"/>
        <v>0.87982832618025753</v>
      </c>
      <c r="P394" s="25">
        <f t="shared" si="109"/>
        <v>3.33</v>
      </c>
      <c r="Q394" s="22" t="str">
        <f t="shared" si="110"/>
        <v>Medium</v>
      </c>
      <c r="R394">
        <f t="shared" si="111"/>
        <v>390</v>
      </c>
    </row>
    <row r="395" spans="1:18" x14ac:dyDescent="0.3">
      <c r="A395" s="22">
        <f>IF(B395="","",391)</f>
        <v>391</v>
      </c>
      <c r="B395" s="22" t="str">
        <f>IF(Calc_Engine!I392="","",Calc_Engine!I392)</f>
        <v>EMP1391</v>
      </c>
      <c r="C395" s="23" t="str">
        <f t="shared" si="96"/>
        <v>Venkat Iyer</v>
      </c>
      <c r="D395" s="23" t="str">
        <f t="shared" si="97"/>
        <v>Data Analyst II</v>
      </c>
      <c r="E395" s="23" t="str">
        <f t="shared" si="98"/>
        <v>Data &amp; Analytics</v>
      </c>
      <c r="F395" s="22" t="str">
        <f t="shared" si="99"/>
        <v>L2</v>
      </c>
      <c r="G395" s="23" t="str">
        <f t="shared" si="100"/>
        <v>Karan Verma</v>
      </c>
      <c r="H395" s="22" t="str">
        <f t="shared" si="101"/>
        <v>Exited</v>
      </c>
      <c r="I395" s="24">
        <f t="shared" si="102"/>
        <v>0.5</v>
      </c>
      <c r="J395" s="22">
        <f t="shared" si="103"/>
        <v>3</v>
      </c>
      <c r="K395" s="23" t="str">
        <f t="shared" si="104"/>
        <v>Effective Contributor</v>
      </c>
      <c r="L395" s="22" t="str">
        <f t="shared" si="105"/>
        <v>Not Eligible</v>
      </c>
      <c r="M395" s="24">
        <f t="shared" si="106"/>
        <v>8.1300000000000008</v>
      </c>
      <c r="N395" s="25">
        <f t="shared" si="107"/>
        <v>0.95</v>
      </c>
      <c r="O395" s="26">
        <f t="shared" si="108"/>
        <v>0.88513513513513509</v>
      </c>
      <c r="P395" s="25">
        <f t="shared" si="109"/>
        <v>2.37</v>
      </c>
      <c r="Q395" s="22" t="str">
        <f t="shared" si="110"/>
        <v>Exited</v>
      </c>
      <c r="R395">
        <f t="shared" si="111"/>
        <v>391</v>
      </c>
    </row>
    <row r="396" spans="1:18" x14ac:dyDescent="0.3">
      <c r="A396" s="22">
        <f>IF(B396="","",392)</f>
        <v>392</v>
      </c>
      <c r="B396" s="22" t="str">
        <f>IF(Calc_Engine!I393="","",Calc_Engine!I393)</f>
        <v>EMP1392</v>
      </c>
      <c r="C396" s="23" t="str">
        <f t="shared" si="96"/>
        <v>Sowmya Khan</v>
      </c>
      <c r="D396" s="23" t="str">
        <f t="shared" si="97"/>
        <v>Legal Associate</v>
      </c>
      <c r="E396" s="23" t="str">
        <f t="shared" si="98"/>
        <v>Legal &amp; Compliance</v>
      </c>
      <c r="F396" s="22" t="str">
        <f t="shared" si="99"/>
        <v>L1</v>
      </c>
      <c r="G396" s="23" t="str">
        <f t="shared" si="100"/>
        <v>Swathi Mukherjee</v>
      </c>
      <c r="H396" s="22" t="str">
        <f t="shared" si="101"/>
        <v>Active</v>
      </c>
      <c r="I396" s="24">
        <f t="shared" si="102"/>
        <v>0.9</v>
      </c>
      <c r="J396" s="22">
        <f t="shared" si="103"/>
        <v>2</v>
      </c>
      <c r="K396" s="23" t="str">
        <f t="shared" si="104"/>
        <v>Underperformer</v>
      </c>
      <c r="L396" s="22" t="str">
        <f t="shared" si="105"/>
        <v>Not Eligible</v>
      </c>
      <c r="M396" s="24">
        <f t="shared" si="106"/>
        <v>4.76</v>
      </c>
      <c r="N396" s="25">
        <f t="shared" si="107"/>
        <v>0.94</v>
      </c>
      <c r="O396" s="26">
        <f t="shared" si="108"/>
        <v>0.89130434782608692</v>
      </c>
      <c r="P396" s="25">
        <f t="shared" si="109"/>
        <v>1.85</v>
      </c>
      <c r="Q396" s="22" t="str">
        <f t="shared" si="110"/>
        <v>Medium</v>
      </c>
      <c r="R396">
        <f t="shared" si="111"/>
        <v>392</v>
      </c>
    </row>
    <row r="397" spans="1:18" x14ac:dyDescent="0.3">
      <c r="A397" s="22">
        <f>IF(B397="","",393)</f>
        <v>393</v>
      </c>
      <c r="B397" s="22" t="str">
        <f>IF(Calc_Engine!I394="","",Calc_Engine!I394)</f>
        <v>EMP1393</v>
      </c>
      <c r="C397" s="23" t="str">
        <f t="shared" si="96"/>
        <v>Suresh Chatterjee</v>
      </c>
      <c r="D397" s="23" t="str">
        <f t="shared" si="97"/>
        <v>Senior Product Manager</v>
      </c>
      <c r="E397" s="23" t="str">
        <f t="shared" si="98"/>
        <v>Product</v>
      </c>
      <c r="F397" s="22" t="str">
        <f t="shared" si="99"/>
        <v>L4</v>
      </c>
      <c r="G397" s="23" t="str">
        <f t="shared" si="100"/>
        <v>Mansi Pillai</v>
      </c>
      <c r="H397" s="22" t="str">
        <f t="shared" si="101"/>
        <v>Active</v>
      </c>
      <c r="I397" s="24">
        <f t="shared" si="102"/>
        <v>0.9</v>
      </c>
      <c r="J397" s="22">
        <f t="shared" si="103"/>
        <v>5</v>
      </c>
      <c r="K397" s="23" t="str">
        <f t="shared" si="104"/>
        <v>High Performer</v>
      </c>
      <c r="L397" s="22" t="str">
        <f t="shared" si="105"/>
        <v>Not Eligible</v>
      </c>
      <c r="M397" s="24">
        <f t="shared" si="106"/>
        <v>29.05</v>
      </c>
      <c r="N397" s="25">
        <f t="shared" si="107"/>
        <v>1.24</v>
      </c>
      <c r="O397" s="26">
        <f t="shared" si="108"/>
        <v>0.95633187772925765</v>
      </c>
      <c r="P397" s="25">
        <f t="shared" si="109"/>
        <v>3.92</v>
      </c>
      <c r="Q397" s="22" t="str">
        <f t="shared" si="110"/>
        <v>Low</v>
      </c>
      <c r="R397">
        <f t="shared" si="111"/>
        <v>393</v>
      </c>
    </row>
    <row r="398" spans="1:18" x14ac:dyDescent="0.3">
      <c r="A398" s="22">
        <f>IF(B398="","",394)</f>
        <v>394</v>
      </c>
      <c r="B398" s="22" t="str">
        <f>IF(Calc_Engine!I395="","",Calc_Engine!I395)</f>
        <v>EMP1394</v>
      </c>
      <c r="C398" s="23" t="str">
        <f t="shared" si="96"/>
        <v>Aditya Das</v>
      </c>
      <c r="D398" s="23" t="str">
        <f t="shared" si="97"/>
        <v>Associate Software Engineer</v>
      </c>
      <c r="E398" s="23" t="str">
        <f t="shared" si="98"/>
        <v>Engineering</v>
      </c>
      <c r="F398" s="22" t="str">
        <f t="shared" si="99"/>
        <v>L1</v>
      </c>
      <c r="G398" s="23" t="str">
        <f t="shared" si="100"/>
        <v>Gaurav Fernandes</v>
      </c>
      <c r="H398" s="22" t="str">
        <f t="shared" si="101"/>
        <v>Exited</v>
      </c>
      <c r="I398" s="24">
        <f t="shared" si="102"/>
        <v>0.8</v>
      </c>
      <c r="J398" s="22">
        <f t="shared" si="103"/>
        <v>5</v>
      </c>
      <c r="K398" s="23" t="str">
        <f t="shared" si="104"/>
        <v>High Performer</v>
      </c>
      <c r="L398" s="22" t="str">
        <f t="shared" si="105"/>
        <v>Not Eligible</v>
      </c>
      <c r="M398" s="24">
        <f t="shared" si="106"/>
        <v>6.96</v>
      </c>
      <c r="N398" s="25">
        <f t="shared" si="107"/>
        <v>1.37</v>
      </c>
      <c r="O398" s="26">
        <f t="shared" si="108"/>
        <v>0.94117647058823528</v>
      </c>
      <c r="P398" s="25">
        <f t="shared" si="109"/>
        <v>3.92</v>
      </c>
      <c r="Q398" s="22" t="str">
        <f t="shared" si="110"/>
        <v>Exited</v>
      </c>
      <c r="R398">
        <f t="shared" si="111"/>
        <v>394</v>
      </c>
    </row>
    <row r="399" spans="1:18" x14ac:dyDescent="0.3">
      <c r="A399" s="22">
        <f>IF(B399="","",395)</f>
        <v>395</v>
      </c>
      <c r="B399" s="22" t="str">
        <f>IF(Calc_Engine!I396="","",Calc_Engine!I396)</f>
        <v>EMP1395</v>
      </c>
      <c r="C399" s="23" t="str">
        <f t="shared" si="96"/>
        <v>Ankit Banerjee</v>
      </c>
      <c r="D399" s="23" t="str">
        <f t="shared" si="97"/>
        <v>Operations Executive</v>
      </c>
      <c r="E399" s="23" t="str">
        <f t="shared" si="98"/>
        <v>Operations</v>
      </c>
      <c r="F399" s="22" t="str">
        <f t="shared" si="99"/>
        <v>L2</v>
      </c>
      <c r="G399" s="23" t="str">
        <f t="shared" si="100"/>
        <v>Yash Shah</v>
      </c>
      <c r="H399" s="22" t="str">
        <f t="shared" si="101"/>
        <v>Active</v>
      </c>
      <c r="I399" s="24">
        <f t="shared" si="102"/>
        <v>0.9</v>
      </c>
      <c r="J399" s="22">
        <f t="shared" si="103"/>
        <v>3</v>
      </c>
      <c r="K399" s="23" t="str">
        <f t="shared" si="104"/>
        <v>Core Player</v>
      </c>
      <c r="L399" s="22" t="str">
        <f t="shared" si="105"/>
        <v>Not Eligible</v>
      </c>
      <c r="M399" s="24">
        <f t="shared" si="106"/>
        <v>8.81</v>
      </c>
      <c r="N399" s="25">
        <f t="shared" si="107"/>
        <v>1.03</v>
      </c>
      <c r="O399" s="26">
        <f t="shared" si="108"/>
        <v>0.8995433789954338</v>
      </c>
      <c r="P399" s="25">
        <f t="shared" si="109"/>
        <v>3.93</v>
      </c>
      <c r="Q399" s="22" t="str">
        <f t="shared" si="110"/>
        <v>Low</v>
      </c>
      <c r="R399">
        <f t="shared" si="111"/>
        <v>395</v>
      </c>
    </row>
    <row r="400" spans="1:18" x14ac:dyDescent="0.3">
      <c r="A400" s="22">
        <f>IF(B400="","",396)</f>
        <v>396</v>
      </c>
      <c r="B400" s="22" t="str">
        <f>IF(Calc_Engine!I397="","",Calc_Engine!I397)</f>
        <v>EMP1396</v>
      </c>
      <c r="C400" s="23" t="str">
        <f t="shared" si="96"/>
        <v>Aniket Hegde</v>
      </c>
      <c r="D400" s="23" t="str">
        <f t="shared" si="97"/>
        <v>Senior Marketing Executive</v>
      </c>
      <c r="E400" s="23" t="str">
        <f t="shared" si="98"/>
        <v>Marketing</v>
      </c>
      <c r="F400" s="22" t="str">
        <f t="shared" si="99"/>
        <v>L3</v>
      </c>
      <c r="G400" s="23" t="str">
        <f t="shared" si="100"/>
        <v>Isha Chatterjee</v>
      </c>
      <c r="H400" s="22" t="str">
        <f t="shared" si="101"/>
        <v>Active</v>
      </c>
      <c r="I400" s="24">
        <f t="shared" si="102"/>
        <v>0.9</v>
      </c>
      <c r="J400" s="22">
        <f t="shared" si="103"/>
        <v>4</v>
      </c>
      <c r="K400" s="23" t="str">
        <f t="shared" si="104"/>
        <v>Star</v>
      </c>
      <c r="L400" s="22" t="str">
        <f t="shared" si="105"/>
        <v>Not Eligible</v>
      </c>
      <c r="M400" s="24">
        <f t="shared" si="106"/>
        <v>10.8</v>
      </c>
      <c r="N400" s="25">
        <f t="shared" si="107"/>
        <v>0.75</v>
      </c>
      <c r="O400" s="26">
        <f t="shared" si="108"/>
        <v>0.95890410958904104</v>
      </c>
      <c r="P400" s="25">
        <f t="shared" si="109"/>
        <v>3.35</v>
      </c>
      <c r="Q400" s="22" t="str">
        <f t="shared" si="110"/>
        <v>Medium</v>
      </c>
      <c r="R400">
        <f t="shared" si="111"/>
        <v>396</v>
      </c>
    </row>
    <row r="401" spans="1:18" x14ac:dyDescent="0.3">
      <c r="A401" s="22">
        <f>IF(B401="","",397)</f>
        <v>397</v>
      </c>
      <c r="B401" s="22" t="str">
        <f>IF(Calc_Engine!I398="","",Calc_Engine!I398)</f>
        <v>EMP1397</v>
      </c>
      <c r="C401" s="23" t="str">
        <f t="shared" si="96"/>
        <v>Bhavana Dsouza</v>
      </c>
      <c r="D401" s="23" t="str">
        <f t="shared" si="97"/>
        <v>Product Manager</v>
      </c>
      <c r="E401" s="23" t="str">
        <f t="shared" si="98"/>
        <v>Product</v>
      </c>
      <c r="F401" s="22" t="str">
        <f t="shared" si="99"/>
        <v>L3</v>
      </c>
      <c r="G401" s="23" t="str">
        <f t="shared" si="100"/>
        <v>Sachin Shetty</v>
      </c>
      <c r="H401" s="22" t="str">
        <f t="shared" si="101"/>
        <v>Active</v>
      </c>
      <c r="I401" s="24">
        <f t="shared" si="102"/>
        <v>0.9</v>
      </c>
      <c r="J401" s="22">
        <f t="shared" si="103"/>
        <v>2</v>
      </c>
      <c r="K401" s="23" t="str">
        <f t="shared" si="104"/>
        <v>Underperformer</v>
      </c>
      <c r="L401" s="22" t="str">
        <f t="shared" si="105"/>
        <v>Not Eligible</v>
      </c>
      <c r="M401" s="24">
        <f t="shared" si="106"/>
        <v>18.27</v>
      </c>
      <c r="N401" s="25">
        <f t="shared" si="107"/>
        <v>1.26</v>
      </c>
      <c r="O401" s="26">
        <f t="shared" si="108"/>
        <v>0.85514018691588789</v>
      </c>
      <c r="P401" s="25">
        <f t="shared" si="109"/>
        <v>3.08</v>
      </c>
      <c r="Q401" s="22" t="str">
        <f t="shared" si="110"/>
        <v>Low</v>
      </c>
      <c r="R401">
        <f t="shared" si="111"/>
        <v>397</v>
      </c>
    </row>
    <row r="402" spans="1:18" x14ac:dyDescent="0.3">
      <c r="A402" s="22">
        <f>IF(B402="","",398)</f>
        <v>398</v>
      </c>
      <c r="B402" s="22" t="str">
        <f>IF(Calc_Engine!I399="","",Calc_Engine!I399)</f>
        <v>EMP1398</v>
      </c>
      <c r="C402" s="23" t="str">
        <f t="shared" si="96"/>
        <v>Vidya Desai</v>
      </c>
      <c r="D402" s="23" t="str">
        <f t="shared" si="97"/>
        <v>Support Executive</v>
      </c>
      <c r="E402" s="23" t="str">
        <f t="shared" si="98"/>
        <v>Customer Support</v>
      </c>
      <c r="F402" s="22" t="str">
        <f t="shared" si="99"/>
        <v>L2</v>
      </c>
      <c r="G402" s="23" t="str">
        <f t="shared" si="100"/>
        <v>Ashish Varghese</v>
      </c>
      <c r="H402" s="22" t="str">
        <f t="shared" si="101"/>
        <v>Active</v>
      </c>
      <c r="I402" s="24">
        <f t="shared" si="102"/>
        <v>0.9</v>
      </c>
      <c r="J402" s="22">
        <f t="shared" si="103"/>
        <v>2</v>
      </c>
      <c r="K402" s="23" t="str">
        <f t="shared" si="104"/>
        <v>Inconsistent Player</v>
      </c>
      <c r="L402" s="22" t="str">
        <f t="shared" si="105"/>
        <v>Not Eligible</v>
      </c>
      <c r="M402" s="24">
        <f t="shared" si="106"/>
        <v>6.46</v>
      </c>
      <c r="N402" s="25">
        <f t="shared" si="107"/>
        <v>0.76</v>
      </c>
      <c r="O402" s="26">
        <f t="shared" si="108"/>
        <v>0.92957746478873238</v>
      </c>
      <c r="P402" s="25">
        <f t="shared" si="109"/>
        <v>3.3</v>
      </c>
      <c r="Q402" s="22" t="str">
        <f t="shared" si="110"/>
        <v>Low</v>
      </c>
      <c r="R402">
        <f t="shared" si="111"/>
        <v>398</v>
      </c>
    </row>
    <row r="403" spans="1:18" x14ac:dyDescent="0.3">
      <c r="A403" s="22">
        <f>IF(B403="","",399)</f>
        <v>399</v>
      </c>
      <c r="B403" s="22" t="str">
        <f>IF(Calc_Engine!I400="","",Calc_Engine!I400)</f>
        <v>EMP1399</v>
      </c>
      <c r="C403" s="23" t="str">
        <f t="shared" si="96"/>
        <v>Vishal Kumar</v>
      </c>
      <c r="D403" s="23" t="str">
        <f t="shared" si="97"/>
        <v>Senior Legal Counsel</v>
      </c>
      <c r="E403" s="23" t="str">
        <f t="shared" si="98"/>
        <v>Legal &amp; Compliance</v>
      </c>
      <c r="F403" s="22" t="str">
        <f t="shared" si="99"/>
        <v>L4</v>
      </c>
      <c r="G403" s="23" t="str">
        <f t="shared" si="100"/>
        <v>Ramya Khanna</v>
      </c>
      <c r="H403" s="22" t="str">
        <f t="shared" si="101"/>
        <v>Active</v>
      </c>
      <c r="I403" s="24">
        <f t="shared" si="102"/>
        <v>0.9</v>
      </c>
      <c r="J403" s="22">
        <f t="shared" si="103"/>
        <v>3</v>
      </c>
      <c r="K403" s="23" t="str">
        <f t="shared" si="104"/>
        <v>Future Star</v>
      </c>
      <c r="L403" s="22" t="str">
        <f t="shared" si="105"/>
        <v>Not Eligible</v>
      </c>
      <c r="M403" s="24">
        <f t="shared" si="106"/>
        <v>18.690000000000001</v>
      </c>
      <c r="N403" s="25">
        <f t="shared" si="107"/>
        <v>0.8</v>
      </c>
      <c r="O403" s="26">
        <f t="shared" si="108"/>
        <v>0.892018779342723</v>
      </c>
      <c r="P403" s="25">
        <f t="shared" si="109"/>
        <v>2.83</v>
      </c>
      <c r="Q403" s="22" t="str">
        <f t="shared" si="110"/>
        <v>Medium</v>
      </c>
      <c r="R403">
        <f t="shared" si="111"/>
        <v>399</v>
      </c>
    </row>
    <row r="404" spans="1:18" x14ac:dyDescent="0.3">
      <c r="A404" s="22">
        <f>IF(B404="","",400)</f>
        <v>400</v>
      </c>
      <c r="B404" s="22" t="str">
        <f>IF(Calc_Engine!I401="","",Calc_Engine!I401)</f>
        <v>EMP1400</v>
      </c>
      <c r="C404" s="23" t="str">
        <f t="shared" si="96"/>
        <v>Suresh Singh</v>
      </c>
      <c r="D404" s="23" t="str">
        <f t="shared" si="97"/>
        <v>Support Executive</v>
      </c>
      <c r="E404" s="23" t="str">
        <f t="shared" si="98"/>
        <v>Customer Support</v>
      </c>
      <c r="F404" s="22" t="str">
        <f t="shared" si="99"/>
        <v>L2</v>
      </c>
      <c r="G404" s="23" t="str">
        <f t="shared" si="100"/>
        <v>Isha Verma</v>
      </c>
      <c r="H404" s="22" t="str">
        <f t="shared" si="101"/>
        <v>Active</v>
      </c>
      <c r="I404" s="24">
        <f t="shared" si="102"/>
        <v>0.8</v>
      </c>
      <c r="J404" s="22">
        <f t="shared" si="103"/>
        <v>2</v>
      </c>
      <c r="K404" s="23" t="str">
        <f t="shared" si="104"/>
        <v>Underperformer</v>
      </c>
      <c r="L404" s="22" t="str">
        <f t="shared" si="105"/>
        <v>Not Eligible</v>
      </c>
      <c r="M404" s="24">
        <f t="shared" si="106"/>
        <v>4.91</v>
      </c>
      <c r="N404" s="25">
        <f t="shared" si="107"/>
        <v>0.56999999999999995</v>
      </c>
      <c r="O404" s="26">
        <f t="shared" si="108"/>
        <v>0.82938388625592419</v>
      </c>
      <c r="P404" s="25">
        <f t="shared" si="109"/>
        <v>2.77</v>
      </c>
      <c r="Q404" s="22" t="str">
        <f t="shared" si="110"/>
        <v>Medium</v>
      </c>
      <c r="R404">
        <f t="shared" si="111"/>
        <v>400</v>
      </c>
    </row>
    <row r="405" spans="1:18" x14ac:dyDescent="0.3">
      <c r="A405" s="22">
        <f>IF(B405="","",401)</f>
        <v>401</v>
      </c>
      <c r="B405" s="22" t="str">
        <f>IF(Calc_Engine!I402="","",Calc_Engine!I402)</f>
        <v>EMP1401</v>
      </c>
      <c r="C405" s="23" t="str">
        <f t="shared" si="96"/>
        <v>Mansi Yadav</v>
      </c>
      <c r="D405" s="23" t="str">
        <f t="shared" si="97"/>
        <v>Associate Software Engineer</v>
      </c>
      <c r="E405" s="23" t="str">
        <f t="shared" si="98"/>
        <v>Engineering</v>
      </c>
      <c r="F405" s="22" t="str">
        <f t="shared" si="99"/>
        <v>L1</v>
      </c>
      <c r="G405" s="23" t="str">
        <f t="shared" si="100"/>
        <v>Madhuri Menon</v>
      </c>
      <c r="H405" s="22" t="str">
        <f t="shared" si="101"/>
        <v>Active</v>
      </c>
      <c r="I405" s="24">
        <f t="shared" si="102"/>
        <v>0.8</v>
      </c>
      <c r="J405" s="22">
        <f t="shared" si="103"/>
        <v>2</v>
      </c>
      <c r="K405" s="23" t="str">
        <f t="shared" si="104"/>
        <v>Inconsistent Player</v>
      </c>
      <c r="L405" s="22" t="str">
        <f t="shared" si="105"/>
        <v>Not Eligible</v>
      </c>
      <c r="M405" s="24">
        <f t="shared" si="106"/>
        <v>6.88</v>
      </c>
      <c r="N405" s="25">
        <f t="shared" si="107"/>
        <v>1.35</v>
      </c>
      <c r="O405" s="26">
        <f t="shared" si="108"/>
        <v>0.89320388349514568</v>
      </c>
      <c r="P405" s="25">
        <f t="shared" si="109"/>
        <v>3.52</v>
      </c>
      <c r="Q405" s="22" t="str">
        <f t="shared" si="110"/>
        <v>Low</v>
      </c>
      <c r="R405">
        <f t="shared" si="111"/>
        <v>401</v>
      </c>
    </row>
    <row r="406" spans="1:18" x14ac:dyDescent="0.3">
      <c r="A406" s="22">
        <f>IF(B406="","",402)</f>
        <v>402</v>
      </c>
      <c r="B406" s="22" t="str">
        <f>IF(Calc_Engine!I403="","",Calc_Engine!I403)</f>
        <v>EMP1402</v>
      </c>
      <c r="C406" s="23" t="str">
        <f t="shared" si="96"/>
        <v>Tarun Prabhu</v>
      </c>
      <c r="D406" s="23" t="str">
        <f t="shared" si="97"/>
        <v>Associate Product Analyst</v>
      </c>
      <c r="E406" s="23" t="str">
        <f t="shared" si="98"/>
        <v>Product</v>
      </c>
      <c r="F406" s="22" t="str">
        <f t="shared" si="99"/>
        <v>L1</v>
      </c>
      <c r="G406" s="23" t="str">
        <f t="shared" si="100"/>
        <v>Trisha Malhotra</v>
      </c>
      <c r="H406" s="22" t="str">
        <f t="shared" si="101"/>
        <v>Active</v>
      </c>
      <c r="I406" s="24">
        <f t="shared" si="102"/>
        <v>0.8</v>
      </c>
      <c r="J406" s="22">
        <f t="shared" si="103"/>
        <v>3</v>
      </c>
      <c r="K406" s="23" t="str">
        <f t="shared" si="104"/>
        <v>Core Player</v>
      </c>
      <c r="L406" s="22" t="str">
        <f t="shared" si="105"/>
        <v>Not Eligible</v>
      </c>
      <c r="M406" s="24">
        <f t="shared" si="106"/>
        <v>5.94</v>
      </c>
      <c r="N406" s="25">
        <f t="shared" si="107"/>
        <v>1.17</v>
      </c>
      <c r="O406" s="26">
        <f t="shared" si="108"/>
        <v>0.82843137254901966</v>
      </c>
      <c r="P406" s="25">
        <f t="shared" si="109"/>
        <v>3.02</v>
      </c>
      <c r="Q406" s="22" t="str">
        <f t="shared" si="110"/>
        <v>Low</v>
      </c>
      <c r="R406">
        <f t="shared" si="111"/>
        <v>402</v>
      </c>
    </row>
    <row r="407" spans="1:18" x14ac:dyDescent="0.3">
      <c r="A407" s="22">
        <f>IF(B407="","",403)</f>
        <v>403</v>
      </c>
      <c r="B407" s="22" t="str">
        <f>IF(Calc_Engine!I404="","",Calc_Engine!I404)</f>
        <v>EMP1403</v>
      </c>
      <c r="C407" s="23" t="str">
        <f t="shared" si="96"/>
        <v>Tarun Naidu</v>
      </c>
      <c r="D407" s="23" t="str">
        <f t="shared" si="97"/>
        <v>Sales Executive</v>
      </c>
      <c r="E407" s="23" t="str">
        <f t="shared" si="98"/>
        <v>Sales</v>
      </c>
      <c r="F407" s="22" t="str">
        <f t="shared" si="99"/>
        <v>L2</v>
      </c>
      <c r="G407" s="23" t="str">
        <f t="shared" si="100"/>
        <v>Yash Raghavan</v>
      </c>
      <c r="H407" s="22" t="str">
        <f t="shared" si="101"/>
        <v>Exited</v>
      </c>
      <c r="I407" s="24">
        <f t="shared" si="102"/>
        <v>0.4</v>
      </c>
      <c r="J407" s="22">
        <f t="shared" si="103"/>
        <v>2</v>
      </c>
      <c r="K407" s="23" t="str">
        <f t="shared" si="104"/>
        <v>Inconsistent Player</v>
      </c>
      <c r="L407" s="22" t="str">
        <f t="shared" si="105"/>
        <v>Not Eligible</v>
      </c>
      <c r="M407" s="24">
        <f t="shared" si="106"/>
        <v>7.6</v>
      </c>
      <c r="N407" s="25">
        <f t="shared" si="107"/>
        <v>0.89</v>
      </c>
      <c r="O407" s="26">
        <f t="shared" si="108"/>
        <v>0.81560283687943258</v>
      </c>
      <c r="P407" s="25">
        <f t="shared" si="109"/>
        <v>3.1</v>
      </c>
      <c r="Q407" s="22" t="str">
        <f t="shared" si="110"/>
        <v>Exited</v>
      </c>
      <c r="R407">
        <f t="shared" si="111"/>
        <v>403</v>
      </c>
    </row>
    <row r="408" spans="1:18" x14ac:dyDescent="0.3">
      <c r="A408" s="22">
        <f>IF(B408="","",404)</f>
        <v>404</v>
      </c>
      <c r="B408" s="22" t="str">
        <f>IF(Calc_Engine!I405="","",Calc_Engine!I405)</f>
        <v>EMP1404</v>
      </c>
      <c r="C408" s="23" t="str">
        <f t="shared" si="96"/>
        <v>Meera Khanna</v>
      </c>
      <c r="D408" s="23" t="str">
        <f t="shared" si="97"/>
        <v>Operations Associate</v>
      </c>
      <c r="E408" s="23" t="str">
        <f t="shared" si="98"/>
        <v>Operations</v>
      </c>
      <c r="F408" s="22" t="str">
        <f t="shared" si="99"/>
        <v>L1</v>
      </c>
      <c r="G408" s="23" t="str">
        <f t="shared" si="100"/>
        <v>Amit Kumar</v>
      </c>
      <c r="H408" s="22" t="str">
        <f t="shared" si="101"/>
        <v>Active</v>
      </c>
      <c r="I408" s="24">
        <f t="shared" si="102"/>
        <v>0.8</v>
      </c>
      <c r="J408" s="22">
        <f t="shared" si="103"/>
        <v>4</v>
      </c>
      <c r="K408" s="23" t="str">
        <f t="shared" si="104"/>
        <v>Star</v>
      </c>
      <c r="L408" s="22" t="str">
        <f t="shared" si="105"/>
        <v>Not Eligible</v>
      </c>
      <c r="M408" s="24">
        <f t="shared" si="106"/>
        <v>3.4</v>
      </c>
      <c r="N408" s="25">
        <f t="shared" si="107"/>
        <v>0.67</v>
      </c>
      <c r="O408" s="26">
        <f t="shared" si="108"/>
        <v>0.86734693877551017</v>
      </c>
      <c r="P408" s="25">
        <f t="shared" si="109"/>
        <v>3.92</v>
      </c>
      <c r="Q408" s="22" t="str">
        <f t="shared" si="110"/>
        <v>Medium</v>
      </c>
      <c r="R408">
        <f t="shared" si="111"/>
        <v>404</v>
      </c>
    </row>
    <row r="409" spans="1:18" x14ac:dyDescent="0.3">
      <c r="A409" s="22">
        <f>IF(B409="","",405)</f>
        <v>405</v>
      </c>
      <c r="B409" s="22" t="str">
        <f>IF(Calc_Engine!I406="","",Calc_Engine!I406)</f>
        <v>EMP1405</v>
      </c>
      <c r="C409" s="23" t="str">
        <f t="shared" si="96"/>
        <v>Rashmi Banerjee</v>
      </c>
      <c r="D409" s="23" t="str">
        <f t="shared" si="97"/>
        <v>HR Associate</v>
      </c>
      <c r="E409" s="23" t="str">
        <f t="shared" si="98"/>
        <v>Human Resources</v>
      </c>
      <c r="F409" s="22" t="str">
        <f t="shared" si="99"/>
        <v>L1</v>
      </c>
      <c r="G409" s="23" t="str">
        <f t="shared" si="100"/>
        <v>Prakash Das</v>
      </c>
      <c r="H409" s="22" t="str">
        <f t="shared" si="101"/>
        <v>Active</v>
      </c>
      <c r="I409" s="24">
        <f t="shared" si="102"/>
        <v>0.8</v>
      </c>
      <c r="J409" s="22">
        <f t="shared" si="103"/>
        <v>3</v>
      </c>
      <c r="K409" s="23" t="str">
        <f t="shared" si="104"/>
        <v>Core Player</v>
      </c>
      <c r="L409" s="22" t="str">
        <f t="shared" si="105"/>
        <v>Not Eligible</v>
      </c>
      <c r="M409" s="24">
        <f t="shared" si="106"/>
        <v>4.41</v>
      </c>
      <c r="N409" s="25">
        <f t="shared" si="107"/>
        <v>0.87</v>
      </c>
      <c r="O409" s="26">
        <f t="shared" si="108"/>
        <v>0.84102564102564104</v>
      </c>
      <c r="P409" s="25">
        <f t="shared" si="109"/>
        <v>3.27</v>
      </c>
      <c r="Q409" s="22" t="str">
        <f t="shared" si="110"/>
        <v>Low</v>
      </c>
      <c r="R409">
        <f t="shared" si="111"/>
        <v>405</v>
      </c>
    </row>
    <row r="410" spans="1:18" x14ac:dyDescent="0.3">
      <c r="A410" s="22">
        <f>IF(B410="","",406)</f>
        <v>406</v>
      </c>
      <c r="B410" s="22" t="str">
        <f>IF(Calc_Engine!I407="","",Calc_Engine!I407)</f>
        <v>EMP1406</v>
      </c>
      <c r="C410" s="23" t="str">
        <f t="shared" si="96"/>
        <v>Anand Bose</v>
      </c>
      <c r="D410" s="23" t="str">
        <f t="shared" si="97"/>
        <v>Operations Executive</v>
      </c>
      <c r="E410" s="23" t="str">
        <f t="shared" si="98"/>
        <v>Operations</v>
      </c>
      <c r="F410" s="22" t="str">
        <f t="shared" si="99"/>
        <v>L2</v>
      </c>
      <c r="G410" s="23" t="str">
        <f t="shared" si="100"/>
        <v>Ankit Khanna</v>
      </c>
      <c r="H410" s="22" t="str">
        <f t="shared" si="101"/>
        <v>Exited</v>
      </c>
      <c r="I410" s="24">
        <f t="shared" si="102"/>
        <v>0.6</v>
      </c>
      <c r="J410" s="22">
        <f t="shared" si="103"/>
        <v>3</v>
      </c>
      <c r="K410" s="23" t="str">
        <f t="shared" si="104"/>
        <v>Effective Contributor</v>
      </c>
      <c r="L410" s="22" t="str">
        <f t="shared" si="105"/>
        <v>Not Eligible</v>
      </c>
      <c r="M410" s="24">
        <f t="shared" si="106"/>
        <v>7.79</v>
      </c>
      <c r="N410" s="25">
        <f t="shared" si="107"/>
        <v>0.91</v>
      </c>
      <c r="O410" s="26">
        <f t="shared" si="108"/>
        <v>0.91145833333333337</v>
      </c>
      <c r="P410" s="25">
        <f t="shared" si="109"/>
        <v>2.9</v>
      </c>
      <c r="Q410" s="22" t="str">
        <f t="shared" si="110"/>
        <v>Exited</v>
      </c>
      <c r="R410">
        <f t="shared" si="111"/>
        <v>406</v>
      </c>
    </row>
    <row r="411" spans="1:18" x14ac:dyDescent="0.3">
      <c r="A411" s="22">
        <f>IF(B411="","",407)</f>
        <v>407</v>
      </c>
      <c r="B411" s="22" t="str">
        <f>IF(Calc_Engine!I408="","",Calc_Engine!I408)</f>
        <v>EMP1407</v>
      </c>
      <c r="C411" s="23" t="str">
        <f t="shared" si="96"/>
        <v>Anand Naidu</v>
      </c>
      <c r="D411" s="23" t="str">
        <f t="shared" si="97"/>
        <v>Support Manager</v>
      </c>
      <c r="E411" s="23" t="str">
        <f t="shared" si="98"/>
        <v>Customer Support</v>
      </c>
      <c r="F411" s="22" t="str">
        <f t="shared" si="99"/>
        <v>L5</v>
      </c>
      <c r="G411" s="23" t="str">
        <f t="shared" si="100"/>
        <v>Pooja Khanna</v>
      </c>
      <c r="H411" s="22" t="str">
        <f t="shared" si="101"/>
        <v>Active</v>
      </c>
      <c r="I411" s="24">
        <f t="shared" si="102"/>
        <v>0.8</v>
      </c>
      <c r="J411" s="22">
        <f t="shared" si="103"/>
        <v>3</v>
      </c>
      <c r="K411" s="23" t="str">
        <f t="shared" si="104"/>
        <v>Effective Contributor</v>
      </c>
      <c r="L411" s="22" t="str">
        <f t="shared" si="105"/>
        <v>Not Eligible</v>
      </c>
      <c r="M411" s="24">
        <f t="shared" si="106"/>
        <v>22.53</v>
      </c>
      <c r="N411" s="25">
        <f t="shared" si="107"/>
        <v>0.61</v>
      </c>
      <c r="O411" s="26">
        <f t="shared" si="108"/>
        <v>0.89473684210526316</v>
      </c>
      <c r="P411" s="25">
        <f t="shared" si="109"/>
        <v>3.22</v>
      </c>
      <c r="Q411" s="22" t="str">
        <f t="shared" si="110"/>
        <v>Low</v>
      </c>
      <c r="R411">
        <f t="shared" si="111"/>
        <v>407</v>
      </c>
    </row>
    <row r="412" spans="1:18" x14ac:dyDescent="0.3">
      <c r="A412" s="22">
        <f>IF(B412="","",408)</f>
        <v>408</v>
      </c>
      <c r="B412" s="22" t="str">
        <f>IF(Calc_Engine!I409="","",Calc_Engine!I409)</f>
        <v>EMP1408</v>
      </c>
      <c r="C412" s="23" t="str">
        <f t="shared" si="96"/>
        <v>Rashmi Kamath</v>
      </c>
      <c r="D412" s="23" t="str">
        <f t="shared" si="97"/>
        <v>Support Executive</v>
      </c>
      <c r="E412" s="23" t="str">
        <f t="shared" si="98"/>
        <v>Customer Support</v>
      </c>
      <c r="F412" s="22" t="str">
        <f t="shared" si="99"/>
        <v>L2</v>
      </c>
      <c r="G412" s="23" t="str">
        <f t="shared" si="100"/>
        <v>Akash Dsouza</v>
      </c>
      <c r="H412" s="22" t="str">
        <f t="shared" si="101"/>
        <v>Active</v>
      </c>
      <c r="I412" s="24">
        <f t="shared" si="102"/>
        <v>0.8</v>
      </c>
      <c r="J412" s="22">
        <f t="shared" si="103"/>
        <v>2</v>
      </c>
      <c r="K412" s="23" t="str">
        <f t="shared" si="104"/>
        <v>Inconsistent Player</v>
      </c>
      <c r="L412" s="22" t="str">
        <f t="shared" si="105"/>
        <v>Not Eligible</v>
      </c>
      <c r="M412" s="24">
        <f t="shared" si="106"/>
        <v>6.71</v>
      </c>
      <c r="N412" s="25">
        <f t="shared" si="107"/>
        <v>0.78</v>
      </c>
      <c r="O412" s="26">
        <f t="shared" si="108"/>
        <v>0.88947368421052631</v>
      </c>
      <c r="P412" s="25">
        <f t="shared" si="109"/>
        <v>2.58</v>
      </c>
      <c r="Q412" s="22" t="str">
        <f t="shared" si="110"/>
        <v>Medium</v>
      </c>
      <c r="R412">
        <f t="shared" si="111"/>
        <v>408</v>
      </c>
    </row>
    <row r="413" spans="1:18" x14ac:dyDescent="0.3">
      <c r="A413" s="22">
        <f>IF(B413="","",409)</f>
        <v>409</v>
      </c>
      <c r="B413" s="22" t="str">
        <f>IF(Calc_Engine!I410="","",Calc_Engine!I410)</f>
        <v>EMP1409</v>
      </c>
      <c r="C413" s="23" t="str">
        <f t="shared" si="96"/>
        <v>Radhika Menon</v>
      </c>
      <c r="D413" s="23" t="str">
        <f t="shared" si="97"/>
        <v>Operations Executive</v>
      </c>
      <c r="E413" s="23" t="str">
        <f t="shared" si="98"/>
        <v>Operations</v>
      </c>
      <c r="F413" s="22" t="str">
        <f t="shared" si="99"/>
        <v>L2</v>
      </c>
      <c r="G413" s="23" t="str">
        <f t="shared" si="100"/>
        <v>Ankit Khanna</v>
      </c>
      <c r="H413" s="22" t="str">
        <f t="shared" si="101"/>
        <v>Active</v>
      </c>
      <c r="I413" s="24">
        <f t="shared" si="102"/>
        <v>0.8</v>
      </c>
      <c r="J413" s="22">
        <f t="shared" si="103"/>
        <v>3</v>
      </c>
      <c r="K413" s="23" t="str">
        <f t="shared" si="104"/>
        <v>Core Player</v>
      </c>
      <c r="L413" s="22" t="str">
        <f t="shared" si="105"/>
        <v>Not Eligible</v>
      </c>
      <c r="M413" s="24">
        <f t="shared" si="106"/>
        <v>7.2</v>
      </c>
      <c r="N413" s="25">
        <f t="shared" si="107"/>
        <v>0.84</v>
      </c>
      <c r="O413" s="26">
        <f t="shared" si="108"/>
        <v>0.91005291005291</v>
      </c>
      <c r="P413" s="25">
        <f t="shared" si="109"/>
        <v>2.8</v>
      </c>
      <c r="Q413" s="22" t="str">
        <f t="shared" si="110"/>
        <v>Medium</v>
      </c>
      <c r="R413">
        <f t="shared" si="111"/>
        <v>409</v>
      </c>
    </row>
    <row r="414" spans="1:18" x14ac:dyDescent="0.3">
      <c r="A414" s="22">
        <f>IF(B414="","",410)</f>
        <v>410</v>
      </c>
      <c r="B414" s="22" t="str">
        <f>IF(Calc_Engine!I411="","",Calc_Engine!I411)</f>
        <v>EMP1410</v>
      </c>
      <c r="C414" s="23" t="str">
        <f t="shared" si="96"/>
        <v>Ravi Prabhu</v>
      </c>
      <c r="D414" s="23" t="str">
        <f t="shared" si="97"/>
        <v>Finance Manager</v>
      </c>
      <c r="E414" s="23" t="str">
        <f t="shared" si="98"/>
        <v>Finance</v>
      </c>
      <c r="F414" s="22" t="str">
        <f t="shared" si="99"/>
        <v>L5</v>
      </c>
      <c r="G414" s="23" t="str">
        <f t="shared" si="100"/>
        <v>Karan Patel</v>
      </c>
      <c r="H414" s="22" t="str">
        <f t="shared" si="101"/>
        <v>Active</v>
      </c>
      <c r="I414" s="24">
        <f t="shared" si="102"/>
        <v>0.8</v>
      </c>
      <c r="J414" s="22">
        <f t="shared" si="103"/>
        <v>4</v>
      </c>
      <c r="K414" s="23" t="str">
        <f t="shared" si="104"/>
        <v>High Performer</v>
      </c>
      <c r="L414" s="22" t="str">
        <f t="shared" si="105"/>
        <v>Not Eligible</v>
      </c>
      <c r="M414" s="24">
        <f t="shared" si="106"/>
        <v>40.14</v>
      </c>
      <c r="N414" s="25">
        <f t="shared" si="107"/>
        <v>1.0900000000000001</v>
      </c>
      <c r="O414" s="26">
        <f t="shared" si="108"/>
        <v>0.90476190476190477</v>
      </c>
      <c r="P414" s="25">
        <f t="shared" si="109"/>
        <v>4.13</v>
      </c>
      <c r="Q414" s="22" t="str">
        <f t="shared" si="110"/>
        <v>Low</v>
      </c>
      <c r="R414">
        <f t="shared" si="111"/>
        <v>410</v>
      </c>
    </row>
    <row r="415" spans="1:18" x14ac:dyDescent="0.3">
      <c r="A415" s="22">
        <f>IF(B415="","",411)</f>
        <v>411</v>
      </c>
      <c r="B415" s="22" t="str">
        <f>IF(Calc_Engine!I412="","",Calc_Engine!I412)</f>
        <v>EMP1411</v>
      </c>
      <c r="C415" s="23" t="str">
        <f t="shared" si="96"/>
        <v>Kunal Joshi</v>
      </c>
      <c r="D415" s="23" t="str">
        <f t="shared" si="97"/>
        <v>Software Engineer</v>
      </c>
      <c r="E415" s="23" t="str">
        <f t="shared" si="98"/>
        <v>Engineering</v>
      </c>
      <c r="F415" s="22" t="str">
        <f t="shared" si="99"/>
        <v>L2</v>
      </c>
      <c r="G415" s="23" t="str">
        <f t="shared" si="100"/>
        <v>Vikram Verma</v>
      </c>
      <c r="H415" s="22" t="str">
        <f t="shared" si="101"/>
        <v>Active</v>
      </c>
      <c r="I415" s="24">
        <f t="shared" si="102"/>
        <v>0.7</v>
      </c>
      <c r="J415" s="22">
        <f t="shared" si="103"/>
        <v>5</v>
      </c>
      <c r="K415" s="23" t="str">
        <f t="shared" si="104"/>
        <v>Star</v>
      </c>
      <c r="L415" s="22" t="str">
        <f t="shared" si="105"/>
        <v>Not Eligible</v>
      </c>
      <c r="M415" s="24">
        <f t="shared" si="106"/>
        <v>12.03</v>
      </c>
      <c r="N415" s="25">
        <f t="shared" si="107"/>
        <v>1.41</v>
      </c>
      <c r="O415" s="26">
        <f t="shared" si="108"/>
        <v>0.87567567567567572</v>
      </c>
      <c r="P415" s="25">
        <f t="shared" si="109"/>
        <v>3.17</v>
      </c>
      <c r="Q415" s="22" t="str">
        <f t="shared" si="110"/>
        <v>Low</v>
      </c>
      <c r="R415">
        <f t="shared" si="111"/>
        <v>411</v>
      </c>
    </row>
    <row r="416" spans="1:18" x14ac:dyDescent="0.3">
      <c r="A416" s="22">
        <f>IF(B416="","",412)</f>
        <v>412</v>
      </c>
      <c r="B416" s="22" t="str">
        <f>IF(Calc_Engine!I413="","",Calc_Engine!I413)</f>
        <v>EMP1412</v>
      </c>
      <c r="C416" s="23" t="str">
        <f t="shared" si="96"/>
        <v>Ritu Varghese</v>
      </c>
      <c r="D416" s="23" t="str">
        <f t="shared" si="97"/>
        <v>Marketing Associate</v>
      </c>
      <c r="E416" s="23" t="str">
        <f t="shared" si="98"/>
        <v>Marketing</v>
      </c>
      <c r="F416" s="22" t="str">
        <f t="shared" si="99"/>
        <v>L1</v>
      </c>
      <c r="G416" s="23" t="str">
        <f t="shared" si="100"/>
        <v>Isha Chatterjee</v>
      </c>
      <c r="H416" s="22" t="str">
        <f t="shared" si="101"/>
        <v>Active</v>
      </c>
      <c r="I416" s="24">
        <f t="shared" si="102"/>
        <v>0.7</v>
      </c>
      <c r="J416" s="22">
        <f t="shared" si="103"/>
        <v>4</v>
      </c>
      <c r="K416" s="23" t="str">
        <f t="shared" si="104"/>
        <v>High Performer</v>
      </c>
      <c r="L416" s="22" t="str">
        <f t="shared" si="105"/>
        <v>Not Eligible</v>
      </c>
      <c r="M416" s="24">
        <f t="shared" si="106"/>
        <v>4.9000000000000004</v>
      </c>
      <c r="N416" s="25">
        <f t="shared" si="107"/>
        <v>0.96</v>
      </c>
      <c r="O416" s="26">
        <f t="shared" si="108"/>
        <v>0.82417582417582413</v>
      </c>
      <c r="P416" s="25">
        <f t="shared" si="109"/>
        <v>3.65</v>
      </c>
      <c r="Q416" s="22" t="str">
        <f t="shared" si="110"/>
        <v>Low</v>
      </c>
      <c r="R416">
        <f t="shared" si="111"/>
        <v>412</v>
      </c>
    </row>
    <row r="417" spans="1:18" x14ac:dyDescent="0.3">
      <c r="A417" s="22">
        <f>IF(B417="","",413)</f>
        <v>413</v>
      </c>
      <c r="B417" s="22" t="str">
        <f>IF(Calc_Engine!I414="","",Calc_Engine!I414)</f>
        <v>EMP1413</v>
      </c>
      <c r="C417" s="23" t="str">
        <f t="shared" si="96"/>
        <v>Joseph Ansari</v>
      </c>
      <c r="D417" s="23" t="str">
        <f t="shared" si="97"/>
        <v>Marketing Executive</v>
      </c>
      <c r="E417" s="23" t="str">
        <f t="shared" si="98"/>
        <v>Marketing</v>
      </c>
      <c r="F417" s="22" t="str">
        <f t="shared" si="99"/>
        <v>L2</v>
      </c>
      <c r="G417" s="23" t="str">
        <f t="shared" si="100"/>
        <v>Isha Chatterjee</v>
      </c>
      <c r="H417" s="22" t="str">
        <f t="shared" si="101"/>
        <v>Active</v>
      </c>
      <c r="I417" s="24">
        <f t="shared" si="102"/>
        <v>0.7</v>
      </c>
      <c r="J417" s="22">
        <f t="shared" si="103"/>
        <v>3</v>
      </c>
      <c r="K417" s="23" t="str">
        <f t="shared" si="104"/>
        <v>Core Player</v>
      </c>
      <c r="L417" s="22" t="str">
        <f t="shared" si="105"/>
        <v>Not Eligible</v>
      </c>
      <c r="M417" s="24">
        <f t="shared" si="106"/>
        <v>9.24</v>
      </c>
      <c r="N417" s="25">
        <f t="shared" si="107"/>
        <v>1.08</v>
      </c>
      <c r="O417" s="26">
        <f t="shared" si="108"/>
        <v>0.85555555555555551</v>
      </c>
      <c r="P417" s="25">
        <f t="shared" si="109"/>
        <v>3.25</v>
      </c>
      <c r="Q417" s="22" t="str">
        <f t="shared" si="110"/>
        <v>Low</v>
      </c>
      <c r="R417">
        <f t="shared" si="111"/>
        <v>413</v>
      </c>
    </row>
    <row r="418" spans="1:18" x14ac:dyDescent="0.3">
      <c r="A418" s="22">
        <f>IF(B418="","",414)</f>
        <v>414</v>
      </c>
      <c r="B418" s="22" t="str">
        <f>IF(Calc_Engine!I415="","",Calc_Engine!I415)</f>
        <v>EMP1414</v>
      </c>
      <c r="C418" s="23" t="str">
        <f t="shared" si="96"/>
        <v>Nisha Saxena</v>
      </c>
      <c r="D418" s="23" t="str">
        <f t="shared" si="97"/>
        <v>Support Associate</v>
      </c>
      <c r="E418" s="23" t="str">
        <f t="shared" si="98"/>
        <v>Customer Support</v>
      </c>
      <c r="F418" s="22" t="str">
        <f t="shared" si="99"/>
        <v>L1</v>
      </c>
      <c r="G418" s="23" t="str">
        <f t="shared" si="100"/>
        <v>Imran Joshi</v>
      </c>
      <c r="H418" s="22" t="str">
        <f t="shared" si="101"/>
        <v>Active</v>
      </c>
      <c r="I418" s="24">
        <f t="shared" si="102"/>
        <v>0.7</v>
      </c>
      <c r="J418" s="22">
        <f t="shared" si="103"/>
        <v>3</v>
      </c>
      <c r="K418" s="23" t="str">
        <f t="shared" si="104"/>
        <v>Core Player</v>
      </c>
      <c r="L418" s="22" t="str">
        <f t="shared" si="105"/>
        <v>Not Eligible</v>
      </c>
      <c r="M418" s="24">
        <f t="shared" si="106"/>
        <v>4.33</v>
      </c>
      <c r="N418" s="25">
        <f t="shared" si="107"/>
        <v>0.85</v>
      </c>
      <c r="O418" s="26">
        <f t="shared" si="108"/>
        <v>0.92</v>
      </c>
      <c r="P418" s="25">
        <f t="shared" si="109"/>
        <v>3.4</v>
      </c>
      <c r="Q418" s="22" t="str">
        <f t="shared" si="110"/>
        <v>Medium</v>
      </c>
      <c r="R418">
        <f t="shared" si="111"/>
        <v>414</v>
      </c>
    </row>
    <row r="419" spans="1:18" x14ac:dyDescent="0.3">
      <c r="A419" s="22">
        <f>IF(B419="","",415)</f>
        <v>415</v>
      </c>
      <c r="B419" s="22" t="str">
        <f>IF(Calc_Engine!I416="","",Calc_Engine!I416)</f>
        <v>EMP1415</v>
      </c>
      <c r="C419" s="23" t="str">
        <f t="shared" si="96"/>
        <v>Arun Dsouza</v>
      </c>
      <c r="D419" s="23" t="str">
        <f t="shared" si="97"/>
        <v>Senior Software Engineer</v>
      </c>
      <c r="E419" s="23" t="str">
        <f t="shared" si="98"/>
        <v>Engineering</v>
      </c>
      <c r="F419" s="22" t="str">
        <f t="shared" si="99"/>
        <v>L3</v>
      </c>
      <c r="G419" s="23" t="str">
        <f t="shared" si="100"/>
        <v>Prakash Desai</v>
      </c>
      <c r="H419" s="22" t="str">
        <f t="shared" si="101"/>
        <v>Active</v>
      </c>
      <c r="I419" s="24">
        <f t="shared" si="102"/>
        <v>0.7</v>
      </c>
      <c r="J419" s="22">
        <f t="shared" si="103"/>
        <v>4</v>
      </c>
      <c r="K419" s="23" t="str">
        <f t="shared" si="104"/>
        <v>High Performer</v>
      </c>
      <c r="L419" s="22" t="str">
        <f t="shared" si="105"/>
        <v>Not Eligible</v>
      </c>
      <c r="M419" s="24">
        <f t="shared" si="106"/>
        <v>19.29</v>
      </c>
      <c r="N419" s="25">
        <f t="shared" si="107"/>
        <v>1.33</v>
      </c>
      <c r="O419" s="26">
        <f t="shared" si="108"/>
        <v>0.91907514450867056</v>
      </c>
      <c r="P419" s="25">
        <f t="shared" si="109"/>
        <v>2.78</v>
      </c>
      <c r="Q419" s="22" t="str">
        <f t="shared" si="110"/>
        <v>Medium</v>
      </c>
      <c r="R419">
        <f t="shared" si="111"/>
        <v>415</v>
      </c>
    </row>
    <row r="420" spans="1:18" x14ac:dyDescent="0.3">
      <c r="A420" s="22">
        <f>IF(B420="","",416)</f>
        <v>416</v>
      </c>
      <c r="B420" s="22" t="str">
        <f>IF(Calc_Engine!I417="","",Calc_Engine!I417)</f>
        <v>EMP1416</v>
      </c>
      <c r="C420" s="23" t="str">
        <f t="shared" si="96"/>
        <v>Yash Varghese</v>
      </c>
      <c r="D420" s="23" t="str">
        <f t="shared" si="97"/>
        <v>Sales Associate</v>
      </c>
      <c r="E420" s="23" t="str">
        <f t="shared" si="98"/>
        <v>Sales</v>
      </c>
      <c r="F420" s="22" t="str">
        <f t="shared" si="99"/>
        <v>L1</v>
      </c>
      <c r="G420" s="23" t="str">
        <f t="shared" si="100"/>
        <v>Nikhil Agarwal</v>
      </c>
      <c r="H420" s="22" t="str">
        <f t="shared" si="101"/>
        <v>Active</v>
      </c>
      <c r="I420" s="24">
        <f t="shared" si="102"/>
        <v>0.7</v>
      </c>
      <c r="J420" s="22">
        <f t="shared" si="103"/>
        <v>4</v>
      </c>
      <c r="K420" s="23" t="str">
        <f t="shared" si="104"/>
        <v>High Performer</v>
      </c>
      <c r="L420" s="22" t="str">
        <f t="shared" si="105"/>
        <v>Not Eligible</v>
      </c>
      <c r="M420" s="24">
        <f t="shared" si="106"/>
        <v>5.23</v>
      </c>
      <c r="N420" s="25">
        <f t="shared" si="107"/>
        <v>1.03</v>
      </c>
      <c r="O420" s="26">
        <f t="shared" si="108"/>
        <v>0.88304093567251463</v>
      </c>
      <c r="P420" s="25">
        <f t="shared" si="109"/>
        <v>3.33</v>
      </c>
      <c r="Q420" s="22" t="str">
        <f t="shared" si="110"/>
        <v>Low</v>
      </c>
      <c r="R420">
        <f t="shared" si="111"/>
        <v>416</v>
      </c>
    </row>
    <row r="421" spans="1:18" x14ac:dyDescent="0.3">
      <c r="A421" s="22">
        <f>IF(B421="","",417)</f>
        <v>417</v>
      </c>
      <c r="B421" s="22" t="str">
        <f>IF(Calc_Engine!I418="","",Calc_Engine!I418)</f>
        <v>EMP1417</v>
      </c>
      <c r="C421" s="23" t="str">
        <f t="shared" si="96"/>
        <v>Prakash Pillai</v>
      </c>
      <c r="D421" s="23" t="str">
        <f t="shared" si="97"/>
        <v>Associate Software Engineer</v>
      </c>
      <c r="E421" s="23" t="str">
        <f t="shared" si="98"/>
        <v>Engineering</v>
      </c>
      <c r="F421" s="22" t="str">
        <f t="shared" si="99"/>
        <v>L1</v>
      </c>
      <c r="G421" s="23" t="str">
        <f t="shared" si="100"/>
        <v>Bhavana Hegde</v>
      </c>
      <c r="H421" s="22" t="str">
        <f t="shared" si="101"/>
        <v>Active</v>
      </c>
      <c r="I421" s="24">
        <f t="shared" si="102"/>
        <v>0.7</v>
      </c>
      <c r="J421" s="22">
        <f t="shared" si="103"/>
        <v>3</v>
      </c>
      <c r="K421" s="23" t="str">
        <f t="shared" si="104"/>
        <v>Core Player</v>
      </c>
      <c r="L421" s="22" t="str">
        <f t="shared" si="105"/>
        <v>Not Eligible</v>
      </c>
      <c r="M421" s="24">
        <f t="shared" si="106"/>
        <v>6.94</v>
      </c>
      <c r="N421" s="25">
        <f t="shared" si="107"/>
        <v>1.36</v>
      </c>
      <c r="O421" s="26">
        <f t="shared" si="108"/>
        <v>0.8224852071005917</v>
      </c>
      <c r="P421" s="25">
        <f t="shared" si="109"/>
        <v>3.2</v>
      </c>
      <c r="Q421" s="22" t="str">
        <f t="shared" si="110"/>
        <v>Low</v>
      </c>
      <c r="R421">
        <f t="shared" si="111"/>
        <v>417</v>
      </c>
    </row>
    <row r="422" spans="1:18" x14ac:dyDescent="0.3">
      <c r="A422" s="22">
        <f>IF(B422="","",418)</f>
        <v>418</v>
      </c>
      <c r="B422" s="22" t="str">
        <f>IF(Calc_Engine!I419="","",Calc_Engine!I419)</f>
        <v>EMP1418</v>
      </c>
      <c r="C422" s="23" t="str">
        <f t="shared" si="96"/>
        <v>Imran Iyer</v>
      </c>
      <c r="D422" s="23" t="str">
        <f t="shared" si="97"/>
        <v>Senior Operations Executive</v>
      </c>
      <c r="E422" s="23" t="str">
        <f t="shared" si="98"/>
        <v>Operations</v>
      </c>
      <c r="F422" s="22" t="str">
        <f t="shared" si="99"/>
        <v>L3</v>
      </c>
      <c r="G422" s="23" t="str">
        <f t="shared" si="100"/>
        <v>Ajay Kumar</v>
      </c>
      <c r="H422" s="22" t="str">
        <f t="shared" si="101"/>
        <v>Exited</v>
      </c>
      <c r="I422" s="24">
        <f t="shared" si="102"/>
        <v>0.5</v>
      </c>
      <c r="J422" s="22">
        <f t="shared" si="103"/>
        <v>3</v>
      </c>
      <c r="K422" s="23" t="str">
        <f t="shared" si="104"/>
        <v>Future Star</v>
      </c>
      <c r="L422" s="22" t="str">
        <f t="shared" si="105"/>
        <v>Not Eligible</v>
      </c>
      <c r="M422" s="24">
        <f t="shared" si="106"/>
        <v>8.8699999999999992</v>
      </c>
      <c r="N422" s="25">
        <f t="shared" si="107"/>
        <v>0.61</v>
      </c>
      <c r="O422" s="26">
        <f t="shared" si="108"/>
        <v>0.84756097560975607</v>
      </c>
      <c r="P422" s="25">
        <f t="shared" si="109"/>
        <v>3.08</v>
      </c>
      <c r="Q422" s="22" t="str">
        <f t="shared" si="110"/>
        <v>Exited</v>
      </c>
      <c r="R422">
        <f t="shared" si="111"/>
        <v>418</v>
      </c>
    </row>
    <row r="423" spans="1:18" x14ac:dyDescent="0.3">
      <c r="A423" s="22">
        <f>IF(B423="","",419)</f>
        <v>419</v>
      </c>
      <c r="B423" s="22" t="str">
        <f>IF(Calc_Engine!I420="","",Calc_Engine!I420)</f>
        <v>EMP1419</v>
      </c>
      <c r="C423" s="23" t="str">
        <f t="shared" si="96"/>
        <v>Kiran Raghavan</v>
      </c>
      <c r="D423" s="23" t="str">
        <f t="shared" si="97"/>
        <v>Sales Associate</v>
      </c>
      <c r="E423" s="23" t="str">
        <f t="shared" si="98"/>
        <v>Sales</v>
      </c>
      <c r="F423" s="22" t="str">
        <f t="shared" si="99"/>
        <v>L1</v>
      </c>
      <c r="G423" s="23" t="str">
        <f t="shared" si="100"/>
        <v>Kavya Krishnan</v>
      </c>
      <c r="H423" s="22" t="str">
        <f t="shared" si="101"/>
        <v>Exited</v>
      </c>
      <c r="I423" s="24">
        <f t="shared" si="102"/>
        <v>0.4</v>
      </c>
      <c r="J423" s="22">
        <f t="shared" si="103"/>
        <v>3</v>
      </c>
      <c r="K423" s="23" t="str">
        <f t="shared" si="104"/>
        <v>Core Player</v>
      </c>
      <c r="L423" s="22" t="str">
        <f t="shared" si="105"/>
        <v>Not Eligible</v>
      </c>
      <c r="M423" s="24">
        <f t="shared" si="106"/>
        <v>4.2300000000000004</v>
      </c>
      <c r="N423" s="25">
        <f t="shared" si="107"/>
        <v>0.83</v>
      </c>
      <c r="O423" s="26">
        <f t="shared" si="108"/>
        <v>0.86075949367088611</v>
      </c>
      <c r="P423" s="25">
        <f t="shared" si="109"/>
        <v>3.05</v>
      </c>
      <c r="Q423" s="22" t="str">
        <f t="shared" si="110"/>
        <v>Exited</v>
      </c>
      <c r="R423">
        <f t="shared" si="111"/>
        <v>419</v>
      </c>
    </row>
    <row r="424" spans="1:18" x14ac:dyDescent="0.3">
      <c r="A424" s="22">
        <f>IF(B424="","",420)</f>
        <v>420</v>
      </c>
      <c r="B424" s="22" t="str">
        <f>IF(Calc_Engine!I421="","",Calc_Engine!I421)</f>
        <v>EMP1420</v>
      </c>
      <c r="C424" s="23" t="str">
        <f t="shared" si="96"/>
        <v>Abhishek Krishnan</v>
      </c>
      <c r="D424" s="23" t="str">
        <f t="shared" si="97"/>
        <v>Data Analyst II</v>
      </c>
      <c r="E424" s="23" t="str">
        <f t="shared" si="98"/>
        <v>Data &amp; Analytics</v>
      </c>
      <c r="F424" s="22" t="str">
        <f t="shared" si="99"/>
        <v>L2</v>
      </c>
      <c r="G424" s="23" t="str">
        <f t="shared" si="100"/>
        <v>Arun Mukherjee</v>
      </c>
      <c r="H424" s="22" t="str">
        <f t="shared" si="101"/>
        <v>Exited</v>
      </c>
      <c r="I424" s="24">
        <f t="shared" si="102"/>
        <v>0.4</v>
      </c>
      <c r="J424" s="22">
        <f t="shared" si="103"/>
        <v>4</v>
      </c>
      <c r="K424" s="23" t="str">
        <f t="shared" si="104"/>
        <v>High Performer</v>
      </c>
      <c r="L424" s="22" t="str">
        <f t="shared" si="105"/>
        <v>Not Eligible</v>
      </c>
      <c r="M424" s="24">
        <f t="shared" si="106"/>
        <v>9.9499999999999993</v>
      </c>
      <c r="N424" s="25">
        <f t="shared" si="107"/>
        <v>1.1599999999999999</v>
      </c>
      <c r="O424" s="26">
        <f t="shared" si="108"/>
        <v>0.87341772151898733</v>
      </c>
      <c r="P424" s="25">
        <f t="shared" si="109"/>
        <v>2.8</v>
      </c>
      <c r="Q424" s="22" t="str">
        <f t="shared" si="110"/>
        <v>Exited</v>
      </c>
      <c r="R424">
        <f t="shared" si="111"/>
        <v>420</v>
      </c>
    </row>
    <row r="425" spans="1:18" x14ac:dyDescent="0.3">
      <c r="A425" s="22">
        <f>IF(B425="","",421)</f>
        <v>421</v>
      </c>
      <c r="B425" s="22" t="str">
        <f>IF(Calc_Engine!I422="","",Calc_Engine!I422)</f>
        <v>EMP1421</v>
      </c>
      <c r="C425" s="23" t="str">
        <f t="shared" si="96"/>
        <v>Aditya Rao</v>
      </c>
      <c r="D425" s="23" t="str">
        <f t="shared" si="97"/>
        <v>Senior Operations Executive</v>
      </c>
      <c r="E425" s="23" t="str">
        <f t="shared" si="98"/>
        <v>Operations</v>
      </c>
      <c r="F425" s="22" t="str">
        <f t="shared" si="99"/>
        <v>L3</v>
      </c>
      <c r="G425" s="23" t="str">
        <f t="shared" si="100"/>
        <v>Amit Kumar</v>
      </c>
      <c r="H425" s="22" t="str">
        <f t="shared" si="101"/>
        <v>Active</v>
      </c>
      <c r="I425" s="24">
        <f t="shared" si="102"/>
        <v>0.6</v>
      </c>
      <c r="J425" s="22">
        <f t="shared" si="103"/>
        <v>3</v>
      </c>
      <c r="K425" s="23" t="str">
        <f t="shared" si="104"/>
        <v>Core Player</v>
      </c>
      <c r="L425" s="22" t="str">
        <f t="shared" si="105"/>
        <v>Not Eligible</v>
      </c>
      <c r="M425" s="24">
        <f t="shared" si="106"/>
        <v>9.3800000000000008</v>
      </c>
      <c r="N425" s="25">
        <f t="shared" si="107"/>
        <v>0.65</v>
      </c>
      <c r="O425" s="26">
        <f t="shared" si="108"/>
        <v>0.85897435897435892</v>
      </c>
      <c r="P425" s="25">
        <f t="shared" si="109"/>
        <v>3.58</v>
      </c>
      <c r="Q425" s="22" t="str">
        <f t="shared" si="110"/>
        <v>Low</v>
      </c>
      <c r="R425">
        <f t="shared" si="111"/>
        <v>421</v>
      </c>
    </row>
    <row r="426" spans="1:18" x14ac:dyDescent="0.3">
      <c r="A426" s="22">
        <f>IF(B426="","",422)</f>
        <v>422</v>
      </c>
      <c r="B426" s="22" t="str">
        <f>IF(Calc_Engine!I423="","",Calc_Engine!I423)</f>
        <v>EMP1422</v>
      </c>
      <c r="C426" s="23" t="str">
        <f t="shared" si="96"/>
        <v>Anand Mukherjee</v>
      </c>
      <c r="D426" s="23" t="str">
        <f t="shared" si="97"/>
        <v>Sales Executive</v>
      </c>
      <c r="E426" s="23" t="str">
        <f t="shared" si="98"/>
        <v>Sales</v>
      </c>
      <c r="F426" s="22" t="str">
        <f t="shared" si="99"/>
        <v>L2</v>
      </c>
      <c r="G426" s="23" t="str">
        <f t="shared" si="100"/>
        <v>Nikhil Agarwal</v>
      </c>
      <c r="H426" s="22" t="str">
        <f t="shared" si="101"/>
        <v>Active</v>
      </c>
      <c r="I426" s="24">
        <f t="shared" si="102"/>
        <v>0.6</v>
      </c>
      <c r="J426" s="22">
        <f t="shared" si="103"/>
        <v>3</v>
      </c>
      <c r="K426" s="23" t="str">
        <f t="shared" si="104"/>
        <v>Future Star</v>
      </c>
      <c r="L426" s="22" t="str">
        <f t="shared" si="105"/>
        <v>Not Eligible</v>
      </c>
      <c r="M426" s="24">
        <f t="shared" si="106"/>
        <v>8.9</v>
      </c>
      <c r="N426" s="25">
        <f t="shared" si="107"/>
        <v>1.04</v>
      </c>
      <c r="O426" s="26">
        <f t="shared" si="108"/>
        <v>0.86754966887417218</v>
      </c>
      <c r="P426" s="25">
        <f t="shared" si="109"/>
        <v>3.48</v>
      </c>
      <c r="Q426" s="22" t="str">
        <f t="shared" si="110"/>
        <v>Low</v>
      </c>
      <c r="R426">
        <f t="shared" si="111"/>
        <v>422</v>
      </c>
    </row>
    <row r="427" spans="1:18" x14ac:dyDescent="0.3">
      <c r="A427" s="22">
        <f>IF(B427="","",423)</f>
        <v>423</v>
      </c>
      <c r="B427" s="22" t="str">
        <f>IF(Calc_Engine!I424="","",Calc_Engine!I424)</f>
        <v>EMP1423</v>
      </c>
      <c r="C427" s="23" t="str">
        <f t="shared" si="96"/>
        <v>Lakshmi Rao</v>
      </c>
      <c r="D427" s="23" t="str">
        <f t="shared" si="97"/>
        <v>Senior Product Manager</v>
      </c>
      <c r="E427" s="23" t="str">
        <f t="shared" si="98"/>
        <v>Product</v>
      </c>
      <c r="F427" s="22" t="str">
        <f t="shared" si="99"/>
        <v>L4</v>
      </c>
      <c r="G427" s="23" t="str">
        <f t="shared" si="100"/>
        <v>Trisha Malhotra</v>
      </c>
      <c r="H427" s="22" t="str">
        <f t="shared" si="101"/>
        <v>Active</v>
      </c>
      <c r="I427" s="24">
        <f t="shared" si="102"/>
        <v>0.6</v>
      </c>
      <c r="J427" s="22">
        <f t="shared" si="103"/>
        <v>3</v>
      </c>
      <c r="K427" s="23" t="str">
        <f t="shared" si="104"/>
        <v>Core Player</v>
      </c>
      <c r="L427" s="22" t="str">
        <f t="shared" si="105"/>
        <v>Not Eligible</v>
      </c>
      <c r="M427" s="24">
        <f t="shared" si="106"/>
        <v>21.82</v>
      </c>
      <c r="N427" s="25">
        <f t="shared" si="107"/>
        <v>0.93</v>
      </c>
      <c r="O427" s="26">
        <f t="shared" si="108"/>
        <v>0.90666666666666662</v>
      </c>
      <c r="P427" s="25">
        <f t="shared" si="109"/>
        <v>3.23</v>
      </c>
      <c r="Q427" s="22" t="str">
        <f t="shared" si="110"/>
        <v>Low</v>
      </c>
      <c r="R427">
        <f t="shared" si="111"/>
        <v>423</v>
      </c>
    </row>
    <row r="428" spans="1:18" x14ac:dyDescent="0.3">
      <c r="A428" s="22">
        <f>IF(B428="","",424)</f>
        <v>424</v>
      </c>
      <c r="B428" s="22" t="str">
        <f>IF(Calc_Engine!I425="","",Calc_Engine!I425)</f>
        <v>EMP1424</v>
      </c>
      <c r="C428" s="23" t="str">
        <f t="shared" si="96"/>
        <v>Naveen Kapoor</v>
      </c>
      <c r="D428" s="23" t="str">
        <f t="shared" si="97"/>
        <v>Software Engineer</v>
      </c>
      <c r="E428" s="23" t="str">
        <f t="shared" si="98"/>
        <v>Engineering</v>
      </c>
      <c r="F428" s="22" t="str">
        <f t="shared" si="99"/>
        <v>L2</v>
      </c>
      <c r="G428" s="23" t="str">
        <f t="shared" si="100"/>
        <v>Vikas Singh</v>
      </c>
      <c r="H428" s="22" t="str">
        <f t="shared" si="101"/>
        <v>Active</v>
      </c>
      <c r="I428" s="24">
        <f t="shared" si="102"/>
        <v>0.6</v>
      </c>
      <c r="J428" s="22">
        <f t="shared" si="103"/>
        <v>4</v>
      </c>
      <c r="K428" s="23" t="str">
        <f t="shared" si="104"/>
        <v>High Performer</v>
      </c>
      <c r="L428" s="22" t="str">
        <f t="shared" si="105"/>
        <v>Not Eligible</v>
      </c>
      <c r="M428" s="24">
        <f t="shared" si="106"/>
        <v>12.46</v>
      </c>
      <c r="N428" s="25">
        <f t="shared" si="107"/>
        <v>1.46</v>
      </c>
      <c r="O428" s="26">
        <f t="shared" si="108"/>
        <v>0.84666666666666668</v>
      </c>
      <c r="P428" s="25">
        <f t="shared" si="109"/>
        <v>2.62</v>
      </c>
      <c r="Q428" s="22" t="str">
        <f t="shared" si="110"/>
        <v>Medium</v>
      </c>
      <c r="R428">
        <f t="shared" si="111"/>
        <v>424</v>
      </c>
    </row>
    <row r="429" spans="1:18" x14ac:dyDescent="0.3">
      <c r="A429" s="22">
        <f>IF(B429="","",425)</f>
        <v>425</v>
      </c>
      <c r="B429" s="22" t="str">
        <f>IF(Calc_Engine!I426="","",Calc_Engine!I426)</f>
        <v>EMP1425</v>
      </c>
      <c r="C429" s="23" t="str">
        <f t="shared" si="96"/>
        <v>Pallavi Prabhu</v>
      </c>
      <c r="D429" s="23" t="str">
        <f t="shared" si="97"/>
        <v>Accounts Executive</v>
      </c>
      <c r="E429" s="23" t="str">
        <f t="shared" si="98"/>
        <v>Finance</v>
      </c>
      <c r="F429" s="22" t="str">
        <f t="shared" si="99"/>
        <v>L2</v>
      </c>
      <c r="G429" s="23" t="str">
        <f t="shared" si="100"/>
        <v>Kritika Pandey</v>
      </c>
      <c r="H429" s="22" t="str">
        <f t="shared" si="101"/>
        <v>Active</v>
      </c>
      <c r="I429" s="24">
        <f t="shared" si="102"/>
        <v>0.6</v>
      </c>
      <c r="J429" s="22">
        <f t="shared" si="103"/>
        <v>3</v>
      </c>
      <c r="K429" s="23" t="str">
        <f t="shared" si="104"/>
        <v>Effective Contributor</v>
      </c>
      <c r="L429" s="22" t="str">
        <f t="shared" si="105"/>
        <v>Not Eligible</v>
      </c>
      <c r="M429" s="24">
        <f t="shared" si="106"/>
        <v>10.3</v>
      </c>
      <c r="N429" s="25">
        <f t="shared" si="107"/>
        <v>1.2</v>
      </c>
      <c r="O429" s="26">
        <f t="shared" si="108"/>
        <v>0.82068965517241377</v>
      </c>
      <c r="P429" s="25">
        <f t="shared" si="109"/>
        <v>2.87</v>
      </c>
      <c r="Q429" s="22" t="str">
        <f t="shared" si="110"/>
        <v>Low</v>
      </c>
      <c r="R429">
        <f t="shared" si="111"/>
        <v>425</v>
      </c>
    </row>
    <row r="430" spans="1:18" x14ac:dyDescent="0.3">
      <c r="A430" s="22">
        <f>IF(B430="","",426)</f>
        <v>426</v>
      </c>
      <c r="B430" s="22" t="str">
        <f>IF(Calc_Engine!I427="","",Calc_Engine!I427)</f>
        <v>EMP1426</v>
      </c>
      <c r="C430" s="23" t="str">
        <f t="shared" si="96"/>
        <v>Deepak Bansal</v>
      </c>
      <c r="D430" s="23" t="str">
        <f t="shared" si="97"/>
        <v>Support Associate</v>
      </c>
      <c r="E430" s="23" t="str">
        <f t="shared" si="98"/>
        <v>Customer Support</v>
      </c>
      <c r="F430" s="22" t="str">
        <f t="shared" si="99"/>
        <v>L1</v>
      </c>
      <c r="G430" s="23" t="str">
        <f t="shared" si="100"/>
        <v>Anjali Iyer</v>
      </c>
      <c r="H430" s="22" t="str">
        <f t="shared" si="101"/>
        <v>Active</v>
      </c>
      <c r="I430" s="24">
        <f t="shared" si="102"/>
        <v>0.6</v>
      </c>
      <c r="J430" s="22">
        <f t="shared" si="103"/>
        <v>2</v>
      </c>
      <c r="K430" s="23" t="str">
        <f t="shared" si="104"/>
        <v>Underperformer</v>
      </c>
      <c r="L430" s="22" t="str">
        <f t="shared" si="105"/>
        <v>Not Eligible</v>
      </c>
      <c r="M430" s="24">
        <f t="shared" si="106"/>
        <v>3.12</v>
      </c>
      <c r="N430" s="25">
        <f t="shared" si="107"/>
        <v>0.61</v>
      </c>
      <c r="O430" s="26">
        <f t="shared" si="108"/>
        <v>0.83216783216783219</v>
      </c>
      <c r="P430" s="25">
        <f t="shared" si="109"/>
        <v>2.4300000000000002</v>
      </c>
      <c r="Q430" s="22" t="str">
        <f t="shared" si="110"/>
        <v>Medium</v>
      </c>
      <c r="R430">
        <f t="shared" si="111"/>
        <v>426</v>
      </c>
    </row>
    <row r="431" spans="1:18" x14ac:dyDescent="0.3">
      <c r="A431" s="22">
        <f>IF(B431="","",427)</f>
        <v>427</v>
      </c>
      <c r="B431" s="22" t="str">
        <f>IF(Calc_Engine!I428="","",Calc_Engine!I428)</f>
        <v>EMP1427</v>
      </c>
      <c r="C431" s="23" t="str">
        <f t="shared" si="96"/>
        <v>Shreya Tiwari</v>
      </c>
      <c r="D431" s="23" t="str">
        <f t="shared" si="97"/>
        <v>Support Executive</v>
      </c>
      <c r="E431" s="23" t="str">
        <f t="shared" si="98"/>
        <v>Customer Support</v>
      </c>
      <c r="F431" s="22" t="str">
        <f t="shared" si="99"/>
        <v>L2</v>
      </c>
      <c r="G431" s="23" t="str">
        <f t="shared" si="100"/>
        <v>Imran Joshi</v>
      </c>
      <c r="H431" s="22" t="str">
        <f t="shared" si="101"/>
        <v>Active</v>
      </c>
      <c r="I431" s="24">
        <f t="shared" si="102"/>
        <v>0.6</v>
      </c>
      <c r="J431" s="22">
        <f t="shared" si="103"/>
        <v>4</v>
      </c>
      <c r="K431" s="23" t="str">
        <f t="shared" si="104"/>
        <v>Star</v>
      </c>
      <c r="L431" s="22" t="str">
        <f t="shared" si="105"/>
        <v>Not Eligible</v>
      </c>
      <c r="M431" s="24">
        <f t="shared" si="106"/>
        <v>7.85</v>
      </c>
      <c r="N431" s="25">
        <f t="shared" si="107"/>
        <v>0.92</v>
      </c>
      <c r="O431" s="26">
        <f t="shared" si="108"/>
        <v>0.852112676056338</v>
      </c>
      <c r="P431" s="25">
        <f t="shared" si="109"/>
        <v>3.53</v>
      </c>
      <c r="Q431" s="22" t="str">
        <f t="shared" si="110"/>
        <v>Low</v>
      </c>
      <c r="R431">
        <f t="shared" si="111"/>
        <v>427</v>
      </c>
    </row>
    <row r="432" spans="1:18" x14ac:dyDescent="0.3">
      <c r="A432" s="22">
        <f>IF(B432="","",428)</f>
        <v>428</v>
      </c>
      <c r="B432" s="22" t="str">
        <f>IF(Calc_Engine!I429="","",Calc_Engine!I429)</f>
        <v>EMP1428</v>
      </c>
      <c r="C432" s="23" t="str">
        <f t="shared" si="96"/>
        <v>Anusha Kamath</v>
      </c>
      <c r="D432" s="23" t="str">
        <f t="shared" si="97"/>
        <v>Associate Software Engineer</v>
      </c>
      <c r="E432" s="23" t="str">
        <f t="shared" si="98"/>
        <v>Engineering</v>
      </c>
      <c r="F432" s="22" t="str">
        <f t="shared" si="99"/>
        <v>L1</v>
      </c>
      <c r="G432" s="23" t="str">
        <f t="shared" si="100"/>
        <v>Gaurav Fernandes</v>
      </c>
      <c r="H432" s="22" t="str">
        <f t="shared" si="101"/>
        <v>Active</v>
      </c>
      <c r="I432" s="24">
        <f t="shared" si="102"/>
        <v>0.6</v>
      </c>
      <c r="J432" s="22">
        <f t="shared" si="103"/>
        <v>2</v>
      </c>
      <c r="K432" s="23" t="str">
        <f t="shared" si="104"/>
        <v>Underperformer</v>
      </c>
      <c r="L432" s="22" t="str">
        <f t="shared" si="105"/>
        <v>Not Eligible</v>
      </c>
      <c r="M432" s="24">
        <f t="shared" si="106"/>
        <v>5.05</v>
      </c>
      <c r="N432" s="25">
        <f t="shared" si="107"/>
        <v>0.99</v>
      </c>
      <c r="O432" s="26">
        <f t="shared" si="108"/>
        <v>0.90714285714285714</v>
      </c>
      <c r="P432" s="25">
        <f t="shared" si="109"/>
        <v>3</v>
      </c>
      <c r="Q432" s="22" t="str">
        <f t="shared" si="110"/>
        <v>Low</v>
      </c>
      <c r="R432">
        <f t="shared" si="111"/>
        <v>428</v>
      </c>
    </row>
    <row r="433" spans="1:18" x14ac:dyDescent="0.3">
      <c r="A433" s="22">
        <f>IF(B433="","",429)</f>
        <v>429</v>
      </c>
      <c r="B433" s="22" t="str">
        <f>IF(Calc_Engine!I430="","",Calc_Engine!I430)</f>
        <v>EMP1429</v>
      </c>
      <c r="C433" s="23" t="str">
        <f t="shared" si="96"/>
        <v>Dev Bose</v>
      </c>
      <c r="D433" s="23" t="str">
        <f t="shared" si="97"/>
        <v>Head of Product</v>
      </c>
      <c r="E433" s="23" t="str">
        <f t="shared" si="98"/>
        <v>Product</v>
      </c>
      <c r="F433" s="22" t="str">
        <f t="shared" si="99"/>
        <v>L7</v>
      </c>
      <c r="G433" s="23" t="str">
        <f t="shared" si="100"/>
        <v>Arvind Rao (CEO)</v>
      </c>
      <c r="H433" s="22" t="str">
        <f t="shared" si="101"/>
        <v>Active</v>
      </c>
      <c r="I433" s="24">
        <f t="shared" si="102"/>
        <v>0.6</v>
      </c>
      <c r="J433" s="22">
        <f t="shared" si="103"/>
        <v>3</v>
      </c>
      <c r="K433" s="23" t="str">
        <f t="shared" si="104"/>
        <v>Effective Contributor</v>
      </c>
      <c r="L433" s="22" t="str">
        <f t="shared" si="105"/>
        <v>Not Eligible</v>
      </c>
      <c r="M433" s="24">
        <f t="shared" si="106"/>
        <v>77.61</v>
      </c>
      <c r="N433" s="25">
        <f t="shared" si="107"/>
        <v>0.94</v>
      </c>
      <c r="O433" s="26">
        <f t="shared" si="108"/>
        <v>0.86956521739130432</v>
      </c>
      <c r="P433" s="25">
        <f t="shared" si="109"/>
        <v>3.73</v>
      </c>
      <c r="Q433" s="22" t="str">
        <f t="shared" si="110"/>
        <v>Low</v>
      </c>
      <c r="R433">
        <f t="shared" si="111"/>
        <v>429</v>
      </c>
    </row>
    <row r="434" spans="1:18" x14ac:dyDescent="0.3">
      <c r="A434" s="22">
        <f>IF(B434="","",430)</f>
        <v>430</v>
      </c>
      <c r="B434" s="22" t="str">
        <f>IF(Calc_Engine!I431="","",Calc_Engine!I431)</f>
        <v>EMP1430</v>
      </c>
      <c r="C434" s="23" t="str">
        <f t="shared" si="96"/>
        <v>Divya Patel</v>
      </c>
      <c r="D434" s="23" t="str">
        <f t="shared" si="97"/>
        <v>HR Associate</v>
      </c>
      <c r="E434" s="23" t="str">
        <f t="shared" si="98"/>
        <v>Human Resources</v>
      </c>
      <c r="F434" s="22" t="str">
        <f t="shared" si="99"/>
        <v>L1</v>
      </c>
      <c r="G434" s="23" t="str">
        <f t="shared" si="100"/>
        <v>Ajay Patel</v>
      </c>
      <c r="H434" s="22" t="str">
        <f t="shared" si="101"/>
        <v>Active</v>
      </c>
      <c r="I434" s="24">
        <f t="shared" si="102"/>
        <v>0.5</v>
      </c>
      <c r="J434" s="22">
        <f t="shared" si="103"/>
        <v>2</v>
      </c>
      <c r="K434" s="23" t="str">
        <f t="shared" si="104"/>
        <v>Inconsistent Player</v>
      </c>
      <c r="L434" s="22" t="str">
        <f t="shared" si="105"/>
        <v>Not Eligible</v>
      </c>
      <c r="M434" s="24">
        <f t="shared" si="106"/>
        <v>4.1100000000000003</v>
      </c>
      <c r="N434" s="25">
        <f t="shared" si="107"/>
        <v>0.81</v>
      </c>
      <c r="O434" s="26">
        <f t="shared" si="108"/>
        <v>0.86029411764705888</v>
      </c>
      <c r="P434" s="25">
        <f t="shared" si="109"/>
        <v>2.78</v>
      </c>
      <c r="Q434" s="22" t="str">
        <f t="shared" si="110"/>
        <v>Medium</v>
      </c>
      <c r="R434">
        <f t="shared" si="111"/>
        <v>430</v>
      </c>
    </row>
    <row r="435" spans="1:18" x14ac:dyDescent="0.3">
      <c r="A435" s="22">
        <f>IF(B435="","",431)</f>
        <v>431</v>
      </c>
      <c r="B435" s="22" t="str">
        <f>IF(Calc_Engine!I432="","",Calc_Engine!I432)</f>
        <v>EMP1431</v>
      </c>
      <c r="C435" s="23" t="str">
        <f t="shared" si="96"/>
        <v>Nisha Kapoor</v>
      </c>
      <c r="D435" s="23" t="str">
        <f t="shared" si="97"/>
        <v>Senior Software Engineer</v>
      </c>
      <c r="E435" s="23" t="str">
        <f t="shared" si="98"/>
        <v>Engineering</v>
      </c>
      <c r="F435" s="22" t="str">
        <f t="shared" si="99"/>
        <v>L3</v>
      </c>
      <c r="G435" s="23" t="str">
        <f t="shared" si="100"/>
        <v>Fatima Choudhary</v>
      </c>
      <c r="H435" s="22" t="str">
        <f t="shared" si="101"/>
        <v>Active</v>
      </c>
      <c r="I435" s="24">
        <f t="shared" si="102"/>
        <v>0.5</v>
      </c>
      <c r="J435" s="22">
        <f t="shared" si="103"/>
        <v>2</v>
      </c>
      <c r="K435" s="23" t="str">
        <f t="shared" si="104"/>
        <v>Underperformer</v>
      </c>
      <c r="L435" s="22" t="str">
        <f t="shared" si="105"/>
        <v>Not Eligible</v>
      </c>
      <c r="M435" s="24">
        <f t="shared" si="106"/>
        <v>20.23</v>
      </c>
      <c r="N435" s="25">
        <f t="shared" si="107"/>
        <v>1.4</v>
      </c>
      <c r="O435" s="26">
        <f t="shared" si="108"/>
        <v>0.80597014925373134</v>
      </c>
      <c r="P435" s="25">
        <f t="shared" si="109"/>
        <v>2.8</v>
      </c>
      <c r="Q435" s="22" t="str">
        <f t="shared" si="110"/>
        <v>Medium</v>
      </c>
      <c r="R435">
        <f t="shared" si="111"/>
        <v>431</v>
      </c>
    </row>
    <row r="436" spans="1:18" x14ac:dyDescent="0.3">
      <c r="A436" s="22">
        <f>IF(B436="","",432)</f>
        <v>432</v>
      </c>
      <c r="B436" s="22" t="str">
        <f>IF(Calc_Engine!I433="","",Calc_Engine!I433)</f>
        <v>EMP1432</v>
      </c>
      <c r="C436" s="23" t="str">
        <f t="shared" si="96"/>
        <v>Gayatri Raghavan</v>
      </c>
      <c r="D436" s="23" t="str">
        <f t="shared" si="97"/>
        <v>Operations Associate</v>
      </c>
      <c r="E436" s="23" t="str">
        <f t="shared" si="98"/>
        <v>Operations</v>
      </c>
      <c r="F436" s="22" t="str">
        <f t="shared" si="99"/>
        <v>L1</v>
      </c>
      <c r="G436" s="23" t="str">
        <f t="shared" si="100"/>
        <v>Amit Kumar</v>
      </c>
      <c r="H436" s="22" t="str">
        <f t="shared" si="101"/>
        <v>Exited</v>
      </c>
      <c r="I436" s="24">
        <f t="shared" si="102"/>
        <v>0.4</v>
      </c>
      <c r="J436" s="22">
        <f t="shared" si="103"/>
        <v>3</v>
      </c>
      <c r="K436" s="23" t="str">
        <f t="shared" si="104"/>
        <v>Core Player</v>
      </c>
      <c r="L436" s="22" t="str">
        <f t="shared" si="105"/>
        <v>Not Eligible</v>
      </c>
      <c r="M436" s="24">
        <f t="shared" si="106"/>
        <v>4.22</v>
      </c>
      <c r="N436" s="25">
        <f t="shared" si="107"/>
        <v>0.83</v>
      </c>
      <c r="O436" s="26">
        <f t="shared" si="108"/>
        <v>0.81818181818181823</v>
      </c>
      <c r="P436" s="25">
        <f t="shared" si="109"/>
        <v>2.23</v>
      </c>
      <c r="Q436" s="22" t="str">
        <f t="shared" si="110"/>
        <v>Exited</v>
      </c>
      <c r="R436">
        <f t="shared" si="111"/>
        <v>432</v>
      </c>
    </row>
    <row r="437" spans="1:18" x14ac:dyDescent="0.3">
      <c r="A437" s="22">
        <f>IF(B437="","",433)</f>
        <v>433</v>
      </c>
      <c r="B437" s="22" t="str">
        <f>IF(Calc_Engine!I434="","",Calc_Engine!I434)</f>
        <v>EMP1433</v>
      </c>
      <c r="C437" s="23" t="str">
        <f t="shared" si="96"/>
        <v>Mary Mishra</v>
      </c>
      <c r="D437" s="23" t="str">
        <f t="shared" si="97"/>
        <v>Senior Sales Executive</v>
      </c>
      <c r="E437" s="23" t="str">
        <f t="shared" si="98"/>
        <v>Sales</v>
      </c>
      <c r="F437" s="22" t="str">
        <f t="shared" si="99"/>
        <v>L3</v>
      </c>
      <c r="G437" s="23" t="str">
        <f t="shared" si="100"/>
        <v>Nikhil Agarwal</v>
      </c>
      <c r="H437" s="22" t="str">
        <f t="shared" si="101"/>
        <v>Active</v>
      </c>
      <c r="I437" s="24">
        <f t="shared" si="102"/>
        <v>0.5</v>
      </c>
      <c r="J437" s="22">
        <f t="shared" si="103"/>
        <v>4</v>
      </c>
      <c r="K437" s="23" t="str">
        <f t="shared" si="104"/>
        <v>Star</v>
      </c>
      <c r="L437" s="22" t="str">
        <f t="shared" si="105"/>
        <v>Not Eligible</v>
      </c>
      <c r="M437" s="24">
        <f t="shared" si="106"/>
        <v>14.88</v>
      </c>
      <c r="N437" s="25">
        <f t="shared" si="107"/>
        <v>1.03</v>
      </c>
      <c r="O437" s="26">
        <f t="shared" si="108"/>
        <v>0.87786259541984735</v>
      </c>
      <c r="P437" s="25">
        <f t="shared" si="109"/>
        <v>3.35</v>
      </c>
      <c r="Q437" s="22" t="str">
        <f t="shared" si="110"/>
        <v>Low</v>
      </c>
      <c r="R437">
        <f t="shared" si="111"/>
        <v>433</v>
      </c>
    </row>
    <row r="438" spans="1:18" x14ac:dyDescent="0.3">
      <c r="A438" s="22">
        <f>IF(B438="","",434)</f>
        <v>434</v>
      </c>
      <c r="B438" s="22" t="str">
        <f>IF(Calc_Engine!I435="","",Calc_Engine!I435)</f>
        <v>EMP1434</v>
      </c>
      <c r="C438" s="23" t="str">
        <f t="shared" si="96"/>
        <v>Ritu Saxena</v>
      </c>
      <c r="D438" s="23" t="str">
        <f t="shared" si="97"/>
        <v>Product Manager</v>
      </c>
      <c r="E438" s="23" t="str">
        <f t="shared" si="98"/>
        <v>Product</v>
      </c>
      <c r="F438" s="22" t="str">
        <f t="shared" si="99"/>
        <v>L3</v>
      </c>
      <c r="G438" s="23" t="str">
        <f t="shared" si="100"/>
        <v>Mansi Pillai</v>
      </c>
      <c r="H438" s="22" t="str">
        <f t="shared" si="101"/>
        <v>Active</v>
      </c>
      <c r="I438" s="24">
        <f t="shared" si="102"/>
        <v>0.5</v>
      </c>
      <c r="J438" s="22">
        <f t="shared" si="103"/>
        <v>4</v>
      </c>
      <c r="K438" s="23" t="str">
        <f t="shared" si="104"/>
        <v>High Performer</v>
      </c>
      <c r="L438" s="22" t="str">
        <f t="shared" si="105"/>
        <v>Not Eligible</v>
      </c>
      <c r="M438" s="24">
        <f t="shared" si="106"/>
        <v>12.62</v>
      </c>
      <c r="N438" s="25">
        <f t="shared" si="107"/>
        <v>0.87</v>
      </c>
      <c r="O438" s="26">
        <f t="shared" si="108"/>
        <v>0.89230769230769236</v>
      </c>
      <c r="P438" s="25">
        <f t="shared" si="109"/>
        <v>3.2</v>
      </c>
      <c r="Q438" s="22" t="str">
        <f t="shared" si="110"/>
        <v>Medium</v>
      </c>
      <c r="R438">
        <f t="shared" si="111"/>
        <v>434</v>
      </c>
    </row>
    <row r="439" spans="1:18" x14ac:dyDescent="0.3">
      <c r="A439" s="22">
        <f>IF(B439="","",435)</f>
        <v>435</v>
      </c>
      <c r="B439" s="22" t="str">
        <f>IF(Calc_Engine!I436="","",Calc_Engine!I436)</f>
        <v>EMP1435</v>
      </c>
      <c r="C439" s="23" t="str">
        <f t="shared" si="96"/>
        <v>Rohan Hegde</v>
      </c>
      <c r="D439" s="23" t="str">
        <f t="shared" si="97"/>
        <v>Operations Executive</v>
      </c>
      <c r="E439" s="23" t="str">
        <f t="shared" si="98"/>
        <v>Operations</v>
      </c>
      <c r="F439" s="22" t="str">
        <f t="shared" si="99"/>
        <v>L2</v>
      </c>
      <c r="G439" s="23" t="str">
        <f t="shared" si="100"/>
        <v>Yash Shah</v>
      </c>
      <c r="H439" s="22" t="str">
        <f t="shared" si="101"/>
        <v>Active</v>
      </c>
      <c r="I439" s="24">
        <f t="shared" si="102"/>
        <v>0.5</v>
      </c>
      <c r="J439" s="22">
        <f t="shared" si="103"/>
        <v>3</v>
      </c>
      <c r="K439" s="23" t="str">
        <f t="shared" si="104"/>
        <v>Core Player</v>
      </c>
      <c r="L439" s="22" t="str">
        <f t="shared" si="105"/>
        <v>Not Eligible</v>
      </c>
      <c r="M439" s="24">
        <f t="shared" si="106"/>
        <v>8.33</v>
      </c>
      <c r="N439" s="25">
        <f t="shared" si="107"/>
        <v>0.97</v>
      </c>
      <c r="O439" s="26">
        <f t="shared" si="108"/>
        <v>0.8359375</v>
      </c>
      <c r="P439" s="25">
        <f t="shared" si="109"/>
        <v>3.25</v>
      </c>
      <c r="Q439" s="22" t="str">
        <f t="shared" si="110"/>
        <v>Low</v>
      </c>
      <c r="R439">
        <f t="shared" si="111"/>
        <v>435</v>
      </c>
    </row>
    <row r="440" spans="1:18" x14ac:dyDescent="0.3">
      <c r="A440" s="22">
        <f>IF(B440="","",436)</f>
        <v>436</v>
      </c>
      <c r="B440" s="22" t="str">
        <f>IF(Calc_Engine!I437="","",Calc_Engine!I437)</f>
        <v>EMP1436</v>
      </c>
      <c r="C440" s="23" t="str">
        <f t="shared" si="96"/>
        <v>Gayatri Prabhu</v>
      </c>
      <c r="D440" s="23" t="str">
        <f t="shared" si="97"/>
        <v>Operations Associate</v>
      </c>
      <c r="E440" s="23" t="str">
        <f t="shared" si="98"/>
        <v>Operations</v>
      </c>
      <c r="F440" s="22" t="str">
        <f t="shared" si="99"/>
        <v>L1</v>
      </c>
      <c r="G440" s="23" t="str">
        <f t="shared" si="100"/>
        <v>Ramya Menon</v>
      </c>
      <c r="H440" s="22" t="str">
        <f t="shared" si="101"/>
        <v>Exited</v>
      </c>
      <c r="I440" s="24">
        <f t="shared" si="102"/>
        <v>0.4</v>
      </c>
      <c r="J440" s="22">
        <f t="shared" si="103"/>
        <v>2</v>
      </c>
      <c r="K440" s="23" t="str">
        <f t="shared" si="104"/>
        <v>Inconsistent Player</v>
      </c>
      <c r="L440" s="22" t="str">
        <f t="shared" si="105"/>
        <v>Not Eligible</v>
      </c>
      <c r="M440" s="24">
        <f t="shared" si="106"/>
        <v>3.29</v>
      </c>
      <c r="N440" s="25">
        <f t="shared" si="107"/>
        <v>0.65</v>
      </c>
      <c r="O440" s="26">
        <f t="shared" si="108"/>
        <v>0.890625</v>
      </c>
      <c r="P440" s="25">
        <f t="shared" si="109"/>
        <v>1.7</v>
      </c>
      <c r="Q440" s="22" t="str">
        <f t="shared" si="110"/>
        <v>Exited</v>
      </c>
      <c r="R440">
        <f t="shared" si="111"/>
        <v>436</v>
      </c>
    </row>
    <row r="441" spans="1:18" x14ac:dyDescent="0.3">
      <c r="A441" s="22">
        <f>IF(B441="","",437)</f>
        <v>437</v>
      </c>
      <c r="B441" s="22" t="str">
        <f>IF(Calc_Engine!I438="","",Calc_Engine!I438)</f>
        <v>EMP1437</v>
      </c>
      <c r="C441" s="23" t="str">
        <f t="shared" si="96"/>
        <v>Ajay Bansal</v>
      </c>
      <c r="D441" s="23" t="str">
        <f t="shared" si="97"/>
        <v>Product Manager</v>
      </c>
      <c r="E441" s="23" t="str">
        <f t="shared" si="98"/>
        <v>Product</v>
      </c>
      <c r="F441" s="22" t="str">
        <f t="shared" si="99"/>
        <v>L3</v>
      </c>
      <c r="G441" s="23" t="str">
        <f t="shared" si="100"/>
        <v>Sachin Shetty</v>
      </c>
      <c r="H441" s="22" t="str">
        <f t="shared" si="101"/>
        <v>Active</v>
      </c>
      <c r="I441" s="24">
        <f t="shared" si="102"/>
        <v>0.5</v>
      </c>
      <c r="J441" s="22">
        <f t="shared" si="103"/>
        <v>3</v>
      </c>
      <c r="K441" s="23" t="str">
        <f t="shared" si="104"/>
        <v>Future Star</v>
      </c>
      <c r="L441" s="22" t="str">
        <f t="shared" si="105"/>
        <v>Not Eligible</v>
      </c>
      <c r="M441" s="24">
        <f t="shared" si="106"/>
        <v>16.91</v>
      </c>
      <c r="N441" s="25">
        <f t="shared" si="107"/>
        <v>1.17</v>
      </c>
      <c r="O441" s="26">
        <f t="shared" si="108"/>
        <v>0.79527559055118113</v>
      </c>
      <c r="P441" s="25">
        <f t="shared" si="109"/>
        <v>2.2799999999999998</v>
      </c>
      <c r="Q441" s="22" t="str">
        <f t="shared" si="110"/>
        <v>Medium</v>
      </c>
      <c r="R441">
        <f t="shared" si="111"/>
        <v>437</v>
      </c>
    </row>
    <row r="442" spans="1:18" x14ac:dyDescent="0.3">
      <c r="A442" s="22">
        <f>IF(B442="","",438)</f>
        <v>438</v>
      </c>
      <c r="B442" s="22" t="str">
        <f>IF(Calc_Engine!I439="","",Calc_Engine!I439)</f>
        <v>EMP1438</v>
      </c>
      <c r="C442" s="23" t="str">
        <f t="shared" si="96"/>
        <v>Sai Subramanian</v>
      </c>
      <c r="D442" s="23" t="str">
        <f t="shared" si="97"/>
        <v>Associate Software Engineer</v>
      </c>
      <c r="E442" s="23" t="str">
        <f t="shared" si="98"/>
        <v>Engineering</v>
      </c>
      <c r="F442" s="22" t="str">
        <f t="shared" si="99"/>
        <v>L1</v>
      </c>
      <c r="G442" s="23" t="str">
        <f t="shared" si="100"/>
        <v>Gaurav Fernandes</v>
      </c>
      <c r="H442" s="22" t="str">
        <f t="shared" si="101"/>
        <v>Active</v>
      </c>
      <c r="I442" s="24">
        <f t="shared" si="102"/>
        <v>0.5</v>
      </c>
      <c r="J442" s="22">
        <f t="shared" si="103"/>
        <v>4</v>
      </c>
      <c r="K442" s="23" t="str">
        <f t="shared" si="104"/>
        <v>High Performer</v>
      </c>
      <c r="L442" s="22" t="str">
        <f t="shared" si="105"/>
        <v>Not Eligible</v>
      </c>
      <c r="M442" s="24">
        <f t="shared" si="106"/>
        <v>6.72</v>
      </c>
      <c r="N442" s="25">
        <f t="shared" si="107"/>
        <v>1.32</v>
      </c>
      <c r="O442" s="26">
        <f t="shared" si="108"/>
        <v>0.8571428571428571</v>
      </c>
      <c r="P442" s="25">
        <f t="shared" si="109"/>
        <v>3.1</v>
      </c>
      <c r="Q442" s="22" t="str">
        <f t="shared" si="110"/>
        <v>Low</v>
      </c>
      <c r="R442">
        <f t="shared" si="111"/>
        <v>438</v>
      </c>
    </row>
    <row r="443" spans="1:18" x14ac:dyDescent="0.3">
      <c r="A443" s="22">
        <f>IF(B443="","",439)</f>
        <v>439</v>
      </c>
      <c r="B443" s="22" t="str">
        <f>IF(Calc_Engine!I440="","",Calc_Engine!I440)</f>
        <v>EMP1439</v>
      </c>
      <c r="C443" s="23" t="str">
        <f t="shared" si="96"/>
        <v>Priyanka Dsouza</v>
      </c>
      <c r="D443" s="23" t="str">
        <f t="shared" si="97"/>
        <v>Finance Associate</v>
      </c>
      <c r="E443" s="23" t="str">
        <f t="shared" si="98"/>
        <v>Finance</v>
      </c>
      <c r="F443" s="22" t="str">
        <f t="shared" si="99"/>
        <v>L1</v>
      </c>
      <c r="G443" s="23" t="str">
        <f t="shared" si="100"/>
        <v>Kritika Pandey</v>
      </c>
      <c r="H443" s="22" t="str">
        <f t="shared" si="101"/>
        <v>Active</v>
      </c>
      <c r="I443" s="24">
        <f t="shared" si="102"/>
        <v>0.5</v>
      </c>
      <c r="J443" s="22">
        <f t="shared" si="103"/>
        <v>4</v>
      </c>
      <c r="K443" s="23" t="str">
        <f t="shared" si="104"/>
        <v>Star</v>
      </c>
      <c r="L443" s="22" t="str">
        <f t="shared" si="105"/>
        <v>Not Eligible</v>
      </c>
      <c r="M443" s="24">
        <f t="shared" si="106"/>
        <v>5.22</v>
      </c>
      <c r="N443" s="25">
        <f t="shared" si="107"/>
        <v>1.03</v>
      </c>
      <c r="O443" s="26">
        <f t="shared" si="108"/>
        <v>0.86290322580645162</v>
      </c>
      <c r="P443" s="25">
        <f t="shared" si="109"/>
        <v>3.48</v>
      </c>
      <c r="Q443" s="22" t="str">
        <f t="shared" si="110"/>
        <v>Low</v>
      </c>
      <c r="R443">
        <f t="shared" si="111"/>
        <v>439</v>
      </c>
    </row>
    <row r="444" spans="1:18" x14ac:dyDescent="0.3">
      <c r="A444" s="22">
        <f>IF(B444="","",440)</f>
        <v>440</v>
      </c>
      <c r="B444" s="22" t="str">
        <f>IF(Calc_Engine!I441="","",Calc_Engine!I441)</f>
        <v>EMP1440</v>
      </c>
      <c r="C444" s="23" t="str">
        <f t="shared" si="96"/>
        <v>Ravi Mukherjee</v>
      </c>
      <c r="D444" s="23" t="str">
        <f t="shared" si="97"/>
        <v>Support Associate</v>
      </c>
      <c r="E444" s="23" t="str">
        <f t="shared" si="98"/>
        <v>Customer Support</v>
      </c>
      <c r="F444" s="22" t="str">
        <f t="shared" si="99"/>
        <v>L1</v>
      </c>
      <c r="G444" s="23" t="str">
        <f t="shared" si="100"/>
        <v>Anjali Iyer</v>
      </c>
      <c r="H444" s="22" t="str">
        <f t="shared" si="101"/>
        <v>Active</v>
      </c>
      <c r="I444" s="24">
        <f t="shared" si="102"/>
        <v>0.5</v>
      </c>
      <c r="J444" s="22">
        <f t="shared" si="103"/>
        <v>4</v>
      </c>
      <c r="K444" s="23" t="str">
        <f t="shared" si="104"/>
        <v>Star</v>
      </c>
      <c r="L444" s="22" t="str">
        <f t="shared" si="105"/>
        <v>Not Eligible</v>
      </c>
      <c r="M444" s="24">
        <f t="shared" si="106"/>
        <v>4.1100000000000003</v>
      </c>
      <c r="N444" s="25">
        <f t="shared" si="107"/>
        <v>0.81</v>
      </c>
      <c r="O444" s="26">
        <f t="shared" si="108"/>
        <v>0.81818181818181823</v>
      </c>
      <c r="P444" s="25">
        <f t="shared" si="109"/>
        <v>3.25</v>
      </c>
      <c r="Q444" s="22" t="str">
        <f t="shared" si="110"/>
        <v>Medium</v>
      </c>
      <c r="R444">
        <f t="shared" si="111"/>
        <v>440</v>
      </c>
    </row>
    <row r="445" spans="1:18" x14ac:dyDescent="0.3">
      <c r="A445" s="22">
        <f>IF(B445="","",441)</f>
        <v>441</v>
      </c>
      <c r="B445" s="22" t="str">
        <f>IF(Calc_Engine!I442="","",Calc_Engine!I442)</f>
        <v>EMP1441</v>
      </c>
      <c r="C445" s="23" t="str">
        <f t="shared" si="96"/>
        <v>Ananya Menon</v>
      </c>
      <c r="D445" s="23" t="str">
        <f t="shared" si="97"/>
        <v>Product Analyst</v>
      </c>
      <c r="E445" s="23" t="str">
        <f t="shared" si="98"/>
        <v>Product</v>
      </c>
      <c r="F445" s="22" t="str">
        <f t="shared" si="99"/>
        <v>L2</v>
      </c>
      <c r="G445" s="23" t="str">
        <f t="shared" si="100"/>
        <v>Trisha Malhotra</v>
      </c>
      <c r="H445" s="22" t="str">
        <f t="shared" si="101"/>
        <v>Active</v>
      </c>
      <c r="I445" s="24">
        <f t="shared" si="102"/>
        <v>0.5</v>
      </c>
      <c r="J445" s="22">
        <f t="shared" si="103"/>
        <v>2</v>
      </c>
      <c r="K445" s="23" t="str">
        <f t="shared" si="104"/>
        <v>Underperformer</v>
      </c>
      <c r="L445" s="22" t="str">
        <f t="shared" si="105"/>
        <v>Not Eligible</v>
      </c>
      <c r="M445" s="24">
        <f t="shared" si="106"/>
        <v>9.09</v>
      </c>
      <c r="N445" s="25">
        <f t="shared" si="107"/>
        <v>1.06</v>
      </c>
      <c r="O445" s="26">
        <f t="shared" si="108"/>
        <v>0.77685950413223137</v>
      </c>
      <c r="P445" s="25">
        <f t="shared" si="109"/>
        <v>2.7</v>
      </c>
      <c r="Q445" s="22" t="str">
        <f t="shared" si="110"/>
        <v>Low</v>
      </c>
      <c r="R445">
        <f t="shared" si="111"/>
        <v>441</v>
      </c>
    </row>
    <row r="446" spans="1:18" x14ac:dyDescent="0.3">
      <c r="A446" s="22">
        <f>IF(B446="","",442)</f>
        <v>442</v>
      </c>
      <c r="B446" s="22" t="str">
        <f>IF(Calc_Engine!I443="","",Calc_Engine!I443)</f>
        <v>EMP1442</v>
      </c>
      <c r="C446" s="23" t="str">
        <f t="shared" si="96"/>
        <v>Vidya Pandey</v>
      </c>
      <c r="D446" s="23" t="str">
        <f t="shared" si="97"/>
        <v>Software Engineer</v>
      </c>
      <c r="E446" s="23" t="str">
        <f t="shared" si="98"/>
        <v>Engineering</v>
      </c>
      <c r="F446" s="22" t="str">
        <f t="shared" si="99"/>
        <v>L2</v>
      </c>
      <c r="G446" s="23" t="str">
        <f t="shared" si="100"/>
        <v>Tejaswini Hegde</v>
      </c>
      <c r="H446" s="22" t="str">
        <f t="shared" si="101"/>
        <v>Active</v>
      </c>
      <c r="I446" s="24">
        <f t="shared" si="102"/>
        <v>0.5</v>
      </c>
      <c r="J446" s="22">
        <f t="shared" si="103"/>
        <v>3</v>
      </c>
      <c r="K446" s="23" t="str">
        <f t="shared" si="104"/>
        <v>Effective Contributor</v>
      </c>
      <c r="L446" s="22" t="str">
        <f t="shared" si="105"/>
        <v>Not Eligible</v>
      </c>
      <c r="M446" s="24">
        <f t="shared" si="106"/>
        <v>10.68</v>
      </c>
      <c r="N446" s="25">
        <f t="shared" si="107"/>
        <v>1.25</v>
      </c>
      <c r="O446" s="26">
        <f t="shared" si="108"/>
        <v>0.8925619834710744</v>
      </c>
      <c r="P446" s="25">
        <f t="shared" si="109"/>
        <v>2.72</v>
      </c>
      <c r="Q446" s="22" t="str">
        <f t="shared" si="110"/>
        <v>Medium</v>
      </c>
      <c r="R446">
        <f t="shared" si="111"/>
        <v>442</v>
      </c>
    </row>
    <row r="447" spans="1:18" x14ac:dyDescent="0.3">
      <c r="A447" s="22">
        <f>IF(B447="","",443)</f>
        <v>443</v>
      </c>
      <c r="B447" s="22" t="str">
        <f>IF(Calc_Engine!I444="","",Calc_Engine!I444)</f>
        <v>EMP1443</v>
      </c>
      <c r="C447" s="23" t="str">
        <f t="shared" si="96"/>
        <v>Vikram Khan</v>
      </c>
      <c r="D447" s="23" t="str">
        <f t="shared" si="97"/>
        <v>Associate Software Engineer</v>
      </c>
      <c r="E447" s="23" t="str">
        <f t="shared" si="98"/>
        <v>Engineering</v>
      </c>
      <c r="F447" s="22" t="str">
        <f t="shared" si="99"/>
        <v>L1</v>
      </c>
      <c r="G447" s="23" t="str">
        <f t="shared" si="100"/>
        <v>Fatima Choudhary</v>
      </c>
      <c r="H447" s="22" t="str">
        <f t="shared" si="101"/>
        <v>Exited</v>
      </c>
      <c r="I447" s="24">
        <f t="shared" si="102"/>
        <v>0.4</v>
      </c>
      <c r="J447" s="22">
        <f t="shared" si="103"/>
        <v>3</v>
      </c>
      <c r="K447" s="23" t="str">
        <f t="shared" si="104"/>
        <v>Core Player</v>
      </c>
      <c r="L447" s="22" t="str">
        <f t="shared" si="105"/>
        <v>Not Eligible</v>
      </c>
      <c r="M447" s="24">
        <f t="shared" si="106"/>
        <v>4.7300000000000004</v>
      </c>
      <c r="N447" s="25">
        <f t="shared" si="107"/>
        <v>0.93</v>
      </c>
      <c r="O447" s="26">
        <f t="shared" si="108"/>
        <v>0.8925619834710744</v>
      </c>
      <c r="P447" s="25">
        <f t="shared" si="109"/>
        <v>2.0499999999999998</v>
      </c>
      <c r="Q447" s="22" t="str">
        <f t="shared" si="110"/>
        <v>Exited</v>
      </c>
      <c r="R447">
        <f t="shared" si="111"/>
        <v>443</v>
      </c>
    </row>
    <row r="448" spans="1:18" x14ac:dyDescent="0.3">
      <c r="A448" s="22">
        <f>IF(B448="","",444)</f>
        <v>444</v>
      </c>
      <c r="B448" s="22" t="str">
        <f>IF(Calc_Engine!I445="","",Calc_Engine!I445)</f>
        <v>EMP1444</v>
      </c>
      <c r="C448" s="23" t="str">
        <f t="shared" si="96"/>
        <v>Prakash Desai</v>
      </c>
      <c r="D448" s="23" t="str">
        <f t="shared" si="97"/>
        <v>Engineering Manager</v>
      </c>
      <c r="E448" s="23" t="str">
        <f t="shared" si="98"/>
        <v>Engineering</v>
      </c>
      <c r="F448" s="22" t="str">
        <f t="shared" si="99"/>
        <v>L5</v>
      </c>
      <c r="G448" s="23" t="str">
        <f t="shared" si="100"/>
        <v>Yamini Nair</v>
      </c>
      <c r="H448" s="22" t="str">
        <f t="shared" si="101"/>
        <v>Active</v>
      </c>
      <c r="I448" s="24">
        <f t="shared" si="102"/>
        <v>0.5</v>
      </c>
      <c r="J448" s="22">
        <f t="shared" si="103"/>
        <v>5</v>
      </c>
      <c r="K448" s="23" t="str">
        <f t="shared" si="104"/>
        <v>High Performer</v>
      </c>
      <c r="L448" s="22" t="str">
        <f t="shared" si="105"/>
        <v>Not Eligible</v>
      </c>
      <c r="M448" s="24">
        <f t="shared" si="106"/>
        <v>47.3</v>
      </c>
      <c r="N448" s="25">
        <f t="shared" si="107"/>
        <v>1.29</v>
      </c>
      <c r="O448" s="26">
        <f t="shared" si="108"/>
        <v>0.86554621848739499</v>
      </c>
      <c r="P448" s="25">
        <f t="shared" si="109"/>
        <v>3.33</v>
      </c>
      <c r="Q448" s="22" t="str">
        <f t="shared" si="110"/>
        <v>Low</v>
      </c>
      <c r="R448">
        <f t="shared" si="111"/>
        <v>444</v>
      </c>
    </row>
    <row r="449" spans="1:18" x14ac:dyDescent="0.3">
      <c r="A449" s="22">
        <f>IF(B449="","",445)</f>
        <v>445</v>
      </c>
      <c r="B449" s="22" t="str">
        <f>IF(Calc_Engine!I446="","",Calc_Engine!I446)</f>
        <v>EMP1445</v>
      </c>
      <c r="C449" s="23" t="str">
        <f t="shared" si="96"/>
        <v>Sindhu Thomas</v>
      </c>
      <c r="D449" s="23" t="str">
        <f t="shared" si="97"/>
        <v>Support Executive</v>
      </c>
      <c r="E449" s="23" t="str">
        <f t="shared" si="98"/>
        <v>Customer Support</v>
      </c>
      <c r="F449" s="22" t="str">
        <f t="shared" si="99"/>
        <v>L2</v>
      </c>
      <c r="G449" s="23" t="str">
        <f t="shared" si="100"/>
        <v>Isha Verma</v>
      </c>
      <c r="H449" s="22" t="str">
        <f t="shared" si="101"/>
        <v>Exited</v>
      </c>
      <c r="I449" s="24">
        <f t="shared" si="102"/>
        <v>0.3</v>
      </c>
      <c r="J449" s="22">
        <f t="shared" si="103"/>
        <v>2</v>
      </c>
      <c r="K449" s="23" t="str">
        <f t="shared" si="104"/>
        <v>Underperformer</v>
      </c>
      <c r="L449" s="22" t="str">
        <f t="shared" si="105"/>
        <v>Not Eligible</v>
      </c>
      <c r="M449" s="24">
        <f t="shared" si="106"/>
        <v>6.46</v>
      </c>
      <c r="N449" s="25">
        <f t="shared" si="107"/>
        <v>0.76</v>
      </c>
      <c r="O449" s="26">
        <f t="shared" si="108"/>
        <v>0.80341880341880345</v>
      </c>
      <c r="P449" s="25">
        <f t="shared" si="109"/>
        <v>2.38</v>
      </c>
      <c r="Q449" s="22" t="str">
        <f t="shared" si="110"/>
        <v>Exited</v>
      </c>
      <c r="R449">
        <f t="shared" si="111"/>
        <v>445</v>
      </c>
    </row>
    <row r="450" spans="1:18" x14ac:dyDescent="0.3">
      <c r="A450" s="22">
        <f>IF(B450="","",446)</f>
        <v>446</v>
      </c>
      <c r="B450" s="22" t="str">
        <f>IF(Calc_Engine!I447="","",Calc_Engine!I447)</f>
        <v>EMP1446</v>
      </c>
      <c r="C450" s="23" t="str">
        <f t="shared" si="96"/>
        <v>Anjali Iyer</v>
      </c>
      <c r="D450" s="23" t="str">
        <f t="shared" si="97"/>
        <v>Support Manager</v>
      </c>
      <c r="E450" s="23" t="str">
        <f t="shared" si="98"/>
        <v>Customer Support</v>
      </c>
      <c r="F450" s="22" t="str">
        <f t="shared" si="99"/>
        <v>L5</v>
      </c>
      <c r="G450" s="23" t="str">
        <f t="shared" si="100"/>
        <v>Pooja Khanna</v>
      </c>
      <c r="H450" s="22" t="str">
        <f t="shared" si="101"/>
        <v>Active</v>
      </c>
      <c r="I450" s="24">
        <f t="shared" si="102"/>
        <v>0.5</v>
      </c>
      <c r="J450" s="22">
        <f t="shared" si="103"/>
        <v>4</v>
      </c>
      <c r="K450" s="23" t="str">
        <f t="shared" si="104"/>
        <v>High Performer</v>
      </c>
      <c r="L450" s="22" t="str">
        <f t="shared" si="105"/>
        <v>Not Eligible</v>
      </c>
      <c r="M450" s="24">
        <f t="shared" si="106"/>
        <v>30.27</v>
      </c>
      <c r="N450" s="25">
        <f t="shared" si="107"/>
        <v>0.83</v>
      </c>
      <c r="O450" s="26">
        <f t="shared" si="108"/>
        <v>0.82051282051282048</v>
      </c>
      <c r="P450" s="25">
        <f t="shared" si="109"/>
        <v>3.42</v>
      </c>
      <c r="Q450" s="22" t="str">
        <f t="shared" si="110"/>
        <v>Medium</v>
      </c>
      <c r="R450">
        <f t="shared" si="111"/>
        <v>446</v>
      </c>
    </row>
    <row r="451" spans="1:18" x14ac:dyDescent="0.3">
      <c r="A451" s="22">
        <f>IF(B451="","",447)</f>
        <v>447</v>
      </c>
      <c r="B451" s="22" t="str">
        <f>IF(Calc_Engine!I448="","",Calc_Engine!I448)</f>
        <v>EMP1447</v>
      </c>
      <c r="C451" s="23" t="str">
        <f t="shared" si="96"/>
        <v>Meera Pandey</v>
      </c>
      <c r="D451" s="23" t="str">
        <f t="shared" si="97"/>
        <v>Operations Lead</v>
      </c>
      <c r="E451" s="23" t="str">
        <f t="shared" si="98"/>
        <v>Operations</v>
      </c>
      <c r="F451" s="22" t="str">
        <f t="shared" si="99"/>
        <v>L4</v>
      </c>
      <c r="G451" s="23" t="str">
        <f t="shared" si="100"/>
        <v>Nandini Fernandes</v>
      </c>
      <c r="H451" s="22" t="str">
        <f t="shared" si="101"/>
        <v>Active</v>
      </c>
      <c r="I451" s="24">
        <f t="shared" si="102"/>
        <v>0.5</v>
      </c>
      <c r="J451" s="22">
        <f t="shared" si="103"/>
        <v>3</v>
      </c>
      <c r="K451" s="23" t="str">
        <f t="shared" si="104"/>
        <v>Core Player</v>
      </c>
      <c r="L451" s="22" t="str">
        <f t="shared" si="105"/>
        <v>Not Eligible</v>
      </c>
      <c r="M451" s="24">
        <f t="shared" si="106"/>
        <v>20.75</v>
      </c>
      <c r="N451" s="25">
        <f t="shared" si="107"/>
        <v>0.89</v>
      </c>
      <c r="O451" s="26">
        <f t="shared" si="108"/>
        <v>0.85087719298245612</v>
      </c>
      <c r="P451" s="25">
        <f t="shared" si="109"/>
        <v>3.98</v>
      </c>
      <c r="Q451" s="22" t="str">
        <f t="shared" si="110"/>
        <v>Low</v>
      </c>
      <c r="R451">
        <f t="shared" si="111"/>
        <v>447</v>
      </c>
    </row>
    <row r="452" spans="1:18" x14ac:dyDescent="0.3">
      <c r="A452" s="22">
        <f>IF(B452="","",448)</f>
        <v>448</v>
      </c>
      <c r="B452" s="22" t="str">
        <f>IF(Calc_Engine!I449="","",Calc_Engine!I449)</f>
        <v>EMP1448</v>
      </c>
      <c r="C452" s="23" t="str">
        <f t="shared" si="96"/>
        <v>Priya Verma</v>
      </c>
      <c r="D452" s="23" t="str">
        <f t="shared" si="97"/>
        <v>Sales Executive</v>
      </c>
      <c r="E452" s="23" t="str">
        <f t="shared" si="98"/>
        <v>Sales</v>
      </c>
      <c r="F452" s="22" t="str">
        <f t="shared" si="99"/>
        <v>L2</v>
      </c>
      <c r="G452" s="23" t="str">
        <f t="shared" si="100"/>
        <v>Nikhil Agarwal</v>
      </c>
      <c r="H452" s="22" t="str">
        <f t="shared" si="101"/>
        <v>Active</v>
      </c>
      <c r="I452" s="24">
        <f t="shared" si="102"/>
        <v>0.4</v>
      </c>
      <c r="J452" s="22">
        <f t="shared" si="103"/>
        <v>3</v>
      </c>
      <c r="K452" s="23" t="str">
        <f t="shared" si="104"/>
        <v>Core Player</v>
      </c>
      <c r="L452" s="22" t="str">
        <f t="shared" si="105"/>
        <v>Not Eligible</v>
      </c>
      <c r="M452" s="24">
        <f t="shared" si="106"/>
        <v>6.58</v>
      </c>
      <c r="N452" s="25">
        <f t="shared" si="107"/>
        <v>0.77</v>
      </c>
      <c r="O452" s="26">
        <f t="shared" si="108"/>
        <v>0.83636363636363631</v>
      </c>
      <c r="P452" s="25">
        <f t="shared" si="109"/>
        <v>2.5</v>
      </c>
      <c r="Q452" s="22" t="str">
        <f t="shared" si="110"/>
        <v>High</v>
      </c>
      <c r="R452">
        <f t="shared" si="111"/>
        <v>448</v>
      </c>
    </row>
    <row r="453" spans="1:18" x14ac:dyDescent="0.3">
      <c r="A453" s="22">
        <f>IF(B453="","",449)</f>
        <v>449</v>
      </c>
      <c r="B453" s="22" t="str">
        <f>IF(Calc_Engine!I450="","",Calc_Engine!I450)</f>
        <v>EMP1449</v>
      </c>
      <c r="C453" s="23" t="str">
        <f t="shared" ref="C453:C504" si="112">IF($R453="","",INDEX(M_Name,$R453))</f>
        <v>Shruti Joshi</v>
      </c>
      <c r="D453" s="23" t="str">
        <f t="shared" ref="D453:D504" si="113">IF($R453="","",INDEX(M_Title,$R453))</f>
        <v>Associate Software Engineer</v>
      </c>
      <c r="E453" s="23" t="str">
        <f t="shared" ref="E453:E504" si="114">IF($R453="","",INDEX(M_Dept,$R453))</f>
        <v>Engineering</v>
      </c>
      <c r="F453" s="22" t="str">
        <f t="shared" ref="F453:F504" si="115">IF($R453="","",INDEX(M_Level,$R453))</f>
        <v>L1</v>
      </c>
      <c r="G453" s="23" t="str">
        <f t="shared" ref="G453:G504" si="116">IF($R453="","",INDEX(M_Mgr,$R453))</f>
        <v>Tejaswini Hegde</v>
      </c>
      <c r="H453" s="22" t="str">
        <f t="shared" ref="H453:H504" si="117">IF($R453="","",INDEX(M_Status,$R453))</f>
        <v>Exited</v>
      </c>
      <c r="I453" s="24">
        <f t="shared" ref="I453:I504" si="118">IF($R453="","",INDEX(M_Tenure,$R453))</f>
        <v>0.3</v>
      </c>
      <c r="J453" s="22">
        <f t="shared" ref="J453:J504" si="119">IF($R453="","",INDEX(P_Rating,$R453))</f>
        <v>3</v>
      </c>
      <c r="K453" s="23" t="str">
        <f t="shared" ref="K453:K504" si="120">IF($R453="","",INDEX(P_9Box,$R453))</f>
        <v>Effective Contributor</v>
      </c>
      <c r="L453" s="22" t="str">
        <f t="shared" ref="L453:L504" si="121">IF($R453="","",INDEX(P_Elig,$R453))</f>
        <v>Not Eligible</v>
      </c>
      <c r="M453" s="24">
        <f t="shared" ref="M453:M504" si="122">IF($R453="","",INDEX(C_CTC,$R453)/100000)</f>
        <v>5.27</v>
      </c>
      <c r="N453" s="25">
        <f t="shared" ref="N453:N504" si="123">IF($R453="","",INDEX(C_Compa,$R453))</f>
        <v>1.04</v>
      </c>
      <c r="O453" s="26">
        <f t="shared" ref="O453:O504" si="124">IF($R453="","",INDEX(A_Att,$R453))</f>
        <v>0.82727272727272727</v>
      </c>
      <c r="P453" s="25">
        <f t="shared" ref="P453:P504" si="125">IF($R453="","",INDEX(E_Overall,$R453))</f>
        <v>2.33</v>
      </c>
      <c r="Q453" s="22" t="str">
        <f t="shared" ref="Q453:Q504" si="126">IF($R453="","",INDEX(E_Risk,$R453))</f>
        <v>Exited</v>
      </c>
      <c r="R453">
        <f t="shared" ref="R453:R504" si="127">IF(B453="","",MATCH(B453,M_ID,0))</f>
        <v>449</v>
      </c>
    </row>
    <row r="454" spans="1:18" x14ac:dyDescent="0.3">
      <c r="A454" s="22">
        <f>IF(B454="","",450)</f>
        <v>450</v>
      </c>
      <c r="B454" s="22" t="str">
        <f>IF(Calc_Engine!I451="","",Calc_Engine!I451)</f>
        <v>EMP1450</v>
      </c>
      <c r="C454" s="23" t="str">
        <f t="shared" si="112"/>
        <v>Dev Sharma</v>
      </c>
      <c r="D454" s="23" t="str">
        <f t="shared" si="113"/>
        <v>Support Associate</v>
      </c>
      <c r="E454" s="23" t="str">
        <f t="shared" si="114"/>
        <v>Customer Support</v>
      </c>
      <c r="F454" s="22" t="str">
        <f t="shared" si="115"/>
        <v>L1</v>
      </c>
      <c r="G454" s="23" t="str">
        <f t="shared" si="116"/>
        <v>Ashish Varghese</v>
      </c>
      <c r="H454" s="22" t="str">
        <f t="shared" si="117"/>
        <v>Active</v>
      </c>
      <c r="I454" s="24">
        <f t="shared" si="118"/>
        <v>0.4</v>
      </c>
      <c r="J454" s="22">
        <f t="shared" si="119"/>
        <v>3</v>
      </c>
      <c r="K454" s="23" t="str">
        <f t="shared" si="120"/>
        <v>Core Player</v>
      </c>
      <c r="L454" s="22" t="str">
        <f t="shared" si="121"/>
        <v>Not Eligible</v>
      </c>
      <c r="M454" s="24">
        <f t="shared" si="122"/>
        <v>3.47</v>
      </c>
      <c r="N454" s="25">
        <f t="shared" si="123"/>
        <v>0.68</v>
      </c>
      <c r="O454" s="26">
        <f t="shared" si="124"/>
        <v>0.83333333333333337</v>
      </c>
      <c r="P454" s="25">
        <f t="shared" si="125"/>
        <v>2.58</v>
      </c>
      <c r="Q454" s="22" t="str">
        <f t="shared" si="126"/>
        <v>High</v>
      </c>
      <c r="R454">
        <f t="shared" si="127"/>
        <v>450</v>
      </c>
    </row>
    <row r="455" spans="1:18" x14ac:dyDescent="0.3">
      <c r="A455" s="22">
        <f>IF(B455="","",451)</f>
        <v>451</v>
      </c>
      <c r="B455" s="22" t="str">
        <f>IF(Calc_Engine!I452="","",Calc_Engine!I452)</f>
        <v>EMP1451</v>
      </c>
      <c r="C455" s="23" t="str">
        <f t="shared" si="112"/>
        <v>Madhuri Jain</v>
      </c>
      <c r="D455" s="23" t="str">
        <f t="shared" si="113"/>
        <v>Support Associate</v>
      </c>
      <c r="E455" s="23" t="str">
        <f t="shared" si="114"/>
        <v>Customer Support</v>
      </c>
      <c r="F455" s="22" t="str">
        <f t="shared" si="115"/>
        <v>L1</v>
      </c>
      <c r="G455" s="23" t="str">
        <f t="shared" si="116"/>
        <v>Ashish Varghese</v>
      </c>
      <c r="H455" s="22" t="str">
        <f t="shared" si="117"/>
        <v>Active</v>
      </c>
      <c r="I455" s="24">
        <f t="shared" si="118"/>
        <v>0.4</v>
      </c>
      <c r="J455" s="22">
        <f t="shared" si="119"/>
        <v>3</v>
      </c>
      <c r="K455" s="23" t="str">
        <f t="shared" si="120"/>
        <v>Core Player</v>
      </c>
      <c r="L455" s="22" t="str">
        <f t="shared" si="121"/>
        <v>Not Eligible</v>
      </c>
      <c r="M455" s="24">
        <f t="shared" si="122"/>
        <v>3.21</v>
      </c>
      <c r="N455" s="25">
        <f t="shared" si="123"/>
        <v>0.63</v>
      </c>
      <c r="O455" s="26">
        <f t="shared" si="124"/>
        <v>0.90566037735849059</v>
      </c>
      <c r="P455" s="25">
        <f t="shared" si="125"/>
        <v>4.08</v>
      </c>
      <c r="Q455" s="22" t="str">
        <f t="shared" si="126"/>
        <v>Low</v>
      </c>
      <c r="R455">
        <f t="shared" si="127"/>
        <v>451</v>
      </c>
    </row>
    <row r="456" spans="1:18" x14ac:dyDescent="0.3">
      <c r="A456" s="22">
        <f>IF(B456="","",452)</f>
        <v>452</v>
      </c>
      <c r="B456" s="22" t="str">
        <f>IF(Calc_Engine!I453="","",Calc_Engine!I453)</f>
        <v>EMP1452</v>
      </c>
      <c r="C456" s="23" t="str">
        <f t="shared" si="112"/>
        <v>Vikas Jain</v>
      </c>
      <c r="D456" s="23" t="str">
        <f t="shared" si="113"/>
        <v>Legal Associate</v>
      </c>
      <c r="E456" s="23" t="str">
        <f t="shared" si="114"/>
        <v>Legal &amp; Compliance</v>
      </c>
      <c r="F456" s="22" t="str">
        <f t="shared" si="115"/>
        <v>L1</v>
      </c>
      <c r="G456" s="23" t="str">
        <f t="shared" si="116"/>
        <v>Lakshmi Subramanian</v>
      </c>
      <c r="H456" s="22" t="str">
        <f t="shared" si="117"/>
        <v>Exited</v>
      </c>
      <c r="I456" s="24">
        <f t="shared" si="118"/>
        <v>0.3</v>
      </c>
      <c r="J456" s="22">
        <f t="shared" si="119"/>
        <v>1</v>
      </c>
      <c r="K456" s="23" t="str">
        <f t="shared" si="120"/>
        <v>Underperformer</v>
      </c>
      <c r="L456" s="22" t="str">
        <f t="shared" si="121"/>
        <v>Not Eligible</v>
      </c>
      <c r="M456" s="24">
        <f t="shared" si="122"/>
        <v>4.97</v>
      </c>
      <c r="N456" s="25">
        <f t="shared" si="123"/>
        <v>0.98</v>
      </c>
      <c r="O456" s="26">
        <f t="shared" si="124"/>
        <v>0.78301886792452835</v>
      </c>
      <c r="P456" s="25">
        <f t="shared" si="125"/>
        <v>2.27</v>
      </c>
      <c r="Q456" s="22" t="str">
        <f t="shared" si="126"/>
        <v>Exited</v>
      </c>
      <c r="R456">
        <f t="shared" si="127"/>
        <v>452</v>
      </c>
    </row>
    <row r="457" spans="1:18" x14ac:dyDescent="0.3">
      <c r="A457" s="22">
        <f>IF(B457="","",453)</f>
        <v>453</v>
      </c>
      <c r="B457" s="22" t="str">
        <f>IF(Calc_Engine!I454="","",Calc_Engine!I454)</f>
        <v>EMP1453</v>
      </c>
      <c r="C457" s="23" t="str">
        <f t="shared" si="112"/>
        <v>Revathi Bansal</v>
      </c>
      <c r="D457" s="23" t="str">
        <f t="shared" si="113"/>
        <v>Lead Data Scientist</v>
      </c>
      <c r="E457" s="23" t="str">
        <f t="shared" si="114"/>
        <v>Data &amp; Analytics</v>
      </c>
      <c r="F457" s="22" t="str">
        <f t="shared" si="115"/>
        <v>L4</v>
      </c>
      <c r="G457" s="23" t="str">
        <f t="shared" si="116"/>
        <v>Arun Mukherjee</v>
      </c>
      <c r="H457" s="22" t="str">
        <f t="shared" si="117"/>
        <v>Active</v>
      </c>
      <c r="I457" s="24">
        <f t="shared" si="118"/>
        <v>0.4</v>
      </c>
      <c r="J457" s="22">
        <f t="shared" si="119"/>
        <v>4</v>
      </c>
      <c r="K457" s="23" t="str">
        <f t="shared" si="120"/>
        <v>Star</v>
      </c>
      <c r="L457" s="22" t="str">
        <f t="shared" si="121"/>
        <v>Not Eligible</v>
      </c>
      <c r="M457" s="24">
        <f t="shared" si="122"/>
        <v>25.25</v>
      </c>
      <c r="N457" s="25">
        <f t="shared" si="123"/>
        <v>1.08</v>
      </c>
      <c r="O457" s="26">
        <f t="shared" si="124"/>
        <v>0.8867924528301887</v>
      </c>
      <c r="P457" s="25">
        <f t="shared" si="125"/>
        <v>3.87</v>
      </c>
      <c r="Q457" s="22" t="str">
        <f t="shared" si="126"/>
        <v>Low</v>
      </c>
      <c r="R457">
        <f t="shared" si="127"/>
        <v>453</v>
      </c>
    </row>
    <row r="458" spans="1:18" x14ac:dyDescent="0.3">
      <c r="A458" s="22">
        <f>IF(B458="","",454)</f>
        <v>454</v>
      </c>
      <c r="B458" s="22" t="str">
        <f>IF(Calc_Engine!I455="","",Calc_Engine!I455)</f>
        <v>EMP1454</v>
      </c>
      <c r="C458" s="23" t="str">
        <f t="shared" si="112"/>
        <v>Prakash Kapoor</v>
      </c>
      <c r="D458" s="23" t="str">
        <f t="shared" si="113"/>
        <v>Associate Software Engineer</v>
      </c>
      <c r="E458" s="23" t="str">
        <f t="shared" si="114"/>
        <v>Engineering</v>
      </c>
      <c r="F458" s="22" t="str">
        <f t="shared" si="115"/>
        <v>L1</v>
      </c>
      <c r="G458" s="23" t="str">
        <f t="shared" si="116"/>
        <v>Isha Jain</v>
      </c>
      <c r="H458" s="22" t="str">
        <f t="shared" si="117"/>
        <v>Active</v>
      </c>
      <c r="I458" s="24">
        <f t="shared" si="118"/>
        <v>0.4</v>
      </c>
      <c r="J458" s="22">
        <f t="shared" si="119"/>
        <v>2</v>
      </c>
      <c r="K458" s="23" t="str">
        <f t="shared" si="120"/>
        <v>Underperformer</v>
      </c>
      <c r="L458" s="22" t="str">
        <f t="shared" si="121"/>
        <v>Not Eligible</v>
      </c>
      <c r="M458" s="24">
        <f t="shared" si="122"/>
        <v>4.4400000000000004</v>
      </c>
      <c r="N458" s="25">
        <f t="shared" si="123"/>
        <v>0.87</v>
      </c>
      <c r="O458" s="26">
        <f t="shared" si="124"/>
        <v>0.73529411764705888</v>
      </c>
      <c r="P458" s="25">
        <f t="shared" si="125"/>
        <v>2.85</v>
      </c>
      <c r="Q458" s="22" t="str">
        <f t="shared" si="126"/>
        <v>Medium</v>
      </c>
      <c r="R458">
        <f t="shared" si="127"/>
        <v>454</v>
      </c>
    </row>
    <row r="459" spans="1:18" x14ac:dyDescent="0.3">
      <c r="A459" s="22">
        <f>IF(B459="","",455)</f>
        <v>455</v>
      </c>
      <c r="B459" s="22" t="str">
        <f>IF(Calc_Engine!I456="","",Calc_Engine!I456)</f>
        <v>EMP1455</v>
      </c>
      <c r="C459" s="23" t="str">
        <f t="shared" si="112"/>
        <v>Joseph Hegde</v>
      </c>
      <c r="D459" s="23" t="str">
        <f t="shared" si="113"/>
        <v>Support Team Lead</v>
      </c>
      <c r="E459" s="23" t="str">
        <f t="shared" si="114"/>
        <v>Customer Support</v>
      </c>
      <c r="F459" s="22" t="str">
        <f t="shared" si="115"/>
        <v>L4</v>
      </c>
      <c r="G459" s="23" t="str">
        <f t="shared" si="116"/>
        <v>Imran Joshi</v>
      </c>
      <c r="H459" s="22" t="str">
        <f t="shared" si="117"/>
        <v>Active</v>
      </c>
      <c r="I459" s="24">
        <f t="shared" si="118"/>
        <v>0.4</v>
      </c>
      <c r="J459" s="22">
        <f t="shared" si="119"/>
        <v>2</v>
      </c>
      <c r="K459" s="23" t="str">
        <f t="shared" si="120"/>
        <v>Underperformer</v>
      </c>
      <c r="L459" s="22" t="str">
        <f t="shared" si="121"/>
        <v>Not Eligible</v>
      </c>
      <c r="M459" s="24">
        <f t="shared" si="122"/>
        <v>18.77</v>
      </c>
      <c r="N459" s="25">
        <f t="shared" si="123"/>
        <v>0.8</v>
      </c>
      <c r="O459" s="26">
        <f t="shared" si="124"/>
        <v>0.84158415841584155</v>
      </c>
      <c r="P459" s="25">
        <f t="shared" si="125"/>
        <v>2.93</v>
      </c>
      <c r="Q459" s="22" t="str">
        <f t="shared" si="126"/>
        <v>Medium</v>
      </c>
      <c r="R459">
        <f t="shared" si="127"/>
        <v>455</v>
      </c>
    </row>
    <row r="460" spans="1:18" x14ac:dyDescent="0.3">
      <c r="A460" s="22">
        <f>IF(B460="","",456)</f>
        <v>456</v>
      </c>
      <c r="B460" s="22" t="str">
        <f>IF(Calc_Engine!I457="","",Calc_Engine!I457)</f>
        <v>EMP1456</v>
      </c>
      <c r="C460" s="23" t="str">
        <f t="shared" si="112"/>
        <v>Ananya Krishnan</v>
      </c>
      <c r="D460" s="23" t="str">
        <f t="shared" si="113"/>
        <v>Senior Legal Counsel</v>
      </c>
      <c r="E460" s="23" t="str">
        <f t="shared" si="114"/>
        <v>Legal &amp; Compliance</v>
      </c>
      <c r="F460" s="22" t="str">
        <f t="shared" si="115"/>
        <v>L4</v>
      </c>
      <c r="G460" s="23" t="str">
        <f t="shared" si="116"/>
        <v>Swathi Mukherjee</v>
      </c>
      <c r="H460" s="22" t="str">
        <f t="shared" si="117"/>
        <v>Active</v>
      </c>
      <c r="I460" s="24">
        <f t="shared" si="118"/>
        <v>0.4</v>
      </c>
      <c r="J460" s="22">
        <f t="shared" si="119"/>
        <v>4</v>
      </c>
      <c r="K460" s="23" t="str">
        <f t="shared" si="120"/>
        <v>Star</v>
      </c>
      <c r="L460" s="22" t="str">
        <f t="shared" si="121"/>
        <v>Not Eligible</v>
      </c>
      <c r="M460" s="24">
        <f t="shared" si="122"/>
        <v>28.07</v>
      </c>
      <c r="N460" s="25">
        <f t="shared" si="123"/>
        <v>1.2</v>
      </c>
      <c r="O460" s="26">
        <f t="shared" si="124"/>
        <v>0.84693877551020413</v>
      </c>
      <c r="P460" s="25">
        <f t="shared" si="125"/>
        <v>3.77</v>
      </c>
      <c r="Q460" s="22" t="str">
        <f t="shared" si="126"/>
        <v>Low</v>
      </c>
      <c r="R460">
        <f t="shared" si="127"/>
        <v>456</v>
      </c>
    </row>
    <row r="461" spans="1:18" x14ac:dyDescent="0.3">
      <c r="A461" s="22">
        <f>IF(B461="","",457)</f>
        <v>457</v>
      </c>
      <c r="B461" s="22" t="str">
        <f>IF(Calc_Engine!I458="","",Calc_Engine!I458)</f>
        <v>EMP1457</v>
      </c>
      <c r="C461" s="23" t="str">
        <f t="shared" si="112"/>
        <v>Kiran Khanna</v>
      </c>
      <c r="D461" s="23" t="str">
        <f t="shared" si="113"/>
        <v>Support Associate</v>
      </c>
      <c r="E461" s="23" t="str">
        <f t="shared" si="114"/>
        <v>Customer Support</v>
      </c>
      <c r="F461" s="22" t="str">
        <f t="shared" si="115"/>
        <v>L1</v>
      </c>
      <c r="G461" s="23" t="str">
        <f t="shared" si="116"/>
        <v>Anjali Iyer</v>
      </c>
      <c r="H461" s="22" t="str">
        <f t="shared" si="117"/>
        <v>Active</v>
      </c>
      <c r="I461" s="24">
        <f t="shared" si="118"/>
        <v>0.4</v>
      </c>
      <c r="J461" s="22">
        <f t="shared" si="119"/>
        <v>4</v>
      </c>
      <c r="K461" s="23" t="str">
        <f t="shared" si="120"/>
        <v>High Performer</v>
      </c>
      <c r="L461" s="22" t="str">
        <f t="shared" si="121"/>
        <v>Not Eligible</v>
      </c>
      <c r="M461" s="24">
        <f t="shared" si="122"/>
        <v>3.01</v>
      </c>
      <c r="N461" s="25">
        <f t="shared" si="123"/>
        <v>0.59</v>
      </c>
      <c r="O461" s="26">
        <f t="shared" si="124"/>
        <v>0.79166666666666663</v>
      </c>
      <c r="P461" s="25">
        <f t="shared" si="125"/>
        <v>3.43</v>
      </c>
      <c r="Q461" s="22" t="str">
        <f t="shared" si="126"/>
        <v>Medium</v>
      </c>
      <c r="R461">
        <f t="shared" si="127"/>
        <v>457</v>
      </c>
    </row>
    <row r="462" spans="1:18" x14ac:dyDescent="0.3">
      <c r="A462" s="22">
        <f>IF(B462="","",458)</f>
        <v>458</v>
      </c>
      <c r="B462" s="22" t="str">
        <f>IF(Calc_Engine!I459="","",Calc_Engine!I459)</f>
        <v>EMP1458</v>
      </c>
      <c r="C462" s="23" t="str">
        <f t="shared" si="112"/>
        <v>Kavya Krishnan</v>
      </c>
      <c r="D462" s="23" t="str">
        <f t="shared" si="113"/>
        <v>Sales Manager</v>
      </c>
      <c r="E462" s="23" t="str">
        <f t="shared" si="114"/>
        <v>Sales</v>
      </c>
      <c r="F462" s="22" t="str">
        <f t="shared" si="115"/>
        <v>L5</v>
      </c>
      <c r="G462" s="23" t="str">
        <f t="shared" si="116"/>
        <v>Joseph Varghese</v>
      </c>
      <c r="H462" s="22" t="str">
        <f t="shared" si="117"/>
        <v>Active</v>
      </c>
      <c r="I462" s="24">
        <f t="shared" si="118"/>
        <v>0.4</v>
      </c>
      <c r="J462" s="22">
        <f t="shared" si="119"/>
        <v>4</v>
      </c>
      <c r="K462" s="23" t="str">
        <f t="shared" si="120"/>
        <v>Trusted Professional</v>
      </c>
      <c r="L462" s="22" t="str">
        <f t="shared" si="121"/>
        <v>Not Eligible</v>
      </c>
      <c r="M462" s="24">
        <f t="shared" si="122"/>
        <v>30.83</v>
      </c>
      <c r="N462" s="25">
        <f t="shared" si="123"/>
        <v>0.84</v>
      </c>
      <c r="O462" s="26">
        <f t="shared" si="124"/>
        <v>0.89473684210526316</v>
      </c>
      <c r="P462" s="25">
        <f t="shared" si="125"/>
        <v>3.93</v>
      </c>
      <c r="Q462" s="22" t="str">
        <f t="shared" si="126"/>
        <v>Medium</v>
      </c>
      <c r="R462">
        <f t="shared" si="127"/>
        <v>458</v>
      </c>
    </row>
    <row r="463" spans="1:18" x14ac:dyDescent="0.3">
      <c r="A463" s="22">
        <f>IF(B463="","",459)</f>
        <v>459</v>
      </c>
      <c r="B463" s="22" t="str">
        <f>IF(Calc_Engine!I460="","",Calc_Engine!I460)</f>
        <v>EMP1459</v>
      </c>
      <c r="C463" s="23" t="str">
        <f t="shared" si="112"/>
        <v>Yamini Malhotra</v>
      </c>
      <c r="D463" s="23" t="str">
        <f t="shared" si="113"/>
        <v>Data Analyst I</v>
      </c>
      <c r="E463" s="23" t="str">
        <f t="shared" si="114"/>
        <v>Data &amp; Analytics</v>
      </c>
      <c r="F463" s="22" t="str">
        <f t="shared" si="115"/>
        <v>L1</v>
      </c>
      <c r="G463" s="23" t="str">
        <f t="shared" si="116"/>
        <v>Arun Mukherjee</v>
      </c>
      <c r="H463" s="22" t="str">
        <f t="shared" si="117"/>
        <v>Active</v>
      </c>
      <c r="I463" s="24">
        <f t="shared" si="118"/>
        <v>0.4</v>
      </c>
      <c r="J463" s="22">
        <f t="shared" si="119"/>
        <v>3</v>
      </c>
      <c r="K463" s="23" t="str">
        <f t="shared" si="120"/>
        <v>Core Player</v>
      </c>
      <c r="L463" s="22" t="str">
        <f t="shared" si="121"/>
        <v>Not Eligible</v>
      </c>
      <c r="M463" s="24">
        <f t="shared" si="122"/>
        <v>6.36</v>
      </c>
      <c r="N463" s="25">
        <f t="shared" si="123"/>
        <v>1.25</v>
      </c>
      <c r="O463" s="26">
        <f t="shared" si="124"/>
        <v>0.8936170212765957</v>
      </c>
      <c r="P463" s="25">
        <f t="shared" si="125"/>
        <v>2.27</v>
      </c>
      <c r="Q463" s="22" t="str">
        <f t="shared" si="126"/>
        <v>Medium</v>
      </c>
      <c r="R463">
        <f t="shared" si="127"/>
        <v>459</v>
      </c>
    </row>
    <row r="464" spans="1:18" x14ac:dyDescent="0.3">
      <c r="A464" s="22">
        <f>IF(B464="","",460)</f>
        <v>460</v>
      </c>
      <c r="B464" s="22" t="str">
        <f>IF(Calc_Engine!I461="","",Calc_Engine!I461)</f>
        <v>EMP1460</v>
      </c>
      <c r="C464" s="23" t="str">
        <f t="shared" si="112"/>
        <v>Sowmya Yadav</v>
      </c>
      <c r="D464" s="23" t="str">
        <f t="shared" si="113"/>
        <v>HR Associate</v>
      </c>
      <c r="E464" s="23" t="str">
        <f t="shared" si="114"/>
        <v>Human Resources</v>
      </c>
      <c r="F464" s="22" t="str">
        <f t="shared" si="115"/>
        <v>L1</v>
      </c>
      <c r="G464" s="23" t="str">
        <f t="shared" si="116"/>
        <v>Akash Das</v>
      </c>
      <c r="H464" s="22" t="str">
        <f t="shared" si="117"/>
        <v>Active</v>
      </c>
      <c r="I464" s="24">
        <f t="shared" si="118"/>
        <v>0.3</v>
      </c>
      <c r="J464" s="22">
        <f t="shared" si="119"/>
        <v>2</v>
      </c>
      <c r="K464" s="23" t="str">
        <f t="shared" si="120"/>
        <v>Underperformer</v>
      </c>
      <c r="L464" s="22" t="str">
        <f t="shared" si="121"/>
        <v>Not Eligible</v>
      </c>
      <c r="M464" s="24">
        <f t="shared" si="122"/>
        <v>4.62</v>
      </c>
      <c r="N464" s="25">
        <f t="shared" si="123"/>
        <v>0.91</v>
      </c>
      <c r="O464" s="26">
        <f t="shared" si="124"/>
        <v>0.83720930232558144</v>
      </c>
      <c r="P464" s="25">
        <f t="shared" si="125"/>
        <v>3.78</v>
      </c>
      <c r="Q464" s="22" t="str">
        <f t="shared" si="126"/>
        <v>Low</v>
      </c>
      <c r="R464">
        <f t="shared" si="127"/>
        <v>460</v>
      </c>
    </row>
    <row r="465" spans="1:18" x14ac:dyDescent="0.3">
      <c r="A465" s="22">
        <f>IF(B465="","",461)</f>
        <v>461</v>
      </c>
      <c r="B465" s="22" t="str">
        <f>IF(Calc_Engine!I462="","",Calc_Engine!I462)</f>
        <v>EMP1461</v>
      </c>
      <c r="C465" s="23" t="str">
        <f t="shared" si="112"/>
        <v>Deepika Tiwari</v>
      </c>
      <c r="D465" s="23" t="str">
        <f t="shared" si="113"/>
        <v>Operations Associate</v>
      </c>
      <c r="E465" s="23" t="str">
        <f t="shared" si="114"/>
        <v>Operations</v>
      </c>
      <c r="F465" s="22" t="str">
        <f t="shared" si="115"/>
        <v>L1</v>
      </c>
      <c r="G465" s="23" t="str">
        <f t="shared" si="116"/>
        <v>Yash Shah</v>
      </c>
      <c r="H465" s="22" t="str">
        <f t="shared" si="117"/>
        <v>Active</v>
      </c>
      <c r="I465" s="24">
        <f t="shared" si="118"/>
        <v>0.3</v>
      </c>
      <c r="J465" s="22">
        <f t="shared" si="119"/>
        <v>5</v>
      </c>
      <c r="K465" s="23" t="str">
        <f t="shared" si="120"/>
        <v>High Performer</v>
      </c>
      <c r="L465" s="22" t="str">
        <f t="shared" si="121"/>
        <v>Not Eligible</v>
      </c>
      <c r="M465" s="24">
        <f t="shared" si="122"/>
        <v>4.6500000000000004</v>
      </c>
      <c r="N465" s="25">
        <f t="shared" si="123"/>
        <v>0.91</v>
      </c>
      <c r="O465" s="26">
        <f t="shared" si="124"/>
        <v>0.80952380952380953</v>
      </c>
      <c r="P465" s="25">
        <f t="shared" si="125"/>
        <v>3.67</v>
      </c>
      <c r="Q465" s="22" t="str">
        <f t="shared" si="126"/>
        <v>Low</v>
      </c>
      <c r="R465">
        <f t="shared" si="127"/>
        <v>461</v>
      </c>
    </row>
    <row r="466" spans="1:18" x14ac:dyDescent="0.3">
      <c r="A466" s="22">
        <f>IF(B466="","",462)</f>
        <v>462</v>
      </c>
      <c r="B466" s="22" t="str">
        <f>IF(Calc_Engine!I463="","",Calc_Engine!I463)</f>
        <v>EMP1462</v>
      </c>
      <c r="C466" s="23" t="str">
        <f t="shared" si="112"/>
        <v>Ashish Siddiqui</v>
      </c>
      <c r="D466" s="23" t="str">
        <f t="shared" si="113"/>
        <v>Operations Executive</v>
      </c>
      <c r="E466" s="23" t="str">
        <f t="shared" si="114"/>
        <v>Operations</v>
      </c>
      <c r="F466" s="22" t="str">
        <f t="shared" si="115"/>
        <v>L2</v>
      </c>
      <c r="G466" s="23" t="str">
        <f t="shared" si="116"/>
        <v>Ramya Menon</v>
      </c>
      <c r="H466" s="22" t="str">
        <f t="shared" si="117"/>
        <v>Active</v>
      </c>
      <c r="I466" s="24">
        <f t="shared" si="118"/>
        <v>0.3</v>
      </c>
      <c r="J466" s="22">
        <f t="shared" si="119"/>
        <v>4</v>
      </c>
      <c r="K466" s="23" t="str">
        <f t="shared" si="120"/>
        <v>High Performer</v>
      </c>
      <c r="L466" s="22" t="str">
        <f t="shared" si="121"/>
        <v>Not Eligible</v>
      </c>
      <c r="M466" s="24">
        <f t="shared" si="122"/>
        <v>5.8</v>
      </c>
      <c r="N466" s="25">
        <f t="shared" si="123"/>
        <v>0.68</v>
      </c>
      <c r="O466" s="26">
        <f t="shared" si="124"/>
        <v>0.85</v>
      </c>
      <c r="P466" s="25">
        <f t="shared" si="125"/>
        <v>3.72</v>
      </c>
      <c r="Q466" s="22" t="str">
        <f t="shared" si="126"/>
        <v>Medium</v>
      </c>
      <c r="R466">
        <f t="shared" si="127"/>
        <v>462</v>
      </c>
    </row>
    <row r="467" spans="1:18" x14ac:dyDescent="0.3">
      <c r="A467" s="22">
        <f>IF(B467="","",463)</f>
        <v>463</v>
      </c>
      <c r="B467" s="22" t="str">
        <f>IF(Calc_Engine!I464="","",Calc_Engine!I464)</f>
        <v>EMP1463</v>
      </c>
      <c r="C467" s="23" t="str">
        <f t="shared" si="112"/>
        <v>Rajesh Agarwal</v>
      </c>
      <c r="D467" s="23" t="str">
        <f t="shared" si="113"/>
        <v>Tech Lead</v>
      </c>
      <c r="E467" s="23" t="str">
        <f t="shared" si="114"/>
        <v>Engineering</v>
      </c>
      <c r="F467" s="22" t="str">
        <f t="shared" si="115"/>
        <v>L4</v>
      </c>
      <c r="G467" s="23" t="str">
        <f t="shared" si="116"/>
        <v>Isha Jain</v>
      </c>
      <c r="H467" s="22" t="str">
        <f t="shared" si="117"/>
        <v>Active</v>
      </c>
      <c r="I467" s="24">
        <f t="shared" si="118"/>
        <v>0.3</v>
      </c>
      <c r="J467" s="22">
        <f t="shared" si="119"/>
        <v>4</v>
      </c>
      <c r="K467" s="23" t="str">
        <f t="shared" si="120"/>
        <v>High Performer</v>
      </c>
      <c r="L467" s="22" t="str">
        <f t="shared" si="121"/>
        <v>Not Eligible</v>
      </c>
      <c r="M467" s="24">
        <f t="shared" si="122"/>
        <v>28.69</v>
      </c>
      <c r="N467" s="25">
        <f t="shared" si="123"/>
        <v>1.22</v>
      </c>
      <c r="O467" s="26">
        <f t="shared" si="124"/>
        <v>0.80769230769230771</v>
      </c>
      <c r="P467" s="25">
        <f t="shared" si="125"/>
        <v>3.75</v>
      </c>
      <c r="Q467" s="22" t="str">
        <f t="shared" si="126"/>
        <v>Low</v>
      </c>
      <c r="R467">
        <f t="shared" si="127"/>
        <v>463</v>
      </c>
    </row>
    <row r="468" spans="1:18" x14ac:dyDescent="0.3">
      <c r="A468" s="22">
        <f>IF(B468="","",464)</f>
        <v>464</v>
      </c>
      <c r="B468" s="22" t="str">
        <f>IF(Calc_Engine!I465="","",Calc_Engine!I465)</f>
        <v>EMP1464</v>
      </c>
      <c r="C468" s="23" t="str">
        <f t="shared" si="112"/>
        <v>Kritika Mehta</v>
      </c>
      <c r="D468" s="23" t="str">
        <f t="shared" si="113"/>
        <v>Software Engineer</v>
      </c>
      <c r="E468" s="23" t="str">
        <f t="shared" si="114"/>
        <v>Engineering</v>
      </c>
      <c r="F468" s="22" t="str">
        <f t="shared" si="115"/>
        <v>L2</v>
      </c>
      <c r="G468" s="23" t="str">
        <f t="shared" si="116"/>
        <v>Harsh Siddiqui</v>
      </c>
      <c r="H468" s="22" t="str">
        <f t="shared" si="117"/>
        <v>Active</v>
      </c>
      <c r="I468" s="24">
        <f t="shared" si="118"/>
        <v>0.3</v>
      </c>
      <c r="J468" s="22">
        <f t="shared" si="119"/>
        <v>4</v>
      </c>
      <c r="K468" s="23" t="str">
        <f t="shared" si="120"/>
        <v>High Performer</v>
      </c>
      <c r="L468" s="22" t="str">
        <f t="shared" si="121"/>
        <v>Not Eligible</v>
      </c>
      <c r="M468" s="24">
        <f t="shared" si="122"/>
        <v>8.94</v>
      </c>
      <c r="N468" s="25">
        <f t="shared" si="123"/>
        <v>1.05</v>
      </c>
      <c r="O468" s="26">
        <f t="shared" si="124"/>
        <v>0.80263157894736847</v>
      </c>
      <c r="P468" s="25">
        <f t="shared" si="125"/>
        <v>4.22</v>
      </c>
      <c r="Q468" s="22" t="str">
        <f t="shared" si="126"/>
        <v>Low</v>
      </c>
      <c r="R468">
        <f t="shared" si="127"/>
        <v>464</v>
      </c>
    </row>
    <row r="469" spans="1:18" x14ac:dyDescent="0.3">
      <c r="A469" s="22">
        <f>IF(B469="","",465)</f>
        <v>465</v>
      </c>
      <c r="B469" s="22" t="str">
        <f>IF(Calc_Engine!I466="","",Calc_Engine!I466)</f>
        <v>EMP1465</v>
      </c>
      <c r="C469" s="23" t="str">
        <f t="shared" si="112"/>
        <v>Yash Rao</v>
      </c>
      <c r="D469" s="23" t="str">
        <f t="shared" si="113"/>
        <v>Associate Product Analyst</v>
      </c>
      <c r="E469" s="23" t="str">
        <f t="shared" si="114"/>
        <v>Product</v>
      </c>
      <c r="F469" s="22" t="str">
        <f t="shared" si="115"/>
        <v>L1</v>
      </c>
      <c r="G469" s="23" t="str">
        <f t="shared" si="116"/>
        <v>Mansi Pillai</v>
      </c>
      <c r="H469" s="22" t="str">
        <f t="shared" si="117"/>
        <v>Active</v>
      </c>
      <c r="I469" s="24">
        <f t="shared" si="118"/>
        <v>0.3</v>
      </c>
      <c r="J469" s="22">
        <f t="shared" si="119"/>
        <v>5</v>
      </c>
      <c r="K469" s="23" t="str">
        <f t="shared" si="120"/>
        <v>Star</v>
      </c>
      <c r="L469" s="22" t="str">
        <f t="shared" si="121"/>
        <v>Not Eligible</v>
      </c>
      <c r="M469" s="24">
        <f t="shared" si="122"/>
        <v>4.58</v>
      </c>
      <c r="N469" s="25">
        <f t="shared" si="123"/>
        <v>0.9</v>
      </c>
      <c r="O469" s="26">
        <f t="shared" si="124"/>
        <v>0.85333333333333339</v>
      </c>
      <c r="P469" s="25">
        <f t="shared" si="125"/>
        <v>3.72</v>
      </c>
      <c r="Q469" s="22" t="str">
        <f t="shared" si="126"/>
        <v>Low</v>
      </c>
      <c r="R469">
        <f t="shared" si="127"/>
        <v>465</v>
      </c>
    </row>
    <row r="470" spans="1:18" x14ac:dyDescent="0.3">
      <c r="A470" s="22">
        <f>IF(B470="","",466)</f>
        <v>466</v>
      </c>
      <c r="B470" s="22" t="str">
        <f>IF(Calc_Engine!I467="","",Calc_Engine!I467)</f>
        <v>EMP1466</v>
      </c>
      <c r="C470" s="23" t="str">
        <f t="shared" si="112"/>
        <v>Yamini Choudhary</v>
      </c>
      <c r="D470" s="23" t="str">
        <f t="shared" si="113"/>
        <v>Data Analyst II</v>
      </c>
      <c r="E470" s="23" t="str">
        <f t="shared" si="114"/>
        <v>Data &amp; Analytics</v>
      </c>
      <c r="F470" s="22" t="str">
        <f t="shared" si="115"/>
        <v>L2</v>
      </c>
      <c r="G470" s="23" t="str">
        <f t="shared" si="116"/>
        <v>Arun Mukherjee</v>
      </c>
      <c r="H470" s="22" t="str">
        <f t="shared" si="117"/>
        <v>Active</v>
      </c>
      <c r="I470" s="24">
        <f t="shared" si="118"/>
        <v>0.3</v>
      </c>
      <c r="J470" s="22">
        <f t="shared" si="119"/>
        <v>4</v>
      </c>
      <c r="K470" s="23" t="str">
        <f t="shared" si="120"/>
        <v>High Performer</v>
      </c>
      <c r="L470" s="22" t="str">
        <f t="shared" si="121"/>
        <v>Not Eligible</v>
      </c>
      <c r="M470" s="24">
        <f t="shared" si="122"/>
        <v>10.79</v>
      </c>
      <c r="N470" s="25">
        <f t="shared" si="123"/>
        <v>1.26</v>
      </c>
      <c r="O470" s="26">
        <f t="shared" si="124"/>
        <v>0.80821917808219179</v>
      </c>
      <c r="P470" s="25">
        <f t="shared" si="125"/>
        <v>3.83</v>
      </c>
      <c r="Q470" s="22" t="str">
        <f t="shared" si="126"/>
        <v>Low</v>
      </c>
      <c r="R470">
        <f t="shared" si="127"/>
        <v>466</v>
      </c>
    </row>
    <row r="471" spans="1:18" x14ac:dyDescent="0.3">
      <c r="A471" s="22">
        <f>IF(B471="","",467)</f>
        <v>467</v>
      </c>
      <c r="B471" s="22" t="str">
        <f>IF(Calc_Engine!I468="","",Calc_Engine!I468)</f>
        <v>EMP1467</v>
      </c>
      <c r="C471" s="23" t="str">
        <f t="shared" si="112"/>
        <v>Vikram Bansal</v>
      </c>
      <c r="D471" s="23" t="str">
        <f t="shared" si="113"/>
        <v>Accounts Executive</v>
      </c>
      <c r="E471" s="23" t="str">
        <f t="shared" si="114"/>
        <v>Finance</v>
      </c>
      <c r="F471" s="22" t="str">
        <f t="shared" si="115"/>
        <v>L2</v>
      </c>
      <c r="G471" s="23" t="str">
        <f t="shared" si="116"/>
        <v>Ravi Prabhu</v>
      </c>
      <c r="H471" s="22" t="str">
        <f t="shared" si="117"/>
        <v>Active</v>
      </c>
      <c r="I471" s="24">
        <f t="shared" si="118"/>
        <v>0.3</v>
      </c>
      <c r="J471" s="22">
        <f t="shared" si="119"/>
        <v>4</v>
      </c>
      <c r="K471" s="23" t="str">
        <f t="shared" si="120"/>
        <v>High Performer</v>
      </c>
      <c r="L471" s="22" t="str">
        <f t="shared" si="121"/>
        <v>Not Eligible</v>
      </c>
      <c r="M471" s="24">
        <f t="shared" si="122"/>
        <v>9.8699999999999992</v>
      </c>
      <c r="N471" s="25">
        <f t="shared" si="123"/>
        <v>1.1499999999999999</v>
      </c>
      <c r="O471" s="26">
        <f t="shared" si="124"/>
        <v>0.86301369863013699</v>
      </c>
      <c r="P471" s="25">
        <f t="shared" si="125"/>
        <v>3.62</v>
      </c>
      <c r="Q471" s="22" t="str">
        <f t="shared" si="126"/>
        <v>Low</v>
      </c>
      <c r="R471">
        <f t="shared" si="127"/>
        <v>467</v>
      </c>
    </row>
    <row r="472" spans="1:18" x14ac:dyDescent="0.3">
      <c r="A472" s="22">
        <f>IF(B472="","",468)</f>
        <v>468</v>
      </c>
      <c r="B472" s="22" t="str">
        <f>IF(Calc_Engine!I469="","",Calc_Engine!I469)</f>
        <v>EMP1468</v>
      </c>
      <c r="C472" s="23" t="str">
        <f t="shared" si="112"/>
        <v>Ramya Kapoor</v>
      </c>
      <c r="D472" s="23" t="str">
        <f t="shared" si="113"/>
        <v>Sales Associate</v>
      </c>
      <c r="E472" s="23" t="str">
        <f t="shared" si="114"/>
        <v>Sales</v>
      </c>
      <c r="F472" s="22" t="str">
        <f t="shared" si="115"/>
        <v>L1</v>
      </c>
      <c r="G472" s="23" t="str">
        <f t="shared" si="116"/>
        <v>Srinivas Shah</v>
      </c>
      <c r="H472" s="22" t="str">
        <f t="shared" si="117"/>
        <v>Active</v>
      </c>
      <c r="I472" s="24">
        <f t="shared" si="118"/>
        <v>0.3</v>
      </c>
      <c r="J472" s="22">
        <f t="shared" si="119"/>
        <v>3</v>
      </c>
      <c r="K472" s="23" t="str">
        <f t="shared" si="120"/>
        <v>Core Player</v>
      </c>
      <c r="L472" s="22" t="str">
        <f t="shared" si="121"/>
        <v>Not Eligible</v>
      </c>
      <c r="M472" s="24">
        <f t="shared" si="122"/>
        <v>5.41</v>
      </c>
      <c r="N472" s="25">
        <f t="shared" si="123"/>
        <v>1.06</v>
      </c>
      <c r="O472" s="26">
        <f t="shared" si="124"/>
        <v>0.80281690140845074</v>
      </c>
      <c r="P472" s="25">
        <f t="shared" si="125"/>
        <v>1.98</v>
      </c>
      <c r="Q472" s="22" t="str">
        <f t="shared" si="126"/>
        <v>Medium</v>
      </c>
      <c r="R472">
        <f t="shared" si="127"/>
        <v>468</v>
      </c>
    </row>
    <row r="473" spans="1:18" x14ac:dyDescent="0.3">
      <c r="A473" s="22">
        <f>IF(B473="","",469)</f>
        <v>469</v>
      </c>
      <c r="B473" s="22" t="str">
        <f>IF(Calc_Engine!I470="","",Calc_Engine!I470)</f>
        <v>EMP1469</v>
      </c>
      <c r="C473" s="23" t="str">
        <f t="shared" si="112"/>
        <v>Aniket Chatterjee</v>
      </c>
      <c r="D473" s="23" t="str">
        <f t="shared" si="113"/>
        <v>Product Analyst</v>
      </c>
      <c r="E473" s="23" t="str">
        <f t="shared" si="114"/>
        <v>Product</v>
      </c>
      <c r="F473" s="22" t="str">
        <f t="shared" si="115"/>
        <v>L2</v>
      </c>
      <c r="G473" s="23" t="str">
        <f t="shared" si="116"/>
        <v>Sachin Shetty</v>
      </c>
      <c r="H473" s="22" t="str">
        <f t="shared" si="117"/>
        <v>Active</v>
      </c>
      <c r="I473" s="24">
        <f t="shared" si="118"/>
        <v>0.3</v>
      </c>
      <c r="J473" s="22">
        <f t="shared" si="119"/>
        <v>4</v>
      </c>
      <c r="K473" s="23" t="str">
        <f t="shared" si="120"/>
        <v>High Performer</v>
      </c>
      <c r="L473" s="22" t="str">
        <f t="shared" si="121"/>
        <v>Not Eligible</v>
      </c>
      <c r="M473" s="24">
        <f t="shared" si="122"/>
        <v>11.72</v>
      </c>
      <c r="N473" s="25">
        <f t="shared" si="123"/>
        <v>1.37</v>
      </c>
      <c r="O473" s="26">
        <f t="shared" si="124"/>
        <v>0.86764705882352944</v>
      </c>
      <c r="P473" s="25">
        <f t="shared" si="125"/>
        <v>3.48</v>
      </c>
      <c r="Q473" s="22" t="str">
        <f t="shared" si="126"/>
        <v>Low</v>
      </c>
      <c r="R473">
        <f t="shared" si="127"/>
        <v>469</v>
      </c>
    </row>
    <row r="474" spans="1:18" x14ac:dyDescent="0.3">
      <c r="A474" s="22">
        <f>IF(B474="","",470)</f>
        <v>470</v>
      </c>
      <c r="B474" s="22" t="str">
        <f>IF(Calc_Engine!I471="","",Calc_Engine!I471)</f>
        <v>EMP1470</v>
      </c>
      <c r="C474" s="23" t="str">
        <f t="shared" si="112"/>
        <v>Krishna Khan</v>
      </c>
      <c r="D474" s="23" t="str">
        <f t="shared" si="113"/>
        <v>Legal Counsel</v>
      </c>
      <c r="E474" s="23" t="str">
        <f t="shared" si="114"/>
        <v>Legal &amp; Compliance</v>
      </c>
      <c r="F474" s="22" t="str">
        <f t="shared" si="115"/>
        <v>L3</v>
      </c>
      <c r="G474" s="23" t="str">
        <f t="shared" si="116"/>
        <v>Swathi Mukherjee</v>
      </c>
      <c r="H474" s="22" t="str">
        <f t="shared" si="117"/>
        <v>Active</v>
      </c>
      <c r="I474" s="24">
        <f t="shared" si="118"/>
        <v>0.3</v>
      </c>
      <c r="J474" s="22">
        <f t="shared" si="119"/>
        <v>3</v>
      </c>
      <c r="K474" s="23" t="str">
        <f t="shared" si="120"/>
        <v>Core Player</v>
      </c>
      <c r="L474" s="22" t="str">
        <f t="shared" si="121"/>
        <v>Not Eligible</v>
      </c>
      <c r="M474" s="24">
        <f t="shared" si="122"/>
        <v>15.45</v>
      </c>
      <c r="N474" s="25">
        <f t="shared" si="123"/>
        <v>1.07</v>
      </c>
      <c r="O474" s="26">
        <f t="shared" si="124"/>
        <v>0.80952380952380953</v>
      </c>
      <c r="P474" s="25">
        <f t="shared" si="125"/>
        <v>2.9</v>
      </c>
      <c r="Q474" s="22" t="str">
        <f t="shared" si="126"/>
        <v>Medium</v>
      </c>
      <c r="R474">
        <f t="shared" si="127"/>
        <v>470</v>
      </c>
    </row>
    <row r="475" spans="1:18" x14ac:dyDescent="0.3">
      <c r="A475" s="22">
        <f>IF(B475="","",471)</f>
        <v>471</v>
      </c>
      <c r="B475" s="22" t="str">
        <f>IF(Calc_Engine!I472="","",Calc_Engine!I472)</f>
        <v>EMP1471</v>
      </c>
      <c r="C475" s="23" t="str">
        <f t="shared" si="112"/>
        <v>Sowmya Prabhu</v>
      </c>
      <c r="D475" s="23" t="str">
        <f t="shared" si="113"/>
        <v>Associate Software Engineer</v>
      </c>
      <c r="E475" s="23" t="str">
        <f t="shared" si="114"/>
        <v>Engineering</v>
      </c>
      <c r="F475" s="22" t="str">
        <f t="shared" si="115"/>
        <v>L1</v>
      </c>
      <c r="G475" s="23" t="str">
        <f t="shared" si="116"/>
        <v>Isha Jain</v>
      </c>
      <c r="H475" s="22" t="str">
        <f t="shared" si="117"/>
        <v>Active</v>
      </c>
      <c r="I475" s="24">
        <f t="shared" si="118"/>
        <v>0.2</v>
      </c>
      <c r="J475" s="22">
        <f t="shared" si="119"/>
        <v>4</v>
      </c>
      <c r="K475" s="23" t="str">
        <f t="shared" si="120"/>
        <v>High Performer</v>
      </c>
      <c r="L475" s="22" t="str">
        <f t="shared" si="121"/>
        <v>Not Eligible</v>
      </c>
      <c r="M475" s="24">
        <f t="shared" si="122"/>
        <v>6.59</v>
      </c>
      <c r="N475" s="25">
        <f t="shared" si="123"/>
        <v>1.3</v>
      </c>
      <c r="O475" s="26">
        <f t="shared" si="124"/>
        <v>0.85</v>
      </c>
      <c r="P475" s="25">
        <f t="shared" si="125"/>
        <v>3.07</v>
      </c>
      <c r="Q475" s="22" t="str">
        <f t="shared" si="126"/>
        <v>Low</v>
      </c>
      <c r="R475">
        <f t="shared" si="127"/>
        <v>471</v>
      </c>
    </row>
    <row r="476" spans="1:18" x14ac:dyDescent="0.3">
      <c r="A476" s="22">
        <f>IF(B476="","",472)</f>
        <v>472</v>
      </c>
      <c r="B476" s="22" t="str">
        <f>IF(Calc_Engine!I473="","",Calc_Engine!I473)</f>
        <v>EMP1472</v>
      </c>
      <c r="C476" s="23" t="str">
        <f t="shared" si="112"/>
        <v>Kritika Khan</v>
      </c>
      <c r="D476" s="23" t="str">
        <f t="shared" si="113"/>
        <v>Software Engineer</v>
      </c>
      <c r="E476" s="23" t="str">
        <f t="shared" si="114"/>
        <v>Engineering</v>
      </c>
      <c r="F476" s="22" t="str">
        <f t="shared" si="115"/>
        <v>L2</v>
      </c>
      <c r="G476" s="23" t="str">
        <f t="shared" si="116"/>
        <v>Isha Jain</v>
      </c>
      <c r="H476" s="22" t="str">
        <f t="shared" si="117"/>
        <v>Active</v>
      </c>
      <c r="I476" s="24">
        <f t="shared" si="118"/>
        <v>0.2</v>
      </c>
      <c r="J476" s="22">
        <f t="shared" si="119"/>
        <v>3</v>
      </c>
      <c r="K476" s="23" t="str">
        <f t="shared" si="120"/>
        <v>Core Player</v>
      </c>
      <c r="L476" s="22" t="str">
        <f t="shared" si="121"/>
        <v>Not Eligible</v>
      </c>
      <c r="M476" s="24">
        <f t="shared" si="122"/>
        <v>10.59</v>
      </c>
      <c r="N476" s="25">
        <f t="shared" si="123"/>
        <v>1.24</v>
      </c>
      <c r="O476" s="26">
        <f t="shared" si="124"/>
        <v>0.74576271186440679</v>
      </c>
      <c r="P476" s="25">
        <f t="shared" si="125"/>
        <v>3.33</v>
      </c>
      <c r="Q476" s="22" t="str">
        <f t="shared" si="126"/>
        <v>Low</v>
      </c>
      <c r="R476">
        <f t="shared" si="127"/>
        <v>472</v>
      </c>
    </row>
    <row r="477" spans="1:18" x14ac:dyDescent="0.3">
      <c r="A477" s="22">
        <f>IF(B477="","",473)</f>
        <v>473</v>
      </c>
      <c r="B477" s="22" t="str">
        <f>IF(Calc_Engine!I474="","",Calc_Engine!I474)</f>
        <v>EMP1473</v>
      </c>
      <c r="C477" s="23" t="str">
        <f t="shared" si="112"/>
        <v>Rashmi Gowda</v>
      </c>
      <c r="D477" s="23" t="str">
        <f t="shared" si="113"/>
        <v>Operations Associate</v>
      </c>
      <c r="E477" s="23" t="str">
        <f t="shared" si="114"/>
        <v>Operations</v>
      </c>
      <c r="F477" s="22" t="str">
        <f t="shared" si="115"/>
        <v>L1</v>
      </c>
      <c r="G477" s="23" t="str">
        <f t="shared" si="116"/>
        <v>Amit Kumar</v>
      </c>
      <c r="H477" s="22" t="str">
        <f t="shared" si="117"/>
        <v>Active</v>
      </c>
      <c r="I477" s="24">
        <f t="shared" si="118"/>
        <v>0.2</v>
      </c>
      <c r="J477" s="22">
        <f t="shared" si="119"/>
        <v>5</v>
      </c>
      <c r="K477" s="23" t="str">
        <f t="shared" si="120"/>
        <v>High Performer</v>
      </c>
      <c r="L477" s="22" t="str">
        <f t="shared" si="121"/>
        <v>Not Eligible</v>
      </c>
      <c r="M477" s="24">
        <f t="shared" si="122"/>
        <v>4.5999999999999996</v>
      </c>
      <c r="N477" s="25">
        <f t="shared" si="123"/>
        <v>0.9</v>
      </c>
      <c r="O477" s="26">
        <f t="shared" si="124"/>
        <v>0.80701754385964908</v>
      </c>
      <c r="P477" s="25">
        <f t="shared" si="125"/>
        <v>4.07</v>
      </c>
      <c r="Q477" s="22" t="str">
        <f t="shared" si="126"/>
        <v>Low</v>
      </c>
      <c r="R477">
        <f t="shared" si="127"/>
        <v>473</v>
      </c>
    </row>
    <row r="478" spans="1:18" x14ac:dyDescent="0.3">
      <c r="A478" s="22">
        <f>IF(B478="","",474)</f>
        <v>474</v>
      </c>
      <c r="B478" s="22" t="str">
        <f>IF(Calc_Engine!I475="","",Calc_Engine!I475)</f>
        <v>EMP1474</v>
      </c>
      <c r="C478" s="23" t="str">
        <f t="shared" si="112"/>
        <v>Ananya Khanna</v>
      </c>
      <c r="D478" s="23" t="str">
        <f t="shared" si="113"/>
        <v>Operations Associate</v>
      </c>
      <c r="E478" s="23" t="str">
        <f t="shared" si="114"/>
        <v>Operations</v>
      </c>
      <c r="F478" s="22" t="str">
        <f t="shared" si="115"/>
        <v>L1</v>
      </c>
      <c r="G478" s="23" t="str">
        <f t="shared" si="116"/>
        <v>Ramya Menon</v>
      </c>
      <c r="H478" s="22" t="str">
        <f t="shared" si="117"/>
        <v>Active</v>
      </c>
      <c r="I478" s="24">
        <f t="shared" si="118"/>
        <v>0.2</v>
      </c>
      <c r="J478" s="22">
        <f t="shared" si="119"/>
        <v>3</v>
      </c>
      <c r="K478" s="23" t="str">
        <f t="shared" si="120"/>
        <v>Core Player</v>
      </c>
      <c r="L478" s="22" t="str">
        <f t="shared" si="121"/>
        <v>Not Eligible</v>
      </c>
      <c r="M478" s="24">
        <f t="shared" si="122"/>
        <v>5.12</v>
      </c>
      <c r="N478" s="25">
        <f t="shared" si="123"/>
        <v>1.01</v>
      </c>
      <c r="O478" s="26">
        <f t="shared" si="124"/>
        <v>0.8035714285714286</v>
      </c>
      <c r="P478" s="25">
        <f t="shared" si="125"/>
        <v>3.52</v>
      </c>
      <c r="Q478" s="22" t="str">
        <f t="shared" si="126"/>
        <v>Low</v>
      </c>
      <c r="R478">
        <f t="shared" si="127"/>
        <v>474</v>
      </c>
    </row>
    <row r="479" spans="1:18" x14ac:dyDescent="0.3">
      <c r="A479" s="22">
        <f>IF(B479="","",475)</f>
        <v>475</v>
      </c>
      <c r="B479" s="22" t="str">
        <f>IF(Calc_Engine!I476="","",Calc_Engine!I476)</f>
        <v>EMP1475</v>
      </c>
      <c r="C479" s="23" t="str">
        <f t="shared" si="112"/>
        <v>Ritu Thomas</v>
      </c>
      <c r="D479" s="23" t="str">
        <f t="shared" si="113"/>
        <v>Sales Associate</v>
      </c>
      <c r="E479" s="23" t="str">
        <f t="shared" si="114"/>
        <v>Sales</v>
      </c>
      <c r="F479" s="22" t="str">
        <f t="shared" si="115"/>
        <v>L1</v>
      </c>
      <c r="G479" s="23" t="str">
        <f t="shared" si="116"/>
        <v>Srinivas Shah</v>
      </c>
      <c r="H479" s="22" t="str">
        <f t="shared" si="117"/>
        <v>Active</v>
      </c>
      <c r="I479" s="24">
        <f t="shared" si="118"/>
        <v>0.2</v>
      </c>
      <c r="J479" s="22">
        <f t="shared" si="119"/>
        <v>5</v>
      </c>
      <c r="K479" s="23" t="str">
        <f t="shared" si="120"/>
        <v>Star</v>
      </c>
      <c r="L479" s="22" t="str">
        <f t="shared" si="121"/>
        <v>Not Eligible</v>
      </c>
      <c r="M479" s="24">
        <f t="shared" si="122"/>
        <v>4.62</v>
      </c>
      <c r="N479" s="25">
        <f t="shared" si="123"/>
        <v>0.91</v>
      </c>
      <c r="O479" s="26">
        <f t="shared" si="124"/>
        <v>0.76363636363636367</v>
      </c>
      <c r="P479" s="25">
        <f t="shared" si="125"/>
        <v>3.42</v>
      </c>
      <c r="Q479" s="22" t="str">
        <f t="shared" si="126"/>
        <v>Low</v>
      </c>
      <c r="R479">
        <f t="shared" si="127"/>
        <v>475</v>
      </c>
    </row>
    <row r="480" spans="1:18" x14ac:dyDescent="0.3">
      <c r="A480" s="22">
        <f>IF(B480="","",476)</f>
        <v>476</v>
      </c>
      <c r="B480" s="22" t="str">
        <f>IF(Calc_Engine!I477="","",Calc_Engine!I477)</f>
        <v>EMP1476</v>
      </c>
      <c r="C480" s="23" t="str">
        <f t="shared" si="112"/>
        <v>Gayatri Subramanian</v>
      </c>
      <c r="D480" s="23" t="str">
        <f t="shared" si="113"/>
        <v>Product Analyst</v>
      </c>
      <c r="E480" s="23" t="str">
        <f t="shared" si="114"/>
        <v>Product</v>
      </c>
      <c r="F480" s="22" t="str">
        <f t="shared" si="115"/>
        <v>L2</v>
      </c>
      <c r="G480" s="23" t="str">
        <f t="shared" si="116"/>
        <v>Trisha Malhotra</v>
      </c>
      <c r="H480" s="22" t="str">
        <f t="shared" si="117"/>
        <v>Active</v>
      </c>
      <c r="I480" s="24">
        <f t="shared" si="118"/>
        <v>0.2</v>
      </c>
      <c r="J480" s="22">
        <f t="shared" si="119"/>
        <v>3</v>
      </c>
      <c r="K480" s="23" t="str">
        <f t="shared" si="120"/>
        <v>Core Player</v>
      </c>
      <c r="L480" s="22" t="str">
        <f t="shared" si="121"/>
        <v>Not Eligible</v>
      </c>
      <c r="M480" s="24">
        <f t="shared" si="122"/>
        <v>10.42</v>
      </c>
      <c r="N480" s="25">
        <f t="shared" si="123"/>
        <v>1.22</v>
      </c>
      <c r="O480" s="26">
        <f t="shared" si="124"/>
        <v>0.76</v>
      </c>
      <c r="P480" s="25">
        <f t="shared" si="125"/>
        <v>2.37</v>
      </c>
      <c r="Q480" s="22" t="str">
        <f t="shared" si="126"/>
        <v>Low</v>
      </c>
      <c r="R480">
        <f t="shared" si="127"/>
        <v>476</v>
      </c>
    </row>
    <row r="481" spans="1:18" x14ac:dyDescent="0.3">
      <c r="A481" s="22">
        <f>IF(B481="","",477)</f>
        <v>477</v>
      </c>
      <c r="B481" s="22" t="str">
        <f>IF(Calc_Engine!I478="","",Calc_Engine!I478)</f>
        <v>EMP1477</v>
      </c>
      <c r="C481" s="23" t="str">
        <f t="shared" si="112"/>
        <v>Sanjay Rao</v>
      </c>
      <c r="D481" s="23" t="str">
        <f t="shared" si="113"/>
        <v>Marketing Executive</v>
      </c>
      <c r="E481" s="23" t="str">
        <f t="shared" si="114"/>
        <v>Marketing</v>
      </c>
      <c r="F481" s="22" t="str">
        <f t="shared" si="115"/>
        <v>L2</v>
      </c>
      <c r="G481" s="23" t="str">
        <f t="shared" si="116"/>
        <v>Nandini Iyer</v>
      </c>
      <c r="H481" s="22" t="str">
        <f t="shared" si="117"/>
        <v>Active</v>
      </c>
      <c r="I481" s="24">
        <f t="shared" si="118"/>
        <v>0.2</v>
      </c>
      <c r="J481" s="22">
        <f t="shared" si="119"/>
        <v>2</v>
      </c>
      <c r="K481" s="23" t="str">
        <f t="shared" si="120"/>
        <v>Inconsistent Player</v>
      </c>
      <c r="L481" s="22" t="str">
        <f t="shared" si="121"/>
        <v>Not Eligible</v>
      </c>
      <c r="M481" s="24">
        <f t="shared" si="122"/>
        <v>7.51</v>
      </c>
      <c r="N481" s="25">
        <f t="shared" si="123"/>
        <v>0.88</v>
      </c>
      <c r="O481" s="26">
        <f t="shared" si="124"/>
        <v>0.66</v>
      </c>
      <c r="P481" s="25">
        <f t="shared" si="125"/>
        <v>2.23</v>
      </c>
      <c r="Q481" s="22" t="str">
        <f t="shared" si="126"/>
        <v>Medium</v>
      </c>
      <c r="R481">
        <f t="shared" si="127"/>
        <v>477</v>
      </c>
    </row>
    <row r="482" spans="1:18" x14ac:dyDescent="0.3">
      <c r="A482" s="22">
        <f>IF(B482="","",478)</f>
        <v>478</v>
      </c>
      <c r="B482" s="22" t="str">
        <f>IF(Calc_Engine!I479="","",Calc_Engine!I479)</f>
        <v>EMP1478</v>
      </c>
      <c r="C482" s="23" t="str">
        <f t="shared" si="112"/>
        <v>Mohit Chatterjee</v>
      </c>
      <c r="D482" s="23" t="str">
        <f t="shared" si="113"/>
        <v>HR Executive</v>
      </c>
      <c r="E482" s="23" t="str">
        <f t="shared" si="114"/>
        <v>Human Resources</v>
      </c>
      <c r="F482" s="22" t="str">
        <f t="shared" si="115"/>
        <v>L2</v>
      </c>
      <c r="G482" s="23" t="str">
        <f t="shared" si="116"/>
        <v>Ajay Patel</v>
      </c>
      <c r="H482" s="22" t="str">
        <f t="shared" si="117"/>
        <v>Active</v>
      </c>
      <c r="I482" s="24">
        <f t="shared" si="118"/>
        <v>0.2</v>
      </c>
      <c r="J482" s="22">
        <f t="shared" si="119"/>
        <v>3</v>
      </c>
      <c r="K482" s="23" t="str">
        <f t="shared" si="120"/>
        <v>Core Player</v>
      </c>
      <c r="L482" s="22" t="str">
        <f t="shared" si="121"/>
        <v>Not Eligible</v>
      </c>
      <c r="M482" s="24">
        <f t="shared" si="122"/>
        <v>7.33</v>
      </c>
      <c r="N482" s="25">
        <f t="shared" si="123"/>
        <v>0.86</v>
      </c>
      <c r="O482" s="26">
        <f t="shared" si="124"/>
        <v>0.7</v>
      </c>
      <c r="P482" s="25">
        <f t="shared" si="125"/>
        <v>2.92</v>
      </c>
      <c r="Q482" s="22" t="str">
        <f t="shared" si="126"/>
        <v>Medium</v>
      </c>
      <c r="R482">
        <f t="shared" si="127"/>
        <v>478</v>
      </c>
    </row>
    <row r="483" spans="1:18" x14ac:dyDescent="0.3">
      <c r="A483" s="22">
        <f>IF(B483="","",479)</f>
        <v>479</v>
      </c>
      <c r="B483" s="22" t="str">
        <f>IF(Calc_Engine!I480="","",Calc_Engine!I480)</f>
        <v>EMP1479</v>
      </c>
      <c r="C483" s="23" t="str">
        <f t="shared" si="112"/>
        <v>Abhishek Agarwal</v>
      </c>
      <c r="D483" s="23" t="str">
        <f t="shared" si="113"/>
        <v>Software Engineer</v>
      </c>
      <c r="E483" s="23" t="str">
        <f t="shared" si="114"/>
        <v>Engineering</v>
      </c>
      <c r="F483" s="22" t="str">
        <f t="shared" si="115"/>
        <v>L2</v>
      </c>
      <c r="G483" s="23" t="str">
        <f t="shared" si="116"/>
        <v>Isha Jain</v>
      </c>
      <c r="H483" s="22" t="str">
        <f t="shared" si="117"/>
        <v>Active</v>
      </c>
      <c r="I483" s="24">
        <f t="shared" si="118"/>
        <v>0.2</v>
      </c>
      <c r="J483" s="22">
        <f t="shared" si="119"/>
        <v>3</v>
      </c>
      <c r="K483" s="23" t="str">
        <f t="shared" si="120"/>
        <v>Core Player</v>
      </c>
      <c r="L483" s="22" t="str">
        <f t="shared" si="121"/>
        <v>Not Eligible</v>
      </c>
      <c r="M483" s="24">
        <f t="shared" si="122"/>
        <v>8.77</v>
      </c>
      <c r="N483" s="25">
        <f t="shared" si="123"/>
        <v>1.03</v>
      </c>
      <c r="O483" s="26">
        <f t="shared" si="124"/>
        <v>0.84</v>
      </c>
      <c r="P483" s="25">
        <f t="shared" si="125"/>
        <v>2.12</v>
      </c>
      <c r="Q483" s="22" t="str">
        <f t="shared" si="126"/>
        <v>Low</v>
      </c>
      <c r="R483">
        <f t="shared" si="127"/>
        <v>479</v>
      </c>
    </row>
    <row r="484" spans="1:18" x14ac:dyDescent="0.3">
      <c r="A484" s="22">
        <f>IF(B484="","",480)</f>
        <v>480</v>
      </c>
      <c r="B484" s="22" t="str">
        <f>IF(Calc_Engine!I481="","",Calc_Engine!I481)</f>
        <v>EMP1480</v>
      </c>
      <c r="C484" s="23" t="str">
        <f t="shared" si="112"/>
        <v>Sanjay Bansal</v>
      </c>
      <c r="D484" s="23" t="str">
        <f t="shared" si="113"/>
        <v>Software Engineer</v>
      </c>
      <c r="E484" s="23" t="str">
        <f t="shared" si="114"/>
        <v>Engineering</v>
      </c>
      <c r="F484" s="22" t="str">
        <f t="shared" si="115"/>
        <v>L2</v>
      </c>
      <c r="G484" s="23" t="str">
        <f t="shared" si="116"/>
        <v>Vikas Singh</v>
      </c>
      <c r="H484" s="22" t="str">
        <f t="shared" si="117"/>
        <v>Active</v>
      </c>
      <c r="I484" s="24">
        <f t="shared" si="118"/>
        <v>0.2</v>
      </c>
      <c r="J484" s="22">
        <f t="shared" si="119"/>
        <v>4</v>
      </c>
      <c r="K484" s="23" t="str">
        <f t="shared" si="120"/>
        <v>Trusted Professional</v>
      </c>
      <c r="L484" s="22" t="str">
        <f t="shared" si="121"/>
        <v>Not Eligible</v>
      </c>
      <c r="M484" s="24">
        <f t="shared" si="122"/>
        <v>10.199999999999999</v>
      </c>
      <c r="N484" s="25">
        <f t="shared" si="123"/>
        <v>1.19</v>
      </c>
      <c r="O484" s="26">
        <f t="shared" si="124"/>
        <v>0.82978723404255317</v>
      </c>
      <c r="P484" s="25">
        <f t="shared" si="125"/>
        <v>3.32</v>
      </c>
      <c r="Q484" s="22" t="str">
        <f t="shared" si="126"/>
        <v>Medium</v>
      </c>
      <c r="R484">
        <f t="shared" si="127"/>
        <v>480</v>
      </c>
    </row>
    <row r="485" spans="1:18" x14ac:dyDescent="0.3">
      <c r="A485" s="22">
        <f>IF(B485="","",481)</f>
        <v>481</v>
      </c>
      <c r="B485" s="22" t="str">
        <f>IF(Calc_Engine!I482="","",Calc_Engine!I482)</f>
        <v>EMP1481</v>
      </c>
      <c r="C485" s="23" t="str">
        <f t="shared" si="112"/>
        <v>Madhuri Banerjee</v>
      </c>
      <c r="D485" s="23" t="str">
        <f t="shared" si="113"/>
        <v>Senior Support Executive</v>
      </c>
      <c r="E485" s="23" t="str">
        <f t="shared" si="114"/>
        <v>Customer Support</v>
      </c>
      <c r="F485" s="22" t="str">
        <f t="shared" si="115"/>
        <v>L3</v>
      </c>
      <c r="G485" s="23" t="str">
        <f t="shared" si="116"/>
        <v>Vidya Chatterjee</v>
      </c>
      <c r="H485" s="22" t="str">
        <f t="shared" si="117"/>
        <v>Active</v>
      </c>
      <c r="I485" s="24">
        <f t="shared" si="118"/>
        <v>0.2</v>
      </c>
      <c r="J485" s="22">
        <f t="shared" si="119"/>
        <v>3</v>
      </c>
      <c r="K485" s="23" t="str">
        <f t="shared" si="120"/>
        <v>Core Player</v>
      </c>
      <c r="L485" s="22" t="str">
        <f t="shared" si="121"/>
        <v>Not Eligible</v>
      </c>
      <c r="M485" s="24">
        <f t="shared" si="122"/>
        <v>12.84</v>
      </c>
      <c r="N485" s="25">
        <f t="shared" si="123"/>
        <v>0.89</v>
      </c>
      <c r="O485" s="26">
        <f t="shared" si="124"/>
        <v>0.79545454545454541</v>
      </c>
      <c r="P485" s="25">
        <f t="shared" si="125"/>
        <v>3.8</v>
      </c>
      <c r="Q485" s="22" t="str">
        <f t="shared" si="126"/>
        <v>Low</v>
      </c>
      <c r="R485">
        <f t="shared" si="127"/>
        <v>481</v>
      </c>
    </row>
    <row r="486" spans="1:18" x14ac:dyDescent="0.3">
      <c r="A486" s="22">
        <f>IF(B486="","",482)</f>
        <v>482</v>
      </c>
      <c r="B486" s="22" t="str">
        <f>IF(Calc_Engine!I483="","",Calc_Engine!I483)</f>
        <v>EMP1482</v>
      </c>
      <c r="C486" s="23" t="str">
        <f t="shared" si="112"/>
        <v>Rashmi Khanna</v>
      </c>
      <c r="D486" s="23" t="str">
        <f t="shared" si="113"/>
        <v>Legal Associate</v>
      </c>
      <c r="E486" s="23" t="str">
        <f t="shared" si="114"/>
        <v>Legal &amp; Compliance</v>
      </c>
      <c r="F486" s="22" t="str">
        <f t="shared" si="115"/>
        <v>L1</v>
      </c>
      <c r="G486" s="23" t="str">
        <f t="shared" si="116"/>
        <v>Ramya Khanna</v>
      </c>
      <c r="H486" s="22" t="str">
        <f t="shared" si="117"/>
        <v>Active</v>
      </c>
      <c r="I486" s="24">
        <f t="shared" si="118"/>
        <v>0.2</v>
      </c>
      <c r="J486" s="22">
        <f t="shared" si="119"/>
        <v>2</v>
      </c>
      <c r="K486" s="23" t="str">
        <f t="shared" si="120"/>
        <v>Inconsistent Player</v>
      </c>
      <c r="L486" s="22" t="str">
        <f t="shared" si="121"/>
        <v>Not Eligible</v>
      </c>
      <c r="M486" s="24">
        <f t="shared" si="122"/>
        <v>5.4</v>
      </c>
      <c r="N486" s="25">
        <f t="shared" si="123"/>
        <v>1.06</v>
      </c>
      <c r="O486" s="26">
        <f t="shared" si="124"/>
        <v>0.60465116279069764</v>
      </c>
      <c r="P486" s="25">
        <f t="shared" si="125"/>
        <v>3.93</v>
      </c>
      <c r="Q486" s="22" t="str">
        <f t="shared" si="126"/>
        <v>Low</v>
      </c>
      <c r="R486">
        <f t="shared" si="127"/>
        <v>482</v>
      </c>
    </row>
    <row r="487" spans="1:18" x14ac:dyDescent="0.3">
      <c r="A487" s="22">
        <f>IF(B487="","",483)</f>
        <v>483</v>
      </c>
      <c r="B487" s="22" t="str">
        <f>IF(Calc_Engine!I484="","",Calc_Engine!I484)</f>
        <v>EMP1483</v>
      </c>
      <c r="C487" s="23" t="str">
        <f t="shared" si="112"/>
        <v>Amit Chatterjee</v>
      </c>
      <c r="D487" s="23" t="str">
        <f t="shared" si="113"/>
        <v>Operations Associate</v>
      </c>
      <c r="E487" s="23" t="str">
        <f t="shared" si="114"/>
        <v>Operations</v>
      </c>
      <c r="F487" s="22" t="str">
        <f t="shared" si="115"/>
        <v>L1</v>
      </c>
      <c r="G487" s="23" t="str">
        <f t="shared" si="116"/>
        <v>Yash Shah</v>
      </c>
      <c r="H487" s="22" t="str">
        <f t="shared" si="117"/>
        <v>Active</v>
      </c>
      <c r="I487" s="24">
        <f t="shared" si="118"/>
        <v>0.2</v>
      </c>
      <c r="J487" s="22">
        <f t="shared" si="119"/>
        <v>3</v>
      </c>
      <c r="K487" s="23" t="str">
        <f t="shared" si="120"/>
        <v>Core Player</v>
      </c>
      <c r="L487" s="22" t="str">
        <f t="shared" si="121"/>
        <v>Not Eligible</v>
      </c>
      <c r="M487" s="24">
        <f t="shared" si="122"/>
        <v>3.77</v>
      </c>
      <c r="N487" s="25">
        <f t="shared" si="123"/>
        <v>0.74</v>
      </c>
      <c r="O487" s="26">
        <f t="shared" si="124"/>
        <v>0.70731707317073167</v>
      </c>
      <c r="P487" s="25">
        <f t="shared" si="125"/>
        <v>2.78</v>
      </c>
      <c r="Q487" s="22" t="str">
        <f t="shared" si="126"/>
        <v>Medium</v>
      </c>
      <c r="R487">
        <f t="shared" si="127"/>
        <v>483</v>
      </c>
    </row>
    <row r="488" spans="1:18" x14ac:dyDescent="0.3">
      <c r="A488" s="22">
        <f>IF(B488="","",484)</f>
        <v>484</v>
      </c>
      <c r="B488" s="22" t="str">
        <f>IF(Calc_Engine!I485="","",Calc_Engine!I485)</f>
        <v>EMP1484</v>
      </c>
      <c r="C488" s="23" t="str">
        <f t="shared" si="112"/>
        <v>Ankit Raghavan</v>
      </c>
      <c r="D488" s="23" t="str">
        <f t="shared" si="113"/>
        <v>HR Business Partner</v>
      </c>
      <c r="E488" s="23" t="str">
        <f t="shared" si="114"/>
        <v>Human Resources</v>
      </c>
      <c r="F488" s="22" t="str">
        <f t="shared" si="115"/>
        <v>L3</v>
      </c>
      <c r="G488" s="23" t="str">
        <f t="shared" si="116"/>
        <v>Akash Das</v>
      </c>
      <c r="H488" s="22" t="str">
        <f t="shared" si="117"/>
        <v>Active</v>
      </c>
      <c r="I488" s="24">
        <f t="shared" si="118"/>
        <v>0.2</v>
      </c>
      <c r="J488" s="22">
        <f t="shared" si="119"/>
        <v>4</v>
      </c>
      <c r="K488" s="23" t="str">
        <f t="shared" si="120"/>
        <v>High Performer</v>
      </c>
      <c r="L488" s="22" t="str">
        <f t="shared" si="121"/>
        <v>Not Eligible</v>
      </c>
      <c r="M488" s="24">
        <f t="shared" si="122"/>
        <v>16.18</v>
      </c>
      <c r="N488" s="25">
        <f t="shared" si="123"/>
        <v>1.1200000000000001</v>
      </c>
      <c r="O488" s="26">
        <f t="shared" si="124"/>
        <v>0.82499999999999996</v>
      </c>
      <c r="P488" s="25">
        <f t="shared" si="125"/>
        <v>2.62</v>
      </c>
      <c r="Q488" s="22" t="str">
        <f t="shared" si="126"/>
        <v>Medium</v>
      </c>
      <c r="R488">
        <f t="shared" si="127"/>
        <v>484</v>
      </c>
    </row>
    <row r="489" spans="1:18" x14ac:dyDescent="0.3">
      <c r="A489" s="22">
        <f>IF(B489="","",485)</f>
        <v>485</v>
      </c>
      <c r="B489" s="22" t="str">
        <f>IF(Calc_Engine!I486="","",Calc_Engine!I486)</f>
        <v>EMP1485</v>
      </c>
      <c r="C489" s="23" t="str">
        <f t="shared" si="112"/>
        <v>Dev Reddy</v>
      </c>
      <c r="D489" s="23" t="str">
        <f t="shared" si="113"/>
        <v>Support Associate</v>
      </c>
      <c r="E489" s="23" t="str">
        <f t="shared" si="114"/>
        <v>Customer Support</v>
      </c>
      <c r="F489" s="22" t="str">
        <f t="shared" si="115"/>
        <v>L1</v>
      </c>
      <c r="G489" s="23" t="str">
        <f t="shared" si="116"/>
        <v>Isha Verma</v>
      </c>
      <c r="H489" s="22" t="str">
        <f t="shared" si="117"/>
        <v>Active</v>
      </c>
      <c r="I489" s="24">
        <f t="shared" si="118"/>
        <v>0.2</v>
      </c>
      <c r="J489" s="22">
        <f t="shared" si="119"/>
        <v>4</v>
      </c>
      <c r="K489" s="23" t="str">
        <f t="shared" si="120"/>
        <v>High Performer</v>
      </c>
      <c r="L489" s="22" t="str">
        <f t="shared" si="121"/>
        <v>Not Eligible</v>
      </c>
      <c r="M489" s="24">
        <f t="shared" si="122"/>
        <v>2.96</v>
      </c>
      <c r="N489" s="25">
        <f t="shared" si="123"/>
        <v>0.57999999999999996</v>
      </c>
      <c r="O489" s="26">
        <f t="shared" si="124"/>
        <v>0.65789473684210531</v>
      </c>
      <c r="P489" s="25">
        <f t="shared" si="125"/>
        <v>3.48</v>
      </c>
      <c r="Q489" s="22" t="str">
        <f t="shared" si="126"/>
        <v>Medium</v>
      </c>
      <c r="R489">
        <f t="shared" si="127"/>
        <v>485</v>
      </c>
    </row>
    <row r="490" spans="1:18" x14ac:dyDescent="0.3">
      <c r="A490" s="22">
        <f>IF(B490="","",486)</f>
        <v>486</v>
      </c>
      <c r="B490" s="22" t="str">
        <f>IF(Calc_Engine!I487="","",Calc_Engine!I487)</f>
        <v>EMP1486</v>
      </c>
      <c r="C490" s="23" t="str">
        <f t="shared" si="112"/>
        <v>Radhika Fernandes</v>
      </c>
      <c r="D490" s="23" t="str">
        <f t="shared" si="113"/>
        <v>Senior Product Manager</v>
      </c>
      <c r="E490" s="23" t="str">
        <f t="shared" si="114"/>
        <v>Product</v>
      </c>
      <c r="F490" s="22" t="str">
        <f t="shared" si="115"/>
        <v>L4</v>
      </c>
      <c r="G490" s="23" t="str">
        <f t="shared" si="116"/>
        <v>Trisha Malhotra</v>
      </c>
      <c r="H490" s="22" t="str">
        <f t="shared" si="117"/>
        <v>Active</v>
      </c>
      <c r="I490" s="24">
        <f t="shared" si="118"/>
        <v>0.2</v>
      </c>
      <c r="J490" s="22">
        <f t="shared" si="119"/>
        <v>3</v>
      </c>
      <c r="K490" s="23" t="str">
        <f t="shared" si="120"/>
        <v>Effective Contributor</v>
      </c>
      <c r="L490" s="22" t="str">
        <f t="shared" si="121"/>
        <v>Not Eligible</v>
      </c>
      <c r="M490" s="24">
        <f t="shared" si="122"/>
        <v>21.45</v>
      </c>
      <c r="N490" s="25">
        <f t="shared" si="123"/>
        <v>0.92</v>
      </c>
      <c r="O490" s="26">
        <f t="shared" si="124"/>
        <v>0.63157894736842102</v>
      </c>
      <c r="P490" s="25">
        <f t="shared" si="125"/>
        <v>3.57</v>
      </c>
      <c r="Q490" s="22" t="str">
        <f t="shared" si="126"/>
        <v>Low</v>
      </c>
      <c r="R490">
        <f t="shared" si="127"/>
        <v>486</v>
      </c>
    </row>
    <row r="491" spans="1:18" x14ac:dyDescent="0.3">
      <c r="A491" s="22">
        <f>IF(B491="","",487)</f>
        <v>487</v>
      </c>
      <c r="B491" s="22" t="str">
        <f>IF(Calc_Engine!I488="","",Calc_Engine!I488)</f>
        <v>EMP1487</v>
      </c>
      <c r="C491" s="23" t="str">
        <f t="shared" si="112"/>
        <v>Kiran Kulkarni</v>
      </c>
      <c r="D491" s="23" t="str">
        <f t="shared" si="113"/>
        <v>Associate Software Engineer</v>
      </c>
      <c r="E491" s="23" t="str">
        <f t="shared" si="114"/>
        <v>Engineering</v>
      </c>
      <c r="F491" s="22" t="str">
        <f t="shared" si="115"/>
        <v>L1</v>
      </c>
      <c r="G491" s="23" t="str">
        <f t="shared" si="116"/>
        <v>Harsh Siddiqui</v>
      </c>
      <c r="H491" s="22" t="str">
        <f t="shared" si="117"/>
        <v>Active</v>
      </c>
      <c r="I491" s="24">
        <f t="shared" si="118"/>
        <v>0.1</v>
      </c>
      <c r="J491" s="22">
        <f t="shared" si="119"/>
        <v>2</v>
      </c>
      <c r="K491" s="23" t="str">
        <f t="shared" si="120"/>
        <v>Rough Diamond</v>
      </c>
      <c r="L491" s="22" t="str">
        <f t="shared" si="121"/>
        <v>Not Eligible</v>
      </c>
      <c r="M491" s="24">
        <f t="shared" si="122"/>
        <v>4.42</v>
      </c>
      <c r="N491" s="25">
        <f t="shared" si="123"/>
        <v>0.87</v>
      </c>
      <c r="O491" s="26">
        <f t="shared" si="124"/>
        <v>0.44444444444444442</v>
      </c>
      <c r="P491" s="25">
        <f t="shared" si="125"/>
        <v>3.03</v>
      </c>
      <c r="Q491" s="22" t="str">
        <f t="shared" si="126"/>
        <v>Low</v>
      </c>
      <c r="R491">
        <f t="shared" si="127"/>
        <v>487</v>
      </c>
    </row>
    <row r="492" spans="1:18" x14ac:dyDescent="0.3">
      <c r="A492" s="22">
        <f>IF(B492="","",488)</f>
        <v>488</v>
      </c>
      <c r="B492" s="22" t="str">
        <f>IF(Calc_Engine!I489="","",Calc_Engine!I489)</f>
        <v>EMP1488</v>
      </c>
      <c r="C492" s="23" t="str">
        <f t="shared" si="112"/>
        <v>Tarun Patel</v>
      </c>
      <c r="D492" s="23" t="str">
        <f t="shared" si="113"/>
        <v>Support Team Lead</v>
      </c>
      <c r="E492" s="23" t="str">
        <f t="shared" si="114"/>
        <v>Customer Support</v>
      </c>
      <c r="F492" s="22" t="str">
        <f t="shared" si="115"/>
        <v>L4</v>
      </c>
      <c r="G492" s="23" t="str">
        <f t="shared" si="116"/>
        <v>Vidya Chatterjee</v>
      </c>
      <c r="H492" s="22" t="str">
        <f t="shared" si="117"/>
        <v>Active</v>
      </c>
      <c r="I492" s="24">
        <f t="shared" si="118"/>
        <v>0.1</v>
      </c>
      <c r="J492" s="22">
        <f t="shared" si="119"/>
        <v>3</v>
      </c>
      <c r="K492" s="23" t="str">
        <f t="shared" si="120"/>
        <v>Core Player</v>
      </c>
      <c r="L492" s="22" t="str">
        <f t="shared" si="121"/>
        <v>Not Eligible</v>
      </c>
      <c r="M492" s="24">
        <f t="shared" si="122"/>
        <v>20.51</v>
      </c>
      <c r="N492" s="25">
        <f t="shared" si="123"/>
        <v>0.88</v>
      </c>
      <c r="O492" s="26">
        <f t="shared" si="124"/>
        <v>0.69696969696969702</v>
      </c>
      <c r="P492" s="25">
        <f t="shared" si="125"/>
        <v>3.28</v>
      </c>
      <c r="Q492" s="22" t="str">
        <f t="shared" si="126"/>
        <v>Low</v>
      </c>
      <c r="R492">
        <f t="shared" si="127"/>
        <v>488</v>
      </c>
    </row>
    <row r="493" spans="1:18" x14ac:dyDescent="0.3">
      <c r="A493" s="22">
        <f>IF(B493="","",489)</f>
        <v>489</v>
      </c>
      <c r="B493" s="22" t="str">
        <f>IF(Calc_Engine!I490="","",Calc_Engine!I490)</f>
        <v>EMP1489</v>
      </c>
      <c r="C493" s="23" t="str">
        <f t="shared" si="112"/>
        <v>Sanjay Das</v>
      </c>
      <c r="D493" s="23" t="str">
        <f t="shared" si="113"/>
        <v>Finance Associate</v>
      </c>
      <c r="E493" s="23" t="str">
        <f t="shared" si="114"/>
        <v>Finance</v>
      </c>
      <c r="F493" s="22" t="str">
        <f t="shared" si="115"/>
        <v>L1</v>
      </c>
      <c r="G493" s="23" t="str">
        <f t="shared" si="116"/>
        <v>Kritika Pandey</v>
      </c>
      <c r="H493" s="22" t="str">
        <f t="shared" si="117"/>
        <v>Active</v>
      </c>
      <c r="I493" s="24">
        <f t="shared" si="118"/>
        <v>0.1</v>
      </c>
      <c r="J493" s="22">
        <f t="shared" si="119"/>
        <v>3</v>
      </c>
      <c r="K493" s="23" t="str">
        <f t="shared" si="120"/>
        <v>Effective Contributor</v>
      </c>
      <c r="L493" s="22" t="str">
        <f t="shared" si="121"/>
        <v>Not Eligible</v>
      </c>
      <c r="M493" s="24">
        <f t="shared" si="122"/>
        <v>3.67</v>
      </c>
      <c r="N493" s="25">
        <f t="shared" si="123"/>
        <v>0.72</v>
      </c>
      <c r="O493" s="26">
        <f t="shared" si="124"/>
        <v>0.625</v>
      </c>
      <c r="P493" s="25">
        <f t="shared" si="125"/>
        <v>2.5</v>
      </c>
      <c r="Q493" s="22" t="str">
        <f t="shared" si="126"/>
        <v>High</v>
      </c>
      <c r="R493">
        <f t="shared" si="127"/>
        <v>489</v>
      </c>
    </row>
    <row r="494" spans="1:18" x14ac:dyDescent="0.3">
      <c r="A494" s="22">
        <f>IF(B494="","",490)</f>
        <v>490</v>
      </c>
      <c r="B494" s="22" t="str">
        <f>IF(Calc_Engine!I491="","",Calc_Engine!I491)</f>
        <v>EMP1490</v>
      </c>
      <c r="C494" s="23" t="str">
        <f t="shared" si="112"/>
        <v>Deepika Menon</v>
      </c>
      <c r="D494" s="23" t="str">
        <f t="shared" si="113"/>
        <v>Senior Sales Executive</v>
      </c>
      <c r="E494" s="23" t="str">
        <f t="shared" si="114"/>
        <v>Sales</v>
      </c>
      <c r="F494" s="22" t="str">
        <f t="shared" si="115"/>
        <v>L3</v>
      </c>
      <c r="G494" s="23" t="str">
        <f t="shared" si="116"/>
        <v>Madhuri Malhotra</v>
      </c>
      <c r="H494" s="22" t="str">
        <f t="shared" si="117"/>
        <v>Active</v>
      </c>
      <c r="I494" s="24">
        <f t="shared" si="118"/>
        <v>0.1</v>
      </c>
      <c r="J494" s="22">
        <f t="shared" si="119"/>
        <v>4</v>
      </c>
      <c r="K494" s="23" t="str">
        <f t="shared" si="120"/>
        <v>High Performer</v>
      </c>
      <c r="L494" s="22" t="str">
        <f t="shared" si="121"/>
        <v>Not Eligible</v>
      </c>
      <c r="M494" s="24">
        <f t="shared" si="122"/>
        <v>14.98</v>
      </c>
      <c r="N494" s="25">
        <f t="shared" si="123"/>
        <v>1.04</v>
      </c>
      <c r="O494" s="26">
        <f t="shared" si="124"/>
        <v>0.75862068965517238</v>
      </c>
      <c r="P494" s="25">
        <f t="shared" si="125"/>
        <v>3.63</v>
      </c>
      <c r="Q494" s="22" t="str">
        <f t="shared" si="126"/>
        <v>Low</v>
      </c>
      <c r="R494">
        <f t="shared" si="127"/>
        <v>490</v>
      </c>
    </row>
    <row r="495" spans="1:18" x14ac:dyDescent="0.3">
      <c r="A495" s="22">
        <f>IF(B495="","",491)</f>
        <v>491</v>
      </c>
      <c r="B495" s="22" t="str">
        <f>IF(Calc_Engine!I492="","",Calc_Engine!I492)</f>
        <v>EMP1491</v>
      </c>
      <c r="C495" s="23" t="str">
        <f t="shared" si="112"/>
        <v>Sowmya Subramanian</v>
      </c>
      <c r="D495" s="23" t="str">
        <f t="shared" si="113"/>
        <v>Support Executive</v>
      </c>
      <c r="E495" s="23" t="str">
        <f t="shared" si="114"/>
        <v>Customer Support</v>
      </c>
      <c r="F495" s="22" t="str">
        <f t="shared" si="115"/>
        <v>L2</v>
      </c>
      <c r="G495" s="23" t="str">
        <f t="shared" si="116"/>
        <v>Ashish Varghese</v>
      </c>
      <c r="H495" s="22" t="str">
        <f t="shared" si="117"/>
        <v>Active</v>
      </c>
      <c r="I495" s="24">
        <f t="shared" si="118"/>
        <v>0.1</v>
      </c>
      <c r="J495" s="22">
        <f t="shared" si="119"/>
        <v>5</v>
      </c>
      <c r="K495" s="23" t="str">
        <f t="shared" si="120"/>
        <v>Star</v>
      </c>
      <c r="L495" s="22" t="str">
        <f t="shared" si="121"/>
        <v>Not Eligible</v>
      </c>
      <c r="M495" s="24">
        <f t="shared" si="122"/>
        <v>5.4</v>
      </c>
      <c r="N495" s="25">
        <f t="shared" si="123"/>
        <v>0.63</v>
      </c>
      <c r="O495" s="26">
        <f t="shared" si="124"/>
        <v>0.7857142857142857</v>
      </c>
      <c r="P495" s="25">
        <f t="shared" si="125"/>
        <v>3.9</v>
      </c>
      <c r="Q495" s="22" t="str">
        <f t="shared" si="126"/>
        <v>Medium</v>
      </c>
      <c r="R495">
        <f t="shared" si="127"/>
        <v>491</v>
      </c>
    </row>
    <row r="496" spans="1:18" x14ac:dyDescent="0.3">
      <c r="A496" s="22">
        <f>IF(B496="","",492)</f>
        <v>492</v>
      </c>
      <c r="B496" s="22" t="str">
        <f>IF(Calc_Engine!I493="","",Calc_Engine!I493)</f>
        <v>EMP1492</v>
      </c>
      <c r="C496" s="23" t="str">
        <f t="shared" si="112"/>
        <v>Kunal Dsouza</v>
      </c>
      <c r="D496" s="23" t="str">
        <f t="shared" si="113"/>
        <v>Operations Associate</v>
      </c>
      <c r="E496" s="23" t="str">
        <f t="shared" si="114"/>
        <v>Operations</v>
      </c>
      <c r="F496" s="22" t="str">
        <f t="shared" si="115"/>
        <v>L1</v>
      </c>
      <c r="G496" s="23" t="str">
        <f t="shared" si="116"/>
        <v>Pallavi Nair</v>
      </c>
      <c r="H496" s="22" t="str">
        <f t="shared" si="117"/>
        <v>Active</v>
      </c>
      <c r="I496" s="24">
        <f t="shared" si="118"/>
        <v>0.1</v>
      </c>
      <c r="J496" s="22">
        <f t="shared" si="119"/>
        <v>3</v>
      </c>
      <c r="K496" s="23" t="str">
        <f t="shared" si="120"/>
        <v>Core Player</v>
      </c>
      <c r="L496" s="22" t="str">
        <f t="shared" si="121"/>
        <v>Not Eligible</v>
      </c>
      <c r="M496" s="24">
        <f t="shared" si="122"/>
        <v>4.6100000000000003</v>
      </c>
      <c r="N496" s="25">
        <f t="shared" si="123"/>
        <v>0.91</v>
      </c>
      <c r="O496" s="26">
        <f t="shared" si="124"/>
        <v>0.66666666666666663</v>
      </c>
      <c r="P496" s="25">
        <f t="shared" si="125"/>
        <v>2.93</v>
      </c>
      <c r="Q496" s="22" t="str">
        <f t="shared" si="126"/>
        <v>Low</v>
      </c>
      <c r="R496">
        <f t="shared" si="127"/>
        <v>492</v>
      </c>
    </row>
    <row r="497" spans="1:18" x14ac:dyDescent="0.3">
      <c r="A497" s="22">
        <f>IF(B497="","",493)</f>
        <v>493</v>
      </c>
      <c r="B497" s="22" t="str">
        <f>IF(Calc_Engine!I494="","",Calc_Engine!I494)</f>
        <v>EMP1493</v>
      </c>
      <c r="C497" s="23" t="str">
        <f t="shared" si="112"/>
        <v>Divya Kapoor</v>
      </c>
      <c r="D497" s="23" t="str">
        <f t="shared" si="113"/>
        <v>Product Analyst</v>
      </c>
      <c r="E497" s="23" t="str">
        <f t="shared" si="114"/>
        <v>Product</v>
      </c>
      <c r="F497" s="22" t="str">
        <f t="shared" si="115"/>
        <v>L2</v>
      </c>
      <c r="G497" s="23" t="str">
        <f t="shared" si="116"/>
        <v>Trisha Malhotra</v>
      </c>
      <c r="H497" s="22" t="str">
        <f t="shared" si="117"/>
        <v>Active</v>
      </c>
      <c r="I497" s="24">
        <f t="shared" si="118"/>
        <v>0.1</v>
      </c>
      <c r="J497" s="22">
        <f t="shared" si="119"/>
        <v>3</v>
      </c>
      <c r="K497" s="23" t="str">
        <f t="shared" si="120"/>
        <v>Effective Contributor</v>
      </c>
      <c r="L497" s="22" t="str">
        <f t="shared" si="121"/>
        <v>Not Eligible</v>
      </c>
      <c r="M497" s="24">
        <f t="shared" si="122"/>
        <v>9.7200000000000006</v>
      </c>
      <c r="N497" s="25">
        <f t="shared" si="123"/>
        <v>1.1399999999999999</v>
      </c>
      <c r="O497" s="26">
        <f t="shared" si="124"/>
        <v>0.57692307692307687</v>
      </c>
      <c r="P497" s="25">
        <f t="shared" si="125"/>
        <v>3.02</v>
      </c>
      <c r="Q497" s="22" t="str">
        <f t="shared" si="126"/>
        <v>Low</v>
      </c>
      <c r="R497">
        <f t="shared" si="127"/>
        <v>493</v>
      </c>
    </row>
    <row r="498" spans="1:18" x14ac:dyDescent="0.3">
      <c r="A498" s="22">
        <f>IF(B498="","",494)</f>
        <v>494</v>
      </c>
      <c r="B498" s="22" t="str">
        <f>IF(Calc_Engine!I495="","",Calc_Engine!I495)</f>
        <v>EMP1494</v>
      </c>
      <c r="C498" s="23" t="str">
        <f t="shared" si="112"/>
        <v>Ayesha Kulkarni</v>
      </c>
      <c r="D498" s="23" t="str">
        <f t="shared" si="113"/>
        <v>Software Engineer</v>
      </c>
      <c r="E498" s="23" t="str">
        <f t="shared" si="114"/>
        <v>Engineering</v>
      </c>
      <c r="F498" s="22" t="str">
        <f t="shared" si="115"/>
        <v>L2</v>
      </c>
      <c r="G498" s="23" t="str">
        <f t="shared" si="116"/>
        <v>Prakash Desai</v>
      </c>
      <c r="H498" s="22" t="str">
        <f t="shared" si="117"/>
        <v>Active</v>
      </c>
      <c r="I498" s="24">
        <f t="shared" si="118"/>
        <v>0.1</v>
      </c>
      <c r="J498" s="22">
        <f t="shared" si="119"/>
        <v>1</v>
      </c>
      <c r="K498" s="23" t="str">
        <f t="shared" si="120"/>
        <v>Underperformer</v>
      </c>
      <c r="L498" s="22" t="str">
        <f t="shared" si="121"/>
        <v>Not Eligible</v>
      </c>
      <c r="M498" s="24">
        <f t="shared" si="122"/>
        <v>7</v>
      </c>
      <c r="N498" s="25">
        <f t="shared" si="123"/>
        <v>0.82</v>
      </c>
      <c r="O498" s="26">
        <f t="shared" si="124"/>
        <v>0.43478260869565216</v>
      </c>
      <c r="P498" s="25">
        <f t="shared" si="125"/>
        <v>2.63</v>
      </c>
      <c r="Q498" s="22" t="str">
        <f t="shared" si="126"/>
        <v>High</v>
      </c>
      <c r="R498">
        <f t="shared" si="127"/>
        <v>494</v>
      </c>
    </row>
    <row r="499" spans="1:18" x14ac:dyDescent="0.3">
      <c r="A499" s="22">
        <f>IF(B499="","",495)</f>
        <v>495</v>
      </c>
      <c r="B499" s="22" t="str">
        <f>IF(Calc_Engine!I496="","",Calc_Engine!I496)</f>
        <v>EMP1495</v>
      </c>
      <c r="C499" s="23" t="str">
        <f t="shared" si="112"/>
        <v>Ayesha Menon</v>
      </c>
      <c r="D499" s="23" t="str">
        <f t="shared" si="113"/>
        <v>Senior Sales Executive</v>
      </c>
      <c r="E499" s="23" t="str">
        <f t="shared" si="114"/>
        <v>Sales</v>
      </c>
      <c r="F499" s="22" t="str">
        <f t="shared" si="115"/>
        <v>L3</v>
      </c>
      <c r="G499" s="23" t="str">
        <f t="shared" si="116"/>
        <v>Yash Raghavan</v>
      </c>
      <c r="H499" s="22" t="str">
        <f t="shared" si="117"/>
        <v>Active</v>
      </c>
      <c r="I499" s="24">
        <f t="shared" si="118"/>
        <v>0.1</v>
      </c>
      <c r="J499" s="22">
        <f t="shared" si="119"/>
        <v>4</v>
      </c>
      <c r="K499" s="23" t="str">
        <f t="shared" si="120"/>
        <v>High Performer</v>
      </c>
      <c r="L499" s="22" t="str">
        <f t="shared" si="121"/>
        <v>Not Eligible</v>
      </c>
      <c r="M499" s="24">
        <f t="shared" si="122"/>
        <v>16.079999999999998</v>
      </c>
      <c r="N499" s="25">
        <f t="shared" si="123"/>
        <v>1.1100000000000001</v>
      </c>
      <c r="O499" s="26">
        <f t="shared" si="124"/>
        <v>0.55000000000000004</v>
      </c>
      <c r="P499" s="25">
        <f t="shared" si="125"/>
        <v>3.43</v>
      </c>
      <c r="Q499" s="22" t="str">
        <f t="shared" si="126"/>
        <v>Low</v>
      </c>
      <c r="R499">
        <f t="shared" si="127"/>
        <v>495</v>
      </c>
    </row>
    <row r="500" spans="1:18" x14ac:dyDescent="0.3">
      <c r="A500" s="22">
        <f>IF(B500="","",496)</f>
        <v>496</v>
      </c>
      <c r="B500" s="22" t="str">
        <f>IF(Calc_Engine!I497="","",Calc_Engine!I497)</f>
        <v>EMP1496</v>
      </c>
      <c r="C500" s="23" t="str">
        <f t="shared" si="112"/>
        <v>Trisha Sharma</v>
      </c>
      <c r="D500" s="23" t="str">
        <f t="shared" si="113"/>
        <v>Legal Counsel</v>
      </c>
      <c r="E500" s="23" t="str">
        <f t="shared" si="114"/>
        <v>Legal &amp; Compliance</v>
      </c>
      <c r="F500" s="22" t="str">
        <f t="shared" si="115"/>
        <v>L3</v>
      </c>
      <c r="G500" s="23" t="str">
        <f t="shared" si="116"/>
        <v>Ramya Khanna</v>
      </c>
      <c r="H500" s="22" t="str">
        <f t="shared" si="117"/>
        <v>Active</v>
      </c>
      <c r="I500" s="24">
        <f t="shared" si="118"/>
        <v>0</v>
      </c>
      <c r="J500" s="22">
        <f t="shared" si="119"/>
        <v>1</v>
      </c>
      <c r="K500" s="23" t="str">
        <f t="shared" si="120"/>
        <v>Underperformer</v>
      </c>
      <c r="L500" s="22" t="str">
        <f t="shared" si="121"/>
        <v>Not Eligible</v>
      </c>
      <c r="M500" s="24">
        <f t="shared" si="122"/>
        <v>13.35</v>
      </c>
      <c r="N500" s="25">
        <f t="shared" si="123"/>
        <v>0.92</v>
      </c>
      <c r="O500" s="26">
        <f t="shared" si="124"/>
        <v>0.3</v>
      </c>
      <c r="P500" s="25">
        <f t="shared" si="125"/>
        <v>2</v>
      </c>
      <c r="Q500" s="22" t="str">
        <f t="shared" si="126"/>
        <v>Medium</v>
      </c>
      <c r="R500">
        <f t="shared" si="127"/>
        <v>496</v>
      </c>
    </row>
    <row r="501" spans="1:18" x14ac:dyDescent="0.3">
      <c r="A501" s="22">
        <f>IF(B501="","",497)</f>
        <v>497</v>
      </c>
      <c r="B501" s="22" t="str">
        <f>IF(Calc_Engine!I498="","",Calc_Engine!I498)</f>
        <v>EMP1497</v>
      </c>
      <c r="C501" s="23" t="str">
        <f t="shared" si="112"/>
        <v>Vishal Kulkarni</v>
      </c>
      <c r="D501" s="23" t="str">
        <f t="shared" si="113"/>
        <v>Operations Lead</v>
      </c>
      <c r="E501" s="23" t="str">
        <f t="shared" si="114"/>
        <v>Operations</v>
      </c>
      <c r="F501" s="22" t="str">
        <f t="shared" si="115"/>
        <v>L4</v>
      </c>
      <c r="G501" s="23" t="str">
        <f t="shared" si="116"/>
        <v>Ajay Kumar</v>
      </c>
      <c r="H501" s="22" t="str">
        <f t="shared" si="117"/>
        <v>Active</v>
      </c>
      <c r="I501" s="24">
        <f t="shared" si="118"/>
        <v>0</v>
      </c>
      <c r="J501" s="22">
        <f t="shared" si="119"/>
        <v>3</v>
      </c>
      <c r="K501" s="23" t="str">
        <f t="shared" si="120"/>
        <v>Future Star</v>
      </c>
      <c r="L501" s="22" t="str">
        <f t="shared" si="121"/>
        <v>Not Eligible</v>
      </c>
      <c r="M501" s="24">
        <f t="shared" si="122"/>
        <v>18.079999999999998</v>
      </c>
      <c r="N501" s="25">
        <f t="shared" si="123"/>
        <v>0.77</v>
      </c>
      <c r="O501" s="26">
        <f t="shared" si="124"/>
        <v>0.5</v>
      </c>
      <c r="P501" s="25">
        <f t="shared" si="125"/>
        <v>2.82</v>
      </c>
      <c r="Q501" s="22" t="str">
        <f t="shared" si="126"/>
        <v>Medium</v>
      </c>
      <c r="R501">
        <f t="shared" si="127"/>
        <v>497</v>
      </c>
    </row>
    <row r="502" spans="1:18" x14ac:dyDescent="0.3">
      <c r="A502" s="22">
        <f>IF(B502="","",498)</f>
        <v>498</v>
      </c>
      <c r="B502" s="22" t="str">
        <f>IF(Calc_Engine!I499="","",Calc_Engine!I499)</f>
        <v>EMP1498</v>
      </c>
      <c r="C502" s="23" t="str">
        <f t="shared" si="112"/>
        <v>Trisha Malhotra</v>
      </c>
      <c r="D502" s="23" t="str">
        <f t="shared" si="113"/>
        <v>Group Product Manager</v>
      </c>
      <c r="E502" s="23" t="str">
        <f t="shared" si="114"/>
        <v>Product</v>
      </c>
      <c r="F502" s="22" t="str">
        <f t="shared" si="115"/>
        <v>L5</v>
      </c>
      <c r="G502" s="23" t="str">
        <f t="shared" si="116"/>
        <v>Trisha Patel</v>
      </c>
      <c r="H502" s="22" t="str">
        <f t="shared" si="117"/>
        <v>Active</v>
      </c>
      <c r="I502" s="24">
        <f t="shared" si="118"/>
        <v>0</v>
      </c>
      <c r="J502" s="22">
        <f t="shared" si="119"/>
        <v>3</v>
      </c>
      <c r="K502" s="23" t="str">
        <f t="shared" si="120"/>
        <v>Core Player</v>
      </c>
      <c r="L502" s="22" t="str">
        <f t="shared" si="121"/>
        <v>Not Eligible</v>
      </c>
      <c r="M502" s="24">
        <f t="shared" si="122"/>
        <v>44.15</v>
      </c>
      <c r="N502" s="25">
        <f t="shared" si="123"/>
        <v>1.2</v>
      </c>
      <c r="O502" s="26">
        <f t="shared" si="124"/>
        <v>0.8</v>
      </c>
      <c r="P502" s="25">
        <f t="shared" si="125"/>
        <v>2.78</v>
      </c>
      <c r="Q502" s="22" t="str">
        <f t="shared" si="126"/>
        <v>Medium</v>
      </c>
      <c r="R502">
        <f t="shared" si="127"/>
        <v>498</v>
      </c>
    </row>
    <row r="503" spans="1:18" x14ac:dyDescent="0.3">
      <c r="A503" s="22">
        <f>IF(B503="","",499)</f>
        <v>499</v>
      </c>
      <c r="B503" s="22" t="str">
        <f>IF(Calc_Engine!I500="","",Calc_Engine!I500)</f>
        <v>EMP1499</v>
      </c>
      <c r="C503" s="23" t="str">
        <f t="shared" si="112"/>
        <v>Bhavana Singh</v>
      </c>
      <c r="D503" s="23" t="str">
        <f t="shared" si="113"/>
        <v>Associate Software Engineer</v>
      </c>
      <c r="E503" s="23" t="str">
        <f t="shared" si="114"/>
        <v>Engineering</v>
      </c>
      <c r="F503" s="22" t="str">
        <f t="shared" si="115"/>
        <v>L1</v>
      </c>
      <c r="G503" s="23" t="str">
        <f t="shared" si="116"/>
        <v>Gaurav Fernandes</v>
      </c>
      <c r="H503" s="22" t="str">
        <f t="shared" si="117"/>
        <v>Active</v>
      </c>
      <c r="I503" s="24">
        <f t="shared" si="118"/>
        <v>0</v>
      </c>
      <c r="J503" s="22">
        <f t="shared" si="119"/>
        <v>2</v>
      </c>
      <c r="K503" s="23" t="str">
        <f t="shared" si="120"/>
        <v>Underperformer</v>
      </c>
      <c r="L503" s="22" t="str">
        <f t="shared" si="121"/>
        <v>Not Eligible</v>
      </c>
      <c r="M503" s="24">
        <f t="shared" si="122"/>
        <v>7.15</v>
      </c>
      <c r="N503" s="25">
        <f t="shared" si="123"/>
        <v>1.41</v>
      </c>
      <c r="O503" s="26">
        <f t="shared" si="124"/>
        <v>0.7</v>
      </c>
      <c r="P503" s="25">
        <f t="shared" si="125"/>
        <v>3.52</v>
      </c>
      <c r="Q503" s="22" t="str">
        <f t="shared" si="126"/>
        <v>Low</v>
      </c>
      <c r="R503">
        <f t="shared" si="127"/>
        <v>499</v>
      </c>
    </row>
    <row r="504" spans="1:18" x14ac:dyDescent="0.3">
      <c r="A504" s="22">
        <f>IF(B504="","",500)</f>
        <v>500</v>
      </c>
      <c r="B504" s="22" t="str">
        <f>IF(Calc_Engine!I501="","",Calc_Engine!I501)</f>
        <v>EMP1500</v>
      </c>
      <c r="C504" s="23" t="str">
        <f t="shared" si="112"/>
        <v>Sowmya Patel</v>
      </c>
      <c r="D504" s="23" t="str">
        <f t="shared" si="113"/>
        <v>Compliance Executive</v>
      </c>
      <c r="E504" s="23" t="str">
        <f t="shared" si="114"/>
        <v>Legal &amp; Compliance</v>
      </c>
      <c r="F504" s="22" t="str">
        <f t="shared" si="115"/>
        <v>L2</v>
      </c>
      <c r="G504" s="23" t="str">
        <f t="shared" si="116"/>
        <v>Ramya Khanna</v>
      </c>
      <c r="H504" s="22" t="str">
        <f t="shared" si="117"/>
        <v>Active</v>
      </c>
      <c r="I504" s="24">
        <f t="shared" si="118"/>
        <v>0</v>
      </c>
      <c r="J504" s="22">
        <f t="shared" si="119"/>
        <v>2</v>
      </c>
      <c r="K504" s="23" t="str">
        <f t="shared" si="120"/>
        <v>Underperformer</v>
      </c>
      <c r="L504" s="22" t="str">
        <f t="shared" si="121"/>
        <v>Not Eligible</v>
      </c>
      <c r="M504" s="24">
        <f t="shared" si="122"/>
        <v>9.26</v>
      </c>
      <c r="N504" s="25">
        <f t="shared" si="123"/>
        <v>1.08</v>
      </c>
      <c r="O504" s="26">
        <f t="shared" si="124"/>
        <v>0.3</v>
      </c>
      <c r="P504" s="25">
        <f t="shared" si="125"/>
        <v>2.77</v>
      </c>
      <c r="Q504" s="22" t="str">
        <f t="shared" si="126"/>
        <v>Medium</v>
      </c>
      <c r="R504">
        <f t="shared" si="127"/>
        <v>500</v>
      </c>
    </row>
  </sheetData>
  <autoFilter ref="A4:Q504" xr:uid="{00000000-0009-0000-0000-000002000000}"/>
  <mergeCells count="1">
    <mergeCell ref="A1:Q1"/>
  </mergeCells>
  <conditionalFormatting sqref="A5:Q504">
    <cfRule type="expression" dxfId="23" priority="1">
      <formula>AND($B5&lt;&gt;"",MOD(ROW(),2)=0)</formula>
    </cfRule>
  </conditionalFormatting>
  <conditionalFormatting sqref="B5:B504">
    <cfRule type="expression" dxfId="22" priority="7">
      <formula>$B5=SelEmp</formula>
    </cfRule>
  </conditionalFormatting>
  <conditionalFormatting sqref="H5:H504">
    <cfRule type="cellIs" dxfId="21" priority="4" operator="equal">
      <formula>"Exited"</formula>
    </cfRule>
  </conditionalFormatting>
  <conditionalFormatting sqref="J5:J504">
    <cfRule type="cellIs" dxfId="20" priority="5" operator="greaterThanOrEqual">
      <formula>4</formula>
    </cfRule>
    <cfRule type="cellIs" dxfId="19" priority="6" operator="between">
      <formula>1</formula>
      <formula>2</formula>
    </cfRule>
  </conditionalFormatting>
  <conditionalFormatting sqref="L5:L504">
    <cfRule type="cellIs" dxfId="18" priority="2" operator="equal">
      <formula>"Eligible"</formula>
    </cfRule>
  </conditionalFormatting>
  <conditionalFormatting sqref="Q5:Q504">
    <cfRule type="cellIs" dxfId="17" priority="3" operator="equal">
      <formula>"High"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3C7DC4"/>
  </sheetPr>
  <dimension ref="A1:S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30.6640625" customWidth="1"/>
    <col min="4" max="4" width="20.6640625" customWidth="1"/>
    <col min="5" max="5" width="11.6640625" customWidth="1"/>
    <col min="6" max="6" width="28.6640625" customWidth="1"/>
    <col min="7" max="7" width="7.6640625" customWidth="1"/>
    <col min="8" max="8" width="8.6640625" customWidth="1"/>
    <col min="9" max="9" width="18.6640625" customWidth="1"/>
    <col min="10" max="10" width="9.6640625" customWidth="1"/>
    <col min="11" max="12" width="12.6640625" customWidth="1"/>
    <col min="13" max="13" width="13.6640625" customWidth="1"/>
    <col min="14" max="14" width="6.6640625" customWidth="1"/>
    <col min="15" max="15" width="9.6640625" customWidth="1"/>
    <col min="16" max="16" width="12.6640625" customWidth="1"/>
    <col min="17" max="17" width="9.6640625" customWidth="1"/>
    <col min="18" max="18" width="10.6640625" customWidth="1"/>
    <col min="19" max="19" width="9.6640625" customWidth="1"/>
  </cols>
  <sheetData>
    <row r="1" spans="1:19" ht="31.95" customHeight="1" x14ac:dyDescent="0.3">
      <c r="A1" s="6" t="s">
        <v>74</v>
      </c>
      <c r="B1" s="6" t="s">
        <v>75</v>
      </c>
      <c r="C1" s="6" t="s">
        <v>76</v>
      </c>
      <c r="D1" s="6" t="s">
        <v>31</v>
      </c>
      <c r="E1" s="6" t="s">
        <v>77</v>
      </c>
      <c r="F1" s="6" t="s">
        <v>78</v>
      </c>
      <c r="G1" s="6" t="s">
        <v>17</v>
      </c>
      <c r="H1" s="27" t="s">
        <v>79</v>
      </c>
      <c r="I1" s="6" t="s">
        <v>80</v>
      </c>
      <c r="J1" s="6" t="s">
        <v>81</v>
      </c>
      <c r="K1" s="6" t="s">
        <v>82</v>
      </c>
      <c r="L1" s="6" t="s">
        <v>83</v>
      </c>
      <c r="M1" s="6" t="s">
        <v>84</v>
      </c>
      <c r="N1" s="6" t="s">
        <v>85</v>
      </c>
      <c r="O1" s="27" t="s">
        <v>86</v>
      </c>
      <c r="P1" s="27" t="s">
        <v>87</v>
      </c>
      <c r="Q1" s="27" t="s">
        <v>88</v>
      </c>
      <c r="R1" s="27" t="s">
        <v>89</v>
      </c>
      <c r="S1" s="27" t="s">
        <v>90</v>
      </c>
    </row>
    <row r="2" spans="1:19" x14ac:dyDescent="0.3">
      <c r="A2" s="22" t="s">
        <v>91</v>
      </c>
      <c r="B2" t="s">
        <v>92</v>
      </c>
      <c r="C2" t="s">
        <v>93</v>
      </c>
      <c r="D2" t="s">
        <v>94</v>
      </c>
      <c r="E2" s="22" t="s">
        <v>95</v>
      </c>
      <c r="F2" t="s">
        <v>96</v>
      </c>
      <c r="G2" s="22" t="s">
        <v>34</v>
      </c>
      <c r="H2" s="22">
        <f t="shared" ref="H2:H65" si="0">VALUE(MID(G2,2,1))</f>
        <v>7</v>
      </c>
      <c r="I2" t="s">
        <v>47</v>
      </c>
      <c r="J2" s="22" t="s">
        <v>97</v>
      </c>
      <c r="K2" t="s">
        <v>98</v>
      </c>
      <c r="L2" t="s">
        <v>99</v>
      </c>
      <c r="M2" s="28">
        <v>42718</v>
      </c>
      <c r="N2" s="22">
        <v>44</v>
      </c>
      <c r="O2" s="22" t="str">
        <f>IF(COUNTIF(Exits_Attrition!$A$2:$A$65,A2)&gt;0,"Exited","Active")</f>
        <v>Active</v>
      </c>
      <c r="P2" s="28" t="str">
        <f>IFERROR(INDEX(Exits_Attrition!$H$2:$H$65,MATCH(A2,Exits_Attrition!$A$2:$A$65,0)),"")</f>
        <v/>
      </c>
      <c r="Q2" s="24">
        <f t="shared" ref="Q2:Q65" si="1">ROUND((IF(P2="",AsOf,P2)-M2)/365.25,1)</f>
        <v>9.8000000000000007</v>
      </c>
      <c r="R2" s="22" t="str">
        <f t="shared" ref="R2:R65" si="2">IF(Q2&lt;1,"Under 1 Yr",IF(Q2&lt;3,"1-3 Yrs",IF(Q2&lt;5,"3-5 Yrs","5+ Yrs")))</f>
        <v>5+ Yrs</v>
      </c>
      <c r="S2" s="22">
        <f t="shared" ref="S2:S65" si="3">COUNTIF($E$2:$E$501,A2)</f>
        <v>1</v>
      </c>
    </row>
    <row r="3" spans="1:19" x14ac:dyDescent="0.3">
      <c r="A3" s="22" t="s">
        <v>100</v>
      </c>
      <c r="B3" t="s">
        <v>101</v>
      </c>
      <c r="C3" t="s">
        <v>102</v>
      </c>
      <c r="D3" t="s">
        <v>103</v>
      </c>
      <c r="E3" s="22" t="s">
        <v>104</v>
      </c>
      <c r="F3" t="s">
        <v>105</v>
      </c>
      <c r="G3" s="22" t="s">
        <v>30</v>
      </c>
      <c r="H3" s="22">
        <f t="shared" si="0"/>
        <v>5</v>
      </c>
      <c r="I3" t="s">
        <v>39</v>
      </c>
      <c r="J3" s="22" t="s">
        <v>106</v>
      </c>
      <c r="K3" t="s">
        <v>107</v>
      </c>
      <c r="L3" t="s">
        <v>99</v>
      </c>
      <c r="M3" s="28">
        <v>43401</v>
      </c>
      <c r="N3" s="22">
        <v>40</v>
      </c>
      <c r="O3" s="22" t="str">
        <f>IF(COUNTIF(Exits_Attrition!$A$2:$A$65,A3)&gt;0,"Exited","Active")</f>
        <v>Active</v>
      </c>
      <c r="P3" s="28" t="str">
        <f>IFERROR(INDEX(Exits_Attrition!$H$2:$H$65,MATCH(A3,Exits_Attrition!$A$2:$A$65,0)),"")</f>
        <v/>
      </c>
      <c r="Q3" s="24">
        <f t="shared" si="1"/>
        <v>7.9</v>
      </c>
      <c r="R3" s="22" t="str">
        <f t="shared" si="2"/>
        <v>5+ Yrs</v>
      </c>
      <c r="S3" s="22">
        <f t="shared" si="3"/>
        <v>14</v>
      </c>
    </row>
    <row r="4" spans="1:19" x14ac:dyDescent="0.3">
      <c r="A4" s="22" t="s">
        <v>108</v>
      </c>
      <c r="B4" t="s">
        <v>109</v>
      </c>
      <c r="C4" t="s">
        <v>110</v>
      </c>
      <c r="D4" t="s">
        <v>92</v>
      </c>
      <c r="E4" s="22" t="s">
        <v>91</v>
      </c>
      <c r="F4" t="s">
        <v>111</v>
      </c>
      <c r="G4" s="22" t="s">
        <v>32</v>
      </c>
      <c r="H4" s="22">
        <f t="shared" si="0"/>
        <v>6</v>
      </c>
      <c r="I4" t="s">
        <v>47</v>
      </c>
      <c r="J4" s="22" t="s">
        <v>106</v>
      </c>
      <c r="K4" t="s">
        <v>98</v>
      </c>
      <c r="L4" t="s">
        <v>99</v>
      </c>
      <c r="M4" s="28">
        <v>43538</v>
      </c>
      <c r="N4" s="22">
        <v>36</v>
      </c>
      <c r="O4" s="22" t="str">
        <f>IF(COUNTIF(Exits_Attrition!$A$2:$A$65,A4)&gt;0,"Exited","Active")</f>
        <v>Active</v>
      </c>
      <c r="P4" s="28" t="str">
        <f>IFERROR(INDEX(Exits_Attrition!$H$2:$H$65,MATCH(A4,Exits_Attrition!$A$2:$A$65,0)),"")</f>
        <v/>
      </c>
      <c r="Q4" s="24">
        <f t="shared" si="1"/>
        <v>7.5</v>
      </c>
      <c r="R4" s="22" t="str">
        <f t="shared" si="2"/>
        <v>5+ Yrs</v>
      </c>
      <c r="S4" s="22">
        <f t="shared" si="3"/>
        <v>5</v>
      </c>
    </row>
    <row r="5" spans="1:19" x14ac:dyDescent="0.3">
      <c r="A5" s="22" t="s">
        <v>112</v>
      </c>
      <c r="B5" t="s">
        <v>113</v>
      </c>
      <c r="C5" t="s">
        <v>114</v>
      </c>
      <c r="D5" t="s">
        <v>103</v>
      </c>
      <c r="E5" s="22" t="s">
        <v>104</v>
      </c>
      <c r="F5" t="s">
        <v>105</v>
      </c>
      <c r="G5" s="22" t="s">
        <v>30</v>
      </c>
      <c r="H5" s="22">
        <f t="shared" si="0"/>
        <v>5</v>
      </c>
      <c r="I5" t="s">
        <v>39</v>
      </c>
      <c r="J5" s="22" t="s">
        <v>97</v>
      </c>
      <c r="K5" t="s">
        <v>98</v>
      </c>
      <c r="L5" t="s">
        <v>99</v>
      </c>
      <c r="M5" s="28">
        <v>43552</v>
      </c>
      <c r="N5" s="22">
        <v>39</v>
      </c>
      <c r="O5" s="22" t="str">
        <f>IF(COUNTIF(Exits_Attrition!$A$2:$A$65,A5)&gt;0,"Exited","Active")</f>
        <v>Active</v>
      </c>
      <c r="P5" s="28" t="str">
        <f>IFERROR(INDEX(Exits_Attrition!$H$2:$H$65,MATCH(A5,Exits_Attrition!$A$2:$A$65,0)),"")</f>
        <v/>
      </c>
      <c r="Q5" s="24">
        <f t="shared" si="1"/>
        <v>7.5</v>
      </c>
      <c r="R5" s="22" t="str">
        <f t="shared" si="2"/>
        <v>5+ Yrs</v>
      </c>
      <c r="S5" s="22">
        <f t="shared" si="3"/>
        <v>10</v>
      </c>
    </row>
    <row r="6" spans="1:19" x14ac:dyDescent="0.3">
      <c r="A6" s="22" t="s">
        <v>115</v>
      </c>
      <c r="B6" t="s">
        <v>116</v>
      </c>
      <c r="C6" t="s">
        <v>117</v>
      </c>
      <c r="D6" t="s">
        <v>103</v>
      </c>
      <c r="E6" s="22" t="s">
        <v>104</v>
      </c>
      <c r="F6" t="s">
        <v>105</v>
      </c>
      <c r="G6" s="22" t="s">
        <v>30</v>
      </c>
      <c r="H6" s="22">
        <f t="shared" si="0"/>
        <v>5</v>
      </c>
      <c r="I6" t="s">
        <v>39</v>
      </c>
      <c r="J6" s="22" t="s">
        <v>106</v>
      </c>
      <c r="K6" t="s">
        <v>98</v>
      </c>
      <c r="L6" t="s">
        <v>99</v>
      </c>
      <c r="M6" s="28">
        <v>43659</v>
      </c>
      <c r="N6" s="22">
        <v>34</v>
      </c>
      <c r="O6" s="22" t="str">
        <f>IF(COUNTIF(Exits_Attrition!$A$2:$A$65,A6)&gt;0,"Exited","Active")</f>
        <v>Active</v>
      </c>
      <c r="P6" s="28" t="str">
        <f>IFERROR(INDEX(Exits_Attrition!$H$2:$H$65,MATCH(A6,Exits_Attrition!$A$2:$A$65,0)),"")</f>
        <v/>
      </c>
      <c r="Q6" s="24">
        <f t="shared" si="1"/>
        <v>7.2</v>
      </c>
      <c r="R6" s="22" t="str">
        <f t="shared" si="2"/>
        <v>5+ Yrs</v>
      </c>
      <c r="S6" s="22">
        <f t="shared" si="3"/>
        <v>11</v>
      </c>
    </row>
    <row r="7" spans="1:19" x14ac:dyDescent="0.3">
      <c r="A7" s="22" t="s">
        <v>118</v>
      </c>
      <c r="B7" t="s">
        <v>119</v>
      </c>
      <c r="C7" t="s">
        <v>120</v>
      </c>
      <c r="D7" t="s">
        <v>121</v>
      </c>
      <c r="E7" s="22" t="s">
        <v>122</v>
      </c>
      <c r="F7" t="s">
        <v>123</v>
      </c>
      <c r="G7" s="22" t="s">
        <v>30</v>
      </c>
      <c r="H7" s="22">
        <f t="shared" si="0"/>
        <v>5</v>
      </c>
      <c r="I7" t="s">
        <v>40</v>
      </c>
      <c r="J7" s="22" t="s">
        <v>106</v>
      </c>
      <c r="K7" t="s">
        <v>124</v>
      </c>
      <c r="L7" t="s">
        <v>99</v>
      </c>
      <c r="M7" s="28">
        <v>43681</v>
      </c>
      <c r="N7" s="22">
        <v>37</v>
      </c>
      <c r="O7" s="22" t="str">
        <f>IF(COUNTIF(Exits_Attrition!$A$2:$A$65,A7)&gt;0,"Exited","Active")</f>
        <v>Exited</v>
      </c>
      <c r="P7" s="28">
        <f>IFERROR(INDEX(Exits_Attrition!$H$2:$H$65,MATCH(A7,Exits_Attrition!$A$2:$A$65,0)),"")</f>
        <v>46239</v>
      </c>
      <c r="Q7" s="24">
        <f t="shared" si="1"/>
        <v>7</v>
      </c>
      <c r="R7" s="22" t="str">
        <f t="shared" si="2"/>
        <v>5+ Yrs</v>
      </c>
      <c r="S7" s="22">
        <f t="shared" si="3"/>
        <v>14</v>
      </c>
    </row>
    <row r="8" spans="1:19" x14ac:dyDescent="0.3">
      <c r="A8" s="22" t="s">
        <v>125</v>
      </c>
      <c r="B8" t="s">
        <v>126</v>
      </c>
      <c r="C8" t="s">
        <v>127</v>
      </c>
      <c r="D8" t="s">
        <v>128</v>
      </c>
      <c r="E8" s="22" t="s">
        <v>129</v>
      </c>
      <c r="F8" t="s">
        <v>130</v>
      </c>
      <c r="G8" s="22" t="s">
        <v>28</v>
      </c>
      <c r="H8" s="22">
        <f t="shared" si="0"/>
        <v>4</v>
      </c>
      <c r="I8" t="s">
        <v>44</v>
      </c>
      <c r="J8" s="22" t="s">
        <v>106</v>
      </c>
      <c r="K8" t="s">
        <v>98</v>
      </c>
      <c r="L8" t="s">
        <v>99</v>
      </c>
      <c r="M8" s="28">
        <v>43750</v>
      </c>
      <c r="N8" s="22">
        <v>32</v>
      </c>
      <c r="O8" s="22" t="str">
        <f>IF(COUNTIF(Exits_Attrition!$A$2:$A$65,A8)&gt;0,"Exited","Active")</f>
        <v>Exited</v>
      </c>
      <c r="P8" s="28">
        <f>IFERROR(INDEX(Exits_Attrition!$H$2:$H$65,MATCH(A8,Exits_Attrition!$A$2:$A$65,0)),"")</f>
        <v>46100</v>
      </c>
      <c r="Q8" s="24">
        <f t="shared" si="1"/>
        <v>6.4</v>
      </c>
      <c r="R8" s="22" t="str">
        <f t="shared" si="2"/>
        <v>5+ Yrs</v>
      </c>
      <c r="S8" s="22">
        <f t="shared" si="3"/>
        <v>0</v>
      </c>
    </row>
    <row r="9" spans="1:19" x14ac:dyDescent="0.3">
      <c r="A9" s="22" t="s">
        <v>131</v>
      </c>
      <c r="B9" t="s">
        <v>132</v>
      </c>
      <c r="C9" t="s">
        <v>133</v>
      </c>
      <c r="D9" t="s">
        <v>94</v>
      </c>
      <c r="E9" s="22" t="s">
        <v>95</v>
      </c>
      <c r="F9" t="s">
        <v>134</v>
      </c>
      <c r="G9" s="22" t="s">
        <v>34</v>
      </c>
      <c r="H9" s="22">
        <f t="shared" si="0"/>
        <v>7</v>
      </c>
      <c r="I9" t="s">
        <v>39</v>
      </c>
      <c r="J9" s="22" t="s">
        <v>97</v>
      </c>
      <c r="K9" t="s">
        <v>98</v>
      </c>
      <c r="L9" t="s">
        <v>99</v>
      </c>
      <c r="M9" s="28">
        <v>43771</v>
      </c>
      <c r="N9" s="22">
        <v>39</v>
      </c>
      <c r="O9" s="22" t="str">
        <f>IF(COUNTIF(Exits_Attrition!$A$2:$A$65,A9)&gt;0,"Exited","Active")</f>
        <v>Active</v>
      </c>
      <c r="P9" s="28" t="str">
        <f>IFERROR(INDEX(Exits_Attrition!$H$2:$H$65,MATCH(A9,Exits_Attrition!$A$2:$A$65,0)),"")</f>
        <v/>
      </c>
      <c r="Q9" s="24">
        <f t="shared" si="1"/>
        <v>6.9</v>
      </c>
      <c r="R9" s="22" t="str">
        <f t="shared" si="2"/>
        <v>5+ Yrs</v>
      </c>
      <c r="S9" s="22">
        <f t="shared" si="3"/>
        <v>2</v>
      </c>
    </row>
    <row r="10" spans="1:19" x14ac:dyDescent="0.3">
      <c r="A10" s="22" t="s">
        <v>135</v>
      </c>
      <c r="B10" t="s">
        <v>136</v>
      </c>
      <c r="C10" t="s">
        <v>137</v>
      </c>
      <c r="D10" t="s">
        <v>138</v>
      </c>
      <c r="E10" s="22" t="s">
        <v>139</v>
      </c>
      <c r="F10" t="s">
        <v>123</v>
      </c>
      <c r="G10" s="22" t="s">
        <v>30</v>
      </c>
      <c r="H10" s="22">
        <f t="shared" si="0"/>
        <v>5</v>
      </c>
      <c r="I10" t="s">
        <v>40</v>
      </c>
      <c r="J10" s="22" t="s">
        <v>106</v>
      </c>
      <c r="K10" t="s">
        <v>98</v>
      </c>
      <c r="L10" t="s">
        <v>99</v>
      </c>
      <c r="M10" s="28">
        <v>43783</v>
      </c>
      <c r="N10" s="22">
        <v>38</v>
      </c>
      <c r="O10" s="22" t="str">
        <f>IF(COUNTIF(Exits_Attrition!$A$2:$A$65,A10)&gt;0,"Exited","Active")</f>
        <v>Active</v>
      </c>
      <c r="P10" s="28" t="str">
        <f>IFERROR(INDEX(Exits_Attrition!$H$2:$H$65,MATCH(A10,Exits_Attrition!$A$2:$A$65,0)),"")</f>
        <v/>
      </c>
      <c r="Q10" s="24">
        <f t="shared" si="1"/>
        <v>6.9</v>
      </c>
      <c r="R10" s="22" t="str">
        <f t="shared" si="2"/>
        <v>5+ Yrs</v>
      </c>
      <c r="S10" s="22">
        <f t="shared" si="3"/>
        <v>12</v>
      </c>
    </row>
    <row r="11" spans="1:19" x14ac:dyDescent="0.3">
      <c r="A11" s="22" t="s">
        <v>140</v>
      </c>
      <c r="B11" t="s">
        <v>141</v>
      </c>
      <c r="C11" t="s">
        <v>142</v>
      </c>
      <c r="D11" t="s">
        <v>94</v>
      </c>
      <c r="E11" s="22" t="s">
        <v>95</v>
      </c>
      <c r="F11" t="s">
        <v>143</v>
      </c>
      <c r="G11" s="22" t="s">
        <v>34</v>
      </c>
      <c r="H11" s="22">
        <f t="shared" si="0"/>
        <v>7</v>
      </c>
      <c r="I11" t="s">
        <v>46</v>
      </c>
      <c r="J11" s="22" t="s">
        <v>97</v>
      </c>
      <c r="K11" t="s">
        <v>98</v>
      </c>
      <c r="L11" t="s">
        <v>99</v>
      </c>
      <c r="M11" s="28">
        <v>43793</v>
      </c>
      <c r="N11" s="22">
        <v>44</v>
      </c>
      <c r="O11" s="22" t="str">
        <f>IF(COUNTIF(Exits_Attrition!$A$2:$A$65,A11)&gt;0,"Exited","Active")</f>
        <v>Active</v>
      </c>
      <c r="P11" s="28" t="str">
        <f>IFERROR(INDEX(Exits_Attrition!$H$2:$H$65,MATCH(A11,Exits_Attrition!$A$2:$A$65,0)),"")</f>
        <v/>
      </c>
      <c r="Q11" s="24">
        <f t="shared" si="1"/>
        <v>6.9</v>
      </c>
      <c r="R11" s="22" t="str">
        <f t="shared" si="2"/>
        <v>5+ Yrs</v>
      </c>
      <c r="S11" s="22">
        <f t="shared" si="3"/>
        <v>1</v>
      </c>
    </row>
    <row r="12" spans="1:19" x14ac:dyDescent="0.3">
      <c r="A12" s="22" t="s">
        <v>144</v>
      </c>
      <c r="B12" t="s">
        <v>145</v>
      </c>
      <c r="C12" t="s">
        <v>146</v>
      </c>
      <c r="D12" t="s">
        <v>147</v>
      </c>
      <c r="E12" s="22" t="s">
        <v>148</v>
      </c>
      <c r="F12" t="s">
        <v>149</v>
      </c>
      <c r="G12" s="22" t="s">
        <v>32</v>
      </c>
      <c r="H12" s="22">
        <f t="shared" si="0"/>
        <v>6</v>
      </c>
      <c r="I12" t="s">
        <v>43</v>
      </c>
      <c r="J12" s="22" t="s">
        <v>97</v>
      </c>
      <c r="K12" t="s">
        <v>98</v>
      </c>
      <c r="L12" t="s">
        <v>99</v>
      </c>
      <c r="M12" s="28">
        <v>43809</v>
      </c>
      <c r="N12" s="22">
        <v>42</v>
      </c>
      <c r="O12" s="22" t="str">
        <f>IF(COUNTIF(Exits_Attrition!$A$2:$A$65,A12)&gt;0,"Exited","Active")</f>
        <v>Active</v>
      </c>
      <c r="P12" s="28" t="str">
        <f>IFERROR(INDEX(Exits_Attrition!$H$2:$H$65,MATCH(A12,Exits_Attrition!$A$2:$A$65,0)),"")</f>
        <v/>
      </c>
      <c r="Q12" s="24">
        <f t="shared" si="1"/>
        <v>6.8</v>
      </c>
      <c r="R12" s="22" t="str">
        <f t="shared" si="2"/>
        <v>5+ Yrs</v>
      </c>
      <c r="S12" s="22">
        <f t="shared" si="3"/>
        <v>4</v>
      </c>
    </row>
    <row r="13" spans="1:19" x14ac:dyDescent="0.3">
      <c r="A13" s="22" t="s">
        <v>150</v>
      </c>
      <c r="B13" t="s">
        <v>151</v>
      </c>
      <c r="C13" t="s">
        <v>152</v>
      </c>
      <c r="D13" t="s">
        <v>153</v>
      </c>
      <c r="E13" s="22" t="s">
        <v>154</v>
      </c>
      <c r="F13" t="s">
        <v>155</v>
      </c>
      <c r="G13" s="22" t="s">
        <v>28</v>
      </c>
      <c r="H13" s="22">
        <f t="shared" si="0"/>
        <v>4</v>
      </c>
      <c r="I13" t="s">
        <v>40</v>
      </c>
      <c r="J13" s="22" t="s">
        <v>106</v>
      </c>
      <c r="K13" t="s">
        <v>156</v>
      </c>
      <c r="L13" t="s">
        <v>99</v>
      </c>
      <c r="M13" s="28">
        <v>43829</v>
      </c>
      <c r="N13" s="22">
        <v>38</v>
      </c>
      <c r="O13" s="22" t="str">
        <f>IF(COUNTIF(Exits_Attrition!$A$2:$A$65,A13)&gt;0,"Exited","Active")</f>
        <v>Active</v>
      </c>
      <c r="P13" s="28" t="str">
        <f>IFERROR(INDEX(Exits_Attrition!$H$2:$H$65,MATCH(A13,Exits_Attrition!$A$2:$A$65,0)),"")</f>
        <v/>
      </c>
      <c r="Q13" s="24">
        <f t="shared" si="1"/>
        <v>6.8</v>
      </c>
      <c r="R13" s="22" t="str">
        <f t="shared" si="2"/>
        <v>5+ Yrs</v>
      </c>
      <c r="S13" s="22">
        <f t="shared" si="3"/>
        <v>0</v>
      </c>
    </row>
    <row r="14" spans="1:19" x14ac:dyDescent="0.3">
      <c r="A14" s="22" t="s">
        <v>157</v>
      </c>
      <c r="B14" t="s">
        <v>158</v>
      </c>
      <c r="C14" t="s">
        <v>159</v>
      </c>
      <c r="D14" t="s">
        <v>160</v>
      </c>
      <c r="E14" s="22" t="s">
        <v>161</v>
      </c>
      <c r="F14" t="s">
        <v>162</v>
      </c>
      <c r="G14" s="22" t="s">
        <v>30</v>
      </c>
      <c r="H14" s="22">
        <f t="shared" si="0"/>
        <v>5</v>
      </c>
      <c r="I14" t="s">
        <v>48</v>
      </c>
      <c r="J14" s="22" t="s">
        <v>97</v>
      </c>
      <c r="K14" t="s">
        <v>156</v>
      </c>
      <c r="L14" t="s">
        <v>99</v>
      </c>
      <c r="M14" s="28">
        <v>43842</v>
      </c>
      <c r="N14" s="22">
        <v>34</v>
      </c>
      <c r="O14" s="22" t="str">
        <f>IF(COUNTIF(Exits_Attrition!$A$2:$A$65,A14)&gt;0,"Exited","Active")</f>
        <v>Active</v>
      </c>
      <c r="P14" s="28" t="str">
        <f>IFERROR(INDEX(Exits_Attrition!$H$2:$H$65,MATCH(A14,Exits_Attrition!$A$2:$A$65,0)),"")</f>
        <v/>
      </c>
      <c r="Q14" s="24">
        <f t="shared" si="1"/>
        <v>6.7</v>
      </c>
      <c r="R14" s="22" t="str">
        <f t="shared" si="2"/>
        <v>5+ Yrs</v>
      </c>
      <c r="S14" s="22">
        <f t="shared" si="3"/>
        <v>12</v>
      </c>
    </row>
    <row r="15" spans="1:19" x14ac:dyDescent="0.3">
      <c r="A15" s="22" t="s">
        <v>163</v>
      </c>
      <c r="B15" t="s">
        <v>164</v>
      </c>
      <c r="C15" t="s">
        <v>165</v>
      </c>
      <c r="D15" t="s">
        <v>166</v>
      </c>
      <c r="E15" s="22" t="s">
        <v>167</v>
      </c>
      <c r="F15" t="s">
        <v>168</v>
      </c>
      <c r="G15" s="22" t="s">
        <v>28</v>
      </c>
      <c r="H15" s="22">
        <f t="shared" si="0"/>
        <v>4</v>
      </c>
      <c r="I15" t="s">
        <v>47</v>
      </c>
      <c r="J15" s="22" t="s">
        <v>97</v>
      </c>
      <c r="K15" t="s">
        <v>107</v>
      </c>
      <c r="L15" t="s">
        <v>99</v>
      </c>
      <c r="M15" s="28">
        <v>43939</v>
      </c>
      <c r="N15" s="22">
        <v>36</v>
      </c>
      <c r="O15" s="22" t="str">
        <f>IF(COUNTIF(Exits_Attrition!$A$2:$A$65,A15)&gt;0,"Exited","Active")</f>
        <v>Active</v>
      </c>
      <c r="P15" s="28" t="str">
        <f>IFERROR(INDEX(Exits_Attrition!$H$2:$H$65,MATCH(A15,Exits_Attrition!$A$2:$A$65,0)),"")</f>
        <v/>
      </c>
      <c r="Q15" s="24">
        <f t="shared" si="1"/>
        <v>6.5</v>
      </c>
      <c r="R15" s="22" t="str">
        <f t="shared" si="2"/>
        <v>5+ Yrs</v>
      </c>
      <c r="S15" s="22">
        <f t="shared" si="3"/>
        <v>0</v>
      </c>
    </row>
    <row r="16" spans="1:19" x14ac:dyDescent="0.3">
      <c r="A16" s="22" t="s">
        <v>169</v>
      </c>
      <c r="B16" t="s">
        <v>170</v>
      </c>
      <c r="C16" t="s">
        <v>171</v>
      </c>
      <c r="D16" t="s">
        <v>136</v>
      </c>
      <c r="E16" s="22" t="s">
        <v>135</v>
      </c>
      <c r="F16" t="s">
        <v>155</v>
      </c>
      <c r="G16" s="22" t="s">
        <v>28</v>
      </c>
      <c r="H16" s="22">
        <f t="shared" si="0"/>
        <v>4</v>
      </c>
      <c r="I16" t="s">
        <v>40</v>
      </c>
      <c r="J16" s="22" t="s">
        <v>106</v>
      </c>
      <c r="K16" t="s">
        <v>124</v>
      </c>
      <c r="L16" t="s">
        <v>99</v>
      </c>
      <c r="M16" s="28">
        <v>43940</v>
      </c>
      <c r="N16" s="22">
        <v>36</v>
      </c>
      <c r="O16" s="22" t="str">
        <f>IF(COUNTIF(Exits_Attrition!$A$2:$A$65,A16)&gt;0,"Exited","Active")</f>
        <v>Active</v>
      </c>
      <c r="P16" s="28" t="str">
        <f>IFERROR(INDEX(Exits_Attrition!$H$2:$H$65,MATCH(A16,Exits_Attrition!$A$2:$A$65,0)),"")</f>
        <v/>
      </c>
      <c r="Q16" s="24">
        <f t="shared" si="1"/>
        <v>6.4</v>
      </c>
      <c r="R16" s="22" t="str">
        <f t="shared" si="2"/>
        <v>5+ Yrs</v>
      </c>
      <c r="S16" s="22">
        <f t="shared" si="3"/>
        <v>0</v>
      </c>
    </row>
    <row r="17" spans="1:19" x14ac:dyDescent="0.3">
      <c r="A17" s="22" t="s">
        <v>172</v>
      </c>
      <c r="B17" t="s">
        <v>173</v>
      </c>
      <c r="C17" t="s">
        <v>174</v>
      </c>
      <c r="D17" t="s">
        <v>175</v>
      </c>
      <c r="E17" s="22" t="s">
        <v>176</v>
      </c>
      <c r="F17" t="s">
        <v>177</v>
      </c>
      <c r="G17" s="22" t="s">
        <v>30</v>
      </c>
      <c r="H17" s="22">
        <f t="shared" si="0"/>
        <v>5</v>
      </c>
      <c r="I17" t="s">
        <v>41</v>
      </c>
      <c r="J17" s="22" t="s">
        <v>97</v>
      </c>
      <c r="K17" t="s">
        <v>156</v>
      </c>
      <c r="L17" t="s">
        <v>99</v>
      </c>
      <c r="M17" s="28">
        <v>43959</v>
      </c>
      <c r="N17" s="22">
        <v>40</v>
      </c>
      <c r="O17" s="22" t="str">
        <f>IF(COUNTIF(Exits_Attrition!$A$2:$A$65,A17)&gt;0,"Exited","Active")</f>
        <v>Active</v>
      </c>
      <c r="P17" s="28" t="str">
        <f>IFERROR(INDEX(Exits_Attrition!$H$2:$H$65,MATCH(A17,Exits_Attrition!$A$2:$A$65,0)),"")</f>
        <v/>
      </c>
      <c r="Q17" s="24">
        <f t="shared" si="1"/>
        <v>6.4</v>
      </c>
      <c r="R17" s="22" t="str">
        <f t="shared" si="2"/>
        <v>5+ Yrs</v>
      </c>
      <c r="S17" s="22">
        <f t="shared" si="3"/>
        <v>12</v>
      </c>
    </row>
    <row r="18" spans="1:19" x14ac:dyDescent="0.3">
      <c r="A18" s="22" t="s">
        <v>178</v>
      </c>
      <c r="B18" t="s">
        <v>179</v>
      </c>
      <c r="C18" t="s">
        <v>180</v>
      </c>
      <c r="D18" t="s">
        <v>181</v>
      </c>
      <c r="E18" s="22" t="s">
        <v>182</v>
      </c>
      <c r="F18" t="s">
        <v>183</v>
      </c>
      <c r="G18" s="22" t="s">
        <v>28</v>
      </c>
      <c r="H18" s="22">
        <f t="shared" si="0"/>
        <v>4</v>
      </c>
      <c r="I18" t="s">
        <v>39</v>
      </c>
      <c r="J18" s="22" t="s">
        <v>97</v>
      </c>
      <c r="K18" t="s">
        <v>98</v>
      </c>
      <c r="L18" t="s">
        <v>99</v>
      </c>
      <c r="M18" s="28">
        <v>43977</v>
      </c>
      <c r="N18" s="22">
        <v>33</v>
      </c>
      <c r="O18" s="22" t="str">
        <f>IF(COUNTIF(Exits_Attrition!$A$2:$A$65,A18)&gt;0,"Exited","Active")</f>
        <v>Active</v>
      </c>
      <c r="P18" s="28" t="str">
        <f>IFERROR(INDEX(Exits_Attrition!$H$2:$H$65,MATCH(A18,Exits_Attrition!$A$2:$A$65,0)),"")</f>
        <v/>
      </c>
      <c r="Q18" s="24">
        <f t="shared" si="1"/>
        <v>6.3</v>
      </c>
      <c r="R18" s="22" t="str">
        <f t="shared" si="2"/>
        <v>5+ Yrs</v>
      </c>
      <c r="S18" s="22">
        <f t="shared" si="3"/>
        <v>0</v>
      </c>
    </row>
    <row r="19" spans="1:19" x14ac:dyDescent="0.3">
      <c r="A19" s="22" t="s">
        <v>184</v>
      </c>
      <c r="B19" t="s">
        <v>185</v>
      </c>
      <c r="C19" t="s">
        <v>186</v>
      </c>
      <c r="D19" t="s">
        <v>187</v>
      </c>
      <c r="E19" s="22" t="s">
        <v>188</v>
      </c>
      <c r="F19" t="s">
        <v>189</v>
      </c>
      <c r="G19" s="22" t="s">
        <v>30</v>
      </c>
      <c r="H19" s="22">
        <f t="shared" si="0"/>
        <v>5</v>
      </c>
      <c r="I19" t="s">
        <v>44</v>
      </c>
      <c r="J19" s="22" t="s">
        <v>97</v>
      </c>
      <c r="K19" t="s">
        <v>190</v>
      </c>
      <c r="L19" t="s">
        <v>99</v>
      </c>
      <c r="M19" s="28">
        <v>44019</v>
      </c>
      <c r="N19" s="22">
        <v>36</v>
      </c>
      <c r="O19" s="22" t="str">
        <f>IF(COUNTIF(Exits_Attrition!$A$2:$A$65,A19)&gt;0,"Exited","Active")</f>
        <v>Exited</v>
      </c>
      <c r="P19" s="28">
        <f>IFERROR(INDEX(Exits_Attrition!$H$2:$H$65,MATCH(A19,Exits_Attrition!$A$2:$A$65,0)),"")</f>
        <v>46131</v>
      </c>
      <c r="Q19" s="24">
        <f t="shared" si="1"/>
        <v>5.8</v>
      </c>
      <c r="R19" s="22" t="str">
        <f t="shared" si="2"/>
        <v>5+ Yrs</v>
      </c>
      <c r="S19" s="22">
        <f t="shared" si="3"/>
        <v>12</v>
      </c>
    </row>
    <row r="20" spans="1:19" x14ac:dyDescent="0.3">
      <c r="A20" s="22" t="s">
        <v>191</v>
      </c>
      <c r="B20" t="s">
        <v>192</v>
      </c>
      <c r="C20" t="s">
        <v>193</v>
      </c>
      <c r="D20" t="s">
        <v>194</v>
      </c>
      <c r="E20" s="22" t="s">
        <v>195</v>
      </c>
      <c r="F20" t="s">
        <v>196</v>
      </c>
      <c r="G20" s="22" t="s">
        <v>28</v>
      </c>
      <c r="H20" s="22">
        <f t="shared" si="0"/>
        <v>4</v>
      </c>
      <c r="I20" t="s">
        <v>42</v>
      </c>
      <c r="J20" s="22" t="s">
        <v>97</v>
      </c>
      <c r="K20" t="s">
        <v>190</v>
      </c>
      <c r="L20" t="s">
        <v>99</v>
      </c>
      <c r="M20" s="28">
        <v>44038</v>
      </c>
      <c r="N20" s="22">
        <v>33</v>
      </c>
      <c r="O20" s="22" t="str">
        <f>IF(COUNTIF(Exits_Attrition!$A$2:$A$65,A20)&gt;0,"Exited","Active")</f>
        <v>Active</v>
      </c>
      <c r="P20" s="28" t="str">
        <f>IFERROR(INDEX(Exits_Attrition!$H$2:$H$65,MATCH(A20,Exits_Attrition!$A$2:$A$65,0)),"")</f>
        <v/>
      </c>
      <c r="Q20" s="24">
        <f t="shared" si="1"/>
        <v>6.2</v>
      </c>
      <c r="R20" s="22" t="str">
        <f t="shared" si="2"/>
        <v>5+ Yrs</v>
      </c>
      <c r="S20" s="22">
        <f t="shared" si="3"/>
        <v>0</v>
      </c>
    </row>
    <row r="21" spans="1:19" x14ac:dyDescent="0.3">
      <c r="A21" s="22" t="s">
        <v>197</v>
      </c>
      <c r="B21" t="s">
        <v>198</v>
      </c>
      <c r="C21" t="s">
        <v>199</v>
      </c>
      <c r="D21" t="s">
        <v>200</v>
      </c>
      <c r="E21" s="22" t="s">
        <v>201</v>
      </c>
      <c r="F21" t="s">
        <v>202</v>
      </c>
      <c r="G21" s="22" t="s">
        <v>28</v>
      </c>
      <c r="H21" s="22">
        <f t="shared" si="0"/>
        <v>4</v>
      </c>
      <c r="I21" t="s">
        <v>41</v>
      </c>
      <c r="J21" s="22" t="s">
        <v>106</v>
      </c>
      <c r="K21" t="s">
        <v>156</v>
      </c>
      <c r="L21" t="s">
        <v>99</v>
      </c>
      <c r="M21" s="28">
        <v>44043</v>
      </c>
      <c r="N21" s="22">
        <v>35</v>
      </c>
      <c r="O21" s="22" t="str">
        <f>IF(COUNTIF(Exits_Attrition!$A$2:$A$65,A21)&gt;0,"Exited","Active")</f>
        <v>Active</v>
      </c>
      <c r="P21" s="28" t="str">
        <f>IFERROR(INDEX(Exits_Attrition!$H$2:$H$65,MATCH(A21,Exits_Attrition!$A$2:$A$65,0)),"")</f>
        <v/>
      </c>
      <c r="Q21" s="24">
        <f t="shared" si="1"/>
        <v>6.2</v>
      </c>
      <c r="R21" s="22" t="str">
        <f t="shared" si="2"/>
        <v>5+ Yrs</v>
      </c>
      <c r="S21" s="22">
        <f t="shared" si="3"/>
        <v>0</v>
      </c>
    </row>
    <row r="22" spans="1:19" x14ac:dyDescent="0.3">
      <c r="A22" s="22" t="s">
        <v>203</v>
      </c>
      <c r="B22" t="s">
        <v>204</v>
      </c>
      <c r="C22" t="s">
        <v>205</v>
      </c>
      <c r="D22" t="s">
        <v>206</v>
      </c>
      <c r="E22" s="22" t="s">
        <v>207</v>
      </c>
      <c r="F22" t="s">
        <v>208</v>
      </c>
      <c r="G22" s="22" t="s">
        <v>30</v>
      </c>
      <c r="H22" s="22">
        <f t="shared" si="0"/>
        <v>5</v>
      </c>
      <c r="I22" t="s">
        <v>45</v>
      </c>
      <c r="J22" s="22" t="s">
        <v>106</v>
      </c>
      <c r="K22" t="s">
        <v>124</v>
      </c>
      <c r="L22" t="s">
        <v>99</v>
      </c>
      <c r="M22" s="28">
        <v>44101</v>
      </c>
      <c r="N22" s="22">
        <v>40</v>
      </c>
      <c r="O22" s="22" t="str">
        <f>IF(COUNTIF(Exits_Attrition!$A$2:$A$65,A22)&gt;0,"Exited","Active")</f>
        <v>Active</v>
      </c>
      <c r="P22" s="28" t="str">
        <f>IFERROR(INDEX(Exits_Attrition!$H$2:$H$65,MATCH(A22,Exits_Attrition!$A$2:$A$65,0)),"")</f>
        <v/>
      </c>
      <c r="Q22" s="24">
        <f t="shared" si="1"/>
        <v>6</v>
      </c>
      <c r="R22" s="22" t="str">
        <f t="shared" si="2"/>
        <v>5+ Yrs</v>
      </c>
      <c r="S22" s="22">
        <f t="shared" si="3"/>
        <v>16</v>
      </c>
    </row>
    <row r="23" spans="1:19" x14ac:dyDescent="0.3">
      <c r="A23" s="22" t="s">
        <v>209</v>
      </c>
      <c r="B23" t="s">
        <v>210</v>
      </c>
      <c r="C23" t="s">
        <v>211</v>
      </c>
      <c r="D23" t="s">
        <v>204</v>
      </c>
      <c r="E23" s="22" t="s">
        <v>203</v>
      </c>
      <c r="F23" t="s">
        <v>212</v>
      </c>
      <c r="G23" s="22" t="s">
        <v>26</v>
      </c>
      <c r="H23" s="22">
        <f t="shared" si="0"/>
        <v>3</v>
      </c>
      <c r="I23" t="s">
        <v>45</v>
      </c>
      <c r="J23" s="22" t="s">
        <v>106</v>
      </c>
      <c r="K23" t="s">
        <v>213</v>
      </c>
      <c r="L23" t="s">
        <v>99</v>
      </c>
      <c r="M23" s="28">
        <v>44112</v>
      </c>
      <c r="N23" s="22">
        <v>34</v>
      </c>
      <c r="O23" s="22" t="str">
        <f>IF(COUNTIF(Exits_Attrition!$A$2:$A$65,A23)&gt;0,"Exited","Active")</f>
        <v>Active</v>
      </c>
      <c r="P23" s="28" t="str">
        <f>IFERROR(INDEX(Exits_Attrition!$H$2:$H$65,MATCH(A23,Exits_Attrition!$A$2:$A$65,0)),"")</f>
        <v/>
      </c>
      <c r="Q23" s="24">
        <f t="shared" si="1"/>
        <v>6</v>
      </c>
      <c r="R23" s="22" t="str">
        <f t="shared" si="2"/>
        <v>5+ Yrs</v>
      </c>
      <c r="S23" s="22">
        <f t="shared" si="3"/>
        <v>0</v>
      </c>
    </row>
    <row r="24" spans="1:19" x14ac:dyDescent="0.3">
      <c r="A24" s="22" t="s">
        <v>214</v>
      </c>
      <c r="B24" t="s">
        <v>215</v>
      </c>
      <c r="C24" t="s">
        <v>216</v>
      </c>
      <c r="D24" t="s">
        <v>217</v>
      </c>
      <c r="E24" s="22" t="s">
        <v>218</v>
      </c>
      <c r="F24" t="s">
        <v>219</v>
      </c>
      <c r="G24" s="22" t="s">
        <v>26</v>
      </c>
      <c r="H24" s="22">
        <f t="shared" si="0"/>
        <v>3</v>
      </c>
      <c r="I24" t="s">
        <v>40</v>
      </c>
      <c r="J24" s="22" t="s">
        <v>106</v>
      </c>
      <c r="K24" t="s">
        <v>156</v>
      </c>
      <c r="L24" t="s">
        <v>220</v>
      </c>
      <c r="M24" s="28">
        <v>44116</v>
      </c>
      <c r="N24" s="22">
        <v>31</v>
      </c>
      <c r="O24" s="22" t="str">
        <f>IF(COUNTIF(Exits_Attrition!$A$2:$A$65,A24)&gt;0,"Exited","Active")</f>
        <v>Active</v>
      </c>
      <c r="P24" s="28" t="str">
        <f>IFERROR(INDEX(Exits_Attrition!$H$2:$H$65,MATCH(A24,Exits_Attrition!$A$2:$A$65,0)),"")</f>
        <v/>
      </c>
      <c r="Q24" s="24">
        <f t="shared" si="1"/>
        <v>6</v>
      </c>
      <c r="R24" s="22" t="str">
        <f t="shared" si="2"/>
        <v>5+ Yrs</v>
      </c>
      <c r="S24" s="22">
        <f t="shared" si="3"/>
        <v>0</v>
      </c>
    </row>
    <row r="25" spans="1:19" x14ac:dyDescent="0.3">
      <c r="A25" s="22" t="s">
        <v>221</v>
      </c>
      <c r="B25" t="s">
        <v>222</v>
      </c>
      <c r="C25" t="s">
        <v>223</v>
      </c>
      <c r="D25" t="s">
        <v>224</v>
      </c>
      <c r="E25" s="22" t="s">
        <v>225</v>
      </c>
      <c r="F25" t="s">
        <v>226</v>
      </c>
      <c r="G25" s="22" t="s">
        <v>26</v>
      </c>
      <c r="H25" s="22">
        <f t="shared" si="0"/>
        <v>3</v>
      </c>
      <c r="I25" t="s">
        <v>47</v>
      </c>
      <c r="J25" s="22" t="s">
        <v>97</v>
      </c>
      <c r="K25" t="s">
        <v>98</v>
      </c>
      <c r="L25" t="s">
        <v>99</v>
      </c>
      <c r="M25" s="28">
        <v>44116</v>
      </c>
      <c r="N25" s="22">
        <v>29</v>
      </c>
      <c r="O25" s="22" t="str">
        <f>IF(COUNTIF(Exits_Attrition!$A$2:$A$65,A25)&gt;0,"Exited","Active")</f>
        <v>Active</v>
      </c>
      <c r="P25" s="28" t="str">
        <f>IFERROR(INDEX(Exits_Attrition!$H$2:$H$65,MATCH(A25,Exits_Attrition!$A$2:$A$65,0)),"")</f>
        <v/>
      </c>
      <c r="Q25" s="24">
        <f t="shared" si="1"/>
        <v>6</v>
      </c>
      <c r="R25" s="22" t="str">
        <f t="shared" si="2"/>
        <v>5+ Yrs</v>
      </c>
      <c r="S25" s="22">
        <f t="shared" si="3"/>
        <v>0</v>
      </c>
    </row>
    <row r="26" spans="1:19" x14ac:dyDescent="0.3">
      <c r="A26" s="22" t="s">
        <v>227</v>
      </c>
      <c r="B26" t="s">
        <v>228</v>
      </c>
      <c r="C26" t="s">
        <v>229</v>
      </c>
      <c r="D26" t="s">
        <v>230</v>
      </c>
      <c r="E26" s="22" t="s">
        <v>231</v>
      </c>
      <c r="F26" t="s">
        <v>232</v>
      </c>
      <c r="G26" s="22" t="s">
        <v>30</v>
      </c>
      <c r="H26" s="22">
        <f t="shared" si="0"/>
        <v>5</v>
      </c>
      <c r="I26" t="s">
        <v>42</v>
      </c>
      <c r="J26" s="22" t="s">
        <v>106</v>
      </c>
      <c r="K26" t="s">
        <v>124</v>
      </c>
      <c r="L26" t="s">
        <v>99</v>
      </c>
      <c r="M26" s="28">
        <v>44128</v>
      </c>
      <c r="N26" s="22">
        <v>39</v>
      </c>
      <c r="O26" s="22" t="str">
        <f>IF(COUNTIF(Exits_Attrition!$A$2:$A$65,A26)&gt;0,"Exited","Active")</f>
        <v>Active</v>
      </c>
      <c r="P26" s="28" t="str">
        <f>IFERROR(INDEX(Exits_Attrition!$H$2:$H$65,MATCH(A26,Exits_Attrition!$A$2:$A$65,0)),"")</f>
        <v/>
      </c>
      <c r="Q26" s="24">
        <f t="shared" si="1"/>
        <v>5.9</v>
      </c>
      <c r="R26" s="22" t="str">
        <f t="shared" si="2"/>
        <v>5+ Yrs</v>
      </c>
      <c r="S26" s="22">
        <f t="shared" si="3"/>
        <v>11</v>
      </c>
    </row>
    <row r="27" spans="1:19" x14ac:dyDescent="0.3">
      <c r="A27" s="22" t="s">
        <v>233</v>
      </c>
      <c r="B27" t="s">
        <v>234</v>
      </c>
      <c r="C27" t="s">
        <v>235</v>
      </c>
      <c r="D27" t="s">
        <v>236</v>
      </c>
      <c r="E27" s="22" t="s">
        <v>237</v>
      </c>
      <c r="F27" t="s">
        <v>238</v>
      </c>
      <c r="G27" s="22" t="s">
        <v>26</v>
      </c>
      <c r="H27" s="22">
        <f t="shared" si="0"/>
        <v>3</v>
      </c>
      <c r="I27" t="s">
        <v>42</v>
      </c>
      <c r="J27" s="22" t="s">
        <v>97</v>
      </c>
      <c r="K27" t="s">
        <v>124</v>
      </c>
      <c r="L27" t="s">
        <v>99</v>
      </c>
      <c r="M27" s="28">
        <v>44131</v>
      </c>
      <c r="N27" s="22">
        <v>32</v>
      </c>
      <c r="O27" s="22" t="str">
        <f>IF(COUNTIF(Exits_Attrition!$A$2:$A$65,A27)&gt;0,"Exited","Active")</f>
        <v>Exited</v>
      </c>
      <c r="P27" s="28">
        <f>IFERROR(INDEX(Exits_Attrition!$H$2:$H$65,MATCH(A27,Exits_Attrition!$A$2:$A$65,0)),"")</f>
        <v>46060</v>
      </c>
      <c r="Q27" s="24">
        <f t="shared" si="1"/>
        <v>5.3</v>
      </c>
      <c r="R27" s="22" t="str">
        <f t="shared" si="2"/>
        <v>5+ Yrs</v>
      </c>
      <c r="S27" s="22">
        <f t="shared" si="3"/>
        <v>0</v>
      </c>
    </row>
    <row r="28" spans="1:19" x14ac:dyDescent="0.3">
      <c r="A28" s="22" t="s">
        <v>239</v>
      </c>
      <c r="B28" t="s">
        <v>240</v>
      </c>
      <c r="C28" t="s">
        <v>241</v>
      </c>
      <c r="D28" t="s">
        <v>242</v>
      </c>
      <c r="E28" s="22" t="s">
        <v>243</v>
      </c>
      <c r="F28" t="s">
        <v>244</v>
      </c>
      <c r="G28" s="22" t="s">
        <v>26</v>
      </c>
      <c r="H28" s="22">
        <f t="shared" si="0"/>
        <v>3</v>
      </c>
      <c r="I28" t="s">
        <v>39</v>
      </c>
      <c r="J28" s="22" t="s">
        <v>106</v>
      </c>
      <c r="K28" t="s">
        <v>124</v>
      </c>
      <c r="L28" t="s">
        <v>99</v>
      </c>
      <c r="M28" s="28">
        <v>44137</v>
      </c>
      <c r="N28" s="22">
        <v>34</v>
      </c>
      <c r="O28" s="22" t="str">
        <f>IF(COUNTIF(Exits_Attrition!$A$2:$A$65,A28)&gt;0,"Exited","Active")</f>
        <v>Active</v>
      </c>
      <c r="P28" s="28" t="str">
        <f>IFERROR(INDEX(Exits_Attrition!$H$2:$H$65,MATCH(A28,Exits_Attrition!$A$2:$A$65,0)),"")</f>
        <v/>
      </c>
      <c r="Q28" s="24">
        <f t="shared" si="1"/>
        <v>5.9</v>
      </c>
      <c r="R28" s="22" t="str">
        <f t="shared" si="2"/>
        <v>5+ Yrs</v>
      </c>
      <c r="S28" s="22">
        <f t="shared" si="3"/>
        <v>0</v>
      </c>
    </row>
    <row r="29" spans="1:19" x14ac:dyDescent="0.3">
      <c r="A29" s="22" t="s">
        <v>245</v>
      </c>
      <c r="B29" t="s">
        <v>246</v>
      </c>
      <c r="C29" t="s">
        <v>247</v>
      </c>
      <c r="D29" t="s">
        <v>217</v>
      </c>
      <c r="E29" s="22" t="s">
        <v>218</v>
      </c>
      <c r="F29" t="s">
        <v>155</v>
      </c>
      <c r="G29" s="22" t="s">
        <v>28</v>
      </c>
      <c r="H29" s="22">
        <f t="shared" si="0"/>
        <v>4</v>
      </c>
      <c r="I29" t="s">
        <v>40</v>
      </c>
      <c r="J29" s="22" t="s">
        <v>97</v>
      </c>
      <c r="K29" t="s">
        <v>156</v>
      </c>
      <c r="L29" t="s">
        <v>99</v>
      </c>
      <c r="M29" s="28">
        <v>44137</v>
      </c>
      <c r="N29" s="22">
        <v>36</v>
      </c>
      <c r="O29" s="22" t="str">
        <f>IF(COUNTIF(Exits_Attrition!$A$2:$A$65,A29)&gt;0,"Exited","Active")</f>
        <v>Exited</v>
      </c>
      <c r="P29" s="28">
        <f>IFERROR(INDEX(Exits_Attrition!$H$2:$H$65,MATCH(A29,Exits_Attrition!$A$2:$A$65,0)),"")</f>
        <v>46002</v>
      </c>
      <c r="Q29" s="24">
        <f t="shared" si="1"/>
        <v>5.0999999999999996</v>
      </c>
      <c r="R29" s="22" t="str">
        <f t="shared" si="2"/>
        <v>5+ Yrs</v>
      </c>
      <c r="S29" s="22">
        <f t="shared" si="3"/>
        <v>0</v>
      </c>
    </row>
    <row r="30" spans="1:19" x14ac:dyDescent="0.3">
      <c r="A30" s="22" t="s">
        <v>248</v>
      </c>
      <c r="B30" t="s">
        <v>249</v>
      </c>
      <c r="C30" t="s">
        <v>250</v>
      </c>
      <c r="D30" t="s">
        <v>251</v>
      </c>
      <c r="E30" s="22" t="s">
        <v>252</v>
      </c>
      <c r="F30" t="s">
        <v>253</v>
      </c>
      <c r="G30" s="22" t="s">
        <v>26</v>
      </c>
      <c r="H30" s="22">
        <f t="shared" si="0"/>
        <v>3</v>
      </c>
      <c r="I30" t="s">
        <v>41</v>
      </c>
      <c r="J30" s="22" t="s">
        <v>97</v>
      </c>
      <c r="K30" t="s">
        <v>156</v>
      </c>
      <c r="L30" t="s">
        <v>99</v>
      </c>
      <c r="M30" s="28">
        <v>44138</v>
      </c>
      <c r="N30" s="22">
        <v>35</v>
      </c>
      <c r="O30" s="22" t="str">
        <f>IF(COUNTIF(Exits_Attrition!$A$2:$A$65,A30)&gt;0,"Exited","Active")</f>
        <v>Active</v>
      </c>
      <c r="P30" s="28" t="str">
        <f>IFERROR(INDEX(Exits_Attrition!$H$2:$H$65,MATCH(A30,Exits_Attrition!$A$2:$A$65,0)),"")</f>
        <v/>
      </c>
      <c r="Q30" s="24">
        <f t="shared" si="1"/>
        <v>5.9</v>
      </c>
      <c r="R30" s="22" t="str">
        <f t="shared" si="2"/>
        <v>5+ Yrs</v>
      </c>
      <c r="S30" s="22">
        <f t="shared" si="3"/>
        <v>0</v>
      </c>
    </row>
    <row r="31" spans="1:19" x14ac:dyDescent="0.3">
      <c r="A31" s="22" t="s">
        <v>254</v>
      </c>
      <c r="B31" t="s">
        <v>255</v>
      </c>
      <c r="C31" t="s">
        <v>256</v>
      </c>
      <c r="D31" t="s">
        <v>257</v>
      </c>
      <c r="E31" s="22" t="s">
        <v>258</v>
      </c>
      <c r="F31" t="s">
        <v>259</v>
      </c>
      <c r="G31" s="22" t="s">
        <v>26</v>
      </c>
      <c r="H31" s="22">
        <f t="shared" si="0"/>
        <v>3</v>
      </c>
      <c r="I31" t="s">
        <v>46</v>
      </c>
      <c r="J31" s="22" t="s">
        <v>97</v>
      </c>
      <c r="K31" t="s">
        <v>107</v>
      </c>
      <c r="L31" t="s">
        <v>99</v>
      </c>
      <c r="M31" s="28">
        <v>44141</v>
      </c>
      <c r="N31" s="22">
        <v>32</v>
      </c>
      <c r="O31" s="22" t="str">
        <f>IF(COUNTIF(Exits_Attrition!$A$2:$A$65,A31)&gt;0,"Exited","Active")</f>
        <v>Active</v>
      </c>
      <c r="P31" s="28" t="str">
        <f>IFERROR(INDEX(Exits_Attrition!$H$2:$H$65,MATCH(A31,Exits_Attrition!$A$2:$A$65,0)),"")</f>
        <v/>
      </c>
      <c r="Q31" s="24">
        <f t="shared" si="1"/>
        <v>5.9</v>
      </c>
      <c r="R31" s="22" t="str">
        <f t="shared" si="2"/>
        <v>5+ Yrs</v>
      </c>
      <c r="S31" s="22">
        <f t="shared" si="3"/>
        <v>0</v>
      </c>
    </row>
    <row r="32" spans="1:19" x14ac:dyDescent="0.3">
      <c r="A32" s="22" t="s">
        <v>260</v>
      </c>
      <c r="B32" t="s">
        <v>261</v>
      </c>
      <c r="C32" t="s">
        <v>262</v>
      </c>
      <c r="D32" t="s">
        <v>128</v>
      </c>
      <c r="E32" s="22" t="s">
        <v>129</v>
      </c>
      <c r="F32" t="s">
        <v>263</v>
      </c>
      <c r="G32" s="22" t="s">
        <v>26</v>
      </c>
      <c r="H32" s="22">
        <f t="shared" si="0"/>
        <v>3</v>
      </c>
      <c r="I32" t="s">
        <v>44</v>
      </c>
      <c r="J32" s="22" t="s">
        <v>106</v>
      </c>
      <c r="K32" t="s">
        <v>124</v>
      </c>
      <c r="L32" t="s">
        <v>99</v>
      </c>
      <c r="M32" s="28">
        <v>44144</v>
      </c>
      <c r="N32" s="22">
        <v>31</v>
      </c>
      <c r="O32" s="22" t="str">
        <f>IF(COUNTIF(Exits_Attrition!$A$2:$A$65,A32)&gt;0,"Exited","Active")</f>
        <v>Active</v>
      </c>
      <c r="P32" s="28" t="str">
        <f>IFERROR(INDEX(Exits_Attrition!$H$2:$H$65,MATCH(A32,Exits_Attrition!$A$2:$A$65,0)),"")</f>
        <v/>
      </c>
      <c r="Q32" s="24">
        <f t="shared" si="1"/>
        <v>5.9</v>
      </c>
      <c r="R32" s="22" t="str">
        <f t="shared" si="2"/>
        <v>5+ Yrs</v>
      </c>
      <c r="S32" s="22">
        <f t="shared" si="3"/>
        <v>0</v>
      </c>
    </row>
    <row r="33" spans="1:19" x14ac:dyDescent="0.3">
      <c r="A33" s="22" t="s">
        <v>264</v>
      </c>
      <c r="B33" t="s">
        <v>265</v>
      </c>
      <c r="C33" t="s">
        <v>266</v>
      </c>
      <c r="D33" t="s">
        <v>153</v>
      </c>
      <c r="E33" s="22" t="s">
        <v>154</v>
      </c>
      <c r="F33" t="s">
        <v>219</v>
      </c>
      <c r="G33" s="22" t="s">
        <v>26</v>
      </c>
      <c r="H33" s="22">
        <f t="shared" si="0"/>
        <v>3</v>
      </c>
      <c r="I33" t="s">
        <v>40</v>
      </c>
      <c r="J33" s="22" t="s">
        <v>106</v>
      </c>
      <c r="K33" t="s">
        <v>156</v>
      </c>
      <c r="L33" t="s">
        <v>220</v>
      </c>
      <c r="M33" s="28">
        <v>44192</v>
      </c>
      <c r="N33" s="22">
        <v>29</v>
      </c>
      <c r="O33" s="22" t="str">
        <f>IF(COUNTIF(Exits_Attrition!$A$2:$A$65,A33)&gt;0,"Exited","Active")</f>
        <v>Active</v>
      </c>
      <c r="P33" s="28" t="str">
        <f>IFERROR(INDEX(Exits_Attrition!$H$2:$H$65,MATCH(A33,Exits_Attrition!$A$2:$A$65,0)),"")</f>
        <v/>
      </c>
      <c r="Q33" s="24">
        <f t="shared" si="1"/>
        <v>5.8</v>
      </c>
      <c r="R33" s="22" t="str">
        <f t="shared" si="2"/>
        <v>5+ Yrs</v>
      </c>
      <c r="S33" s="22">
        <f t="shared" si="3"/>
        <v>0</v>
      </c>
    </row>
    <row r="34" spans="1:19" x14ac:dyDescent="0.3">
      <c r="A34" s="22" t="s">
        <v>267</v>
      </c>
      <c r="B34" t="s">
        <v>268</v>
      </c>
      <c r="C34" t="s">
        <v>269</v>
      </c>
      <c r="D34" t="s">
        <v>270</v>
      </c>
      <c r="E34" s="22" t="s">
        <v>271</v>
      </c>
      <c r="F34" t="s">
        <v>272</v>
      </c>
      <c r="G34" s="22" t="s">
        <v>32</v>
      </c>
      <c r="H34" s="22">
        <f t="shared" si="0"/>
        <v>6</v>
      </c>
      <c r="I34" t="s">
        <v>42</v>
      </c>
      <c r="J34" s="22" t="s">
        <v>97</v>
      </c>
      <c r="K34" t="s">
        <v>107</v>
      </c>
      <c r="L34" t="s">
        <v>99</v>
      </c>
      <c r="M34" s="28">
        <v>44194</v>
      </c>
      <c r="N34" s="22">
        <v>36</v>
      </c>
      <c r="O34" s="22" t="str">
        <f>IF(COUNTIF(Exits_Attrition!$A$2:$A$65,A34)&gt;0,"Exited","Active")</f>
        <v>Active</v>
      </c>
      <c r="P34" s="28" t="str">
        <f>IFERROR(INDEX(Exits_Attrition!$H$2:$H$65,MATCH(A34,Exits_Attrition!$A$2:$A$65,0)),"")</f>
        <v/>
      </c>
      <c r="Q34" s="24">
        <f t="shared" si="1"/>
        <v>5.8</v>
      </c>
      <c r="R34" s="22" t="str">
        <f t="shared" si="2"/>
        <v>5+ Yrs</v>
      </c>
      <c r="S34" s="22">
        <f t="shared" si="3"/>
        <v>4</v>
      </c>
    </row>
    <row r="35" spans="1:19" x14ac:dyDescent="0.3">
      <c r="A35" s="22" t="s">
        <v>273</v>
      </c>
      <c r="B35" t="s">
        <v>274</v>
      </c>
      <c r="C35" t="s">
        <v>275</v>
      </c>
      <c r="D35" t="s">
        <v>101</v>
      </c>
      <c r="E35" s="22" t="s">
        <v>100</v>
      </c>
      <c r="F35" t="s">
        <v>183</v>
      </c>
      <c r="G35" s="22" t="s">
        <v>28</v>
      </c>
      <c r="H35" s="22">
        <f t="shared" si="0"/>
        <v>4</v>
      </c>
      <c r="I35" t="s">
        <v>39</v>
      </c>
      <c r="J35" s="22" t="s">
        <v>97</v>
      </c>
      <c r="K35" t="s">
        <v>124</v>
      </c>
      <c r="L35" t="s">
        <v>99</v>
      </c>
      <c r="M35" s="28">
        <v>44209</v>
      </c>
      <c r="N35" s="22">
        <v>36</v>
      </c>
      <c r="O35" s="22" t="str">
        <f>IF(COUNTIF(Exits_Attrition!$A$2:$A$65,A35)&gt;0,"Exited","Active")</f>
        <v>Active</v>
      </c>
      <c r="P35" s="28" t="str">
        <f>IFERROR(INDEX(Exits_Attrition!$H$2:$H$65,MATCH(A35,Exits_Attrition!$A$2:$A$65,0)),"")</f>
        <v/>
      </c>
      <c r="Q35" s="24">
        <f t="shared" si="1"/>
        <v>5.7</v>
      </c>
      <c r="R35" s="22" t="str">
        <f t="shared" si="2"/>
        <v>5+ Yrs</v>
      </c>
      <c r="S35" s="22">
        <f t="shared" si="3"/>
        <v>0</v>
      </c>
    </row>
    <row r="36" spans="1:19" x14ac:dyDescent="0.3">
      <c r="A36" s="22" t="s">
        <v>276</v>
      </c>
      <c r="B36" t="s">
        <v>277</v>
      </c>
      <c r="C36" t="s">
        <v>278</v>
      </c>
      <c r="D36" t="s">
        <v>136</v>
      </c>
      <c r="E36" s="22" t="s">
        <v>135</v>
      </c>
      <c r="F36" t="s">
        <v>219</v>
      </c>
      <c r="G36" s="22" t="s">
        <v>26</v>
      </c>
      <c r="H36" s="22">
        <f t="shared" si="0"/>
        <v>3</v>
      </c>
      <c r="I36" t="s">
        <v>40</v>
      </c>
      <c r="J36" s="22" t="s">
        <v>106</v>
      </c>
      <c r="K36" t="s">
        <v>156</v>
      </c>
      <c r="L36" t="s">
        <v>99</v>
      </c>
      <c r="M36" s="28">
        <v>44210</v>
      </c>
      <c r="N36" s="22">
        <v>30</v>
      </c>
      <c r="O36" s="22" t="str">
        <f>IF(COUNTIF(Exits_Attrition!$A$2:$A$65,A36)&gt;0,"Exited","Active")</f>
        <v>Active</v>
      </c>
      <c r="P36" s="28" t="str">
        <f>IFERROR(INDEX(Exits_Attrition!$H$2:$H$65,MATCH(A36,Exits_Attrition!$A$2:$A$65,0)),"")</f>
        <v/>
      </c>
      <c r="Q36" s="24">
        <f t="shared" si="1"/>
        <v>5.7</v>
      </c>
      <c r="R36" s="22" t="str">
        <f t="shared" si="2"/>
        <v>5+ Yrs</v>
      </c>
      <c r="S36" s="22">
        <f t="shared" si="3"/>
        <v>0</v>
      </c>
    </row>
    <row r="37" spans="1:19" x14ac:dyDescent="0.3">
      <c r="A37" s="22" t="s">
        <v>279</v>
      </c>
      <c r="B37" t="s">
        <v>280</v>
      </c>
      <c r="C37" t="s">
        <v>281</v>
      </c>
      <c r="D37" t="s">
        <v>166</v>
      </c>
      <c r="E37" s="22" t="s">
        <v>167</v>
      </c>
      <c r="F37" t="s">
        <v>168</v>
      </c>
      <c r="G37" s="22" t="s">
        <v>28</v>
      </c>
      <c r="H37" s="22">
        <f t="shared" si="0"/>
        <v>4</v>
      </c>
      <c r="I37" t="s">
        <v>47</v>
      </c>
      <c r="J37" s="22" t="s">
        <v>97</v>
      </c>
      <c r="K37" t="s">
        <v>98</v>
      </c>
      <c r="L37" t="s">
        <v>99</v>
      </c>
      <c r="M37" s="28">
        <v>44214</v>
      </c>
      <c r="N37" s="22">
        <v>34</v>
      </c>
      <c r="O37" s="22" t="str">
        <f>IF(COUNTIF(Exits_Attrition!$A$2:$A$65,A37)&gt;0,"Exited","Active")</f>
        <v>Active</v>
      </c>
      <c r="P37" s="28" t="str">
        <f>IFERROR(INDEX(Exits_Attrition!$H$2:$H$65,MATCH(A37,Exits_Attrition!$A$2:$A$65,0)),"")</f>
        <v/>
      </c>
      <c r="Q37" s="24">
        <f t="shared" si="1"/>
        <v>5.7</v>
      </c>
      <c r="R37" s="22" t="str">
        <f t="shared" si="2"/>
        <v>5+ Yrs</v>
      </c>
      <c r="S37" s="22">
        <f t="shared" si="3"/>
        <v>0</v>
      </c>
    </row>
    <row r="38" spans="1:19" x14ac:dyDescent="0.3">
      <c r="A38" s="22" t="s">
        <v>282</v>
      </c>
      <c r="B38" t="s">
        <v>283</v>
      </c>
      <c r="C38" t="s">
        <v>284</v>
      </c>
      <c r="D38" t="s">
        <v>285</v>
      </c>
      <c r="E38" s="22" t="s">
        <v>286</v>
      </c>
      <c r="F38" t="s">
        <v>287</v>
      </c>
      <c r="G38" s="22" t="s">
        <v>28</v>
      </c>
      <c r="H38" s="22">
        <f t="shared" si="0"/>
        <v>4</v>
      </c>
      <c r="I38" t="s">
        <v>43</v>
      </c>
      <c r="J38" s="22" t="s">
        <v>106</v>
      </c>
      <c r="K38" t="s">
        <v>156</v>
      </c>
      <c r="L38" t="s">
        <v>99</v>
      </c>
      <c r="M38" s="28">
        <v>44220</v>
      </c>
      <c r="N38" s="22">
        <v>37</v>
      </c>
      <c r="O38" s="22" t="str">
        <f>IF(COUNTIF(Exits_Attrition!$A$2:$A$65,A38)&gt;0,"Exited","Active")</f>
        <v>Active</v>
      </c>
      <c r="P38" s="28" t="str">
        <f>IFERROR(INDEX(Exits_Attrition!$H$2:$H$65,MATCH(A38,Exits_Attrition!$A$2:$A$65,0)),"")</f>
        <v/>
      </c>
      <c r="Q38" s="24">
        <f t="shared" si="1"/>
        <v>5.7</v>
      </c>
      <c r="R38" s="22" t="str">
        <f t="shared" si="2"/>
        <v>5+ Yrs</v>
      </c>
      <c r="S38" s="22">
        <f t="shared" si="3"/>
        <v>0</v>
      </c>
    </row>
    <row r="39" spans="1:19" x14ac:dyDescent="0.3">
      <c r="A39" s="22" t="s">
        <v>288</v>
      </c>
      <c r="B39" t="s">
        <v>289</v>
      </c>
      <c r="C39" t="s">
        <v>290</v>
      </c>
      <c r="D39" t="s">
        <v>291</v>
      </c>
      <c r="E39" s="22" t="s">
        <v>292</v>
      </c>
      <c r="F39" t="s">
        <v>253</v>
      </c>
      <c r="G39" s="22" t="s">
        <v>26</v>
      </c>
      <c r="H39" s="22">
        <f t="shared" si="0"/>
        <v>3</v>
      </c>
      <c r="I39" t="s">
        <v>41</v>
      </c>
      <c r="J39" s="22" t="s">
        <v>106</v>
      </c>
      <c r="K39" t="s">
        <v>156</v>
      </c>
      <c r="L39" t="s">
        <v>99</v>
      </c>
      <c r="M39" s="28">
        <v>44221</v>
      </c>
      <c r="N39" s="22">
        <v>29</v>
      </c>
      <c r="O39" s="22" t="str">
        <f>IF(COUNTIF(Exits_Attrition!$A$2:$A$65,A39)&gt;0,"Exited","Active")</f>
        <v>Active</v>
      </c>
      <c r="P39" s="28" t="str">
        <f>IFERROR(INDEX(Exits_Attrition!$H$2:$H$65,MATCH(A39,Exits_Attrition!$A$2:$A$65,0)),"")</f>
        <v/>
      </c>
      <c r="Q39" s="24">
        <f t="shared" si="1"/>
        <v>5.7</v>
      </c>
      <c r="R39" s="22" t="str">
        <f t="shared" si="2"/>
        <v>5+ Yrs</v>
      </c>
      <c r="S39" s="22">
        <f t="shared" si="3"/>
        <v>0</v>
      </c>
    </row>
    <row r="40" spans="1:19" x14ac:dyDescent="0.3">
      <c r="A40" s="22" t="s">
        <v>293</v>
      </c>
      <c r="B40" t="s">
        <v>294</v>
      </c>
      <c r="C40" t="s">
        <v>295</v>
      </c>
      <c r="D40" t="s">
        <v>141</v>
      </c>
      <c r="E40" s="22" t="s">
        <v>140</v>
      </c>
      <c r="F40" t="s">
        <v>296</v>
      </c>
      <c r="G40" s="22" t="s">
        <v>32</v>
      </c>
      <c r="H40" s="22">
        <f t="shared" si="0"/>
        <v>6</v>
      </c>
      <c r="I40" t="s">
        <v>46</v>
      </c>
      <c r="J40" s="22" t="s">
        <v>106</v>
      </c>
      <c r="K40" t="s">
        <v>98</v>
      </c>
      <c r="L40" t="s">
        <v>99</v>
      </c>
      <c r="M40" s="28">
        <v>44240</v>
      </c>
      <c r="N40" s="22">
        <v>40</v>
      </c>
      <c r="O40" s="22" t="str">
        <f>IF(COUNTIF(Exits_Attrition!$A$2:$A$65,A40)&gt;0,"Exited","Active")</f>
        <v>Active</v>
      </c>
      <c r="P40" s="28" t="str">
        <f>IFERROR(INDEX(Exits_Attrition!$H$2:$H$65,MATCH(A40,Exits_Attrition!$A$2:$A$65,0)),"")</f>
        <v/>
      </c>
      <c r="Q40" s="24">
        <f t="shared" si="1"/>
        <v>5.6</v>
      </c>
      <c r="R40" s="22" t="str">
        <f t="shared" si="2"/>
        <v>5+ Yrs</v>
      </c>
      <c r="S40" s="22">
        <f t="shared" si="3"/>
        <v>3</v>
      </c>
    </row>
    <row r="41" spans="1:19" x14ac:dyDescent="0.3">
      <c r="A41" s="22" t="s">
        <v>297</v>
      </c>
      <c r="B41" t="s">
        <v>298</v>
      </c>
      <c r="C41" t="s">
        <v>299</v>
      </c>
      <c r="D41" t="s">
        <v>109</v>
      </c>
      <c r="E41" s="22" t="s">
        <v>108</v>
      </c>
      <c r="F41" t="s">
        <v>168</v>
      </c>
      <c r="G41" s="22" t="s">
        <v>28</v>
      </c>
      <c r="H41" s="22">
        <f t="shared" si="0"/>
        <v>4</v>
      </c>
      <c r="I41" t="s">
        <v>47</v>
      </c>
      <c r="J41" s="22" t="s">
        <v>106</v>
      </c>
      <c r="K41" t="s">
        <v>98</v>
      </c>
      <c r="L41" t="s">
        <v>99</v>
      </c>
      <c r="M41" s="28">
        <v>44244</v>
      </c>
      <c r="N41" s="22">
        <v>33</v>
      </c>
      <c r="O41" s="22" t="str">
        <f>IF(COUNTIF(Exits_Attrition!$A$2:$A$65,A41)&gt;0,"Exited","Active")</f>
        <v>Active</v>
      </c>
      <c r="P41" s="28" t="str">
        <f>IFERROR(INDEX(Exits_Attrition!$H$2:$H$65,MATCH(A41,Exits_Attrition!$A$2:$A$65,0)),"")</f>
        <v/>
      </c>
      <c r="Q41" s="24">
        <f t="shared" si="1"/>
        <v>5.6</v>
      </c>
      <c r="R41" s="22" t="str">
        <f t="shared" si="2"/>
        <v>5+ Yrs</v>
      </c>
      <c r="S41" s="22">
        <f t="shared" si="3"/>
        <v>0</v>
      </c>
    </row>
    <row r="42" spans="1:19" x14ac:dyDescent="0.3">
      <c r="A42" s="22" t="s">
        <v>300</v>
      </c>
      <c r="B42" t="s">
        <v>301</v>
      </c>
      <c r="C42" t="s">
        <v>302</v>
      </c>
      <c r="D42" t="s">
        <v>166</v>
      </c>
      <c r="E42" s="22" t="s">
        <v>167</v>
      </c>
      <c r="F42" t="s">
        <v>226</v>
      </c>
      <c r="G42" s="22" t="s">
        <v>26</v>
      </c>
      <c r="H42" s="22">
        <f t="shared" si="0"/>
        <v>3</v>
      </c>
      <c r="I42" t="s">
        <v>47</v>
      </c>
      <c r="J42" s="22" t="s">
        <v>97</v>
      </c>
      <c r="K42" t="s">
        <v>98</v>
      </c>
      <c r="L42" t="s">
        <v>99</v>
      </c>
      <c r="M42" s="28">
        <v>44266</v>
      </c>
      <c r="N42" s="22">
        <v>33</v>
      </c>
      <c r="O42" s="22" t="str">
        <f>IF(COUNTIF(Exits_Attrition!$A$2:$A$65,A42)&gt;0,"Exited","Active")</f>
        <v>Exited</v>
      </c>
      <c r="P42" s="28">
        <f>IFERROR(INDEX(Exits_Attrition!$H$2:$H$65,MATCH(A42,Exits_Attrition!$A$2:$A$65,0)),"")</f>
        <v>46232</v>
      </c>
      <c r="Q42" s="24">
        <f t="shared" si="1"/>
        <v>5.4</v>
      </c>
      <c r="R42" s="22" t="str">
        <f t="shared" si="2"/>
        <v>5+ Yrs</v>
      </c>
      <c r="S42" s="22">
        <f t="shared" si="3"/>
        <v>0</v>
      </c>
    </row>
    <row r="43" spans="1:19" x14ac:dyDescent="0.3">
      <c r="A43" s="22" t="s">
        <v>303</v>
      </c>
      <c r="B43" t="s">
        <v>304</v>
      </c>
      <c r="C43" t="s">
        <v>305</v>
      </c>
      <c r="D43" t="s">
        <v>103</v>
      </c>
      <c r="E43" s="22" t="s">
        <v>104</v>
      </c>
      <c r="F43" t="s">
        <v>105</v>
      </c>
      <c r="G43" s="22" t="s">
        <v>30</v>
      </c>
      <c r="H43" s="22">
        <f t="shared" si="0"/>
        <v>5</v>
      </c>
      <c r="I43" t="s">
        <v>39</v>
      </c>
      <c r="J43" s="22" t="s">
        <v>97</v>
      </c>
      <c r="K43" t="s">
        <v>98</v>
      </c>
      <c r="L43" t="s">
        <v>99</v>
      </c>
      <c r="M43" s="28">
        <v>44274</v>
      </c>
      <c r="N43" s="22">
        <v>38</v>
      </c>
      <c r="O43" s="22" t="str">
        <f>IF(COUNTIF(Exits_Attrition!$A$2:$A$65,A43)&gt;0,"Exited","Active")</f>
        <v>Active</v>
      </c>
      <c r="P43" s="28" t="str">
        <f>IFERROR(INDEX(Exits_Attrition!$H$2:$H$65,MATCH(A43,Exits_Attrition!$A$2:$A$65,0)),"")</f>
        <v/>
      </c>
      <c r="Q43" s="24">
        <f t="shared" si="1"/>
        <v>5.5</v>
      </c>
      <c r="R43" s="22" t="str">
        <f t="shared" si="2"/>
        <v>5+ Yrs</v>
      </c>
      <c r="S43" s="22">
        <f t="shared" si="3"/>
        <v>12</v>
      </c>
    </row>
    <row r="44" spans="1:19" x14ac:dyDescent="0.3">
      <c r="A44" s="22" t="s">
        <v>207</v>
      </c>
      <c r="B44" t="s">
        <v>206</v>
      </c>
      <c r="C44" t="s">
        <v>306</v>
      </c>
      <c r="D44" t="s">
        <v>307</v>
      </c>
      <c r="E44" s="22" t="s">
        <v>308</v>
      </c>
      <c r="F44" t="s">
        <v>309</v>
      </c>
      <c r="G44" s="22" t="s">
        <v>32</v>
      </c>
      <c r="H44" s="22">
        <f t="shared" si="0"/>
        <v>6</v>
      </c>
      <c r="I44" t="s">
        <v>45</v>
      </c>
      <c r="J44" s="22" t="s">
        <v>97</v>
      </c>
      <c r="K44" t="s">
        <v>98</v>
      </c>
      <c r="L44" t="s">
        <v>99</v>
      </c>
      <c r="M44" s="28">
        <v>44275</v>
      </c>
      <c r="N44" s="22">
        <v>36</v>
      </c>
      <c r="O44" s="22" t="str">
        <f>IF(COUNTIF(Exits_Attrition!$A$2:$A$65,A44)&gt;0,"Exited","Active")</f>
        <v>Active</v>
      </c>
      <c r="P44" s="28" t="str">
        <f>IFERROR(INDEX(Exits_Attrition!$H$2:$H$65,MATCH(A44,Exits_Attrition!$A$2:$A$65,0)),"")</f>
        <v/>
      </c>
      <c r="Q44" s="24">
        <f t="shared" si="1"/>
        <v>5.5</v>
      </c>
      <c r="R44" s="22" t="str">
        <f t="shared" si="2"/>
        <v>5+ Yrs</v>
      </c>
      <c r="S44" s="22">
        <f t="shared" si="3"/>
        <v>3</v>
      </c>
    </row>
    <row r="45" spans="1:19" x14ac:dyDescent="0.3">
      <c r="A45" s="22" t="s">
        <v>310</v>
      </c>
      <c r="B45" t="s">
        <v>311</v>
      </c>
      <c r="C45" t="s">
        <v>312</v>
      </c>
      <c r="D45" t="s">
        <v>313</v>
      </c>
      <c r="E45" s="22" t="s">
        <v>314</v>
      </c>
      <c r="F45" t="s">
        <v>244</v>
      </c>
      <c r="G45" s="22" t="s">
        <v>26</v>
      </c>
      <c r="H45" s="22">
        <f t="shared" si="0"/>
        <v>3</v>
      </c>
      <c r="I45" t="s">
        <v>39</v>
      </c>
      <c r="J45" s="22" t="s">
        <v>106</v>
      </c>
      <c r="K45" t="s">
        <v>98</v>
      </c>
      <c r="L45" t="s">
        <v>99</v>
      </c>
      <c r="M45" s="28">
        <v>44276</v>
      </c>
      <c r="N45" s="22">
        <v>31</v>
      </c>
      <c r="O45" s="22" t="str">
        <f>IF(COUNTIF(Exits_Attrition!$A$2:$A$65,A45)&gt;0,"Exited","Active")</f>
        <v>Active</v>
      </c>
      <c r="P45" s="28" t="str">
        <f>IFERROR(INDEX(Exits_Attrition!$H$2:$H$65,MATCH(A45,Exits_Attrition!$A$2:$A$65,0)),"")</f>
        <v/>
      </c>
      <c r="Q45" s="24">
        <f t="shared" si="1"/>
        <v>5.5</v>
      </c>
      <c r="R45" s="22" t="str">
        <f t="shared" si="2"/>
        <v>5+ Yrs</v>
      </c>
      <c r="S45" s="22">
        <f t="shared" si="3"/>
        <v>0</v>
      </c>
    </row>
    <row r="46" spans="1:19" x14ac:dyDescent="0.3">
      <c r="A46" s="22" t="s">
        <v>315</v>
      </c>
      <c r="B46" t="s">
        <v>316</v>
      </c>
      <c r="C46" t="s">
        <v>317</v>
      </c>
      <c r="D46" t="s">
        <v>119</v>
      </c>
      <c r="E46" s="22" t="s">
        <v>118</v>
      </c>
      <c r="F46" t="s">
        <v>155</v>
      </c>
      <c r="G46" s="22" t="s">
        <v>28</v>
      </c>
      <c r="H46" s="22">
        <f t="shared" si="0"/>
        <v>4</v>
      </c>
      <c r="I46" t="s">
        <v>40</v>
      </c>
      <c r="J46" s="22" t="s">
        <v>106</v>
      </c>
      <c r="K46" t="s">
        <v>124</v>
      </c>
      <c r="L46" t="s">
        <v>99</v>
      </c>
      <c r="M46" s="28">
        <v>44278</v>
      </c>
      <c r="N46" s="22">
        <v>31</v>
      </c>
      <c r="O46" s="22" t="str">
        <f>IF(COUNTIF(Exits_Attrition!$A$2:$A$65,A46)&gt;0,"Exited","Active")</f>
        <v>Exited</v>
      </c>
      <c r="P46" s="28">
        <f>IFERROR(INDEX(Exits_Attrition!$H$2:$H$65,MATCH(A46,Exits_Attrition!$A$2:$A$65,0)),"")</f>
        <v>46188</v>
      </c>
      <c r="Q46" s="24">
        <f t="shared" si="1"/>
        <v>5.2</v>
      </c>
      <c r="R46" s="22" t="str">
        <f t="shared" si="2"/>
        <v>5+ Yrs</v>
      </c>
      <c r="S46" s="22">
        <f t="shared" si="3"/>
        <v>0</v>
      </c>
    </row>
    <row r="47" spans="1:19" x14ac:dyDescent="0.3">
      <c r="A47" s="22" t="s">
        <v>318</v>
      </c>
      <c r="B47" t="s">
        <v>319</v>
      </c>
      <c r="C47" t="s">
        <v>320</v>
      </c>
      <c r="D47" t="s">
        <v>121</v>
      </c>
      <c r="E47" s="22" t="s">
        <v>122</v>
      </c>
      <c r="F47" t="s">
        <v>219</v>
      </c>
      <c r="G47" s="22" t="s">
        <v>26</v>
      </c>
      <c r="H47" s="22">
        <f t="shared" si="0"/>
        <v>3</v>
      </c>
      <c r="I47" t="s">
        <v>40</v>
      </c>
      <c r="J47" s="22" t="s">
        <v>106</v>
      </c>
      <c r="K47" t="s">
        <v>107</v>
      </c>
      <c r="L47" t="s">
        <v>99</v>
      </c>
      <c r="M47" s="28">
        <v>44282</v>
      </c>
      <c r="N47" s="22">
        <v>34</v>
      </c>
      <c r="O47" s="22" t="str">
        <f>IF(COUNTIF(Exits_Attrition!$A$2:$A$65,A47)&gt;0,"Exited","Active")</f>
        <v>Active</v>
      </c>
      <c r="P47" s="28" t="str">
        <f>IFERROR(INDEX(Exits_Attrition!$H$2:$H$65,MATCH(A47,Exits_Attrition!$A$2:$A$65,0)),"")</f>
        <v/>
      </c>
      <c r="Q47" s="24">
        <f t="shared" si="1"/>
        <v>5.5</v>
      </c>
      <c r="R47" s="22" t="str">
        <f t="shared" si="2"/>
        <v>5+ Yrs</v>
      </c>
      <c r="S47" s="22">
        <f t="shared" si="3"/>
        <v>0</v>
      </c>
    </row>
    <row r="48" spans="1:19" x14ac:dyDescent="0.3">
      <c r="A48" s="22" t="s">
        <v>321</v>
      </c>
      <c r="B48" t="s">
        <v>322</v>
      </c>
      <c r="C48" t="s">
        <v>323</v>
      </c>
      <c r="D48" t="s">
        <v>251</v>
      </c>
      <c r="E48" s="22" t="s">
        <v>252</v>
      </c>
      <c r="F48" t="s">
        <v>202</v>
      </c>
      <c r="G48" s="22" t="s">
        <v>28</v>
      </c>
      <c r="H48" s="22">
        <f t="shared" si="0"/>
        <v>4</v>
      </c>
      <c r="I48" t="s">
        <v>41</v>
      </c>
      <c r="J48" s="22" t="s">
        <v>97</v>
      </c>
      <c r="K48" t="s">
        <v>156</v>
      </c>
      <c r="L48" t="s">
        <v>99</v>
      </c>
      <c r="M48" s="28">
        <v>44295</v>
      </c>
      <c r="N48" s="22">
        <v>37</v>
      </c>
      <c r="O48" s="22" t="str">
        <f>IF(COUNTIF(Exits_Attrition!$A$2:$A$65,A48)&gt;0,"Exited","Active")</f>
        <v>Active</v>
      </c>
      <c r="P48" s="28" t="str">
        <f>IFERROR(INDEX(Exits_Attrition!$H$2:$H$65,MATCH(A48,Exits_Attrition!$A$2:$A$65,0)),"")</f>
        <v/>
      </c>
      <c r="Q48" s="24">
        <f t="shared" si="1"/>
        <v>5.5</v>
      </c>
      <c r="R48" s="22" t="str">
        <f t="shared" si="2"/>
        <v>5+ Yrs</v>
      </c>
      <c r="S48" s="22">
        <f t="shared" si="3"/>
        <v>0</v>
      </c>
    </row>
    <row r="49" spans="1:19" x14ac:dyDescent="0.3">
      <c r="A49" s="22" t="s">
        <v>324</v>
      </c>
      <c r="B49" t="s">
        <v>325</v>
      </c>
      <c r="C49" t="s">
        <v>326</v>
      </c>
      <c r="D49" t="s">
        <v>204</v>
      </c>
      <c r="E49" s="22" t="s">
        <v>203</v>
      </c>
      <c r="F49" t="s">
        <v>212</v>
      </c>
      <c r="G49" s="22" t="s">
        <v>26</v>
      </c>
      <c r="H49" s="22">
        <f t="shared" si="0"/>
        <v>3</v>
      </c>
      <c r="I49" t="s">
        <v>45</v>
      </c>
      <c r="J49" s="22" t="s">
        <v>97</v>
      </c>
      <c r="K49" t="s">
        <v>98</v>
      </c>
      <c r="L49" t="s">
        <v>99</v>
      </c>
      <c r="M49" s="28">
        <v>44302</v>
      </c>
      <c r="N49" s="22">
        <v>32</v>
      </c>
      <c r="O49" s="22" t="str">
        <f>IF(COUNTIF(Exits_Attrition!$A$2:$A$65,A49)&gt;0,"Exited","Active")</f>
        <v>Active</v>
      </c>
      <c r="P49" s="28" t="str">
        <f>IFERROR(INDEX(Exits_Attrition!$H$2:$H$65,MATCH(A49,Exits_Attrition!$A$2:$A$65,0)),"")</f>
        <v/>
      </c>
      <c r="Q49" s="24">
        <f t="shared" si="1"/>
        <v>5.5</v>
      </c>
      <c r="R49" s="22" t="str">
        <f t="shared" si="2"/>
        <v>5+ Yrs</v>
      </c>
      <c r="S49" s="22">
        <f t="shared" si="3"/>
        <v>0</v>
      </c>
    </row>
    <row r="50" spans="1:19" x14ac:dyDescent="0.3">
      <c r="A50" s="22" t="s">
        <v>218</v>
      </c>
      <c r="B50" t="s">
        <v>217</v>
      </c>
      <c r="C50" t="s">
        <v>327</v>
      </c>
      <c r="D50" t="s">
        <v>138</v>
      </c>
      <c r="E50" s="22" t="s">
        <v>139</v>
      </c>
      <c r="F50" t="s">
        <v>123</v>
      </c>
      <c r="G50" s="22" t="s">
        <v>30</v>
      </c>
      <c r="H50" s="22">
        <f t="shared" si="0"/>
        <v>5</v>
      </c>
      <c r="I50" t="s">
        <v>40</v>
      </c>
      <c r="J50" s="22" t="s">
        <v>106</v>
      </c>
      <c r="K50" t="s">
        <v>156</v>
      </c>
      <c r="L50" t="s">
        <v>99</v>
      </c>
      <c r="M50" s="28">
        <v>44306</v>
      </c>
      <c r="N50" s="22">
        <v>38</v>
      </c>
      <c r="O50" s="22" t="str">
        <f>IF(COUNTIF(Exits_Attrition!$A$2:$A$65,A50)&gt;0,"Exited","Active")</f>
        <v>Active</v>
      </c>
      <c r="P50" s="28" t="str">
        <f>IFERROR(INDEX(Exits_Attrition!$H$2:$H$65,MATCH(A50,Exits_Attrition!$A$2:$A$65,0)),"")</f>
        <v/>
      </c>
      <c r="Q50" s="24">
        <f t="shared" si="1"/>
        <v>5.4</v>
      </c>
      <c r="R50" s="22" t="str">
        <f t="shared" si="2"/>
        <v>5+ Yrs</v>
      </c>
      <c r="S50" s="22">
        <f t="shared" si="3"/>
        <v>9</v>
      </c>
    </row>
    <row r="51" spans="1:19" x14ac:dyDescent="0.3">
      <c r="A51" s="22" t="s">
        <v>328</v>
      </c>
      <c r="B51" t="s">
        <v>329</v>
      </c>
      <c r="C51" t="s">
        <v>330</v>
      </c>
      <c r="D51" t="s">
        <v>101</v>
      </c>
      <c r="E51" s="22" t="s">
        <v>100</v>
      </c>
      <c r="F51" t="s">
        <v>183</v>
      </c>
      <c r="G51" s="22" t="s">
        <v>28</v>
      </c>
      <c r="H51" s="22">
        <f t="shared" si="0"/>
        <v>4</v>
      </c>
      <c r="I51" t="s">
        <v>39</v>
      </c>
      <c r="J51" s="22" t="s">
        <v>97</v>
      </c>
      <c r="K51" t="s">
        <v>190</v>
      </c>
      <c r="L51" t="s">
        <v>99</v>
      </c>
      <c r="M51" s="28">
        <v>44311</v>
      </c>
      <c r="N51" s="22">
        <v>32</v>
      </c>
      <c r="O51" s="22" t="str">
        <f>IF(COUNTIF(Exits_Attrition!$A$2:$A$65,A51)&gt;0,"Exited","Active")</f>
        <v>Active</v>
      </c>
      <c r="P51" s="28" t="str">
        <f>IFERROR(INDEX(Exits_Attrition!$H$2:$H$65,MATCH(A51,Exits_Attrition!$A$2:$A$65,0)),"")</f>
        <v/>
      </c>
      <c r="Q51" s="24">
        <f t="shared" si="1"/>
        <v>5.4</v>
      </c>
      <c r="R51" s="22" t="str">
        <f t="shared" si="2"/>
        <v>5+ Yrs</v>
      </c>
      <c r="S51" s="22">
        <f t="shared" si="3"/>
        <v>0</v>
      </c>
    </row>
    <row r="52" spans="1:19" x14ac:dyDescent="0.3">
      <c r="A52" s="22" t="s">
        <v>231</v>
      </c>
      <c r="B52" t="s">
        <v>230</v>
      </c>
      <c r="C52" t="s">
        <v>331</v>
      </c>
      <c r="D52" t="s">
        <v>270</v>
      </c>
      <c r="E52" s="22" t="s">
        <v>271</v>
      </c>
      <c r="F52" t="s">
        <v>272</v>
      </c>
      <c r="G52" s="22" t="s">
        <v>32</v>
      </c>
      <c r="H52" s="22">
        <f t="shared" si="0"/>
        <v>6</v>
      </c>
      <c r="I52" t="s">
        <v>42</v>
      </c>
      <c r="J52" s="22" t="s">
        <v>106</v>
      </c>
      <c r="K52" t="s">
        <v>124</v>
      </c>
      <c r="L52" t="s">
        <v>99</v>
      </c>
      <c r="M52" s="28">
        <v>44323</v>
      </c>
      <c r="N52" s="22">
        <v>36</v>
      </c>
      <c r="O52" s="22" t="str">
        <f>IF(COUNTIF(Exits_Attrition!$A$2:$A$65,A52)&gt;0,"Exited","Active")</f>
        <v>Active</v>
      </c>
      <c r="P52" s="28" t="str">
        <f>IFERROR(INDEX(Exits_Attrition!$H$2:$H$65,MATCH(A52,Exits_Attrition!$A$2:$A$65,0)),"")</f>
        <v/>
      </c>
      <c r="Q52" s="24">
        <f t="shared" si="1"/>
        <v>5.4</v>
      </c>
      <c r="R52" s="22" t="str">
        <f t="shared" si="2"/>
        <v>5+ Yrs</v>
      </c>
      <c r="S52" s="22">
        <f t="shared" si="3"/>
        <v>2</v>
      </c>
    </row>
    <row r="53" spans="1:19" x14ac:dyDescent="0.3">
      <c r="A53" s="22" t="s">
        <v>332</v>
      </c>
      <c r="B53" t="s">
        <v>333</v>
      </c>
      <c r="C53" t="s">
        <v>334</v>
      </c>
      <c r="D53" t="s">
        <v>101</v>
      </c>
      <c r="E53" s="22" t="s">
        <v>100</v>
      </c>
      <c r="F53" t="s">
        <v>244</v>
      </c>
      <c r="G53" s="22" t="s">
        <v>26</v>
      </c>
      <c r="H53" s="22">
        <f t="shared" si="0"/>
        <v>3</v>
      </c>
      <c r="I53" t="s">
        <v>39</v>
      </c>
      <c r="J53" s="22" t="s">
        <v>106</v>
      </c>
      <c r="K53" t="s">
        <v>98</v>
      </c>
      <c r="L53" t="s">
        <v>99</v>
      </c>
      <c r="M53" s="28">
        <v>44337</v>
      </c>
      <c r="N53" s="22">
        <v>33</v>
      </c>
      <c r="O53" s="22" t="str">
        <f>IF(COUNTIF(Exits_Attrition!$A$2:$A$65,A53)&gt;0,"Exited","Active")</f>
        <v>Exited</v>
      </c>
      <c r="P53" s="28">
        <f>IFERROR(INDEX(Exits_Attrition!$H$2:$H$65,MATCH(A53,Exits_Attrition!$A$2:$A$65,0)),"")</f>
        <v>46023</v>
      </c>
      <c r="Q53" s="24">
        <f t="shared" si="1"/>
        <v>4.5999999999999996</v>
      </c>
      <c r="R53" s="22" t="str">
        <f t="shared" si="2"/>
        <v>3-5 Yrs</v>
      </c>
      <c r="S53" s="22">
        <f t="shared" si="3"/>
        <v>0</v>
      </c>
    </row>
    <row r="54" spans="1:19" x14ac:dyDescent="0.3">
      <c r="A54" s="22" t="s">
        <v>335</v>
      </c>
      <c r="B54" t="s">
        <v>336</v>
      </c>
      <c r="C54" t="s">
        <v>337</v>
      </c>
      <c r="D54" t="s">
        <v>338</v>
      </c>
      <c r="E54" s="22" t="s">
        <v>339</v>
      </c>
      <c r="F54" t="s">
        <v>238</v>
      </c>
      <c r="G54" s="22" t="s">
        <v>26</v>
      </c>
      <c r="H54" s="22">
        <f t="shared" si="0"/>
        <v>3</v>
      </c>
      <c r="I54" t="s">
        <v>42</v>
      </c>
      <c r="J54" s="22" t="s">
        <v>106</v>
      </c>
      <c r="K54" t="s">
        <v>124</v>
      </c>
      <c r="L54" t="s">
        <v>99</v>
      </c>
      <c r="M54" s="28">
        <v>44345</v>
      </c>
      <c r="N54" s="22">
        <v>33</v>
      </c>
      <c r="O54" s="22" t="str">
        <f>IF(COUNTIF(Exits_Attrition!$A$2:$A$65,A54)&gt;0,"Exited","Active")</f>
        <v>Active</v>
      </c>
      <c r="P54" s="28" t="str">
        <f>IFERROR(INDEX(Exits_Attrition!$H$2:$H$65,MATCH(A54,Exits_Attrition!$A$2:$A$65,0)),"")</f>
        <v/>
      </c>
      <c r="Q54" s="24">
        <f t="shared" si="1"/>
        <v>5.3</v>
      </c>
      <c r="R54" s="22" t="str">
        <f t="shared" si="2"/>
        <v>5+ Yrs</v>
      </c>
      <c r="S54" s="22">
        <f t="shared" si="3"/>
        <v>0</v>
      </c>
    </row>
    <row r="55" spans="1:19" x14ac:dyDescent="0.3">
      <c r="A55" s="22" t="s">
        <v>340</v>
      </c>
      <c r="B55" t="s">
        <v>341</v>
      </c>
      <c r="C55" t="s">
        <v>342</v>
      </c>
      <c r="D55" t="s">
        <v>217</v>
      </c>
      <c r="E55" s="22" t="s">
        <v>218</v>
      </c>
      <c r="F55" t="s">
        <v>219</v>
      </c>
      <c r="G55" s="22" t="s">
        <v>26</v>
      </c>
      <c r="H55" s="22">
        <f t="shared" si="0"/>
        <v>3</v>
      </c>
      <c r="I55" t="s">
        <v>40</v>
      </c>
      <c r="J55" s="22" t="s">
        <v>97</v>
      </c>
      <c r="K55" t="s">
        <v>190</v>
      </c>
      <c r="L55" t="s">
        <v>99</v>
      </c>
      <c r="M55" s="28">
        <v>44350</v>
      </c>
      <c r="N55" s="22">
        <v>33</v>
      </c>
      <c r="O55" s="22" t="str">
        <f>IF(COUNTIF(Exits_Attrition!$A$2:$A$65,A55)&gt;0,"Exited","Active")</f>
        <v>Active</v>
      </c>
      <c r="P55" s="28" t="str">
        <f>IFERROR(INDEX(Exits_Attrition!$H$2:$H$65,MATCH(A55,Exits_Attrition!$A$2:$A$65,0)),"")</f>
        <v/>
      </c>
      <c r="Q55" s="24">
        <f t="shared" si="1"/>
        <v>5.3</v>
      </c>
      <c r="R55" s="22" t="str">
        <f t="shared" si="2"/>
        <v>5+ Yrs</v>
      </c>
      <c r="S55" s="22">
        <f t="shared" si="3"/>
        <v>0</v>
      </c>
    </row>
    <row r="56" spans="1:19" x14ac:dyDescent="0.3">
      <c r="A56" s="22" t="s">
        <v>343</v>
      </c>
      <c r="B56" t="s">
        <v>344</v>
      </c>
      <c r="C56" t="s">
        <v>345</v>
      </c>
      <c r="D56" t="s">
        <v>200</v>
      </c>
      <c r="E56" s="22" t="s">
        <v>201</v>
      </c>
      <c r="F56" t="s">
        <v>253</v>
      </c>
      <c r="G56" s="22" t="s">
        <v>26</v>
      </c>
      <c r="H56" s="22">
        <f t="shared" si="0"/>
        <v>3</v>
      </c>
      <c r="I56" t="s">
        <v>41</v>
      </c>
      <c r="J56" s="22" t="s">
        <v>106</v>
      </c>
      <c r="K56" t="s">
        <v>156</v>
      </c>
      <c r="L56" t="s">
        <v>99</v>
      </c>
      <c r="M56" s="28">
        <v>44350</v>
      </c>
      <c r="N56" s="22">
        <v>30</v>
      </c>
      <c r="O56" s="22" t="str">
        <f>IF(COUNTIF(Exits_Attrition!$A$2:$A$65,A56)&gt;0,"Exited","Active")</f>
        <v>Active</v>
      </c>
      <c r="P56" s="28" t="str">
        <f>IFERROR(INDEX(Exits_Attrition!$H$2:$H$65,MATCH(A56,Exits_Attrition!$A$2:$A$65,0)),"")</f>
        <v/>
      </c>
      <c r="Q56" s="24">
        <f t="shared" si="1"/>
        <v>5.3</v>
      </c>
      <c r="R56" s="22" t="str">
        <f t="shared" si="2"/>
        <v>5+ Yrs</v>
      </c>
      <c r="S56" s="22">
        <f t="shared" si="3"/>
        <v>0</v>
      </c>
    </row>
    <row r="57" spans="1:19" x14ac:dyDescent="0.3">
      <c r="A57" s="22" t="s">
        <v>346</v>
      </c>
      <c r="B57" t="s">
        <v>347</v>
      </c>
      <c r="C57" t="s">
        <v>348</v>
      </c>
      <c r="D57" t="s">
        <v>349</v>
      </c>
      <c r="E57" s="22" t="s">
        <v>350</v>
      </c>
      <c r="F57" t="s">
        <v>244</v>
      </c>
      <c r="G57" s="22" t="s">
        <v>26</v>
      </c>
      <c r="H57" s="22">
        <f t="shared" si="0"/>
        <v>3</v>
      </c>
      <c r="I57" t="s">
        <v>39</v>
      </c>
      <c r="J57" s="22" t="s">
        <v>97</v>
      </c>
      <c r="K57" t="s">
        <v>98</v>
      </c>
      <c r="L57" t="s">
        <v>99</v>
      </c>
      <c r="M57" s="28">
        <v>44353</v>
      </c>
      <c r="N57" s="22">
        <v>32</v>
      </c>
      <c r="O57" s="22" t="str">
        <f>IF(COUNTIF(Exits_Attrition!$A$2:$A$65,A57)&gt;0,"Exited","Active")</f>
        <v>Active</v>
      </c>
      <c r="P57" s="28" t="str">
        <f>IFERROR(INDEX(Exits_Attrition!$H$2:$H$65,MATCH(A57,Exits_Attrition!$A$2:$A$65,0)),"")</f>
        <v/>
      </c>
      <c r="Q57" s="24">
        <f t="shared" si="1"/>
        <v>5.3</v>
      </c>
      <c r="R57" s="22" t="str">
        <f t="shared" si="2"/>
        <v>5+ Yrs</v>
      </c>
      <c r="S57" s="22">
        <f t="shared" si="3"/>
        <v>0</v>
      </c>
    </row>
    <row r="58" spans="1:19" x14ac:dyDescent="0.3">
      <c r="A58" s="22" t="s">
        <v>351</v>
      </c>
      <c r="B58" t="s">
        <v>352</v>
      </c>
      <c r="C58" t="s">
        <v>353</v>
      </c>
      <c r="D58" t="s">
        <v>304</v>
      </c>
      <c r="E58" s="22" t="s">
        <v>303</v>
      </c>
      <c r="F58" t="s">
        <v>244</v>
      </c>
      <c r="G58" s="22" t="s">
        <v>26</v>
      </c>
      <c r="H58" s="22">
        <f t="shared" si="0"/>
        <v>3</v>
      </c>
      <c r="I58" t="s">
        <v>39</v>
      </c>
      <c r="J58" s="22" t="s">
        <v>106</v>
      </c>
      <c r="K58" t="s">
        <v>98</v>
      </c>
      <c r="L58" t="s">
        <v>99</v>
      </c>
      <c r="M58" s="28">
        <v>44354</v>
      </c>
      <c r="N58" s="22">
        <v>34</v>
      </c>
      <c r="O58" s="22" t="str">
        <f>IF(COUNTIF(Exits_Attrition!$A$2:$A$65,A58)&gt;0,"Exited","Active")</f>
        <v>Active</v>
      </c>
      <c r="P58" s="28" t="str">
        <f>IFERROR(INDEX(Exits_Attrition!$H$2:$H$65,MATCH(A58,Exits_Attrition!$A$2:$A$65,0)),"")</f>
        <v/>
      </c>
      <c r="Q58" s="24">
        <f t="shared" si="1"/>
        <v>5.3</v>
      </c>
      <c r="R58" s="22" t="str">
        <f t="shared" si="2"/>
        <v>5+ Yrs</v>
      </c>
      <c r="S58" s="22">
        <f t="shared" si="3"/>
        <v>0</v>
      </c>
    </row>
    <row r="59" spans="1:19" x14ac:dyDescent="0.3">
      <c r="A59" s="22" t="s">
        <v>354</v>
      </c>
      <c r="B59" t="s">
        <v>355</v>
      </c>
      <c r="C59" t="s">
        <v>356</v>
      </c>
      <c r="D59" t="s">
        <v>113</v>
      </c>
      <c r="E59" s="22" t="s">
        <v>112</v>
      </c>
      <c r="F59" t="s">
        <v>183</v>
      </c>
      <c r="G59" s="22" t="s">
        <v>28</v>
      </c>
      <c r="H59" s="22">
        <f t="shared" si="0"/>
        <v>4</v>
      </c>
      <c r="I59" t="s">
        <v>39</v>
      </c>
      <c r="J59" s="22" t="s">
        <v>106</v>
      </c>
      <c r="K59" t="s">
        <v>98</v>
      </c>
      <c r="L59" t="s">
        <v>99</v>
      </c>
      <c r="M59" s="28">
        <v>44366</v>
      </c>
      <c r="N59" s="22">
        <v>36</v>
      </c>
      <c r="O59" s="22" t="str">
        <f>IF(COUNTIF(Exits_Attrition!$A$2:$A$65,A59)&gt;0,"Exited","Active")</f>
        <v>Active</v>
      </c>
      <c r="P59" s="28" t="str">
        <f>IFERROR(INDEX(Exits_Attrition!$H$2:$H$65,MATCH(A59,Exits_Attrition!$A$2:$A$65,0)),"")</f>
        <v/>
      </c>
      <c r="Q59" s="24">
        <f t="shared" si="1"/>
        <v>5.3</v>
      </c>
      <c r="R59" s="22" t="str">
        <f t="shared" si="2"/>
        <v>5+ Yrs</v>
      </c>
      <c r="S59" s="22">
        <f t="shared" si="3"/>
        <v>0</v>
      </c>
    </row>
    <row r="60" spans="1:19" x14ac:dyDescent="0.3">
      <c r="A60" s="22" t="s">
        <v>357</v>
      </c>
      <c r="B60" t="s">
        <v>358</v>
      </c>
      <c r="C60" t="s">
        <v>359</v>
      </c>
      <c r="D60" t="s">
        <v>101</v>
      </c>
      <c r="E60" s="22" t="s">
        <v>100</v>
      </c>
      <c r="F60" t="s">
        <v>183</v>
      </c>
      <c r="G60" s="22" t="s">
        <v>28</v>
      </c>
      <c r="H60" s="22">
        <f t="shared" si="0"/>
        <v>4</v>
      </c>
      <c r="I60" t="s">
        <v>39</v>
      </c>
      <c r="J60" s="22" t="s">
        <v>97</v>
      </c>
      <c r="K60" t="s">
        <v>190</v>
      </c>
      <c r="L60" t="s">
        <v>99</v>
      </c>
      <c r="M60" s="28">
        <v>44366</v>
      </c>
      <c r="N60" s="22">
        <v>33</v>
      </c>
      <c r="O60" s="22" t="str">
        <f>IF(COUNTIF(Exits_Attrition!$A$2:$A$65,A60)&gt;0,"Exited","Active")</f>
        <v>Exited</v>
      </c>
      <c r="P60" s="28">
        <f>IFERROR(INDEX(Exits_Attrition!$H$2:$H$65,MATCH(A60,Exits_Attrition!$A$2:$A$65,0)),"")</f>
        <v>46076</v>
      </c>
      <c r="Q60" s="24">
        <f t="shared" si="1"/>
        <v>4.7</v>
      </c>
      <c r="R60" s="22" t="str">
        <f t="shared" si="2"/>
        <v>3-5 Yrs</v>
      </c>
      <c r="S60" s="22">
        <f t="shared" si="3"/>
        <v>0</v>
      </c>
    </row>
    <row r="61" spans="1:19" x14ac:dyDescent="0.3">
      <c r="A61" s="22" t="s">
        <v>314</v>
      </c>
      <c r="B61" t="s">
        <v>313</v>
      </c>
      <c r="C61" t="s">
        <v>360</v>
      </c>
      <c r="D61" t="s">
        <v>361</v>
      </c>
      <c r="E61" s="22" t="s">
        <v>362</v>
      </c>
      <c r="F61" t="s">
        <v>105</v>
      </c>
      <c r="G61" s="22" t="s">
        <v>30</v>
      </c>
      <c r="H61" s="22">
        <f t="shared" si="0"/>
        <v>5</v>
      </c>
      <c r="I61" t="s">
        <v>39</v>
      </c>
      <c r="J61" s="22" t="s">
        <v>97</v>
      </c>
      <c r="K61" t="s">
        <v>98</v>
      </c>
      <c r="L61" t="s">
        <v>99</v>
      </c>
      <c r="M61" s="28">
        <v>44377</v>
      </c>
      <c r="N61" s="22">
        <v>34</v>
      </c>
      <c r="O61" s="22" t="str">
        <f>IF(COUNTIF(Exits_Attrition!$A$2:$A$65,A61)&gt;0,"Exited","Active")</f>
        <v>Active</v>
      </c>
      <c r="P61" s="28" t="str">
        <f>IFERROR(INDEX(Exits_Attrition!$H$2:$H$65,MATCH(A61,Exits_Attrition!$A$2:$A$65,0)),"")</f>
        <v/>
      </c>
      <c r="Q61" s="24">
        <f t="shared" si="1"/>
        <v>5.3</v>
      </c>
      <c r="R61" s="22" t="str">
        <f t="shared" si="2"/>
        <v>5+ Yrs</v>
      </c>
      <c r="S61" s="22">
        <f t="shared" si="3"/>
        <v>17</v>
      </c>
    </row>
    <row r="62" spans="1:19" x14ac:dyDescent="0.3">
      <c r="A62" s="22" t="s">
        <v>363</v>
      </c>
      <c r="B62" t="s">
        <v>364</v>
      </c>
      <c r="C62" t="s">
        <v>365</v>
      </c>
      <c r="D62" t="s">
        <v>136</v>
      </c>
      <c r="E62" s="22" t="s">
        <v>135</v>
      </c>
      <c r="F62" t="s">
        <v>219</v>
      </c>
      <c r="G62" s="22" t="s">
        <v>26</v>
      </c>
      <c r="H62" s="22">
        <f t="shared" si="0"/>
        <v>3</v>
      </c>
      <c r="I62" t="s">
        <v>40</v>
      </c>
      <c r="J62" s="22" t="s">
        <v>97</v>
      </c>
      <c r="K62" t="s">
        <v>98</v>
      </c>
      <c r="L62" t="s">
        <v>99</v>
      </c>
      <c r="M62" s="28">
        <v>44379</v>
      </c>
      <c r="N62" s="22">
        <v>29</v>
      </c>
      <c r="O62" s="22" t="str">
        <f>IF(COUNTIF(Exits_Attrition!$A$2:$A$65,A62)&gt;0,"Exited","Active")</f>
        <v>Active</v>
      </c>
      <c r="P62" s="28" t="str">
        <f>IFERROR(INDEX(Exits_Attrition!$H$2:$H$65,MATCH(A62,Exits_Attrition!$A$2:$A$65,0)),"")</f>
        <v/>
      </c>
      <c r="Q62" s="24">
        <f t="shared" si="1"/>
        <v>5.2</v>
      </c>
      <c r="R62" s="22" t="str">
        <f t="shared" si="2"/>
        <v>5+ Yrs</v>
      </c>
      <c r="S62" s="22">
        <f t="shared" si="3"/>
        <v>0</v>
      </c>
    </row>
    <row r="63" spans="1:19" x14ac:dyDescent="0.3">
      <c r="A63" s="22" t="s">
        <v>366</v>
      </c>
      <c r="B63" t="s">
        <v>367</v>
      </c>
      <c r="C63" t="s">
        <v>368</v>
      </c>
      <c r="D63" t="s">
        <v>313</v>
      </c>
      <c r="E63" s="22" t="s">
        <v>314</v>
      </c>
      <c r="F63" t="s">
        <v>183</v>
      </c>
      <c r="G63" s="22" t="s">
        <v>28</v>
      </c>
      <c r="H63" s="22">
        <f t="shared" si="0"/>
        <v>4</v>
      </c>
      <c r="I63" t="s">
        <v>39</v>
      </c>
      <c r="J63" s="22" t="s">
        <v>106</v>
      </c>
      <c r="K63" t="s">
        <v>98</v>
      </c>
      <c r="L63" t="s">
        <v>99</v>
      </c>
      <c r="M63" s="28">
        <v>44387</v>
      </c>
      <c r="N63" s="22">
        <v>34</v>
      </c>
      <c r="O63" s="22" t="str">
        <f>IF(COUNTIF(Exits_Attrition!$A$2:$A$65,A63)&gt;0,"Exited","Active")</f>
        <v>Active</v>
      </c>
      <c r="P63" s="28" t="str">
        <f>IFERROR(INDEX(Exits_Attrition!$H$2:$H$65,MATCH(A63,Exits_Attrition!$A$2:$A$65,0)),"")</f>
        <v/>
      </c>
      <c r="Q63" s="24">
        <f t="shared" si="1"/>
        <v>5.2</v>
      </c>
      <c r="R63" s="22" t="str">
        <f t="shared" si="2"/>
        <v>5+ Yrs</v>
      </c>
      <c r="S63" s="22">
        <f t="shared" si="3"/>
        <v>0</v>
      </c>
    </row>
    <row r="64" spans="1:19" x14ac:dyDescent="0.3">
      <c r="A64" s="22" t="s">
        <v>369</v>
      </c>
      <c r="B64" t="s">
        <v>370</v>
      </c>
      <c r="C64" t="s">
        <v>371</v>
      </c>
      <c r="D64" t="s">
        <v>242</v>
      </c>
      <c r="E64" s="22" t="s">
        <v>243</v>
      </c>
      <c r="F64" t="s">
        <v>244</v>
      </c>
      <c r="G64" s="22" t="s">
        <v>26</v>
      </c>
      <c r="H64" s="22">
        <f t="shared" si="0"/>
        <v>3</v>
      </c>
      <c r="I64" t="s">
        <v>39</v>
      </c>
      <c r="J64" s="22" t="s">
        <v>106</v>
      </c>
      <c r="K64" t="s">
        <v>98</v>
      </c>
      <c r="L64" t="s">
        <v>99</v>
      </c>
      <c r="M64" s="28">
        <v>44395</v>
      </c>
      <c r="N64" s="22">
        <v>33</v>
      </c>
      <c r="O64" s="22" t="str">
        <f>IF(COUNTIF(Exits_Attrition!$A$2:$A$65,A64)&gt;0,"Exited","Active")</f>
        <v>Exited</v>
      </c>
      <c r="P64" s="28">
        <f>IFERROR(INDEX(Exits_Attrition!$H$2:$H$65,MATCH(A64,Exits_Attrition!$A$2:$A$65,0)),"")</f>
        <v>46172</v>
      </c>
      <c r="Q64" s="24">
        <f t="shared" si="1"/>
        <v>4.9000000000000004</v>
      </c>
      <c r="R64" s="22" t="str">
        <f t="shared" si="2"/>
        <v>3-5 Yrs</v>
      </c>
      <c r="S64" s="22">
        <f t="shared" si="3"/>
        <v>0</v>
      </c>
    </row>
    <row r="65" spans="1:19" x14ac:dyDescent="0.3">
      <c r="A65" s="22" t="s">
        <v>372</v>
      </c>
      <c r="B65" t="s">
        <v>373</v>
      </c>
      <c r="C65" t="s">
        <v>374</v>
      </c>
      <c r="D65" t="s">
        <v>313</v>
      </c>
      <c r="E65" s="22" t="s">
        <v>314</v>
      </c>
      <c r="F65" t="s">
        <v>244</v>
      </c>
      <c r="G65" s="22" t="s">
        <v>26</v>
      </c>
      <c r="H65" s="22">
        <f t="shared" si="0"/>
        <v>3</v>
      </c>
      <c r="I65" t="s">
        <v>39</v>
      </c>
      <c r="J65" s="22" t="s">
        <v>97</v>
      </c>
      <c r="K65" t="s">
        <v>98</v>
      </c>
      <c r="L65" t="s">
        <v>220</v>
      </c>
      <c r="M65" s="28">
        <v>44402</v>
      </c>
      <c r="N65" s="22">
        <v>29</v>
      </c>
      <c r="O65" s="22" t="str">
        <f>IF(COUNTIF(Exits_Attrition!$A$2:$A$65,A65)&gt;0,"Exited","Active")</f>
        <v>Active</v>
      </c>
      <c r="P65" s="28" t="str">
        <f>IFERROR(INDEX(Exits_Attrition!$H$2:$H$65,MATCH(A65,Exits_Attrition!$A$2:$A$65,0)),"")</f>
        <v/>
      </c>
      <c r="Q65" s="24">
        <f t="shared" si="1"/>
        <v>5.2</v>
      </c>
      <c r="R65" s="22" t="str">
        <f t="shared" si="2"/>
        <v>5+ Yrs</v>
      </c>
      <c r="S65" s="22">
        <f t="shared" si="3"/>
        <v>0</v>
      </c>
    </row>
    <row r="66" spans="1:19" x14ac:dyDescent="0.3">
      <c r="A66" s="22" t="s">
        <v>375</v>
      </c>
      <c r="B66" t="s">
        <v>376</v>
      </c>
      <c r="C66" t="s">
        <v>377</v>
      </c>
      <c r="D66" t="s">
        <v>378</v>
      </c>
      <c r="E66" s="22" t="s">
        <v>379</v>
      </c>
      <c r="F66" t="s">
        <v>219</v>
      </c>
      <c r="G66" s="22" t="s">
        <v>26</v>
      </c>
      <c r="H66" s="22">
        <f t="shared" ref="H66:H129" si="4">VALUE(MID(G66,2,1))</f>
        <v>3</v>
      </c>
      <c r="I66" t="s">
        <v>40</v>
      </c>
      <c r="J66" s="22" t="s">
        <v>106</v>
      </c>
      <c r="K66" t="s">
        <v>156</v>
      </c>
      <c r="L66" t="s">
        <v>99</v>
      </c>
      <c r="M66" s="28">
        <v>44435</v>
      </c>
      <c r="N66" s="22">
        <v>31</v>
      </c>
      <c r="O66" s="22" t="str">
        <f>IF(COUNTIF(Exits_Attrition!$A$2:$A$65,A66)&gt;0,"Exited","Active")</f>
        <v>Active</v>
      </c>
      <c r="P66" s="28" t="str">
        <f>IFERROR(INDEX(Exits_Attrition!$H$2:$H$65,MATCH(A66,Exits_Attrition!$A$2:$A$65,0)),"")</f>
        <v/>
      </c>
      <c r="Q66" s="24">
        <f t="shared" ref="Q66:Q129" si="5">ROUND((IF(P66="",AsOf,P66)-M66)/365.25,1)</f>
        <v>5.0999999999999996</v>
      </c>
      <c r="R66" s="22" t="str">
        <f t="shared" ref="R66:R129" si="6">IF(Q66&lt;1,"Under 1 Yr",IF(Q66&lt;3,"1-3 Yrs",IF(Q66&lt;5,"3-5 Yrs","5+ Yrs")))</f>
        <v>5+ Yrs</v>
      </c>
      <c r="S66" s="22">
        <f t="shared" ref="S66:S129" si="7">COUNTIF($E$2:$E$501,A66)</f>
        <v>0</v>
      </c>
    </row>
    <row r="67" spans="1:19" x14ac:dyDescent="0.3">
      <c r="A67" s="22" t="s">
        <v>380</v>
      </c>
      <c r="B67" t="s">
        <v>381</v>
      </c>
      <c r="C67" t="s">
        <v>382</v>
      </c>
      <c r="D67" t="s">
        <v>383</v>
      </c>
      <c r="E67" s="22" t="s">
        <v>384</v>
      </c>
      <c r="F67" t="s">
        <v>155</v>
      </c>
      <c r="G67" s="22" t="s">
        <v>28</v>
      </c>
      <c r="H67" s="22">
        <f t="shared" si="4"/>
        <v>4</v>
      </c>
      <c r="I67" t="s">
        <v>40</v>
      </c>
      <c r="J67" s="22" t="s">
        <v>106</v>
      </c>
      <c r="K67" t="s">
        <v>156</v>
      </c>
      <c r="L67" t="s">
        <v>99</v>
      </c>
      <c r="M67" s="28">
        <v>44436</v>
      </c>
      <c r="N67" s="22">
        <v>32</v>
      </c>
      <c r="O67" s="22" t="str">
        <f>IF(COUNTIF(Exits_Attrition!$A$2:$A$65,A67)&gt;0,"Exited","Active")</f>
        <v>Active</v>
      </c>
      <c r="P67" s="28" t="str">
        <f>IFERROR(INDEX(Exits_Attrition!$H$2:$H$65,MATCH(A67,Exits_Attrition!$A$2:$A$65,0)),"")</f>
        <v/>
      </c>
      <c r="Q67" s="24">
        <f t="shared" si="5"/>
        <v>5.0999999999999996</v>
      </c>
      <c r="R67" s="22" t="str">
        <f t="shared" si="6"/>
        <v>5+ Yrs</v>
      </c>
      <c r="S67" s="22">
        <f t="shared" si="7"/>
        <v>0</v>
      </c>
    </row>
    <row r="68" spans="1:19" x14ac:dyDescent="0.3">
      <c r="A68" s="22" t="s">
        <v>271</v>
      </c>
      <c r="B68" t="s">
        <v>270</v>
      </c>
      <c r="C68" t="s">
        <v>385</v>
      </c>
      <c r="D68" t="s">
        <v>94</v>
      </c>
      <c r="E68" s="22" t="s">
        <v>95</v>
      </c>
      <c r="F68" t="s">
        <v>386</v>
      </c>
      <c r="G68" s="22" t="s">
        <v>34</v>
      </c>
      <c r="H68" s="22">
        <f t="shared" si="4"/>
        <v>7</v>
      </c>
      <c r="I68" t="s">
        <v>42</v>
      </c>
      <c r="J68" s="22" t="s">
        <v>106</v>
      </c>
      <c r="K68" t="s">
        <v>124</v>
      </c>
      <c r="L68" t="s">
        <v>99</v>
      </c>
      <c r="M68" s="28">
        <v>44442</v>
      </c>
      <c r="N68" s="22">
        <v>38</v>
      </c>
      <c r="O68" s="22" t="str">
        <f>IF(COUNTIF(Exits_Attrition!$A$2:$A$65,A68)&gt;0,"Exited","Active")</f>
        <v>Active</v>
      </c>
      <c r="P68" s="28" t="str">
        <f>IFERROR(INDEX(Exits_Attrition!$H$2:$H$65,MATCH(A68,Exits_Attrition!$A$2:$A$65,0)),"")</f>
        <v/>
      </c>
      <c r="Q68" s="24">
        <f t="shared" si="5"/>
        <v>5.0999999999999996</v>
      </c>
      <c r="R68" s="22" t="str">
        <f t="shared" si="6"/>
        <v>5+ Yrs</v>
      </c>
      <c r="S68" s="22">
        <f t="shared" si="7"/>
        <v>2</v>
      </c>
    </row>
    <row r="69" spans="1:19" x14ac:dyDescent="0.3">
      <c r="A69" s="22" t="s">
        <v>387</v>
      </c>
      <c r="B69" t="s">
        <v>388</v>
      </c>
      <c r="C69" t="s">
        <v>389</v>
      </c>
      <c r="D69" t="s">
        <v>173</v>
      </c>
      <c r="E69" s="22" t="s">
        <v>172</v>
      </c>
      <c r="F69" t="s">
        <v>202</v>
      </c>
      <c r="G69" s="22" t="s">
        <v>28</v>
      </c>
      <c r="H69" s="22">
        <f t="shared" si="4"/>
        <v>4</v>
      </c>
      <c r="I69" t="s">
        <v>41</v>
      </c>
      <c r="J69" s="22" t="s">
        <v>97</v>
      </c>
      <c r="K69" t="s">
        <v>156</v>
      </c>
      <c r="L69" t="s">
        <v>99</v>
      </c>
      <c r="M69" s="28">
        <v>44453</v>
      </c>
      <c r="N69" s="22">
        <v>37</v>
      </c>
      <c r="O69" s="22" t="str">
        <f>IF(COUNTIF(Exits_Attrition!$A$2:$A$65,A69)&gt;0,"Exited","Active")</f>
        <v>Active</v>
      </c>
      <c r="P69" s="28" t="str">
        <f>IFERROR(INDEX(Exits_Attrition!$H$2:$H$65,MATCH(A69,Exits_Attrition!$A$2:$A$65,0)),"")</f>
        <v/>
      </c>
      <c r="Q69" s="24">
        <f t="shared" si="5"/>
        <v>5</v>
      </c>
      <c r="R69" s="22" t="str">
        <f t="shared" si="6"/>
        <v>5+ Yrs</v>
      </c>
      <c r="S69" s="22">
        <f t="shared" si="7"/>
        <v>0</v>
      </c>
    </row>
    <row r="70" spans="1:19" x14ac:dyDescent="0.3">
      <c r="A70" s="22" t="s">
        <v>176</v>
      </c>
      <c r="B70" t="s">
        <v>175</v>
      </c>
      <c r="C70" t="s">
        <v>390</v>
      </c>
      <c r="D70" t="s">
        <v>391</v>
      </c>
      <c r="E70" s="22" t="s">
        <v>392</v>
      </c>
      <c r="F70" t="s">
        <v>393</v>
      </c>
      <c r="G70" s="22" t="s">
        <v>32</v>
      </c>
      <c r="H70" s="22">
        <f t="shared" si="4"/>
        <v>6</v>
      </c>
      <c r="I70" t="s">
        <v>41</v>
      </c>
      <c r="J70" s="22" t="s">
        <v>106</v>
      </c>
      <c r="K70" t="s">
        <v>124</v>
      </c>
      <c r="L70" t="s">
        <v>99</v>
      </c>
      <c r="M70" s="28">
        <v>44454</v>
      </c>
      <c r="N70" s="22">
        <v>39</v>
      </c>
      <c r="O70" s="22" t="str">
        <f>IF(COUNTIF(Exits_Attrition!$A$2:$A$65,A70)&gt;0,"Exited","Active")</f>
        <v>Active</v>
      </c>
      <c r="P70" s="28" t="str">
        <f>IFERROR(INDEX(Exits_Attrition!$H$2:$H$65,MATCH(A70,Exits_Attrition!$A$2:$A$65,0)),"")</f>
        <v/>
      </c>
      <c r="Q70" s="24">
        <f t="shared" si="5"/>
        <v>5</v>
      </c>
      <c r="R70" s="22" t="str">
        <f t="shared" si="6"/>
        <v>5+ Yrs</v>
      </c>
      <c r="S70" s="22">
        <f t="shared" si="7"/>
        <v>5</v>
      </c>
    </row>
    <row r="71" spans="1:19" x14ac:dyDescent="0.3">
      <c r="A71" s="22" t="s">
        <v>394</v>
      </c>
      <c r="B71" t="s">
        <v>395</v>
      </c>
      <c r="C71" t="s">
        <v>396</v>
      </c>
      <c r="D71" t="s">
        <v>204</v>
      </c>
      <c r="E71" s="22" t="s">
        <v>203</v>
      </c>
      <c r="F71" t="s">
        <v>212</v>
      </c>
      <c r="G71" s="22" t="s">
        <v>26</v>
      </c>
      <c r="H71" s="22">
        <f t="shared" si="4"/>
        <v>3</v>
      </c>
      <c r="I71" t="s">
        <v>45</v>
      </c>
      <c r="J71" s="22" t="s">
        <v>106</v>
      </c>
      <c r="K71" t="s">
        <v>107</v>
      </c>
      <c r="L71" t="s">
        <v>99</v>
      </c>
      <c r="M71" s="28">
        <v>44468</v>
      </c>
      <c r="N71" s="22">
        <v>35</v>
      </c>
      <c r="O71" s="22" t="str">
        <f>IF(COUNTIF(Exits_Attrition!$A$2:$A$65,A71)&gt;0,"Exited","Active")</f>
        <v>Exited</v>
      </c>
      <c r="P71" s="28">
        <f>IFERROR(INDEX(Exits_Attrition!$H$2:$H$65,MATCH(A71,Exits_Attrition!$A$2:$A$65,0)),"")</f>
        <v>46059</v>
      </c>
      <c r="Q71" s="24">
        <f t="shared" si="5"/>
        <v>4.4000000000000004</v>
      </c>
      <c r="R71" s="22" t="str">
        <f t="shared" si="6"/>
        <v>3-5 Yrs</v>
      </c>
      <c r="S71" s="22">
        <f t="shared" si="7"/>
        <v>0</v>
      </c>
    </row>
    <row r="72" spans="1:19" x14ac:dyDescent="0.3">
      <c r="A72" s="22" t="s">
        <v>397</v>
      </c>
      <c r="B72" t="s">
        <v>398</v>
      </c>
      <c r="C72" t="s">
        <v>399</v>
      </c>
      <c r="D72" t="s">
        <v>400</v>
      </c>
      <c r="E72" s="22" t="s">
        <v>401</v>
      </c>
      <c r="F72" t="s">
        <v>183</v>
      </c>
      <c r="G72" s="22" t="s">
        <v>28</v>
      </c>
      <c r="H72" s="22">
        <f t="shared" si="4"/>
        <v>4</v>
      </c>
      <c r="I72" t="s">
        <v>39</v>
      </c>
      <c r="J72" s="22" t="s">
        <v>97</v>
      </c>
      <c r="K72" t="s">
        <v>107</v>
      </c>
      <c r="L72" t="s">
        <v>99</v>
      </c>
      <c r="M72" s="28">
        <v>44471</v>
      </c>
      <c r="N72" s="22">
        <v>35</v>
      </c>
      <c r="O72" s="22" t="str">
        <f>IF(COUNTIF(Exits_Attrition!$A$2:$A$65,A72)&gt;0,"Exited","Active")</f>
        <v>Active</v>
      </c>
      <c r="P72" s="28" t="str">
        <f>IFERROR(INDEX(Exits_Attrition!$H$2:$H$65,MATCH(A72,Exits_Attrition!$A$2:$A$65,0)),"")</f>
        <v/>
      </c>
      <c r="Q72" s="24">
        <f t="shared" si="5"/>
        <v>5</v>
      </c>
      <c r="R72" s="22" t="str">
        <f t="shared" si="6"/>
        <v>5+ Yrs</v>
      </c>
      <c r="S72" s="22">
        <f t="shared" si="7"/>
        <v>0</v>
      </c>
    </row>
    <row r="73" spans="1:19" x14ac:dyDescent="0.3">
      <c r="A73" s="22" t="s">
        <v>402</v>
      </c>
      <c r="B73" t="s">
        <v>403</v>
      </c>
      <c r="C73" t="s">
        <v>404</v>
      </c>
      <c r="D73" t="s">
        <v>185</v>
      </c>
      <c r="E73" s="22" t="s">
        <v>184</v>
      </c>
      <c r="F73" t="s">
        <v>130</v>
      </c>
      <c r="G73" s="22" t="s">
        <v>28</v>
      </c>
      <c r="H73" s="22">
        <f t="shared" si="4"/>
        <v>4</v>
      </c>
      <c r="I73" t="s">
        <v>44</v>
      </c>
      <c r="J73" s="22" t="s">
        <v>106</v>
      </c>
      <c r="K73" t="s">
        <v>124</v>
      </c>
      <c r="L73" t="s">
        <v>99</v>
      </c>
      <c r="M73" s="28">
        <v>44473</v>
      </c>
      <c r="N73" s="22">
        <v>37</v>
      </c>
      <c r="O73" s="22" t="str">
        <f>IF(COUNTIF(Exits_Attrition!$A$2:$A$65,A73)&gt;0,"Exited","Active")</f>
        <v>Active</v>
      </c>
      <c r="P73" s="28" t="str">
        <f>IFERROR(INDEX(Exits_Attrition!$H$2:$H$65,MATCH(A73,Exits_Attrition!$A$2:$A$65,0)),"")</f>
        <v/>
      </c>
      <c r="Q73" s="24">
        <f t="shared" si="5"/>
        <v>5</v>
      </c>
      <c r="R73" s="22" t="str">
        <f t="shared" si="6"/>
        <v>5+ Yrs</v>
      </c>
      <c r="S73" s="22">
        <f t="shared" si="7"/>
        <v>0</v>
      </c>
    </row>
    <row r="74" spans="1:19" x14ac:dyDescent="0.3">
      <c r="A74" s="22" t="s">
        <v>405</v>
      </c>
      <c r="B74" t="s">
        <v>406</v>
      </c>
      <c r="C74" t="s">
        <v>407</v>
      </c>
      <c r="D74" t="s">
        <v>285</v>
      </c>
      <c r="E74" s="22" t="s">
        <v>286</v>
      </c>
      <c r="F74" t="s">
        <v>408</v>
      </c>
      <c r="G74" s="22" t="s">
        <v>26</v>
      </c>
      <c r="H74" s="22">
        <f t="shared" si="4"/>
        <v>3</v>
      </c>
      <c r="I74" t="s">
        <v>43</v>
      </c>
      <c r="J74" s="22" t="s">
        <v>106</v>
      </c>
      <c r="K74" t="s">
        <v>98</v>
      </c>
      <c r="L74" t="s">
        <v>99</v>
      </c>
      <c r="M74" s="28">
        <v>44486</v>
      </c>
      <c r="N74" s="22">
        <v>32</v>
      </c>
      <c r="O74" s="22" t="str">
        <f>IF(COUNTIF(Exits_Attrition!$A$2:$A$65,A74)&gt;0,"Exited","Active")</f>
        <v>Active</v>
      </c>
      <c r="P74" s="28" t="str">
        <f>IFERROR(INDEX(Exits_Attrition!$H$2:$H$65,MATCH(A74,Exits_Attrition!$A$2:$A$65,0)),"")</f>
        <v/>
      </c>
      <c r="Q74" s="24">
        <f t="shared" si="5"/>
        <v>5</v>
      </c>
      <c r="R74" s="22" t="str">
        <f t="shared" si="6"/>
        <v>5+ Yrs</v>
      </c>
      <c r="S74" s="22">
        <f t="shared" si="7"/>
        <v>0</v>
      </c>
    </row>
    <row r="75" spans="1:19" x14ac:dyDescent="0.3">
      <c r="A75" s="22" t="s">
        <v>409</v>
      </c>
      <c r="B75" t="s">
        <v>410</v>
      </c>
      <c r="C75" t="s">
        <v>411</v>
      </c>
      <c r="D75" t="s">
        <v>268</v>
      </c>
      <c r="E75" s="22" t="s">
        <v>267</v>
      </c>
      <c r="F75" t="s">
        <v>238</v>
      </c>
      <c r="G75" s="22" t="s">
        <v>26</v>
      </c>
      <c r="H75" s="22">
        <f t="shared" si="4"/>
        <v>3</v>
      </c>
      <c r="I75" t="s">
        <v>42</v>
      </c>
      <c r="J75" s="22" t="s">
        <v>97</v>
      </c>
      <c r="K75" t="s">
        <v>124</v>
      </c>
      <c r="L75" t="s">
        <v>99</v>
      </c>
      <c r="M75" s="28">
        <v>44487</v>
      </c>
      <c r="N75" s="22">
        <v>32</v>
      </c>
      <c r="O75" s="22" t="str">
        <f>IF(COUNTIF(Exits_Attrition!$A$2:$A$65,A75)&gt;0,"Exited","Active")</f>
        <v>Active</v>
      </c>
      <c r="P75" s="28" t="str">
        <f>IFERROR(INDEX(Exits_Attrition!$H$2:$H$65,MATCH(A75,Exits_Attrition!$A$2:$A$65,0)),"")</f>
        <v/>
      </c>
      <c r="Q75" s="24">
        <f t="shared" si="5"/>
        <v>5</v>
      </c>
      <c r="R75" s="22" t="str">
        <f t="shared" si="6"/>
        <v>5+ Yrs</v>
      </c>
      <c r="S75" s="22">
        <f t="shared" si="7"/>
        <v>0</v>
      </c>
    </row>
    <row r="76" spans="1:19" x14ac:dyDescent="0.3">
      <c r="A76" s="22" t="s">
        <v>412</v>
      </c>
      <c r="B76" t="s">
        <v>413</v>
      </c>
      <c r="C76" t="s">
        <v>414</v>
      </c>
      <c r="D76" t="s">
        <v>415</v>
      </c>
      <c r="E76" s="22" t="s">
        <v>416</v>
      </c>
      <c r="F76" t="s">
        <v>219</v>
      </c>
      <c r="G76" s="22" t="s">
        <v>26</v>
      </c>
      <c r="H76" s="22">
        <f t="shared" si="4"/>
        <v>3</v>
      </c>
      <c r="I76" t="s">
        <v>40</v>
      </c>
      <c r="J76" s="22" t="s">
        <v>106</v>
      </c>
      <c r="K76" t="s">
        <v>156</v>
      </c>
      <c r="L76" t="s">
        <v>99</v>
      </c>
      <c r="M76" s="28">
        <v>44503</v>
      </c>
      <c r="N76" s="22">
        <v>30</v>
      </c>
      <c r="O76" s="22" t="str">
        <f>IF(COUNTIF(Exits_Attrition!$A$2:$A$65,A76)&gt;0,"Exited","Active")</f>
        <v>Active</v>
      </c>
      <c r="P76" s="28" t="str">
        <f>IFERROR(INDEX(Exits_Attrition!$H$2:$H$65,MATCH(A76,Exits_Attrition!$A$2:$A$65,0)),"")</f>
        <v/>
      </c>
      <c r="Q76" s="24">
        <f t="shared" si="5"/>
        <v>4.9000000000000004</v>
      </c>
      <c r="R76" s="22" t="str">
        <f t="shared" si="6"/>
        <v>3-5 Yrs</v>
      </c>
      <c r="S76" s="22">
        <f t="shared" si="7"/>
        <v>0</v>
      </c>
    </row>
    <row r="77" spans="1:19" x14ac:dyDescent="0.3">
      <c r="A77" s="22" t="s">
        <v>417</v>
      </c>
      <c r="B77" t="s">
        <v>418</v>
      </c>
      <c r="C77" t="s">
        <v>419</v>
      </c>
      <c r="D77" t="s">
        <v>181</v>
      </c>
      <c r="E77" s="22" t="s">
        <v>182</v>
      </c>
      <c r="F77" t="s">
        <v>244</v>
      </c>
      <c r="G77" s="22" t="s">
        <v>26</v>
      </c>
      <c r="H77" s="22">
        <f t="shared" si="4"/>
        <v>3</v>
      </c>
      <c r="I77" t="s">
        <v>39</v>
      </c>
      <c r="J77" s="22" t="s">
        <v>97</v>
      </c>
      <c r="K77" t="s">
        <v>98</v>
      </c>
      <c r="L77" t="s">
        <v>99</v>
      </c>
      <c r="M77" s="28">
        <v>44506</v>
      </c>
      <c r="N77" s="22">
        <v>29</v>
      </c>
      <c r="O77" s="22" t="str">
        <f>IF(COUNTIF(Exits_Attrition!$A$2:$A$65,A77)&gt;0,"Exited","Active")</f>
        <v>Active</v>
      </c>
      <c r="P77" s="28" t="str">
        <f>IFERROR(INDEX(Exits_Attrition!$H$2:$H$65,MATCH(A77,Exits_Attrition!$A$2:$A$65,0)),"")</f>
        <v/>
      </c>
      <c r="Q77" s="24">
        <f t="shared" si="5"/>
        <v>4.9000000000000004</v>
      </c>
      <c r="R77" s="22" t="str">
        <f t="shared" si="6"/>
        <v>3-5 Yrs</v>
      </c>
      <c r="S77" s="22">
        <f t="shared" si="7"/>
        <v>0</v>
      </c>
    </row>
    <row r="78" spans="1:19" x14ac:dyDescent="0.3">
      <c r="A78" s="22" t="s">
        <v>420</v>
      </c>
      <c r="B78" t="s">
        <v>421</v>
      </c>
      <c r="C78" t="s">
        <v>422</v>
      </c>
      <c r="D78" t="s">
        <v>119</v>
      </c>
      <c r="E78" s="22" t="s">
        <v>118</v>
      </c>
      <c r="F78" t="s">
        <v>219</v>
      </c>
      <c r="G78" s="22" t="s">
        <v>26</v>
      </c>
      <c r="H78" s="22">
        <f t="shared" si="4"/>
        <v>3</v>
      </c>
      <c r="I78" t="s">
        <v>40</v>
      </c>
      <c r="J78" s="22" t="s">
        <v>106</v>
      </c>
      <c r="K78" t="s">
        <v>156</v>
      </c>
      <c r="L78" t="s">
        <v>99</v>
      </c>
      <c r="M78" s="28">
        <v>44511</v>
      </c>
      <c r="N78" s="22">
        <v>34</v>
      </c>
      <c r="O78" s="22" t="str">
        <f>IF(COUNTIF(Exits_Attrition!$A$2:$A$65,A78)&gt;0,"Exited","Active")</f>
        <v>Active</v>
      </c>
      <c r="P78" s="28" t="str">
        <f>IFERROR(INDEX(Exits_Attrition!$H$2:$H$65,MATCH(A78,Exits_Attrition!$A$2:$A$65,0)),"")</f>
        <v/>
      </c>
      <c r="Q78" s="24">
        <f t="shared" si="5"/>
        <v>4.9000000000000004</v>
      </c>
      <c r="R78" s="22" t="str">
        <f t="shared" si="6"/>
        <v>3-5 Yrs</v>
      </c>
      <c r="S78" s="22">
        <f t="shared" si="7"/>
        <v>0</v>
      </c>
    </row>
    <row r="79" spans="1:19" x14ac:dyDescent="0.3">
      <c r="A79" s="22" t="s">
        <v>423</v>
      </c>
      <c r="B79" t="s">
        <v>424</v>
      </c>
      <c r="C79" t="s">
        <v>425</v>
      </c>
      <c r="D79" t="s">
        <v>294</v>
      </c>
      <c r="E79" s="22" t="s">
        <v>293</v>
      </c>
      <c r="F79" t="s">
        <v>426</v>
      </c>
      <c r="G79" s="22" t="s">
        <v>28</v>
      </c>
      <c r="H79" s="22">
        <f t="shared" si="4"/>
        <v>4</v>
      </c>
      <c r="I79" t="s">
        <v>46</v>
      </c>
      <c r="J79" s="22" t="s">
        <v>97</v>
      </c>
      <c r="K79" t="s">
        <v>98</v>
      </c>
      <c r="L79" t="s">
        <v>99</v>
      </c>
      <c r="M79" s="28">
        <v>44529</v>
      </c>
      <c r="N79" s="22">
        <v>37</v>
      </c>
      <c r="O79" s="22" t="str">
        <f>IF(COUNTIF(Exits_Attrition!$A$2:$A$65,A79)&gt;0,"Exited","Active")</f>
        <v>Active</v>
      </c>
      <c r="P79" s="28" t="str">
        <f>IFERROR(INDEX(Exits_Attrition!$H$2:$H$65,MATCH(A79,Exits_Attrition!$A$2:$A$65,0)),"")</f>
        <v/>
      </c>
      <c r="Q79" s="24">
        <f t="shared" si="5"/>
        <v>4.8</v>
      </c>
      <c r="R79" s="22" t="str">
        <f t="shared" si="6"/>
        <v>3-5 Yrs</v>
      </c>
      <c r="S79" s="22">
        <f t="shared" si="7"/>
        <v>0</v>
      </c>
    </row>
    <row r="80" spans="1:19" x14ac:dyDescent="0.3">
      <c r="A80" s="22" t="s">
        <v>427</v>
      </c>
      <c r="B80" t="s">
        <v>428</v>
      </c>
      <c r="C80" t="s">
        <v>429</v>
      </c>
      <c r="D80" t="s">
        <v>128</v>
      </c>
      <c r="E80" s="22" t="s">
        <v>129</v>
      </c>
      <c r="F80" t="s">
        <v>263</v>
      </c>
      <c r="G80" s="22" t="s">
        <v>26</v>
      </c>
      <c r="H80" s="22">
        <f t="shared" si="4"/>
        <v>3</v>
      </c>
      <c r="I80" t="s">
        <v>44</v>
      </c>
      <c r="J80" s="22" t="s">
        <v>97</v>
      </c>
      <c r="K80" t="s">
        <v>124</v>
      </c>
      <c r="L80" t="s">
        <v>99</v>
      </c>
      <c r="M80" s="28">
        <v>44530</v>
      </c>
      <c r="N80" s="22">
        <v>30</v>
      </c>
      <c r="O80" s="22" t="str">
        <f>IF(COUNTIF(Exits_Attrition!$A$2:$A$65,A80)&gt;0,"Exited","Active")</f>
        <v>Active</v>
      </c>
      <c r="P80" s="28" t="str">
        <f>IFERROR(INDEX(Exits_Attrition!$H$2:$H$65,MATCH(A80,Exits_Attrition!$A$2:$A$65,0)),"")</f>
        <v/>
      </c>
      <c r="Q80" s="24">
        <f t="shared" si="5"/>
        <v>4.8</v>
      </c>
      <c r="R80" s="22" t="str">
        <f t="shared" si="6"/>
        <v>3-5 Yrs</v>
      </c>
      <c r="S80" s="22">
        <f t="shared" si="7"/>
        <v>0</v>
      </c>
    </row>
    <row r="81" spans="1:19" x14ac:dyDescent="0.3">
      <c r="A81" s="22" t="s">
        <v>430</v>
      </c>
      <c r="B81" t="s">
        <v>431</v>
      </c>
      <c r="C81" t="s">
        <v>432</v>
      </c>
      <c r="D81" t="s">
        <v>433</v>
      </c>
      <c r="E81" s="22" t="s">
        <v>434</v>
      </c>
      <c r="F81" t="s">
        <v>212</v>
      </c>
      <c r="G81" s="22" t="s">
        <v>26</v>
      </c>
      <c r="H81" s="22">
        <f t="shared" si="4"/>
        <v>3</v>
      </c>
      <c r="I81" t="s">
        <v>45</v>
      </c>
      <c r="J81" s="22" t="s">
        <v>97</v>
      </c>
      <c r="K81" t="s">
        <v>98</v>
      </c>
      <c r="L81" t="s">
        <v>99</v>
      </c>
      <c r="M81" s="28">
        <v>44531</v>
      </c>
      <c r="N81" s="22">
        <v>32</v>
      </c>
      <c r="O81" s="22" t="str">
        <f>IF(COUNTIF(Exits_Attrition!$A$2:$A$65,A81)&gt;0,"Exited","Active")</f>
        <v>Active</v>
      </c>
      <c r="P81" s="28" t="str">
        <f>IFERROR(INDEX(Exits_Attrition!$H$2:$H$65,MATCH(A81,Exits_Attrition!$A$2:$A$65,0)),"")</f>
        <v/>
      </c>
      <c r="Q81" s="24">
        <f t="shared" si="5"/>
        <v>4.8</v>
      </c>
      <c r="R81" s="22" t="str">
        <f t="shared" si="6"/>
        <v>3-5 Yrs</v>
      </c>
      <c r="S81" s="22">
        <f t="shared" si="7"/>
        <v>0</v>
      </c>
    </row>
    <row r="82" spans="1:19" x14ac:dyDescent="0.3">
      <c r="A82" s="22" t="s">
        <v>435</v>
      </c>
      <c r="B82" t="s">
        <v>436</v>
      </c>
      <c r="C82" t="s">
        <v>437</v>
      </c>
      <c r="D82" t="s">
        <v>101</v>
      </c>
      <c r="E82" s="22" t="s">
        <v>100</v>
      </c>
      <c r="F82" t="s">
        <v>244</v>
      </c>
      <c r="G82" s="22" t="s">
        <v>26</v>
      </c>
      <c r="H82" s="22">
        <f t="shared" si="4"/>
        <v>3</v>
      </c>
      <c r="I82" t="s">
        <v>39</v>
      </c>
      <c r="J82" s="22" t="s">
        <v>106</v>
      </c>
      <c r="K82" t="s">
        <v>213</v>
      </c>
      <c r="L82" t="s">
        <v>99</v>
      </c>
      <c r="M82" s="28">
        <v>44547</v>
      </c>
      <c r="N82" s="22">
        <v>32</v>
      </c>
      <c r="O82" s="22" t="str">
        <f>IF(COUNTIF(Exits_Attrition!$A$2:$A$65,A82)&gt;0,"Exited","Active")</f>
        <v>Active</v>
      </c>
      <c r="P82" s="28" t="str">
        <f>IFERROR(INDEX(Exits_Attrition!$H$2:$H$65,MATCH(A82,Exits_Attrition!$A$2:$A$65,0)),"")</f>
        <v/>
      </c>
      <c r="Q82" s="24">
        <f t="shared" si="5"/>
        <v>4.8</v>
      </c>
      <c r="R82" s="22" t="str">
        <f t="shared" si="6"/>
        <v>3-5 Yrs</v>
      </c>
      <c r="S82" s="22">
        <f t="shared" si="7"/>
        <v>0</v>
      </c>
    </row>
    <row r="83" spans="1:19" x14ac:dyDescent="0.3">
      <c r="A83" s="22" t="s">
        <v>438</v>
      </c>
      <c r="B83" t="s">
        <v>439</v>
      </c>
      <c r="C83" t="s">
        <v>440</v>
      </c>
      <c r="D83" t="s">
        <v>116</v>
      </c>
      <c r="E83" s="22" t="s">
        <v>115</v>
      </c>
      <c r="F83" t="s">
        <v>183</v>
      </c>
      <c r="G83" s="22" t="s">
        <v>28</v>
      </c>
      <c r="H83" s="22">
        <f t="shared" si="4"/>
        <v>4</v>
      </c>
      <c r="I83" t="s">
        <v>39</v>
      </c>
      <c r="J83" s="22" t="s">
        <v>97</v>
      </c>
      <c r="K83" t="s">
        <v>98</v>
      </c>
      <c r="L83" t="s">
        <v>220</v>
      </c>
      <c r="M83" s="28">
        <v>44563</v>
      </c>
      <c r="N83" s="22">
        <v>36</v>
      </c>
      <c r="O83" s="22" t="str">
        <f>IF(COUNTIF(Exits_Attrition!$A$2:$A$65,A83)&gt;0,"Exited","Active")</f>
        <v>Active</v>
      </c>
      <c r="P83" s="28" t="str">
        <f>IFERROR(INDEX(Exits_Attrition!$H$2:$H$65,MATCH(A83,Exits_Attrition!$A$2:$A$65,0)),"")</f>
        <v/>
      </c>
      <c r="Q83" s="24">
        <f t="shared" si="5"/>
        <v>4.7</v>
      </c>
      <c r="R83" s="22" t="str">
        <f t="shared" si="6"/>
        <v>3-5 Yrs</v>
      </c>
      <c r="S83" s="22">
        <f t="shared" si="7"/>
        <v>0</v>
      </c>
    </row>
    <row r="84" spans="1:19" x14ac:dyDescent="0.3">
      <c r="A84" s="22" t="s">
        <v>167</v>
      </c>
      <c r="B84" t="s">
        <v>166</v>
      </c>
      <c r="C84" t="s">
        <v>441</v>
      </c>
      <c r="D84" t="s">
        <v>109</v>
      </c>
      <c r="E84" s="22" t="s">
        <v>108</v>
      </c>
      <c r="F84" t="s">
        <v>442</v>
      </c>
      <c r="G84" s="22" t="s">
        <v>30</v>
      </c>
      <c r="H84" s="22">
        <f t="shared" si="4"/>
        <v>5</v>
      </c>
      <c r="I84" t="s">
        <v>47</v>
      </c>
      <c r="J84" s="22" t="s">
        <v>106</v>
      </c>
      <c r="K84" t="s">
        <v>190</v>
      </c>
      <c r="L84" t="s">
        <v>99</v>
      </c>
      <c r="M84" s="28">
        <v>44566</v>
      </c>
      <c r="N84" s="22">
        <v>36</v>
      </c>
      <c r="O84" s="22" t="str">
        <f>IF(COUNTIF(Exits_Attrition!$A$2:$A$65,A84)&gt;0,"Exited","Active")</f>
        <v>Active</v>
      </c>
      <c r="P84" s="28" t="str">
        <f>IFERROR(INDEX(Exits_Attrition!$H$2:$H$65,MATCH(A84,Exits_Attrition!$A$2:$A$65,0)),"")</f>
        <v/>
      </c>
      <c r="Q84" s="24">
        <f t="shared" si="5"/>
        <v>4.7</v>
      </c>
      <c r="R84" s="22" t="str">
        <f t="shared" si="6"/>
        <v>3-5 Yrs</v>
      </c>
      <c r="S84" s="22">
        <f t="shared" si="7"/>
        <v>10</v>
      </c>
    </row>
    <row r="85" spans="1:19" x14ac:dyDescent="0.3">
      <c r="A85" s="22" t="s">
        <v>286</v>
      </c>
      <c r="B85" t="s">
        <v>285</v>
      </c>
      <c r="C85" t="s">
        <v>443</v>
      </c>
      <c r="D85" t="s">
        <v>145</v>
      </c>
      <c r="E85" s="22" t="s">
        <v>144</v>
      </c>
      <c r="F85" t="s">
        <v>444</v>
      </c>
      <c r="G85" s="22" t="s">
        <v>30</v>
      </c>
      <c r="H85" s="22">
        <f t="shared" si="4"/>
        <v>5</v>
      </c>
      <c r="I85" t="s">
        <v>43</v>
      </c>
      <c r="J85" s="22" t="s">
        <v>97</v>
      </c>
      <c r="K85" t="s">
        <v>98</v>
      </c>
      <c r="L85" t="s">
        <v>99</v>
      </c>
      <c r="M85" s="28">
        <v>44571</v>
      </c>
      <c r="N85" s="22">
        <v>33</v>
      </c>
      <c r="O85" s="22" t="str">
        <f>IF(COUNTIF(Exits_Attrition!$A$2:$A$65,A85)&gt;0,"Exited","Active")</f>
        <v>Active</v>
      </c>
      <c r="P85" s="28" t="str">
        <f>IFERROR(INDEX(Exits_Attrition!$H$2:$H$65,MATCH(A85,Exits_Attrition!$A$2:$A$65,0)),"")</f>
        <v/>
      </c>
      <c r="Q85" s="24">
        <f t="shared" si="5"/>
        <v>4.7</v>
      </c>
      <c r="R85" s="22" t="str">
        <f t="shared" si="6"/>
        <v>3-5 Yrs</v>
      </c>
      <c r="S85" s="22">
        <f t="shared" si="7"/>
        <v>9</v>
      </c>
    </row>
    <row r="86" spans="1:19" x14ac:dyDescent="0.3">
      <c r="A86" s="22" t="s">
        <v>445</v>
      </c>
      <c r="B86" t="s">
        <v>446</v>
      </c>
      <c r="C86" t="s">
        <v>447</v>
      </c>
      <c r="D86" t="s">
        <v>153</v>
      </c>
      <c r="E86" s="22" t="s">
        <v>154</v>
      </c>
      <c r="F86" t="s">
        <v>219</v>
      </c>
      <c r="G86" s="22" t="s">
        <v>26</v>
      </c>
      <c r="H86" s="22">
        <f t="shared" si="4"/>
        <v>3</v>
      </c>
      <c r="I86" t="s">
        <v>40</v>
      </c>
      <c r="J86" s="22" t="s">
        <v>106</v>
      </c>
      <c r="K86" t="s">
        <v>156</v>
      </c>
      <c r="L86" t="s">
        <v>99</v>
      </c>
      <c r="M86" s="28">
        <v>44573</v>
      </c>
      <c r="N86" s="22">
        <v>35</v>
      </c>
      <c r="O86" s="22" t="str">
        <f>IF(COUNTIF(Exits_Attrition!$A$2:$A$65,A86)&gt;0,"Exited","Active")</f>
        <v>Active</v>
      </c>
      <c r="P86" s="28" t="str">
        <f>IFERROR(INDEX(Exits_Attrition!$H$2:$H$65,MATCH(A86,Exits_Attrition!$A$2:$A$65,0)),"")</f>
        <v/>
      </c>
      <c r="Q86" s="24">
        <f t="shared" si="5"/>
        <v>4.7</v>
      </c>
      <c r="R86" s="22" t="str">
        <f t="shared" si="6"/>
        <v>3-5 Yrs</v>
      </c>
      <c r="S86" s="22">
        <f t="shared" si="7"/>
        <v>0</v>
      </c>
    </row>
    <row r="87" spans="1:19" x14ac:dyDescent="0.3">
      <c r="A87" s="22" t="s">
        <v>243</v>
      </c>
      <c r="B87" t="s">
        <v>242</v>
      </c>
      <c r="C87" t="s">
        <v>448</v>
      </c>
      <c r="D87" t="s">
        <v>361</v>
      </c>
      <c r="E87" s="22" t="s">
        <v>362</v>
      </c>
      <c r="F87" t="s">
        <v>105</v>
      </c>
      <c r="G87" s="22" t="s">
        <v>30</v>
      </c>
      <c r="H87" s="22">
        <f t="shared" si="4"/>
        <v>5</v>
      </c>
      <c r="I87" t="s">
        <v>39</v>
      </c>
      <c r="J87" s="22" t="s">
        <v>97</v>
      </c>
      <c r="K87" t="s">
        <v>98</v>
      </c>
      <c r="L87" t="s">
        <v>99</v>
      </c>
      <c r="M87" s="28">
        <v>44575</v>
      </c>
      <c r="N87" s="22">
        <v>39</v>
      </c>
      <c r="O87" s="22" t="str">
        <f>IF(COUNTIF(Exits_Attrition!$A$2:$A$65,A87)&gt;0,"Exited","Active")</f>
        <v>Active</v>
      </c>
      <c r="P87" s="28" t="str">
        <f>IFERROR(INDEX(Exits_Attrition!$H$2:$H$65,MATCH(A87,Exits_Attrition!$A$2:$A$65,0)),"")</f>
        <v/>
      </c>
      <c r="Q87" s="24">
        <f t="shared" si="5"/>
        <v>4.7</v>
      </c>
      <c r="R87" s="22" t="str">
        <f t="shared" si="6"/>
        <v>3-5 Yrs</v>
      </c>
      <c r="S87" s="22">
        <f t="shared" si="7"/>
        <v>9</v>
      </c>
    </row>
    <row r="88" spans="1:19" x14ac:dyDescent="0.3">
      <c r="A88" s="22" t="s">
        <v>449</v>
      </c>
      <c r="B88" t="s">
        <v>450</v>
      </c>
      <c r="C88" t="s">
        <v>451</v>
      </c>
      <c r="D88" t="s">
        <v>304</v>
      </c>
      <c r="E88" s="22" t="s">
        <v>303</v>
      </c>
      <c r="F88" t="s">
        <v>244</v>
      </c>
      <c r="G88" s="22" t="s">
        <v>26</v>
      </c>
      <c r="H88" s="22">
        <f t="shared" si="4"/>
        <v>3</v>
      </c>
      <c r="I88" t="s">
        <v>39</v>
      </c>
      <c r="J88" s="22" t="s">
        <v>106</v>
      </c>
      <c r="K88" t="s">
        <v>156</v>
      </c>
      <c r="L88" t="s">
        <v>99</v>
      </c>
      <c r="M88" s="28">
        <v>44577</v>
      </c>
      <c r="N88" s="22">
        <v>29</v>
      </c>
      <c r="O88" s="22" t="str">
        <f>IF(COUNTIF(Exits_Attrition!$A$2:$A$65,A88)&gt;0,"Exited","Active")</f>
        <v>Active</v>
      </c>
      <c r="P88" s="28" t="str">
        <f>IFERROR(INDEX(Exits_Attrition!$H$2:$H$65,MATCH(A88,Exits_Attrition!$A$2:$A$65,0)),"")</f>
        <v/>
      </c>
      <c r="Q88" s="24">
        <f t="shared" si="5"/>
        <v>4.7</v>
      </c>
      <c r="R88" s="22" t="str">
        <f t="shared" si="6"/>
        <v>3-5 Yrs</v>
      </c>
      <c r="S88" s="22">
        <f t="shared" si="7"/>
        <v>0</v>
      </c>
    </row>
    <row r="89" spans="1:19" x14ac:dyDescent="0.3">
      <c r="A89" s="22" t="s">
        <v>452</v>
      </c>
      <c r="B89" t="s">
        <v>453</v>
      </c>
      <c r="C89" t="s">
        <v>454</v>
      </c>
      <c r="D89" t="s">
        <v>166</v>
      </c>
      <c r="E89" s="22" t="s">
        <v>167</v>
      </c>
      <c r="F89" t="s">
        <v>226</v>
      </c>
      <c r="G89" s="22" t="s">
        <v>26</v>
      </c>
      <c r="H89" s="22">
        <f t="shared" si="4"/>
        <v>3</v>
      </c>
      <c r="I89" t="s">
        <v>47</v>
      </c>
      <c r="J89" s="22" t="s">
        <v>106</v>
      </c>
      <c r="K89" t="s">
        <v>98</v>
      </c>
      <c r="L89" t="s">
        <v>99</v>
      </c>
      <c r="M89" s="28">
        <v>44587</v>
      </c>
      <c r="N89" s="22">
        <v>31</v>
      </c>
      <c r="O89" s="22" t="str">
        <f>IF(COUNTIF(Exits_Attrition!$A$2:$A$65,A89)&gt;0,"Exited","Active")</f>
        <v>Active</v>
      </c>
      <c r="P89" s="28" t="str">
        <f>IFERROR(INDEX(Exits_Attrition!$H$2:$H$65,MATCH(A89,Exits_Attrition!$A$2:$A$65,0)),"")</f>
        <v/>
      </c>
      <c r="Q89" s="24">
        <f t="shared" si="5"/>
        <v>4.7</v>
      </c>
      <c r="R89" s="22" t="str">
        <f t="shared" si="6"/>
        <v>3-5 Yrs</v>
      </c>
      <c r="S89" s="22">
        <f t="shared" si="7"/>
        <v>0</v>
      </c>
    </row>
    <row r="90" spans="1:19" x14ac:dyDescent="0.3">
      <c r="A90" s="22" t="s">
        <v>455</v>
      </c>
      <c r="B90" t="s">
        <v>456</v>
      </c>
      <c r="C90" t="s">
        <v>457</v>
      </c>
      <c r="D90" t="s">
        <v>200</v>
      </c>
      <c r="E90" s="22" t="s">
        <v>201</v>
      </c>
      <c r="F90" t="s">
        <v>253</v>
      </c>
      <c r="G90" s="22" t="s">
        <v>26</v>
      </c>
      <c r="H90" s="22">
        <f t="shared" si="4"/>
        <v>3</v>
      </c>
      <c r="I90" t="s">
        <v>41</v>
      </c>
      <c r="J90" s="22" t="s">
        <v>97</v>
      </c>
      <c r="K90" t="s">
        <v>213</v>
      </c>
      <c r="L90" t="s">
        <v>99</v>
      </c>
      <c r="M90" s="28">
        <v>44591</v>
      </c>
      <c r="N90" s="22">
        <v>30</v>
      </c>
      <c r="O90" s="22" t="str">
        <f>IF(COUNTIF(Exits_Attrition!$A$2:$A$65,A90)&gt;0,"Exited","Active")</f>
        <v>Active</v>
      </c>
      <c r="P90" s="28" t="str">
        <f>IFERROR(INDEX(Exits_Attrition!$H$2:$H$65,MATCH(A90,Exits_Attrition!$A$2:$A$65,0)),"")</f>
        <v/>
      </c>
      <c r="Q90" s="24">
        <f t="shared" si="5"/>
        <v>4.7</v>
      </c>
      <c r="R90" s="22" t="str">
        <f t="shared" si="6"/>
        <v>3-5 Yrs</v>
      </c>
      <c r="S90" s="22">
        <f t="shared" si="7"/>
        <v>0</v>
      </c>
    </row>
    <row r="91" spans="1:19" x14ac:dyDescent="0.3">
      <c r="A91" s="22" t="s">
        <v>458</v>
      </c>
      <c r="B91" t="s">
        <v>459</v>
      </c>
      <c r="C91" t="s">
        <v>460</v>
      </c>
      <c r="D91" t="s">
        <v>268</v>
      </c>
      <c r="E91" s="22" t="s">
        <v>267</v>
      </c>
      <c r="F91" t="s">
        <v>232</v>
      </c>
      <c r="G91" s="22" t="s">
        <v>30</v>
      </c>
      <c r="H91" s="22">
        <f t="shared" si="4"/>
        <v>5</v>
      </c>
      <c r="I91" t="s">
        <v>42</v>
      </c>
      <c r="J91" s="22" t="s">
        <v>97</v>
      </c>
      <c r="K91" t="s">
        <v>124</v>
      </c>
      <c r="L91" t="s">
        <v>99</v>
      </c>
      <c r="M91" s="28">
        <v>44605</v>
      </c>
      <c r="N91" s="22">
        <v>35</v>
      </c>
      <c r="O91" s="22" t="str">
        <f>IF(COUNTIF(Exits_Attrition!$A$2:$A$65,A91)&gt;0,"Exited","Active")</f>
        <v>Exited</v>
      </c>
      <c r="P91" s="28">
        <f>IFERROR(INDEX(Exits_Attrition!$H$2:$H$65,MATCH(A91,Exits_Attrition!$A$2:$A$65,0)),"")</f>
        <v>46255</v>
      </c>
      <c r="Q91" s="24">
        <f t="shared" si="5"/>
        <v>4.5</v>
      </c>
      <c r="R91" s="22" t="str">
        <f t="shared" si="6"/>
        <v>3-5 Yrs</v>
      </c>
      <c r="S91" s="22">
        <f t="shared" si="7"/>
        <v>7</v>
      </c>
    </row>
    <row r="92" spans="1:19" x14ac:dyDescent="0.3">
      <c r="A92" s="22" t="s">
        <v>461</v>
      </c>
      <c r="B92" t="s">
        <v>462</v>
      </c>
      <c r="C92" t="s">
        <v>463</v>
      </c>
      <c r="D92" t="s">
        <v>304</v>
      </c>
      <c r="E92" s="22" t="s">
        <v>303</v>
      </c>
      <c r="F92" t="s">
        <v>183</v>
      </c>
      <c r="G92" s="22" t="s">
        <v>28</v>
      </c>
      <c r="H92" s="22">
        <f t="shared" si="4"/>
        <v>4</v>
      </c>
      <c r="I92" t="s">
        <v>39</v>
      </c>
      <c r="J92" s="22" t="s">
        <v>106</v>
      </c>
      <c r="K92" t="s">
        <v>98</v>
      </c>
      <c r="L92" t="s">
        <v>99</v>
      </c>
      <c r="M92" s="28">
        <v>44610</v>
      </c>
      <c r="N92" s="22">
        <v>36</v>
      </c>
      <c r="O92" s="22" t="str">
        <f>IF(COUNTIF(Exits_Attrition!$A$2:$A$65,A92)&gt;0,"Exited","Active")</f>
        <v>Active</v>
      </c>
      <c r="P92" s="28" t="str">
        <f>IFERROR(INDEX(Exits_Attrition!$H$2:$H$65,MATCH(A92,Exits_Attrition!$A$2:$A$65,0)),"")</f>
        <v/>
      </c>
      <c r="Q92" s="24">
        <f t="shared" si="5"/>
        <v>4.5999999999999996</v>
      </c>
      <c r="R92" s="22" t="str">
        <f t="shared" si="6"/>
        <v>3-5 Yrs</v>
      </c>
      <c r="S92" s="22">
        <f t="shared" si="7"/>
        <v>0</v>
      </c>
    </row>
    <row r="93" spans="1:19" x14ac:dyDescent="0.3">
      <c r="A93" s="22" t="s">
        <v>464</v>
      </c>
      <c r="B93" t="s">
        <v>465</v>
      </c>
      <c r="C93" t="s">
        <v>466</v>
      </c>
      <c r="D93" t="s">
        <v>378</v>
      </c>
      <c r="E93" s="22" t="s">
        <v>379</v>
      </c>
      <c r="F93" t="s">
        <v>219</v>
      </c>
      <c r="G93" s="22" t="s">
        <v>26</v>
      </c>
      <c r="H93" s="22">
        <f t="shared" si="4"/>
        <v>3</v>
      </c>
      <c r="I93" t="s">
        <v>40</v>
      </c>
      <c r="J93" s="22" t="s">
        <v>106</v>
      </c>
      <c r="K93" t="s">
        <v>156</v>
      </c>
      <c r="L93" t="s">
        <v>99</v>
      </c>
      <c r="M93" s="28">
        <v>44611</v>
      </c>
      <c r="N93" s="22">
        <v>32</v>
      </c>
      <c r="O93" s="22" t="str">
        <f>IF(COUNTIF(Exits_Attrition!$A$2:$A$65,A93)&gt;0,"Exited","Active")</f>
        <v>Active</v>
      </c>
      <c r="P93" s="28" t="str">
        <f>IFERROR(INDEX(Exits_Attrition!$H$2:$H$65,MATCH(A93,Exits_Attrition!$A$2:$A$65,0)),"")</f>
        <v/>
      </c>
      <c r="Q93" s="24">
        <f t="shared" si="5"/>
        <v>4.5999999999999996</v>
      </c>
      <c r="R93" s="22" t="str">
        <f t="shared" si="6"/>
        <v>3-5 Yrs</v>
      </c>
      <c r="S93" s="22">
        <f t="shared" si="7"/>
        <v>0</v>
      </c>
    </row>
    <row r="94" spans="1:19" x14ac:dyDescent="0.3">
      <c r="A94" s="22" t="s">
        <v>467</v>
      </c>
      <c r="B94" t="s">
        <v>468</v>
      </c>
      <c r="C94" t="s">
        <v>469</v>
      </c>
      <c r="D94" t="s">
        <v>285</v>
      </c>
      <c r="E94" s="22" t="s">
        <v>286</v>
      </c>
      <c r="F94" t="s">
        <v>408</v>
      </c>
      <c r="G94" s="22" t="s">
        <v>26</v>
      </c>
      <c r="H94" s="22">
        <f t="shared" si="4"/>
        <v>3</v>
      </c>
      <c r="I94" t="s">
        <v>43</v>
      </c>
      <c r="J94" s="22" t="s">
        <v>97</v>
      </c>
      <c r="K94" t="s">
        <v>124</v>
      </c>
      <c r="L94" t="s">
        <v>99</v>
      </c>
      <c r="M94" s="28">
        <v>44639</v>
      </c>
      <c r="N94" s="22">
        <v>33</v>
      </c>
      <c r="O94" s="22" t="str">
        <f>IF(COUNTIF(Exits_Attrition!$A$2:$A$65,A94)&gt;0,"Exited","Active")</f>
        <v>Active</v>
      </c>
      <c r="P94" s="28" t="str">
        <f>IFERROR(INDEX(Exits_Attrition!$H$2:$H$65,MATCH(A94,Exits_Attrition!$A$2:$A$65,0)),"")</f>
        <v/>
      </c>
      <c r="Q94" s="24">
        <f t="shared" si="5"/>
        <v>4.5</v>
      </c>
      <c r="R94" s="22" t="str">
        <f t="shared" si="6"/>
        <v>3-5 Yrs</v>
      </c>
      <c r="S94" s="22">
        <f t="shared" si="7"/>
        <v>0</v>
      </c>
    </row>
    <row r="95" spans="1:19" x14ac:dyDescent="0.3">
      <c r="A95" s="22" t="s">
        <v>470</v>
      </c>
      <c r="B95" t="s">
        <v>471</v>
      </c>
      <c r="C95" t="s">
        <v>472</v>
      </c>
      <c r="D95" t="s">
        <v>145</v>
      </c>
      <c r="E95" s="22" t="s">
        <v>144</v>
      </c>
      <c r="F95" t="s">
        <v>408</v>
      </c>
      <c r="G95" s="22" t="s">
        <v>26</v>
      </c>
      <c r="H95" s="22">
        <f t="shared" si="4"/>
        <v>3</v>
      </c>
      <c r="I95" t="s">
        <v>43</v>
      </c>
      <c r="J95" s="22" t="s">
        <v>97</v>
      </c>
      <c r="K95" t="s">
        <v>98</v>
      </c>
      <c r="L95" t="s">
        <v>99</v>
      </c>
      <c r="M95" s="28">
        <v>44648</v>
      </c>
      <c r="N95" s="22">
        <v>30</v>
      </c>
      <c r="O95" s="22" t="str">
        <f>IF(COUNTIF(Exits_Attrition!$A$2:$A$65,A95)&gt;0,"Exited","Active")</f>
        <v>Active</v>
      </c>
      <c r="P95" s="28" t="str">
        <f>IFERROR(INDEX(Exits_Attrition!$H$2:$H$65,MATCH(A95,Exits_Attrition!$A$2:$A$65,0)),"")</f>
        <v/>
      </c>
      <c r="Q95" s="24">
        <f t="shared" si="5"/>
        <v>4.5</v>
      </c>
      <c r="R95" s="22" t="str">
        <f t="shared" si="6"/>
        <v>3-5 Yrs</v>
      </c>
      <c r="S95" s="22">
        <f t="shared" si="7"/>
        <v>0</v>
      </c>
    </row>
    <row r="96" spans="1:19" x14ac:dyDescent="0.3">
      <c r="A96" s="22" t="s">
        <v>473</v>
      </c>
      <c r="B96" t="s">
        <v>474</v>
      </c>
      <c r="C96" t="s">
        <v>475</v>
      </c>
      <c r="D96" t="s">
        <v>433</v>
      </c>
      <c r="E96" s="22" t="s">
        <v>434</v>
      </c>
      <c r="F96" t="s">
        <v>476</v>
      </c>
      <c r="G96" s="22" t="s">
        <v>28</v>
      </c>
      <c r="H96" s="22">
        <f t="shared" si="4"/>
        <v>4</v>
      </c>
      <c r="I96" t="s">
        <v>45</v>
      </c>
      <c r="J96" s="22" t="s">
        <v>97</v>
      </c>
      <c r="K96" t="s">
        <v>98</v>
      </c>
      <c r="L96" t="s">
        <v>99</v>
      </c>
      <c r="M96" s="28">
        <v>44654</v>
      </c>
      <c r="N96" s="22">
        <v>36</v>
      </c>
      <c r="O96" s="22" t="str">
        <f>IF(COUNTIF(Exits_Attrition!$A$2:$A$65,A96)&gt;0,"Exited","Active")</f>
        <v>Active</v>
      </c>
      <c r="P96" s="28" t="str">
        <f>IFERROR(INDEX(Exits_Attrition!$H$2:$H$65,MATCH(A96,Exits_Attrition!$A$2:$A$65,0)),"")</f>
        <v/>
      </c>
      <c r="Q96" s="24">
        <f t="shared" si="5"/>
        <v>4.5</v>
      </c>
      <c r="R96" s="22" t="str">
        <f t="shared" si="6"/>
        <v>3-5 Yrs</v>
      </c>
      <c r="S96" s="22">
        <f t="shared" si="7"/>
        <v>0</v>
      </c>
    </row>
    <row r="97" spans="1:19" x14ac:dyDescent="0.3">
      <c r="A97" s="22" t="s">
        <v>477</v>
      </c>
      <c r="B97" t="s">
        <v>478</v>
      </c>
      <c r="C97" t="s">
        <v>479</v>
      </c>
      <c r="D97" t="s">
        <v>128</v>
      </c>
      <c r="E97" s="22" t="s">
        <v>129</v>
      </c>
      <c r="F97" t="s">
        <v>130</v>
      </c>
      <c r="G97" s="22" t="s">
        <v>28</v>
      </c>
      <c r="H97" s="22">
        <f t="shared" si="4"/>
        <v>4</v>
      </c>
      <c r="I97" t="s">
        <v>44</v>
      </c>
      <c r="J97" s="22" t="s">
        <v>97</v>
      </c>
      <c r="K97" t="s">
        <v>124</v>
      </c>
      <c r="L97" t="s">
        <v>99</v>
      </c>
      <c r="M97" s="28">
        <v>44659</v>
      </c>
      <c r="N97" s="22">
        <v>33</v>
      </c>
      <c r="O97" s="22" t="str">
        <f>IF(COUNTIF(Exits_Attrition!$A$2:$A$65,A97)&gt;0,"Exited","Active")</f>
        <v>Active</v>
      </c>
      <c r="P97" s="28" t="str">
        <f>IFERROR(INDEX(Exits_Attrition!$H$2:$H$65,MATCH(A97,Exits_Attrition!$A$2:$A$65,0)),"")</f>
        <v/>
      </c>
      <c r="Q97" s="24">
        <f t="shared" si="5"/>
        <v>4.5</v>
      </c>
      <c r="R97" s="22" t="str">
        <f t="shared" si="6"/>
        <v>3-5 Yrs</v>
      </c>
      <c r="S97" s="22">
        <f t="shared" si="7"/>
        <v>0</v>
      </c>
    </row>
    <row r="98" spans="1:19" x14ac:dyDescent="0.3">
      <c r="A98" s="22" t="s">
        <v>480</v>
      </c>
      <c r="B98" t="s">
        <v>481</v>
      </c>
      <c r="C98" t="s">
        <v>482</v>
      </c>
      <c r="D98" t="s">
        <v>483</v>
      </c>
      <c r="E98" s="22" t="s">
        <v>484</v>
      </c>
      <c r="F98" t="s">
        <v>408</v>
      </c>
      <c r="G98" s="22" t="s">
        <v>26</v>
      </c>
      <c r="H98" s="22">
        <f t="shared" si="4"/>
        <v>3</v>
      </c>
      <c r="I98" t="s">
        <v>43</v>
      </c>
      <c r="J98" s="22" t="s">
        <v>97</v>
      </c>
      <c r="K98" t="s">
        <v>98</v>
      </c>
      <c r="L98" t="s">
        <v>220</v>
      </c>
      <c r="M98" s="28">
        <v>44660</v>
      </c>
      <c r="N98" s="22">
        <v>35</v>
      </c>
      <c r="O98" s="22" t="str">
        <f>IF(COUNTIF(Exits_Attrition!$A$2:$A$65,A98)&gt;0,"Exited","Active")</f>
        <v>Exited</v>
      </c>
      <c r="P98" s="28">
        <f>IFERROR(INDEX(Exits_Attrition!$H$2:$H$65,MATCH(A98,Exits_Attrition!$A$2:$A$65,0)),"")</f>
        <v>46141</v>
      </c>
      <c r="Q98" s="24">
        <f t="shared" si="5"/>
        <v>4.0999999999999996</v>
      </c>
      <c r="R98" s="22" t="str">
        <f t="shared" si="6"/>
        <v>3-5 Yrs</v>
      </c>
      <c r="S98" s="22">
        <f t="shared" si="7"/>
        <v>0</v>
      </c>
    </row>
    <row r="99" spans="1:19" x14ac:dyDescent="0.3">
      <c r="A99" s="22" t="s">
        <v>485</v>
      </c>
      <c r="B99" t="s">
        <v>486</v>
      </c>
      <c r="C99" t="s">
        <v>487</v>
      </c>
      <c r="D99" t="s">
        <v>109</v>
      </c>
      <c r="E99" s="22" t="s">
        <v>108</v>
      </c>
      <c r="F99" t="s">
        <v>168</v>
      </c>
      <c r="G99" s="22" t="s">
        <v>28</v>
      </c>
      <c r="H99" s="22">
        <f t="shared" si="4"/>
        <v>4</v>
      </c>
      <c r="I99" t="s">
        <v>47</v>
      </c>
      <c r="J99" s="22" t="s">
        <v>97</v>
      </c>
      <c r="K99" t="s">
        <v>156</v>
      </c>
      <c r="L99" t="s">
        <v>99</v>
      </c>
      <c r="M99" s="28">
        <v>44675</v>
      </c>
      <c r="N99" s="22">
        <v>32</v>
      </c>
      <c r="O99" s="22" t="str">
        <f>IF(COUNTIF(Exits_Attrition!$A$2:$A$65,A99)&gt;0,"Exited","Active")</f>
        <v>Active</v>
      </c>
      <c r="P99" s="28" t="str">
        <f>IFERROR(INDEX(Exits_Attrition!$H$2:$H$65,MATCH(A99,Exits_Attrition!$A$2:$A$65,0)),"")</f>
        <v/>
      </c>
      <c r="Q99" s="24">
        <f t="shared" si="5"/>
        <v>4.4000000000000004</v>
      </c>
      <c r="R99" s="22" t="str">
        <f t="shared" si="6"/>
        <v>3-5 Yrs</v>
      </c>
      <c r="S99" s="22">
        <f t="shared" si="7"/>
        <v>0</v>
      </c>
    </row>
    <row r="100" spans="1:19" x14ac:dyDescent="0.3">
      <c r="A100" s="22" t="s">
        <v>488</v>
      </c>
      <c r="B100" t="s">
        <v>489</v>
      </c>
      <c r="C100" t="s">
        <v>490</v>
      </c>
      <c r="D100" t="s">
        <v>236</v>
      </c>
      <c r="E100" s="22" t="s">
        <v>237</v>
      </c>
      <c r="F100" t="s">
        <v>238</v>
      </c>
      <c r="G100" s="22" t="s">
        <v>26</v>
      </c>
      <c r="H100" s="22">
        <f t="shared" si="4"/>
        <v>3</v>
      </c>
      <c r="I100" t="s">
        <v>42</v>
      </c>
      <c r="J100" s="22" t="s">
        <v>106</v>
      </c>
      <c r="K100" t="s">
        <v>124</v>
      </c>
      <c r="L100" t="s">
        <v>99</v>
      </c>
      <c r="M100" s="28">
        <v>44702</v>
      </c>
      <c r="N100" s="22">
        <v>29</v>
      </c>
      <c r="O100" s="22" t="str">
        <f>IF(COUNTIF(Exits_Attrition!$A$2:$A$65,A100)&gt;0,"Exited","Active")</f>
        <v>Active</v>
      </c>
      <c r="P100" s="28" t="str">
        <f>IFERROR(INDEX(Exits_Attrition!$H$2:$H$65,MATCH(A100,Exits_Attrition!$A$2:$A$65,0)),"")</f>
        <v/>
      </c>
      <c r="Q100" s="24">
        <f t="shared" si="5"/>
        <v>4.4000000000000004</v>
      </c>
      <c r="R100" s="22" t="str">
        <f t="shared" si="6"/>
        <v>3-5 Yrs</v>
      </c>
      <c r="S100" s="22">
        <f t="shared" si="7"/>
        <v>0</v>
      </c>
    </row>
    <row r="101" spans="1:19" x14ac:dyDescent="0.3">
      <c r="A101" s="22" t="s">
        <v>491</v>
      </c>
      <c r="B101" t="s">
        <v>492</v>
      </c>
      <c r="C101" t="s">
        <v>493</v>
      </c>
      <c r="D101" t="s">
        <v>116</v>
      </c>
      <c r="E101" s="22" t="s">
        <v>115</v>
      </c>
      <c r="F101" t="s">
        <v>244</v>
      </c>
      <c r="G101" s="22" t="s">
        <v>26</v>
      </c>
      <c r="H101" s="22">
        <f t="shared" si="4"/>
        <v>3</v>
      </c>
      <c r="I101" t="s">
        <v>39</v>
      </c>
      <c r="J101" s="22" t="s">
        <v>106</v>
      </c>
      <c r="K101" t="s">
        <v>98</v>
      </c>
      <c r="L101" t="s">
        <v>99</v>
      </c>
      <c r="M101" s="28">
        <v>44715</v>
      </c>
      <c r="N101" s="22">
        <v>33</v>
      </c>
      <c r="O101" s="22" t="str">
        <f>IF(COUNTIF(Exits_Attrition!$A$2:$A$65,A101)&gt;0,"Exited","Active")</f>
        <v>Active</v>
      </c>
      <c r="P101" s="28" t="str">
        <f>IFERROR(INDEX(Exits_Attrition!$H$2:$H$65,MATCH(A101,Exits_Attrition!$A$2:$A$65,0)),"")</f>
        <v/>
      </c>
      <c r="Q101" s="24">
        <f t="shared" si="5"/>
        <v>4.3</v>
      </c>
      <c r="R101" s="22" t="str">
        <f t="shared" si="6"/>
        <v>3-5 Yrs</v>
      </c>
      <c r="S101" s="22">
        <f t="shared" si="7"/>
        <v>0</v>
      </c>
    </row>
    <row r="102" spans="1:19" x14ac:dyDescent="0.3">
      <c r="A102" s="22" t="s">
        <v>379</v>
      </c>
      <c r="B102" t="s">
        <v>378</v>
      </c>
      <c r="C102" t="s">
        <v>494</v>
      </c>
      <c r="D102" t="s">
        <v>138</v>
      </c>
      <c r="E102" s="22" t="s">
        <v>139</v>
      </c>
      <c r="F102" t="s">
        <v>123</v>
      </c>
      <c r="G102" s="22" t="s">
        <v>30</v>
      </c>
      <c r="H102" s="22">
        <f t="shared" si="4"/>
        <v>5</v>
      </c>
      <c r="I102" t="s">
        <v>40</v>
      </c>
      <c r="J102" s="22" t="s">
        <v>97</v>
      </c>
      <c r="K102" t="s">
        <v>156</v>
      </c>
      <c r="L102" t="s">
        <v>99</v>
      </c>
      <c r="M102" s="28">
        <v>44720</v>
      </c>
      <c r="N102" s="22">
        <v>39</v>
      </c>
      <c r="O102" s="22" t="str">
        <f>IF(COUNTIF(Exits_Attrition!$A$2:$A$65,A102)&gt;0,"Exited","Active")</f>
        <v>Active</v>
      </c>
      <c r="P102" s="28" t="str">
        <f>IFERROR(INDEX(Exits_Attrition!$H$2:$H$65,MATCH(A102,Exits_Attrition!$A$2:$A$65,0)),"")</f>
        <v/>
      </c>
      <c r="Q102" s="24">
        <f t="shared" si="5"/>
        <v>4.3</v>
      </c>
      <c r="R102" s="22" t="str">
        <f t="shared" si="6"/>
        <v>3-5 Yrs</v>
      </c>
      <c r="S102" s="22">
        <f t="shared" si="7"/>
        <v>7</v>
      </c>
    </row>
    <row r="103" spans="1:19" x14ac:dyDescent="0.3">
      <c r="A103" s="22" t="s">
        <v>495</v>
      </c>
      <c r="B103" t="s">
        <v>496</v>
      </c>
      <c r="C103" t="s">
        <v>497</v>
      </c>
      <c r="D103" t="s">
        <v>459</v>
      </c>
      <c r="E103" s="22" t="s">
        <v>458</v>
      </c>
      <c r="F103" t="s">
        <v>238</v>
      </c>
      <c r="G103" s="22" t="s">
        <v>26</v>
      </c>
      <c r="H103" s="22">
        <f t="shared" si="4"/>
        <v>3</v>
      </c>
      <c r="I103" t="s">
        <v>42</v>
      </c>
      <c r="J103" s="22" t="s">
        <v>106</v>
      </c>
      <c r="K103" t="s">
        <v>124</v>
      </c>
      <c r="L103" t="s">
        <v>99</v>
      </c>
      <c r="M103" s="28">
        <v>44729</v>
      </c>
      <c r="N103" s="22">
        <v>30</v>
      </c>
      <c r="O103" s="22" t="str">
        <f>IF(COUNTIF(Exits_Attrition!$A$2:$A$65,A103)&gt;0,"Exited","Active")</f>
        <v>Active</v>
      </c>
      <c r="P103" s="28" t="str">
        <f>IFERROR(INDEX(Exits_Attrition!$H$2:$H$65,MATCH(A103,Exits_Attrition!$A$2:$A$65,0)),"")</f>
        <v/>
      </c>
      <c r="Q103" s="24">
        <f t="shared" si="5"/>
        <v>4.3</v>
      </c>
      <c r="R103" s="22" t="str">
        <f t="shared" si="6"/>
        <v>3-5 Yrs</v>
      </c>
      <c r="S103" s="22">
        <f t="shared" si="7"/>
        <v>0</v>
      </c>
    </row>
    <row r="104" spans="1:19" x14ac:dyDescent="0.3">
      <c r="A104" s="22" t="s">
        <v>498</v>
      </c>
      <c r="B104" t="s">
        <v>499</v>
      </c>
      <c r="C104" t="s">
        <v>500</v>
      </c>
      <c r="D104" t="s">
        <v>501</v>
      </c>
      <c r="E104" s="22" t="s">
        <v>502</v>
      </c>
      <c r="F104" t="s">
        <v>426</v>
      </c>
      <c r="G104" s="22" t="s">
        <v>28</v>
      </c>
      <c r="H104" s="22">
        <f t="shared" si="4"/>
        <v>4</v>
      </c>
      <c r="I104" t="s">
        <v>46</v>
      </c>
      <c r="J104" s="22" t="s">
        <v>97</v>
      </c>
      <c r="K104" t="s">
        <v>98</v>
      </c>
      <c r="L104" t="s">
        <v>99</v>
      </c>
      <c r="M104" s="28">
        <v>44730</v>
      </c>
      <c r="N104" s="22">
        <v>33</v>
      </c>
      <c r="O104" s="22" t="str">
        <f>IF(COUNTIF(Exits_Attrition!$A$2:$A$65,A104)&gt;0,"Exited","Active")</f>
        <v>Active</v>
      </c>
      <c r="P104" s="28" t="str">
        <f>IFERROR(INDEX(Exits_Attrition!$H$2:$H$65,MATCH(A104,Exits_Attrition!$A$2:$A$65,0)),"")</f>
        <v/>
      </c>
      <c r="Q104" s="24">
        <f t="shared" si="5"/>
        <v>4.3</v>
      </c>
      <c r="R104" s="22" t="str">
        <f t="shared" si="6"/>
        <v>3-5 Yrs</v>
      </c>
      <c r="S104" s="22">
        <f t="shared" si="7"/>
        <v>0</v>
      </c>
    </row>
    <row r="105" spans="1:19" x14ac:dyDescent="0.3">
      <c r="A105" s="22" t="s">
        <v>503</v>
      </c>
      <c r="B105" t="s">
        <v>504</v>
      </c>
      <c r="C105" t="s">
        <v>505</v>
      </c>
      <c r="D105" t="s">
        <v>459</v>
      </c>
      <c r="E105" s="22" t="s">
        <v>458</v>
      </c>
      <c r="F105" t="s">
        <v>196</v>
      </c>
      <c r="G105" s="22" t="s">
        <v>28</v>
      </c>
      <c r="H105" s="22">
        <f t="shared" si="4"/>
        <v>4</v>
      </c>
      <c r="I105" t="s">
        <v>42</v>
      </c>
      <c r="J105" s="22" t="s">
        <v>106</v>
      </c>
      <c r="K105" t="s">
        <v>124</v>
      </c>
      <c r="L105" t="s">
        <v>99</v>
      </c>
      <c r="M105" s="28">
        <v>44734</v>
      </c>
      <c r="N105" s="22">
        <v>33</v>
      </c>
      <c r="O105" s="22" t="str">
        <f>IF(COUNTIF(Exits_Attrition!$A$2:$A$65,A105)&gt;0,"Exited","Active")</f>
        <v>Active</v>
      </c>
      <c r="P105" s="28" t="str">
        <f>IFERROR(INDEX(Exits_Attrition!$H$2:$H$65,MATCH(A105,Exits_Attrition!$A$2:$A$65,0)),"")</f>
        <v/>
      </c>
      <c r="Q105" s="24">
        <f t="shared" si="5"/>
        <v>4.3</v>
      </c>
      <c r="R105" s="22" t="str">
        <f t="shared" si="6"/>
        <v>3-5 Yrs</v>
      </c>
      <c r="S105" s="22">
        <f t="shared" si="7"/>
        <v>0</v>
      </c>
    </row>
    <row r="106" spans="1:19" x14ac:dyDescent="0.3">
      <c r="A106" s="22" t="s">
        <v>506</v>
      </c>
      <c r="B106" t="s">
        <v>507</v>
      </c>
      <c r="C106" t="s">
        <v>508</v>
      </c>
      <c r="D106" t="s">
        <v>304</v>
      </c>
      <c r="E106" s="22" t="s">
        <v>303</v>
      </c>
      <c r="F106" t="s">
        <v>244</v>
      </c>
      <c r="G106" s="22" t="s">
        <v>26</v>
      </c>
      <c r="H106" s="22">
        <f t="shared" si="4"/>
        <v>3</v>
      </c>
      <c r="I106" t="s">
        <v>39</v>
      </c>
      <c r="J106" s="22" t="s">
        <v>97</v>
      </c>
      <c r="K106" t="s">
        <v>156</v>
      </c>
      <c r="L106" t="s">
        <v>99</v>
      </c>
      <c r="M106" s="28">
        <v>44738</v>
      </c>
      <c r="N106" s="22">
        <v>30</v>
      </c>
      <c r="O106" s="22" t="str">
        <f>IF(COUNTIF(Exits_Attrition!$A$2:$A$65,A106)&gt;0,"Exited","Active")</f>
        <v>Active</v>
      </c>
      <c r="P106" s="28" t="str">
        <f>IFERROR(INDEX(Exits_Attrition!$H$2:$H$65,MATCH(A106,Exits_Attrition!$A$2:$A$65,0)),"")</f>
        <v/>
      </c>
      <c r="Q106" s="24">
        <f t="shared" si="5"/>
        <v>4.3</v>
      </c>
      <c r="R106" s="22" t="str">
        <f t="shared" si="6"/>
        <v>3-5 Yrs</v>
      </c>
      <c r="S106" s="22">
        <f t="shared" si="7"/>
        <v>0</v>
      </c>
    </row>
    <row r="107" spans="1:19" x14ac:dyDescent="0.3">
      <c r="A107" s="22" t="s">
        <v>182</v>
      </c>
      <c r="B107" t="s">
        <v>181</v>
      </c>
      <c r="C107" t="s">
        <v>509</v>
      </c>
      <c r="D107" t="s">
        <v>361</v>
      </c>
      <c r="E107" s="22" t="s">
        <v>362</v>
      </c>
      <c r="F107" t="s">
        <v>105</v>
      </c>
      <c r="G107" s="22" t="s">
        <v>30</v>
      </c>
      <c r="H107" s="22">
        <f t="shared" si="4"/>
        <v>5</v>
      </c>
      <c r="I107" t="s">
        <v>39</v>
      </c>
      <c r="J107" s="22" t="s">
        <v>106</v>
      </c>
      <c r="K107" t="s">
        <v>98</v>
      </c>
      <c r="L107" t="s">
        <v>99</v>
      </c>
      <c r="M107" s="28">
        <v>44753</v>
      </c>
      <c r="N107" s="22">
        <v>33</v>
      </c>
      <c r="O107" s="22" t="str">
        <f>IF(COUNTIF(Exits_Attrition!$A$2:$A$65,A107)&gt;0,"Exited","Active")</f>
        <v>Active</v>
      </c>
      <c r="P107" s="28" t="str">
        <f>IFERROR(INDEX(Exits_Attrition!$H$2:$H$65,MATCH(A107,Exits_Attrition!$A$2:$A$65,0)),"")</f>
        <v/>
      </c>
      <c r="Q107" s="24">
        <f t="shared" si="5"/>
        <v>4.2</v>
      </c>
      <c r="R107" s="22" t="str">
        <f t="shared" si="6"/>
        <v>3-5 Yrs</v>
      </c>
      <c r="S107" s="22">
        <f t="shared" si="7"/>
        <v>7</v>
      </c>
    </row>
    <row r="108" spans="1:19" x14ac:dyDescent="0.3">
      <c r="A108" s="22" t="s">
        <v>510</v>
      </c>
      <c r="B108" t="s">
        <v>511</v>
      </c>
      <c r="C108" t="s">
        <v>512</v>
      </c>
      <c r="D108" t="s">
        <v>513</v>
      </c>
      <c r="E108" s="22" t="s">
        <v>514</v>
      </c>
      <c r="F108" t="s">
        <v>287</v>
      </c>
      <c r="G108" s="22" t="s">
        <v>28</v>
      </c>
      <c r="H108" s="22">
        <f t="shared" si="4"/>
        <v>4</v>
      </c>
      <c r="I108" t="s">
        <v>43</v>
      </c>
      <c r="J108" s="22" t="s">
        <v>106</v>
      </c>
      <c r="K108" t="s">
        <v>98</v>
      </c>
      <c r="L108" t="s">
        <v>99</v>
      </c>
      <c r="M108" s="28">
        <v>44753</v>
      </c>
      <c r="N108" s="22">
        <v>33</v>
      </c>
      <c r="O108" s="22" t="str">
        <f>IF(COUNTIF(Exits_Attrition!$A$2:$A$65,A108)&gt;0,"Exited","Active")</f>
        <v>Active</v>
      </c>
      <c r="P108" s="28" t="str">
        <f>IFERROR(INDEX(Exits_Attrition!$H$2:$H$65,MATCH(A108,Exits_Attrition!$A$2:$A$65,0)),"")</f>
        <v/>
      </c>
      <c r="Q108" s="24">
        <f t="shared" si="5"/>
        <v>4.2</v>
      </c>
      <c r="R108" s="22" t="str">
        <f t="shared" si="6"/>
        <v>3-5 Yrs</v>
      </c>
      <c r="S108" s="22">
        <f t="shared" si="7"/>
        <v>0</v>
      </c>
    </row>
    <row r="109" spans="1:19" x14ac:dyDescent="0.3">
      <c r="A109" s="22" t="s">
        <v>515</v>
      </c>
      <c r="B109" t="s">
        <v>516</v>
      </c>
      <c r="C109" t="s">
        <v>517</v>
      </c>
      <c r="D109" t="s">
        <v>251</v>
      </c>
      <c r="E109" s="22" t="s">
        <v>252</v>
      </c>
      <c r="F109" t="s">
        <v>253</v>
      </c>
      <c r="G109" s="22" t="s">
        <v>26</v>
      </c>
      <c r="H109" s="22">
        <f t="shared" si="4"/>
        <v>3</v>
      </c>
      <c r="I109" t="s">
        <v>41</v>
      </c>
      <c r="J109" s="22" t="s">
        <v>97</v>
      </c>
      <c r="K109" t="s">
        <v>213</v>
      </c>
      <c r="L109" t="s">
        <v>99</v>
      </c>
      <c r="M109" s="28">
        <v>44757</v>
      </c>
      <c r="N109" s="22">
        <v>32</v>
      </c>
      <c r="O109" s="22" t="str">
        <f>IF(COUNTIF(Exits_Attrition!$A$2:$A$65,A109)&gt;0,"Exited","Active")</f>
        <v>Active</v>
      </c>
      <c r="P109" s="28" t="str">
        <f>IFERROR(INDEX(Exits_Attrition!$H$2:$H$65,MATCH(A109,Exits_Attrition!$A$2:$A$65,0)),"")</f>
        <v/>
      </c>
      <c r="Q109" s="24">
        <f t="shared" si="5"/>
        <v>4.2</v>
      </c>
      <c r="R109" s="22" t="str">
        <f t="shared" si="6"/>
        <v>3-5 Yrs</v>
      </c>
      <c r="S109" s="22">
        <f t="shared" si="7"/>
        <v>0</v>
      </c>
    </row>
    <row r="110" spans="1:19" x14ac:dyDescent="0.3">
      <c r="A110" s="22" t="s">
        <v>518</v>
      </c>
      <c r="B110" t="s">
        <v>519</v>
      </c>
      <c r="C110" t="s">
        <v>520</v>
      </c>
      <c r="D110" t="s">
        <v>113</v>
      </c>
      <c r="E110" s="22" t="s">
        <v>112</v>
      </c>
      <c r="F110" t="s">
        <v>244</v>
      </c>
      <c r="G110" s="22" t="s">
        <v>26</v>
      </c>
      <c r="H110" s="22">
        <f t="shared" si="4"/>
        <v>3</v>
      </c>
      <c r="I110" t="s">
        <v>39</v>
      </c>
      <c r="J110" s="22" t="s">
        <v>97</v>
      </c>
      <c r="K110" t="s">
        <v>98</v>
      </c>
      <c r="L110" t="s">
        <v>99</v>
      </c>
      <c r="M110" s="28">
        <v>44766</v>
      </c>
      <c r="N110" s="22">
        <v>34</v>
      </c>
      <c r="O110" s="22" t="str">
        <f>IF(COUNTIF(Exits_Attrition!$A$2:$A$65,A110)&gt;0,"Exited","Active")</f>
        <v>Active</v>
      </c>
      <c r="P110" s="28" t="str">
        <f>IFERROR(INDEX(Exits_Attrition!$H$2:$H$65,MATCH(A110,Exits_Attrition!$A$2:$A$65,0)),"")</f>
        <v/>
      </c>
      <c r="Q110" s="24">
        <f t="shared" si="5"/>
        <v>4.2</v>
      </c>
      <c r="R110" s="22" t="str">
        <f t="shared" si="6"/>
        <v>3-5 Yrs</v>
      </c>
      <c r="S110" s="22">
        <f t="shared" si="7"/>
        <v>0</v>
      </c>
    </row>
    <row r="111" spans="1:19" x14ac:dyDescent="0.3">
      <c r="A111" s="22" t="s">
        <v>188</v>
      </c>
      <c r="B111" t="s">
        <v>187</v>
      </c>
      <c r="C111" t="s">
        <v>521</v>
      </c>
      <c r="D111" t="s">
        <v>522</v>
      </c>
      <c r="E111" s="22" t="s">
        <v>523</v>
      </c>
      <c r="F111" t="s">
        <v>524</v>
      </c>
      <c r="G111" s="22" t="s">
        <v>32</v>
      </c>
      <c r="H111" s="22">
        <f t="shared" si="4"/>
        <v>6</v>
      </c>
      <c r="I111" t="s">
        <v>44</v>
      </c>
      <c r="J111" s="22" t="s">
        <v>97</v>
      </c>
      <c r="K111" t="s">
        <v>124</v>
      </c>
      <c r="L111" t="s">
        <v>99</v>
      </c>
      <c r="M111" s="28">
        <v>44768</v>
      </c>
      <c r="N111" s="22">
        <v>37</v>
      </c>
      <c r="O111" s="22" t="str">
        <f>IF(COUNTIF(Exits_Attrition!$A$2:$A$65,A111)&gt;0,"Exited","Active")</f>
        <v>Active</v>
      </c>
      <c r="P111" s="28" t="str">
        <f>IFERROR(INDEX(Exits_Attrition!$H$2:$H$65,MATCH(A111,Exits_Attrition!$A$2:$A$65,0)),"")</f>
        <v/>
      </c>
      <c r="Q111" s="24">
        <f t="shared" si="5"/>
        <v>4.2</v>
      </c>
      <c r="R111" s="22" t="str">
        <f t="shared" si="6"/>
        <v>3-5 Yrs</v>
      </c>
      <c r="S111" s="22">
        <f t="shared" si="7"/>
        <v>3</v>
      </c>
    </row>
    <row r="112" spans="1:19" x14ac:dyDescent="0.3">
      <c r="A112" s="22" t="s">
        <v>225</v>
      </c>
      <c r="B112" t="s">
        <v>224</v>
      </c>
      <c r="C112" t="s">
        <v>525</v>
      </c>
      <c r="D112" t="s">
        <v>109</v>
      </c>
      <c r="E112" s="22" t="s">
        <v>108</v>
      </c>
      <c r="F112" t="s">
        <v>442</v>
      </c>
      <c r="G112" s="22" t="s">
        <v>30</v>
      </c>
      <c r="H112" s="22">
        <f t="shared" si="4"/>
        <v>5</v>
      </c>
      <c r="I112" t="s">
        <v>47</v>
      </c>
      <c r="J112" s="22" t="s">
        <v>106</v>
      </c>
      <c r="K112" t="s">
        <v>98</v>
      </c>
      <c r="L112" t="s">
        <v>99</v>
      </c>
      <c r="M112" s="28">
        <v>44778</v>
      </c>
      <c r="N112" s="22">
        <v>36</v>
      </c>
      <c r="O112" s="22" t="str">
        <f>IF(COUNTIF(Exits_Attrition!$A$2:$A$65,A112)&gt;0,"Exited","Active")</f>
        <v>Exited</v>
      </c>
      <c r="P112" s="28">
        <f>IFERROR(INDEX(Exits_Attrition!$H$2:$H$65,MATCH(A112,Exits_Attrition!$A$2:$A$65,0)),"")</f>
        <v>46224</v>
      </c>
      <c r="Q112" s="24">
        <f t="shared" si="5"/>
        <v>4</v>
      </c>
      <c r="R112" s="22" t="str">
        <f t="shared" si="6"/>
        <v>3-5 Yrs</v>
      </c>
      <c r="S112" s="22">
        <f t="shared" si="7"/>
        <v>8</v>
      </c>
    </row>
    <row r="113" spans="1:19" x14ac:dyDescent="0.3">
      <c r="A113" s="22" t="s">
        <v>526</v>
      </c>
      <c r="B113" t="s">
        <v>527</v>
      </c>
      <c r="C113" t="s">
        <v>528</v>
      </c>
      <c r="D113" t="s">
        <v>236</v>
      </c>
      <c r="E113" s="22" t="s">
        <v>237</v>
      </c>
      <c r="F113" t="s">
        <v>238</v>
      </c>
      <c r="G113" s="22" t="s">
        <v>26</v>
      </c>
      <c r="H113" s="22">
        <f t="shared" si="4"/>
        <v>3</v>
      </c>
      <c r="I113" t="s">
        <v>42</v>
      </c>
      <c r="J113" s="22" t="s">
        <v>97</v>
      </c>
      <c r="K113" t="s">
        <v>156</v>
      </c>
      <c r="L113" t="s">
        <v>99</v>
      </c>
      <c r="M113" s="28">
        <v>44794</v>
      </c>
      <c r="N113" s="22">
        <v>34</v>
      </c>
      <c r="O113" s="22" t="str">
        <f>IF(COUNTIF(Exits_Attrition!$A$2:$A$65,A113)&gt;0,"Exited","Active")</f>
        <v>Active</v>
      </c>
      <c r="P113" s="28" t="str">
        <f>IFERROR(INDEX(Exits_Attrition!$H$2:$H$65,MATCH(A113,Exits_Attrition!$A$2:$A$65,0)),"")</f>
        <v/>
      </c>
      <c r="Q113" s="24">
        <f t="shared" si="5"/>
        <v>4.0999999999999996</v>
      </c>
      <c r="R113" s="22" t="str">
        <f t="shared" si="6"/>
        <v>3-5 Yrs</v>
      </c>
      <c r="S113" s="22">
        <f t="shared" si="7"/>
        <v>0</v>
      </c>
    </row>
    <row r="114" spans="1:19" x14ac:dyDescent="0.3">
      <c r="A114" s="22" t="s">
        <v>529</v>
      </c>
      <c r="B114" t="s">
        <v>530</v>
      </c>
      <c r="C114" t="s">
        <v>531</v>
      </c>
      <c r="D114" t="s">
        <v>251</v>
      </c>
      <c r="E114" s="22" t="s">
        <v>252</v>
      </c>
      <c r="F114" t="s">
        <v>253</v>
      </c>
      <c r="G114" s="22" t="s">
        <v>26</v>
      </c>
      <c r="H114" s="22">
        <f t="shared" si="4"/>
        <v>3</v>
      </c>
      <c r="I114" t="s">
        <v>41</v>
      </c>
      <c r="J114" s="22" t="s">
        <v>106</v>
      </c>
      <c r="K114" t="s">
        <v>156</v>
      </c>
      <c r="L114" t="s">
        <v>99</v>
      </c>
      <c r="M114" s="28">
        <v>44806</v>
      </c>
      <c r="N114" s="22">
        <v>34</v>
      </c>
      <c r="O114" s="22" t="str">
        <f>IF(COUNTIF(Exits_Attrition!$A$2:$A$65,A114)&gt;0,"Exited","Active")</f>
        <v>Active</v>
      </c>
      <c r="P114" s="28" t="str">
        <f>IFERROR(INDEX(Exits_Attrition!$H$2:$H$65,MATCH(A114,Exits_Attrition!$A$2:$A$65,0)),"")</f>
        <v/>
      </c>
      <c r="Q114" s="24">
        <f t="shared" si="5"/>
        <v>4.0999999999999996</v>
      </c>
      <c r="R114" s="22" t="str">
        <f t="shared" si="6"/>
        <v>3-5 Yrs</v>
      </c>
      <c r="S114" s="22">
        <f t="shared" si="7"/>
        <v>0</v>
      </c>
    </row>
    <row r="115" spans="1:19" x14ac:dyDescent="0.3">
      <c r="A115" s="22" t="s">
        <v>532</v>
      </c>
      <c r="B115" t="s">
        <v>533</v>
      </c>
      <c r="C115" t="s">
        <v>534</v>
      </c>
      <c r="D115" t="s">
        <v>338</v>
      </c>
      <c r="E115" s="22" t="s">
        <v>339</v>
      </c>
      <c r="F115" t="s">
        <v>238</v>
      </c>
      <c r="G115" s="22" t="s">
        <v>26</v>
      </c>
      <c r="H115" s="22">
        <f t="shared" si="4"/>
        <v>3</v>
      </c>
      <c r="I115" t="s">
        <v>42</v>
      </c>
      <c r="J115" s="22" t="s">
        <v>106</v>
      </c>
      <c r="K115" t="s">
        <v>124</v>
      </c>
      <c r="L115" t="s">
        <v>99</v>
      </c>
      <c r="M115" s="28">
        <v>44806</v>
      </c>
      <c r="N115" s="22">
        <v>29</v>
      </c>
      <c r="O115" s="22" t="str">
        <f>IF(COUNTIF(Exits_Attrition!$A$2:$A$65,A115)&gt;0,"Exited","Active")</f>
        <v>Active</v>
      </c>
      <c r="P115" s="28" t="str">
        <f>IFERROR(INDEX(Exits_Attrition!$H$2:$H$65,MATCH(A115,Exits_Attrition!$A$2:$A$65,0)),"")</f>
        <v/>
      </c>
      <c r="Q115" s="24">
        <f t="shared" si="5"/>
        <v>4.0999999999999996</v>
      </c>
      <c r="R115" s="22" t="str">
        <f t="shared" si="6"/>
        <v>3-5 Yrs</v>
      </c>
      <c r="S115" s="22">
        <f t="shared" si="7"/>
        <v>0</v>
      </c>
    </row>
    <row r="116" spans="1:19" x14ac:dyDescent="0.3">
      <c r="A116" s="22" t="s">
        <v>535</v>
      </c>
      <c r="B116" t="s">
        <v>536</v>
      </c>
      <c r="C116" t="s">
        <v>537</v>
      </c>
      <c r="D116" t="s">
        <v>119</v>
      </c>
      <c r="E116" s="22" t="s">
        <v>118</v>
      </c>
      <c r="F116" t="s">
        <v>219</v>
      </c>
      <c r="G116" s="22" t="s">
        <v>26</v>
      </c>
      <c r="H116" s="22">
        <f t="shared" si="4"/>
        <v>3</v>
      </c>
      <c r="I116" t="s">
        <v>40</v>
      </c>
      <c r="J116" s="22" t="s">
        <v>106</v>
      </c>
      <c r="K116" t="s">
        <v>156</v>
      </c>
      <c r="L116" t="s">
        <v>99</v>
      </c>
      <c r="M116" s="28">
        <v>44818</v>
      </c>
      <c r="N116" s="22">
        <v>31</v>
      </c>
      <c r="O116" s="22" t="str">
        <f>IF(COUNTIF(Exits_Attrition!$A$2:$A$65,A116)&gt;0,"Exited","Active")</f>
        <v>Active</v>
      </c>
      <c r="P116" s="28" t="str">
        <f>IFERROR(INDEX(Exits_Attrition!$H$2:$H$65,MATCH(A116,Exits_Attrition!$A$2:$A$65,0)),"")</f>
        <v/>
      </c>
      <c r="Q116" s="24">
        <f t="shared" si="5"/>
        <v>4</v>
      </c>
      <c r="R116" s="22" t="str">
        <f t="shared" si="6"/>
        <v>3-5 Yrs</v>
      </c>
      <c r="S116" s="22">
        <f t="shared" si="7"/>
        <v>0</v>
      </c>
    </row>
    <row r="117" spans="1:19" x14ac:dyDescent="0.3">
      <c r="A117" s="22" t="s">
        <v>538</v>
      </c>
      <c r="B117" t="s">
        <v>539</v>
      </c>
      <c r="C117" t="s">
        <v>540</v>
      </c>
      <c r="D117" t="s">
        <v>158</v>
      </c>
      <c r="E117" s="22" t="s">
        <v>157</v>
      </c>
      <c r="F117" t="s">
        <v>541</v>
      </c>
      <c r="G117" s="22" t="s">
        <v>26</v>
      </c>
      <c r="H117" s="22">
        <f t="shared" si="4"/>
        <v>3</v>
      </c>
      <c r="I117" t="s">
        <v>48</v>
      </c>
      <c r="J117" s="22" t="s">
        <v>97</v>
      </c>
      <c r="K117" t="s">
        <v>213</v>
      </c>
      <c r="L117" t="s">
        <v>99</v>
      </c>
      <c r="M117" s="28">
        <v>44830</v>
      </c>
      <c r="N117" s="22">
        <v>34</v>
      </c>
      <c r="O117" s="22" t="str">
        <f>IF(COUNTIF(Exits_Attrition!$A$2:$A$65,A117)&gt;0,"Exited","Active")</f>
        <v>Active</v>
      </c>
      <c r="P117" s="28" t="str">
        <f>IFERROR(INDEX(Exits_Attrition!$H$2:$H$65,MATCH(A117,Exits_Attrition!$A$2:$A$65,0)),"")</f>
        <v/>
      </c>
      <c r="Q117" s="24">
        <f t="shared" si="5"/>
        <v>4</v>
      </c>
      <c r="R117" s="22" t="str">
        <f t="shared" si="6"/>
        <v>3-5 Yrs</v>
      </c>
      <c r="S117" s="22">
        <f t="shared" si="7"/>
        <v>0</v>
      </c>
    </row>
    <row r="118" spans="1:19" x14ac:dyDescent="0.3">
      <c r="A118" s="22" t="s">
        <v>542</v>
      </c>
      <c r="B118" t="s">
        <v>543</v>
      </c>
      <c r="C118" t="s">
        <v>544</v>
      </c>
      <c r="D118" t="s">
        <v>285</v>
      </c>
      <c r="E118" s="22" t="s">
        <v>286</v>
      </c>
      <c r="F118" t="s">
        <v>545</v>
      </c>
      <c r="G118" s="22" t="s">
        <v>24</v>
      </c>
      <c r="H118" s="22">
        <f t="shared" si="4"/>
        <v>2</v>
      </c>
      <c r="I118" t="s">
        <v>43</v>
      </c>
      <c r="J118" s="22" t="s">
        <v>97</v>
      </c>
      <c r="K118" t="s">
        <v>98</v>
      </c>
      <c r="L118" t="s">
        <v>99</v>
      </c>
      <c r="M118" s="28">
        <v>44836</v>
      </c>
      <c r="N118" s="22">
        <v>29</v>
      </c>
      <c r="O118" s="22" t="str">
        <f>IF(COUNTIF(Exits_Attrition!$A$2:$A$65,A118)&gt;0,"Exited","Active")</f>
        <v>Active</v>
      </c>
      <c r="P118" s="28" t="str">
        <f>IFERROR(INDEX(Exits_Attrition!$H$2:$H$65,MATCH(A118,Exits_Attrition!$A$2:$A$65,0)),"")</f>
        <v/>
      </c>
      <c r="Q118" s="24">
        <f t="shared" si="5"/>
        <v>4</v>
      </c>
      <c r="R118" s="22" t="str">
        <f t="shared" si="6"/>
        <v>3-5 Yrs</v>
      </c>
      <c r="S118" s="22">
        <f t="shared" si="7"/>
        <v>0</v>
      </c>
    </row>
    <row r="119" spans="1:19" x14ac:dyDescent="0.3">
      <c r="A119" s="22" t="s">
        <v>154</v>
      </c>
      <c r="B119" t="s">
        <v>153</v>
      </c>
      <c r="C119" t="s">
        <v>546</v>
      </c>
      <c r="D119" t="s">
        <v>138</v>
      </c>
      <c r="E119" s="22" t="s">
        <v>139</v>
      </c>
      <c r="F119" t="s">
        <v>123</v>
      </c>
      <c r="G119" s="22" t="s">
        <v>30</v>
      </c>
      <c r="H119" s="22">
        <f t="shared" si="4"/>
        <v>5</v>
      </c>
      <c r="I119" t="s">
        <v>40</v>
      </c>
      <c r="J119" s="22" t="s">
        <v>106</v>
      </c>
      <c r="K119" t="s">
        <v>156</v>
      </c>
      <c r="L119" t="s">
        <v>99</v>
      </c>
      <c r="M119" s="28">
        <v>44843</v>
      </c>
      <c r="N119" s="22">
        <v>34</v>
      </c>
      <c r="O119" s="22" t="str">
        <f>IF(COUNTIF(Exits_Attrition!$A$2:$A$65,A119)&gt;0,"Exited","Active")</f>
        <v>Exited</v>
      </c>
      <c r="P119" s="28">
        <f>IFERROR(INDEX(Exits_Attrition!$H$2:$H$65,MATCH(A119,Exits_Attrition!$A$2:$A$65,0)),"")</f>
        <v>46127</v>
      </c>
      <c r="Q119" s="24">
        <f t="shared" si="5"/>
        <v>3.5</v>
      </c>
      <c r="R119" s="22" t="str">
        <f t="shared" si="6"/>
        <v>3-5 Yrs</v>
      </c>
      <c r="S119" s="22">
        <f t="shared" si="7"/>
        <v>13</v>
      </c>
    </row>
    <row r="120" spans="1:19" x14ac:dyDescent="0.3">
      <c r="A120" s="22" t="s">
        <v>547</v>
      </c>
      <c r="B120" t="s">
        <v>548</v>
      </c>
      <c r="C120" t="s">
        <v>549</v>
      </c>
      <c r="D120" t="s">
        <v>378</v>
      </c>
      <c r="E120" s="22" t="s">
        <v>379</v>
      </c>
      <c r="F120" t="s">
        <v>550</v>
      </c>
      <c r="G120" s="22" t="s">
        <v>24</v>
      </c>
      <c r="H120" s="22">
        <f t="shared" si="4"/>
        <v>2</v>
      </c>
      <c r="I120" t="s">
        <v>40</v>
      </c>
      <c r="J120" s="22" t="s">
        <v>106</v>
      </c>
      <c r="K120" t="s">
        <v>190</v>
      </c>
      <c r="L120" t="s">
        <v>99</v>
      </c>
      <c r="M120" s="28">
        <v>44847</v>
      </c>
      <c r="N120" s="22">
        <v>27</v>
      </c>
      <c r="O120" s="22" t="str">
        <f>IF(COUNTIF(Exits_Attrition!$A$2:$A$65,A120)&gt;0,"Exited","Active")</f>
        <v>Active</v>
      </c>
      <c r="P120" s="28" t="str">
        <f>IFERROR(INDEX(Exits_Attrition!$H$2:$H$65,MATCH(A120,Exits_Attrition!$A$2:$A$65,0)),"")</f>
        <v/>
      </c>
      <c r="Q120" s="24">
        <f t="shared" si="5"/>
        <v>4</v>
      </c>
      <c r="R120" s="22" t="str">
        <f t="shared" si="6"/>
        <v>3-5 Yrs</v>
      </c>
      <c r="S120" s="22">
        <f t="shared" si="7"/>
        <v>0</v>
      </c>
    </row>
    <row r="121" spans="1:19" x14ac:dyDescent="0.3">
      <c r="A121" s="22" t="s">
        <v>551</v>
      </c>
      <c r="B121" t="s">
        <v>552</v>
      </c>
      <c r="C121" t="s">
        <v>553</v>
      </c>
      <c r="D121" t="s">
        <v>204</v>
      </c>
      <c r="E121" s="22" t="s">
        <v>203</v>
      </c>
      <c r="F121" t="s">
        <v>212</v>
      </c>
      <c r="G121" s="22" t="s">
        <v>26</v>
      </c>
      <c r="H121" s="22">
        <f t="shared" si="4"/>
        <v>3</v>
      </c>
      <c r="I121" t="s">
        <v>45</v>
      </c>
      <c r="J121" s="22" t="s">
        <v>97</v>
      </c>
      <c r="K121" t="s">
        <v>98</v>
      </c>
      <c r="L121" t="s">
        <v>99</v>
      </c>
      <c r="M121" s="28">
        <v>44850</v>
      </c>
      <c r="N121" s="22">
        <v>32</v>
      </c>
      <c r="O121" s="22" t="str">
        <f>IF(COUNTIF(Exits_Attrition!$A$2:$A$65,A121)&gt;0,"Exited","Active")</f>
        <v>Exited</v>
      </c>
      <c r="P121" s="28">
        <f>IFERROR(INDEX(Exits_Attrition!$H$2:$H$65,MATCH(A121,Exits_Attrition!$A$2:$A$65,0)),"")</f>
        <v>46050</v>
      </c>
      <c r="Q121" s="24">
        <f t="shared" si="5"/>
        <v>3.3</v>
      </c>
      <c r="R121" s="22" t="str">
        <f t="shared" si="6"/>
        <v>3-5 Yrs</v>
      </c>
      <c r="S121" s="22">
        <f t="shared" si="7"/>
        <v>0</v>
      </c>
    </row>
    <row r="122" spans="1:19" x14ac:dyDescent="0.3">
      <c r="A122" s="22" t="s">
        <v>554</v>
      </c>
      <c r="B122" t="s">
        <v>555</v>
      </c>
      <c r="C122" t="s">
        <v>556</v>
      </c>
      <c r="D122" t="s">
        <v>501</v>
      </c>
      <c r="E122" s="22" t="s">
        <v>502</v>
      </c>
      <c r="F122" t="s">
        <v>426</v>
      </c>
      <c r="G122" s="22" t="s">
        <v>28</v>
      </c>
      <c r="H122" s="22">
        <f t="shared" si="4"/>
        <v>4</v>
      </c>
      <c r="I122" t="s">
        <v>46</v>
      </c>
      <c r="J122" s="22" t="s">
        <v>106</v>
      </c>
      <c r="K122" t="s">
        <v>190</v>
      </c>
      <c r="L122" t="s">
        <v>99</v>
      </c>
      <c r="M122" s="28">
        <v>44862</v>
      </c>
      <c r="N122" s="22">
        <v>32</v>
      </c>
      <c r="O122" s="22" t="str">
        <f>IF(COUNTIF(Exits_Attrition!$A$2:$A$65,A122)&gt;0,"Exited","Active")</f>
        <v>Active</v>
      </c>
      <c r="P122" s="28" t="str">
        <f>IFERROR(INDEX(Exits_Attrition!$H$2:$H$65,MATCH(A122,Exits_Attrition!$A$2:$A$65,0)),"")</f>
        <v/>
      </c>
      <c r="Q122" s="24">
        <f t="shared" si="5"/>
        <v>3.9</v>
      </c>
      <c r="R122" s="22" t="str">
        <f t="shared" si="6"/>
        <v>3-5 Yrs</v>
      </c>
      <c r="S122" s="22">
        <f t="shared" si="7"/>
        <v>0</v>
      </c>
    </row>
    <row r="123" spans="1:19" x14ac:dyDescent="0.3">
      <c r="A123" s="22" t="s">
        <v>557</v>
      </c>
      <c r="B123" t="s">
        <v>558</v>
      </c>
      <c r="C123" t="s">
        <v>559</v>
      </c>
      <c r="D123" t="s">
        <v>173</v>
      </c>
      <c r="E123" s="22" t="s">
        <v>172</v>
      </c>
      <c r="F123" t="s">
        <v>560</v>
      </c>
      <c r="G123" s="22" t="s">
        <v>24</v>
      </c>
      <c r="H123" s="22">
        <f t="shared" si="4"/>
        <v>2</v>
      </c>
      <c r="I123" t="s">
        <v>41</v>
      </c>
      <c r="J123" s="22" t="s">
        <v>97</v>
      </c>
      <c r="K123" t="s">
        <v>156</v>
      </c>
      <c r="L123" t="s">
        <v>99</v>
      </c>
      <c r="M123" s="28">
        <v>44873</v>
      </c>
      <c r="N123" s="22">
        <v>29</v>
      </c>
      <c r="O123" s="22" t="str">
        <f>IF(COUNTIF(Exits_Attrition!$A$2:$A$65,A123)&gt;0,"Exited","Active")</f>
        <v>Exited</v>
      </c>
      <c r="P123" s="28">
        <f>IFERROR(INDEX(Exits_Attrition!$H$2:$H$65,MATCH(A123,Exits_Attrition!$A$2:$A$65,0)),"")</f>
        <v>46035</v>
      </c>
      <c r="Q123" s="24">
        <f t="shared" si="5"/>
        <v>3.2</v>
      </c>
      <c r="R123" s="22" t="str">
        <f t="shared" si="6"/>
        <v>3-5 Yrs</v>
      </c>
      <c r="S123" s="22">
        <f t="shared" si="7"/>
        <v>0</v>
      </c>
    </row>
    <row r="124" spans="1:19" x14ac:dyDescent="0.3">
      <c r="A124" s="22" t="s">
        <v>561</v>
      </c>
      <c r="B124" t="s">
        <v>562</v>
      </c>
      <c r="C124" t="s">
        <v>563</v>
      </c>
      <c r="D124" t="s">
        <v>415</v>
      </c>
      <c r="E124" s="22" t="s">
        <v>416</v>
      </c>
      <c r="F124" t="s">
        <v>550</v>
      </c>
      <c r="G124" s="22" t="s">
        <v>24</v>
      </c>
      <c r="H124" s="22">
        <f t="shared" si="4"/>
        <v>2</v>
      </c>
      <c r="I124" t="s">
        <v>40</v>
      </c>
      <c r="J124" s="22" t="s">
        <v>106</v>
      </c>
      <c r="K124" t="s">
        <v>156</v>
      </c>
      <c r="L124" t="s">
        <v>220</v>
      </c>
      <c r="M124" s="28">
        <v>44877</v>
      </c>
      <c r="N124" s="22">
        <v>28</v>
      </c>
      <c r="O124" s="22" t="str">
        <f>IF(COUNTIF(Exits_Attrition!$A$2:$A$65,A124)&gt;0,"Exited","Active")</f>
        <v>Active</v>
      </c>
      <c r="P124" s="28" t="str">
        <f>IFERROR(INDEX(Exits_Attrition!$H$2:$H$65,MATCH(A124,Exits_Attrition!$A$2:$A$65,0)),"")</f>
        <v/>
      </c>
      <c r="Q124" s="24">
        <f t="shared" si="5"/>
        <v>3.9</v>
      </c>
      <c r="R124" s="22" t="str">
        <f t="shared" si="6"/>
        <v>3-5 Yrs</v>
      </c>
      <c r="S124" s="22">
        <f t="shared" si="7"/>
        <v>0</v>
      </c>
    </row>
    <row r="125" spans="1:19" x14ac:dyDescent="0.3">
      <c r="A125" s="22" t="s">
        <v>392</v>
      </c>
      <c r="B125" t="s">
        <v>391</v>
      </c>
      <c r="C125" t="s">
        <v>564</v>
      </c>
      <c r="D125" t="s">
        <v>94</v>
      </c>
      <c r="E125" s="22" t="s">
        <v>95</v>
      </c>
      <c r="F125" t="s">
        <v>565</v>
      </c>
      <c r="G125" s="22" t="s">
        <v>34</v>
      </c>
      <c r="H125" s="22">
        <f t="shared" si="4"/>
        <v>7</v>
      </c>
      <c r="I125" t="s">
        <v>41</v>
      </c>
      <c r="J125" s="22" t="s">
        <v>106</v>
      </c>
      <c r="K125" t="s">
        <v>156</v>
      </c>
      <c r="L125" t="s">
        <v>99</v>
      </c>
      <c r="M125" s="28">
        <v>44879</v>
      </c>
      <c r="N125" s="22">
        <v>38</v>
      </c>
      <c r="O125" s="22" t="str">
        <f>IF(COUNTIF(Exits_Attrition!$A$2:$A$65,A125)&gt;0,"Exited","Active")</f>
        <v>Active</v>
      </c>
      <c r="P125" s="28" t="str">
        <f>IFERROR(INDEX(Exits_Attrition!$H$2:$H$65,MATCH(A125,Exits_Attrition!$A$2:$A$65,0)),"")</f>
        <v/>
      </c>
      <c r="Q125" s="24">
        <f t="shared" si="5"/>
        <v>3.9</v>
      </c>
      <c r="R125" s="22" t="str">
        <f t="shared" si="6"/>
        <v>3-5 Yrs</v>
      </c>
      <c r="S125" s="22">
        <f t="shared" si="7"/>
        <v>2</v>
      </c>
    </row>
    <row r="126" spans="1:19" x14ac:dyDescent="0.3">
      <c r="A126" s="22" t="s">
        <v>566</v>
      </c>
      <c r="B126" t="s">
        <v>567</v>
      </c>
      <c r="C126" t="s">
        <v>568</v>
      </c>
      <c r="D126" t="s">
        <v>116</v>
      </c>
      <c r="E126" s="22" t="s">
        <v>115</v>
      </c>
      <c r="F126" t="s">
        <v>569</v>
      </c>
      <c r="G126" s="22" t="s">
        <v>24</v>
      </c>
      <c r="H126" s="22">
        <f t="shared" si="4"/>
        <v>2</v>
      </c>
      <c r="I126" t="s">
        <v>39</v>
      </c>
      <c r="J126" s="22" t="s">
        <v>106</v>
      </c>
      <c r="K126" t="s">
        <v>98</v>
      </c>
      <c r="L126" t="s">
        <v>99</v>
      </c>
      <c r="M126" s="28">
        <v>44894</v>
      </c>
      <c r="N126" s="22">
        <v>29</v>
      </c>
      <c r="O126" s="22" t="str">
        <f>IF(COUNTIF(Exits_Attrition!$A$2:$A$65,A126)&gt;0,"Exited","Active")</f>
        <v>Active</v>
      </c>
      <c r="P126" s="28" t="str">
        <f>IFERROR(INDEX(Exits_Attrition!$H$2:$H$65,MATCH(A126,Exits_Attrition!$A$2:$A$65,0)),"")</f>
        <v/>
      </c>
      <c r="Q126" s="24">
        <f t="shared" si="5"/>
        <v>3.8</v>
      </c>
      <c r="R126" s="22" t="str">
        <f t="shared" si="6"/>
        <v>3-5 Yrs</v>
      </c>
      <c r="S126" s="22">
        <f t="shared" si="7"/>
        <v>0</v>
      </c>
    </row>
    <row r="127" spans="1:19" x14ac:dyDescent="0.3">
      <c r="A127" s="22" t="s">
        <v>570</v>
      </c>
      <c r="B127" t="s">
        <v>571</v>
      </c>
      <c r="C127" t="s">
        <v>572</v>
      </c>
      <c r="D127" t="s">
        <v>217</v>
      </c>
      <c r="E127" s="22" t="s">
        <v>218</v>
      </c>
      <c r="F127" t="s">
        <v>550</v>
      </c>
      <c r="G127" s="22" t="s">
        <v>24</v>
      </c>
      <c r="H127" s="22">
        <f t="shared" si="4"/>
        <v>2</v>
      </c>
      <c r="I127" t="s">
        <v>40</v>
      </c>
      <c r="J127" s="22" t="s">
        <v>106</v>
      </c>
      <c r="K127" t="s">
        <v>156</v>
      </c>
      <c r="L127" t="s">
        <v>99</v>
      </c>
      <c r="M127" s="28">
        <v>44897</v>
      </c>
      <c r="N127" s="22">
        <v>26</v>
      </c>
      <c r="O127" s="22" t="str">
        <f>IF(COUNTIF(Exits_Attrition!$A$2:$A$65,A127)&gt;0,"Exited","Active")</f>
        <v>Active</v>
      </c>
      <c r="P127" s="28" t="str">
        <f>IFERROR(INDEX(Exits_Attrition!$H$2:$H$65,MATCH(A127,Exits_Attrition!$A$2:$A$65,0)),"")</f>
        <v/>
      </c>
      <c r="Q127" s="24">
        <f t="shared" si="5"/>
        <v>3.8</v>
      </c>
      <c r="R127" s="22" t="str">
        <f t="shared" si="6"/>
        <v>3-5 Yrs</v>
      </c>
      <c r="S127" s="22">
        <f t="shared" si="7"/>
        <v>0</v>
      </c>
    </row>
    <row r="128" spans="1:19" x14ac:dyDescent="0.3">
      <c r="A128" s="22" t="s">
        <v>573</v>
      </c>
      <c r="B128" t="s">
        <v>574</v>
      </c>
      <c r="C128" t="s">
        <v>575</v>
      </c>
      <c r="D128" t="s">
        <v>228</v>
      </c>
      <c r="E128" s="22" t="s">
        <v>227</v>
      </c>
      <c r="F128" t="s">
        <v>576</v>
      </c>
      <c r="G128" s="22" t="s">
        <v>24</v>
      </c>
      <c r="H128" s="22">
        <f t="shared" si="4"/>
        <v>2</v>
      </c>
      <c r="I128" t="s">
        <v>42</v>
      </c>
      <c r="J128" s="22" t="s">
        <v>97</v>
      </c>
      <c r="K128" t="s">
        <v>124</v>
      </c>
      <c r="L128" t="s">
        <v>99</v>
      </c>
      <c r="M128" s="28">
        <v>44902</v>
      </c>
      <c r="N128" s="22">
        <v>27</v>
      </c>
      <c r="O128" s="22" t="str">
        <f>IF(COUNTIF(Exits_Attrition!$A$2:$A$65,A128)&gt;0,"Exited","Active")</f>
        <v>Active</v>
      </c>
      <c r="P128" s="28" t="str">
        <f>IFERROR(INDEX(Exits_Attrition!$H$2:$H$65,MATCH(A128,Exits_Attrition!$A$2:$A$65,0)),"")</f>
        <v/>
      </c>
      <c r="Q128" s="24">
        <f t="shared" si="5"/>
        <v>3.8</v>
      </c>
      <c r="R128" s="22" t="str">
        <f t="shared" si="6"/>
        <v>3-5 Yrs</v>
      </c>
      <c r="S128" s="22">
        <f t="shared" si="7"/>
        <v>0</v>
      </c>
    </row>
    <row r="129" spans="1:19" x14ac:dyDescent="0.3">
      <c r="A129" s="22" t="s">
        <v>577</v>
      </c>
      <c r="B129" t="s">
        <v>578</v>
      </c>
      <c r="C129" t="s">
        <v>579</v>
      </c>
      <c r="D129" t="s">
        <v>378</v>
      </c>
      <c r="E129" s="22" t="s">
        <v>379</v>
      </c>
      <c r="F129" t="s">
        <v>550</v>
      </c>
      <c r="G129" s="22" t="s">
        <v>24</v>
      </c>
      <c r="H129" s="22">
        <f t="shared" si="4"/>
        <v>2</v>
      </c>
      <c r="I129" t="s">
        <v>40</v>
      </c>
      <c r="J129" s="22" t="s">
        <v>106</v>
      </c>
      <c r="K129" t="s">
        <v>156</v>
      </c>
      <c r="L129" t="s">
        <v>99</v>
      </c>
      <c r="M129" s="28">
        <v>44928</v>
      </c>
      <c r="N129" s="22">
        <v>27</v>
      </c>
      <c r="O129" s="22" t="str">
        <f>IF(COUNTIF(Exits_Attrition!$A$2:$A$65,A129)&gt;0,"Exited","Active")</f>
        <v>Active</v>
      </c>
      <c r="P129" s="28" t="str">
        <f>IFERROR(INDEX(Exits_Attrition!$H$2:$H$65,MATCH(A129,Exits_Attrition!$A$2:$A$65,0)),"")</f>
        <v/>
      </c>
      <c r="Q129" s="24">
        <f t="shared" si="5"/>
        <v>3.7</v>
      </c>
      <c r="R129" s="22" t="str">
        <f t="shared" si="6"/>
        <v>3-5 Yrs</v>
      </c>
      <c r="S129" s="22">
        <f t="shared" si="7"/>
        <v>0</v>
      </c>
    </row>
    <row r="130" spans="1:19" x14ac:dyDescent="0.3">
      <c r="A130" s="22" t="s">
        <v>401</v>
      </c>
      <c r="B130" t="s">
        <v>400</v>
      </c>
      <c r="C130" t="s">
        <v>580</v>
      </c>
      <c r="D130" t="s">
        <v>361</v>
      </c>
      <c r="E130" s="22" t="s">
        <v>362</v>
      </c>
      <c r="F130" t="s">
        <v>105</v>
      </c>
      <c r="G130" s="22" t="s">
        <v>30</v>
      </c>
      <c r="H130" s="22">
        <f t="shared" ref="H130:H193" si="8">VALUE(MID(G130,2,1))</f>
        <v>5</v>
      </c>
      <c r="I130" t="s">
        <v>39</v>
      </c>
      <c r="J130" s="22" t="s">
        <v>97</v>
      </c>
      <c r="K130" t="s">
        <v>98</v>
      </c>
      <c r="L130" t="s">
        <v>99</v>
      </c>
      <c r="M130" s="28">
        <v>44931</v>
      </c>
      <c r="N130" s="22">
        <v>34</v>
      </c>
      <c r="O130" s="22" t="str">
        <f>IF(COUNTIF(Exits_Attrition!$A$2:$A$65,A130)&gt;0,"Exited","Active")</f>
        <v>Active</v>
      </c>
      <c r="P130" s="28" t="str">
        <f>IFERROR(INDEX(Exits_Attrition!$H$2:$H$65,MATCH(A130,Exits_Attrition!$A$2:$A$65,0)),"")</f>
        <v/>
      </c>
      <c r="Q130" s="24">
        <f t="shared" ref="Q130:Q193" si="9">ROUND((IF(P130="",AsOf,P130)-M130)/365.25,1)</f>
        <v>3.7</v>
      </c>
      <c r="R130" s="22" t="str">
        <f t="shared" ref="R130:R193" si="10">IF(Q130&lt;1,"Under 1 Yr",IF(Q130&lt;3,"1-3 Yrs",IF(Q130&lt;5,"3-5 Yrs","5+ Yrs")))</f>
        <v>3-5 Yrs</v>
      </c>
      <c r="S130" s="22">
        <f t="shared" ref="S130:S193" si="11">COUNTIF($E$2:$E$501,A130)</f>
        <v>8</v>
      </c>
    </row>
    <row r="131" spans="1:19" x14ac:dyDescent="0.3">
      <c r="A131" s="22" t="s">
        <v>237</v>
      </c>
      <c r="B131" t="s">
        <v>236</v>
      </c>
      <c r="C131" t="s">
        <v>581</v>
      </c>
      <c r="D131" t="s">
        <v>268</v>
      </c>
      <c r="E131" s="22" t="s">
        <v>267</v>
      </c>
      <c r="F131" t="s">
        <v>232</v>
      </c>
      <c r="G131" s="22" t="s">
        <v>30</v>
      </c>
      <c r="H131" s="22">
        <f t="shared" si="8"/>
        <v>5</v>
      </c>
      <c r="I131" t="s">
        <v>42</v>
      </c>
      <c r="J131" s="22" t="s">
        <v>106</v>
      </c>
      <c r="K131" t="s">
        <v>124</v>
      </c>
      <c r="L131" t="s">
        <v>99</v>
      </c>
      <c r="M131" s="28">
        <v>44936</v>
      </c>
      <c r="N131" s="22">
        <v>38</v>
      </c>
      <c r="O131" s="22" t="str">
        <f>IF(COUNTIF(Exits_Attrition!$A$2:$A$65,A131)&gt;0,"Exited","Active")</f>
        <v>Active</v>
      </c>
      <c r="P131" s="28" t="str">
        <f>IFERROR(INDEX(Exits_Attrition!$H$2:$H$65,MATCH(A131,Exits_Attrition!$A$2:$A$65,0)),"")</f>
        <v/>
      </c>
      <c r="Q131" s="24">
        <f t="shared" si="9"/>
        <v>3.7</v>
      </c>
      <c r="R131" s="22" t="str">
        <f t="shared" si="10"/>
        <v>3-5 Yrs</v>
      </c>
      <c r="S131" s="22">
        <f t="shared" si="11"/>
        <v>10</v>
      </c>
    </row>
    <row r="132" spans="1:19" x14ac:dyDescent="0.3">
      <c r="A132" s="22" t="s">
        <v>582</v>
      </c>
      <c r="B132" t="s">
        <v>583</v>
      </c>
      <c r="C132" t="s">
        <v>584</v>
      </c>
      <c r="D132" t="s">
        <v>181</v>
      </c>
      <c r="E132" s="22" t="s">
        <v>182</v>
      </c>
      <c r="F132" t="s">
        <v>569</v>
      </c>
      <c r="G132" s="22" t="s">
        <v>24</v>
      </c>
      <c r="H132" s="22">
        <f t="shared" si="8"/>
        <v>2</v>
      </c>
      <c r="I132" t="s">
        <v>39</v>
      </c>
      <c r="J132" s="22" t="s">
        <v>97</v>
      </c>
      <c r="K132" t="s">
        <v>98</v>
      </c>
      <c r="L132" t="s">
        <v>99</v>
      </c>
      <c r="M132" s="28">
        <v>44937</v>
      </c>
      <c r="N132" s="22">
        <v>30</v>
      </c>
      <c r="O132" s="22" t="str">
        <f>IF(COUNTIF(Exits_Attrition!$A$2:$A$65,A132)&gt;0,"Exited","Active")</f>
        <v>Active</v>
      </c>
      <c r="P132" s="28" t="str">
        <f>IFERROR(INDEX(Exits_Attrition!$H$2:$H$65,MATCH(A132,Exits_Attrition!$A$2:$A$65,0)),"")</f>
        <v/>
      </c>
      <c r="Q132" s="24">
        <f t="shared" si="9"/>
        <v>3.7</v>
      </c>
      <c r="R132" s="22" t="str">
        <f t="shared" si="10"/>
        <v>3-5 Yrs</v>
      </c>
      <c r="S132" s="22">
        <f t="shared" si="11"/>
        <v>0</v>
      </c>
    </row>
    <row r="133" spans="1:19" x14ac:dyDescent="0.3">
      <c r="A133" s="22" t="s">
        <v>585</v>
      </c>
      <c r="B133" t="s">
        <v>586</v>
      </c>
      <c r="C133" t="s">
        <v>587</v>
      </c>
      <c r="D133" t="s">
        <v>113</v>
      </c>
      <c r="E133" s="22" t="s">
        <v>112</v>
      </c>
      <c r="F133" t="s">
        <v>244</v>
      </c>
      <c r="G133" s="22" t="s">
        <v>26</v>
      </c>
      <c r="H133" s="22">
        <f t="shared" si="8"/>
        <v>3</v>
      </c>
      <c r="I133" t="s">
        <v>39</v>
      </c>
      <c r="J133" s="22" t="s">
        <v>97</v>
      </c>
      <c r="K133" t="s">
        <v>98</v>
      </c>
      <c r="L133" t="s">
        <v>99</v>
      </c>
      <c r="M133" s="28">
        <v>44938</v>
      </c>
      <c r="N133" s="22">
        <v>33</v>
      </c>
      <c r="O133" s="22" t="str">
        <f>IF(COUNTIF(Exits_Attrition!$A$2:$A$65,A133)&gt;0,"Exited","Active")</f>
        <v>Active</v>
      </c>
      <c r="P133" s="28" t="str">
        <f>IFERROR(INDEX(Exits_Attrition!$H$2:$H$65,MATCH(A133,Exits_Attrition!$A$2:$A$65,0)),"")</f>
        <v/>
      </c>
      <c r="Q133" s="24">
        <f t="shared" si="9"/>
        <v>3.7</v>
      </c>
      <c r="R133" s="22" t="str">
        <f t="shared" si="10"/>
        <v>3-5 Yrs</v>
      </c>
      <c r="S133" s="22">
        <f t="shared" si="11"/>
        <v>0</v>
      </c>
    </row>
    <row r="134" spans="1:19" x14ac:dyDescent="0.3">
      <c r="A134" s="22" t="s">
        <v>588</v>
      </c>
      <c r="B134" t="s">
        <v>589</v>
      </c>
      <c r="C134" t="s">
        <v>590</v>
      </c>
      <c r="D134" t="s">
        <v>173</v>
      </c>
      <c r="E134" s="22" t="s">
        <v>172</v>
      </c>
      <c r="F134" t="s">
        <v>560</v>
      </c>
      <c r="G134" s="22" t="s">
        <v>24</v>
      </c>
      <c r="H134" s="22">
        <f t="shared" si="8"/>
        <v>2</v>
      </c>
      <c r="I134" t="s">
        <v>41</v>
      </c>
      <c r="J134" s="22" t="s">
        <v>97</v>
      </c>
      <c r="K134" t="s">
        <v>156</v>
      </c>
      <c r="L134" t="s">
        <v>99</v>
      </c>
      <c r="M134" s="28">
        <v>44938</v>
      </c>
      <c r="N134" s="22">
        <v>31</v>
      </c>
      <c r="O134" s="22" t="str">
        <f>IF(COUNTIF(Exits_Attrition!$A$2:$A$65,A134)&gt;0,"Exited","Active")</f>
        <v>Active</v>
      </c>
      <c r="P134" s="28" t="str">
        <f>IFERROR(INDEX(Exits_Attrition!$H$2:$H$65,MATCH(A134,Exits_Attrition!$A$2:$A$65,0)),"")</f>
        <v/>
      </c>
      <c r="Q134" s="24">
        <f t="shared" si="9"/>
        <v>3.7</v>
      </c>
      <c r="R134" s="22" t="str">
        <f t="shared" si="10"/>
        <v>3-5 Yrs</v>
      </c>
      <c r="S134" s="22">
        <f t="shared" si="11"/>
        <v>0</v>
      </c>
    </row>
    <row r="135" spans="1:19" x14ac:dyDescent="0.3">
      <c r="A135" s="22" t="s">
        <v>591</v>
      </c>
      <c r="B135" t="s">
        <v>592</v>
      </c>
      <c r="C135" t="s">
        <v>593</v>
      </c>
      <c r="D135" t="s">
        <v>224</v>
      </c>
      <c r="E135" s="22" t="s">
        <v>225</v>
      </c>
      <c r="F135" t="s">
        <v>226</v>
      </c>
      <c r="G135" s="22" t="s">
        <v>26</v>
      </c>
      <c r="H135" s="22">
        <f t="shared" si="8"/>
        <v>3</v>
      </c>
      <c r="I135" t="s">
        <v>47</v>
      </c>
      <c r="J135" s="22" t="s">
        <v>106</v>
      </c>
      <c r="K135" t="s">
        <v>98</v>
      </c>
      <c r="L135" t="s">
        <v>99</v>
      </c>
      <c r="M135" s="28">
        <v>44946</v>
      </c>
      <c r="N135" s="22">
        <v>33</v>
      </c>
      <c r="O135" s="22" t="str">
        <f>IF(COUNTIF(Exits_Attrition!$A$2:$A$65,A135)&gt;0,"Exited","Active")</f>
        <v>Active</v>
      </c>
      <c r="P135" s="28" t="str">
        <f>IFERROR(INDEX(Exits_Attrition!$H$2:$H$65,MATCH(A135,Exits_Attrition!$A$2:$A$65,0)),"")</f>
        <v/>
      </c>
      <c r="Q135" s="24">
        <f t="shared" si="9"/>
        <v>3.7</v>
      </c>
      <c r="R135" s="22" t="str">
        <f t="shared" si="10"/>
        <v>3-5 Yrs</v>
      </c>
      <c r="S135" s="22">
        <f t="shared" si="11"/>
        <v>0</v>
      </c>
    </row>
    <row r="136" spans="1:19" x14ac:dyDescent="0.3">
      <c r="A136" s="22" t="s">
        <v>594</v>
      </c>
      <c r="B136" t="s">
        <v>595</v>
      </c>
      <c r="C136" t="s">
        <v>596</v>
      </c>
      <c r="D136" t="s">
        <v>383</v>
      </c>
      <c r="E136" s="22" t="s">
        <v>384</v>
      </c>
      <c r="F136" t="s">
        <v>550</v>
      </c>
      <c r="G136" s="22" t="s">
        <v>24</v>
      </c>
      <c r="H136" s="22">
        <f t="shared" si="8"/>
        <v>2</v>
      </c>
      <c r="I136" t="s">
        <v>40</v>
      </c>
      <c r="J136" s="22" t="s">
        <v>97</v>
      </c>
      <c r="K136" t="s">
        <v>156</v>
      </c>
      <c r="L136" t="s">
        <v>99</v>
      </c>
      <c r="M136" s="28">
        <v>44950</v>
      </c>
      <c r="N136" s="22">
        <v>28</v>
      </c>
      <c r="O136" s="22" t="str">
        <f>IF(COUNTIF(Exits_Attrition!$A$2:$A$65,A136)&gt;0,"Exited","Active")</f>
        <v>Active</v>
      </c>
      <c r="P136" s="28" t="str">
        <f>IFERROR(INDEX(Exits_Attrition!$H$2:$H$65,MATCH(A136,Exits_Attrition!$A$2:$A$65,0)),"")</f>
        <v/>
      </c>
      <c r="Q136" s="24">
        <f t="shared" si="9"/>
        <v>3.7</v>
      </c>
      <c r="R136" s="22" t="str">
        <f t="shared" si="10"/>
        <v>3-5 Yrs</v>
      </c>
      <c r="S136" s="22">
        <f t="shared" si="11"/>
        <v>0</v>
      </c>
    </row>
    <row r="137" spans="1:19" x14ac:dyDescent="0.3">
      <c r="A137" s="22" t="s">
        <v>597</v>
      </c>
      <c r="B137" t="s">
        <v>598</v>
      </c>
      <c r="C137" t="s">
        <v>599</v>
      </c>
      <c r="D137" t="s">
        <v>415</v>
      </c>
      <c r="E137" s="22" t="s">
        <v>416</v>
      </c>
      <c r="F137" t="s">
        <v>219</v>
      </c>
      <c r="G137" s="22" t="s">
        <v>26</v>
      </c>
      <c r="H137" s="22">
        <f t="shared" si="8"/>
        <v>3</v>
      </c>
      <c r="I137" t="s">
        <v>40</v>
      </c>
      <c r="J137" s="22" t="s">
        <v>97</v>
      </c>
      <c r="K137" t="s">
        <v>156</v>
      </c>
      <c r="L137" t="s">
        <v>99</v>
      </c>
      <c r="M137" s="28">
        <v>44953</v>
      </c>
      <c r="N137" s="22">
        <v>32</v>
      </c>
      <c r="O137" s="22" t="str">
        <f>IF(COUNTIF(Exits_Attrition!$A$2:$A$65,A137)&gt;0,"Exited","Active")</f>
        <v>Active</v>
      </c>
      <c r="P137" s="28" t="str">
        <f>IFERROR(INDEX(Exits_Attrition!$H$2:$H$65,MATCH(A137,Exits_Attrition!$A$2:$A$65,0)),"")</f>
        <v/>
      </c>
      <c r="Q137" s="24">
        <f t="shared" si="9"/>
        <v>3.7</v>
      </c>
      <c r="R137" s="22" t="str">
        <f t="shared" si="10"/>
        <v>3-5 Yrs</v>
      </c>
      <c r="S137" s="22">
        <f t="shared" si="11"/>
        <v>0</v>
      </c>
    </row>
    <row r="138" spans="1:19" x14ac:dyDescent="0.3">
      <c r="A138" s="22" t="s">
        <v>600</v>
      </c>
      <c r="B138" t="s">
        <v>601</v>
      </c>
      <c r="C138" t="s">
        <v>602</v>
      </c>
      <c r="D138" t="s">
        <v>433</v>
      </c>
      <c r="E138" s="22" t="s">
        <v>434</v>
      </c>
      <c r="F138" t="s">
        <v>212</v>
      </c>
      <c r="G138" s="22" t="s">
        <v>26</v>
      </c>
      <c r="H138" s="22">
        <f t="shared" si="8"/>
        <v>3</v>
      </c>
      <c r="I138" t="s">
        <v>45</v>
      </c>
      <c r="J138" s="22" t="s">
        <v>106</v>
      </c>
      <c r="K138" t="s">
        <v>98</v>
      </c>
      <c r="L138" t="s">
        <v>99</v>
      </c>
      <c r="M138" s="28">
        <v>44963</v>
      </c>
      <c r="N138" s="22">
        <v>29</v>
      </c>
      <c r="O138" s="22" t="str">
        <f>IF(COUNTIF(Exits_Attrition!$A$2:$A$65,A138)&gt;0,"Exited","Active")</f>
        <v>Exited</v>
      </c>
      <c r="P138" s="28">
        <f>IFERROR(INDEX(Exits_Attrition!$H$2:$H$65,MATCH(A138,Exits_Attrition!$A$2:$A$65,0)),"")</f>
        <v>46133</v>
      </c>
      <c r="Q138" s="24">
        <f t="shared" si="9"/>
        <v>3.2</v>
      </c>
      <c r="R138" s="22" t="str">
        <f t="shared" si="10"/>
        <v>3-5 Yrs</v>
      </c>
      <c r="S138" s="22">
        <f t="shared" si="11"/>
        <v>0</v>
      </c>
    </row>
    <row r="139" spans="1:19" x14ac:dyDescent="0.3">
      <c r="A139" s="22" t="s">
        <v>603</v>
      </c>
      <c r="B139" t="s">
        <v>604</v>
      </c>
      <c r="C139" t="s">
        <v>605</v>
      </c>
      <c r="D139" t="s">
        <v>349</v>
      </c>
      <c r="E139" s="22" t="s">
        <v>350</v>
      </c>
      <c r="F139" t="s">
        <v>244</v>
      </c>
      <c r="G139" s="22" t="s">
        <v>26</v>
      </c>
      <c r="H139" s="22">
        <f t="shared" si="8"/>
        <v>3</v>
      </c>
      <c r="I139" t="s">
        <v>39</v>
      </c>
      <c r="J139" s="22" t="s">
        <v>97</v>
      </c>
      <c r="K139" t="s">
        <v>98</v>
      </c>
      <c r="L139" t="s">
        <v>99</v>
      </c>
      <c r="M139" s="28">
        <v>44965</v>
      </c>
      <c r="N139" s="22">
        <v>33</v>
      </c>
      <c r="O139" s="22" t="str">
        <f>IF(COUNTIF(Exits_Attrition!$A$2:$A$65,A139)&gt;0,"Exited","Active")</f>
        <v>Exited</v>
      </c>
      <c r="P139" s="28">
        <f>IFERROR(INDEX(Exits_Attrition!$H$2:$H$65,MATCH(A139,Exits_Attrition!$A$2:$A$65,0)),"")</f>
        <v>46193</v>
      </c>
      <c r="Q139" s="24">
        <f t="shared" si="9"/>
        <v>3.4</v>
      </c>
      <c r="R139" s="22" t="str">
        <f t="shared" si="10"/>
        <v>3-5 Yrs</v>
      </c>
      <c r="S139" s="22">
        <f t="shared" si="11"/>
        <v>0</v>
      </c>
    </row>
    <row r="140" spans="1:19" x14ac:dyDescent="0.3">
      <c r="A140" s="22" t="s">
        <v>606</v>
      </c>
      <c r="B140" t="s">
        <v>607</v>
      </c>
      <c r="C140" t="s">
        <v>608</v>
      </c>
      <c r="D140" t="s">
        <v>119</v>
      </c>
      <c r="E140" s="22" t="s">
        <v>118</v>
      </c>
      <c r="F140" t="s">
        <v>155</v>
      </c>
      <c r="G140" s="22" t="s">
        <v>28</v>
      </c>
      <c r="H140" s="22">
        <f t="shared" si="8"/>
        <v>4</v>
      </c>
      <c r="I140" t="s">
        <v>40</v>
      </c>
      <c r="J140" s="22" t="s">
        <v>106</v>
      </c>
      <c r="K140" t="s">
        <v>107</v>
      </c>
      <c r="L140" t="s">
        <v>99</v>
      </c>
      <c r="M140" s="28">
        <v>44965</v>
      </c>
      <c r="N140" s="22">
        <v>35</v>
      </c>
      <c r="O140" s="22" t="str">
        <f>IF(COUNTIF(Exits_Attrition!$A$2:$A$65,A140)&gt;0,"Exited","Active")</f>
        <v>Active</v>
      </c>
      <c r="P140" s="28" t="str">
        <f>IFERROR(INDEX(Exits_Attrition!$H$2:$H$65,MATCH(A140,Exits_Attrition!$A$2:$A$65,0)),"")</f>
        <v/>
      </c>
      <c r="Q140" s="24">
        <f t="shared" si="9"/>
        <v>3.6</v>
      </c>
      <c r="R140" s="22" t="str">
        <f t="shared" si="10"/>
        <v>3-5 Yrs</v>
      </c>
      <c r="S140" s="22">
        <f t="shared" si="11"/>
        <v>0</v>
      </c>
    </row>
    <row r="141" spans="1:19" x14ac:dyDescent="0.3">
      <c r="A141" s="22" t="s">
        <v>609</v>
      </c>
      <c r="B141" t="s">
        <v>610</v>
      </c>
      <c r="C141" t="s">
        <v>611</v>
      </c>
      <c r="D141" t="s">
        <v>242</v>
      </c>
      <c r="E141" s="22" t="s">
        <v>243</v>
      </c>
      <c r="F141" t="s">
        <v>244</v>
      </c>
      <c r="G141" s="22" t="s">
        <v>26</v>
      </c>
      <c r="H141" s="22">
        <f t="shared" si="8"/>
        <v>3</v>
      </c>
      <c r="I141" t="s">
        <v>39</v>
      </c>
      <c r="J141" s="22" t="s">
        <v>97</v>
      </c>
      <c r="K141" t="s">
        <v>98</v>
      </c>
      <c r="L141" t="s">
        <v>99</v>
      </c>
      <c r="M141" s="28">
        <v>44978</v>
      </c>
      <c r="N141" s="22">
        <v>32</v>
      </c>
      <c r="O141" s="22" t="str">
        <f>IF(COUNTIF(Exits_Attrition!$A$2:$A$65,A141)&gt;0,"Exited","Active")</f>
        <v>Active</v>
      </c>
      <c r="P141" s="28" t="str">
        <f>IFERROR(INDEX(Exits_Attrition!$H$2:$H$65,MATCH(A141,Exits_Attrition!$A$2:$A$65,0)),"")</f>
        <v/>
      </c>
      <c r="Q141" s="24">
        <f t="shared" si="9"/>
        <v>3.6</v>
      </c>
      <c r="R141" s="22" t="str">
        <f t="shared" si="10"/>
        <v>3-5 Yrs</v>
      </c>
      <c r="S141" s="22">
        <f t="shared" si="11"/>
        <v>0</v>
      </c>
    </row>
    <row r="142" spans="1:19" x14ac:dyDescent="0.3">
      <c r="A142" s="22" t="s">
        <v>612</v>
      </c>
      <c r="B142" t="s">
        <v>613</v>
      </c>
      <c r="C142" t="s">
        <v>614</v>
      </c>
      <c r="D142" t="s">
        <v>415</v>
      </c>
      <c r="E142" s="22" t="s">
        <v>416</v>
      </c>
      <c r="F142" t="s">
        <v>550</v>
      </c>
      <c r="G142" s="22" t="s">
        <v>24</v>
      </c>
      <c r="H142" s="22">
        <f t="shared" si="8"/>
        <v>2</v>
      </c>
      <c r="I142" t="s">
        <v>40</v>
      </c>
      <c r="J142" s="22" t="s">
        <v>106</v>
      </c>
      <c r="K142" t="s">
        <v>98</v>
      </c>
      <c r="L142" t="s">
        <v>99</v>
      </c>
      <c r="M142" s="28">
        <v>44982</v>
      </c>
      <c r="N142" s="22">
        <v>29</v>
      </c>
      <c r="O142" s="22" t="str">
        <f>IF(COUNTIF(Exits_Attrition!$A$2:$A$65,A142)&gt;0,"Exited","Active")</f>
        <v>Active</v>
      </c>
      <c r="P142" s="28" t="str">
        <f>IFERROR(INDEX(Exits_Attrition!$H$2:$H$65,MATCH(A142,Exits_Attrition!$A$2:$A$65,0)),"")</f>
        <v/>
      </c>
      <c r="Q142" s="24">
        <f t="shared" si="9"/>
        <v>3.6</v>
      </c>
      <c r="R142" s="22" t="str">
        <f t="shared" si="10"/>
        <v>3-5 Yrs</v>
      </c>
      <c r="S142" s="22">
        <f t="shared" si="11"/>
        <v>0</v>
      </c>
    </row>
    <row r="143" spans="1:19" x14ac:dyDescent="0.3">
      <c r="A143" s="22" t="s">
        <v>615</v>
      </c>
      <c r="B143" t="s">
        <v>616</v>
      </c>
      <c r="C143" t="s">
        <v>617</v>
      </c>
      <c r="D143" t="s">
        <v>459</v>
      </c>
      <c r="E143" s="22" t="s">
        <v>458</v>
      </c>
      <c r="F143" t="s">
        <v>576</v>
      </c>
      <c r="G143" s="22" t="s">
        <v>24</v>
      </c>
      <c r="H143" s="22">
        <f t="shared" si="8"/>
        <v>2</v>
      </c>
      <c r="I143" t="s">
        <v>42</v>
      </c>
      <c r="J143" s="22" t="s">
        <v>97</v>
      </c>
      <c r="K143" t="s">
        <v>124</v>
      </c>
      <c r="L143" t="s">
        <v>99</v>
      </c>
      <c r="M143" s="28">
        <v>44985</v>
      </c>
      <c r="N143" s="22">
        <v>26</v>
      </c>
      <c r="O143" s="22" t="str">
        <f>IF(COUNTIF(Exits_Attrition!$A$2:$A$65,A143)&gt;0,"Exited","Active")</f>
        <v>Active</v>
      </c>
      <c r="P143" s="28" t="str">
        <f>IFERROR(INDEX(Exits_Attrition!$H$2:$H$65,MATCH(A143,Exits_Attrition!$A$2:$A$65,0)),"")</f>
        <v/>
      </c>
      <c r="Q143" s="24">
        <f t="shared" si="9"/>
        <v>3.6</v>
      </c>
      <c r="R143" s="22" t="str">
        <f t="shared" si="10"/>
        <v>3-5 Yrs</v>
      </c>
      <c r="S143" s="22">
        <f t="shared" si="11"/>
        <v>0</v>
      </c>
    </row>
    <row r="144" spans="1:19" x14ac:dyDescent="0.3">
      <c r="A144" s="22" t="s">
        <v>618</v>
      </c>
      <c r="B144" t="s">
        <v>619</v>
      </c>
      <c r="C144" t="s">
        <v>620</v>
      </c>
      <c r="D144" t="s">
        <v>94</v>
      </c>
      <c r="E144" s="22" t="s">
        <v>95</v>
      </c>
      <c r="F144" t="s">
        <v>621</v>
      </c>
      <c r="G144" s="22" t="s">
        <v>34</v>
      </c>
      <c r="H144" s="22">
        <f t="shared" si="8"/>
        <v>7</v>
      </c>
      <c r="I144" t="s">
        <v>40</v>
      </c>
      <c r="J144" s="22" t="s">
        <v>97</v>
      </c>
      <c r="K144" t="s">
        <v>156</v>
      </c>
      <c r="L144" t="s">
        <v>99</v>
      </c>
      <c r="M144" s="28">
        <v>44987</v>
      </c>
      <c r="N144" s="22">
        <v>39</v>
      </c>
      <c r="O144" s="22" t="str">
        <f>IF(COUNTIF(Exits_Attrition!$A$2:$A$65,A144)&gt;0,"Exited","Active")</f>
        <v>Active</v>
      </c>
      <c r="P144" s="28" t="str">
        <f>IFERROR(INDEX(Exits_Attrition!$H$2:$H$65,MATCH(A144,Exits_Attrition!$A$2:$A$65,0)),"")</f>
        <v/>
      </c>
      <c r="Q144" s="24">
        <f t="shared" si="9"/>
        <v>3.6</v>
      </c>
      <c r="R144" s="22" t="str">
        <f t="shared" si="10"/>
        <v>3-5 Yrs</v>
      </c>
      <c r="S144" s="22">
        <f t="shared" si="11"/>
        <v>2</v>
      </c>
    </row>
    <row r="145" spans="1:19" x14ac:dyDescent="0.3">
      <c r="A145" s="22" t="s">
        <v>622</v>
      </c>
      <c r="B145" t="s">
        <v>623</v>
      </c>
      <c r="C145" t="s">
        <v>624</v>
      </c>
      <c r="D145" t="s">
        <v>185</v>
      </c>
      <c r="E145" s="22" t="s">
        <v>184</v>
      </c>
      <c r="F145" t="s">
        <v>625</v>
      </c>
      <c r="G145" s="22" t="s">
        <v>24</v>
      </c>
      <c r="H145" s="22">
        <f t="shared" si="8"/>
        <v>2</v>
      </c>
      <c r="I145" t="s">
        <v>44</v>
      </c>
      <c r="J145" s="22" t="s">
        <v>97</v>
      </c>
      <c r="K145" t="s">
        <v>124</v>
      </c>
      <c r="L145" t="s">
        <v>99</v>
      </c>
      <c r="M145" s="28">
        <v>44988</v>
      </c>
      <c r="N145" s="22">
        <v>30</v>
      </c>
      <c r="O145" s="22" t="str">
        <f>IF(COUNTIF(Exits_Attrition!$A$2:$A$65,A145)&gt;0,"Exited","Active")</f>
        <v>Active</v>
      </c>
      <c r="P145" s="28" t="str">
        <f>IFERROR(INDEX(Exits_Attrition!$H$2:$H$65,MATCH(A145,Exits_Attrition!$A$2:$A$65,0)),"")</f>
        <v/>
      </c>
      <c r="Q145" s="24">
        <f t="shared" si="9"/>
        <v>3.6</v>
      </c>
      <c r="R145" s="22" t="str">
        <f t="shared" si="10"/>
        <v>3-5 Yrs</v>
      </c>
      <c r="S145" s="22">
        <f t="shared" si="11"/>
        <v>0</v>
      </c>
    </row>
    <row r="146" spans="1:19" x14ac:dyDescent="0.3">
      <c r="A146" s="22" t="s">
        <v>626</v>
      </c>
      <c r="B146" t="s">
        <v>627</v>
      </c>
      <c r="C146" t="s">
        <v>628</v>
      </c>
      <c r="D146" t="s">
        <v>338</v>
      </c>
      <c r="E146" s="22" t="s">
        <v>339</v>
      </c>
      <c r="F146" t="s">
        <v>576</v>
      </c>
      <c r="G146" s="22" t="s">
        <v>24</v>
      </c>
      <c r="H146" s="22">
        <f t="shared" si="8"/>
        <v>2</v>
      </c>
      <c r="I146" t="s">
        <v>42</v>
      </c>
      <c r="J146" s="22" t="s">
        <v>106</v>
      </c>
      <c r="K146" t="s">
        <v>124</v>
      </c>
      <c r="L146" t="s">
        <v>99</v>
      </c>
      <c r="M146" s="28">
        <v>44992</v>
      </c>
      <c r="N146" s="22">
        <v>28</v>
      </c>
      <c r="O146" s="22" t="str">
        <f>IF(COUNTIF(Exits_Attrition!$A$2:$A$65,A146)&gt;0,"Exited","Active")</f>
        <v>Active</v>
      </c>
      <c r="P146" s="28" t="str">
        <f>IFERROR(INDEX(Exits_Attrition!$H$2:$H$65,MATCH(A146,Exits_Attrition!$A$2:$A$65,0)),"")</f>
        <v/>
      </c>
      <c r="Q146" s="24">
        <f t="shared" si="9"/>
        <v>3.6</v>
      </c>
      <c r="R146" s="22" t="str">
        <f t="shared" si="10"/>
        <v>3-5 Yrs</v>
      </c>
      <c r="S146" s="22">
        <f t="shared" si="11"/>
        <v>0</v>
      </c>
    </row>
    <row r="147" spans="1:19" x14ac:dyDescent="0.3">
      <c r="A147" s="22" t="s">
        <v>629</v>
      </c>
      <c r="B147" t="s">
        <v>630</v>
      </c>
      <c r="C147" t="s">
        <v>631</v>
      </c>
      <c r="D147" t="s">
        <v>194</v>
      </c>
      <c r="E147" s="22" t="s">
        <v>195</v>
      </c>
      <c r="F147" t="s">
        <v>576</v>
      </c>
      <c r="G147" s="22" t="s">
        <v>24</v>
      </c>
      <c r="H147" s="22">
        <f t="shared" si="8"/>
        <v>2</v>
      </c>
      <c r="I147" t="s">
        <v>42</v>
      </c>
      <c r="J147" s="22" t="s">
        <v>97</v>
      </c>
      <c r="K147" t="s">
        <v>124</v>
      </c>
      <c r="L147" t="s">
        <v>99</v>
      </c>
      <c r="M147" s="28">
        <v>44995</v>
      </c>
      <c r="N147" s="22">
        <v>30</v>
      </c>
      <c r="O147" s="22" t="str">
        <f>IF(COUNTIF(Exits_Attrition!$A$2:$A$65,A147)&gt;0,"Exited","Active")</f>
        <v>Exited</v>
      </c>
      <c r="P147" s="28">
        <f>IFERROR(INDEX(Exits_Attrition!$H$2:$H$65,MATCH(A147,Exits_Attrition!$A$2:$A$65,0)),"")</f>
        <v>46114</v>
      </c>
      <c r="Q147" s="24">
        <f t="shared" si="9"/>
        <v>3.1</v>
      </c>
      <c r="R147" s="22" t="str">
        <f t="shared" si="10"/>
        <v>3-5 Yrs</v>
      </c>
      <c r="S147" s="22">
        <f t="shared" si="11"/>
        <v>0</v>
      </c>
    </row>
    <row r="148" spans="1:19" x14ac:dyDescent="0.3">
      <c r="A148" s="22" t="s">
        <v>632</v>
      </c>
      <c r="B148" t="s">
        <v>633</v>
      </c>
      <c r="C148" t="s">
        <v>634</v>
      </c>
      <c r="D148" t="s">
        <v>158</v>
      </c>
      <c r="E148" s="22" t="s">
        <v>157</v>
      </c>
      <c r="F148" t="s">
        <v>541</v>
      </c>
      <c r="G148" s="22" t="s">
        <v>26</v>
      </c>
      <c r="H148" s="22">
        <f t="shared" si="8"/>
        <v>3</v>
      </c>
      <c r="I148" t="s">
        <v>48</v>
      </c>
      <c r="J148" s="22" t="s">
        <v>97</v>
      </c>
      <c r="K148" t="s">
        <v>213</v>
      </c>
      <c r="L148" t="s">
        <v>99</v>
      </c>
      <c r="M148" s="28">
        <v>44995</v>
      </c>
      <c r="N148" s="22">
        <v>29</v>
      </c>
      <c r="O148" s="22" t="str">
        <f>IF(COUNTIF(Exits_Attrition!$A$2:$A$65,A148)&gt;0,"Exited","Active")</f>
        <v>Active</v>
      </c>
      <c r="P148" s="28" t="str">
        <f>IFERROR(INDEX(Exits_Attrition!$H$2:$H$65,MATCH(A148,Exits_Attrition!$A$2:$A$65,0)),"")</f>
        <v/>
      </c>
      <c r="Q148" s="24">
        <f t="shared" si="9"/>
        <v>3.6</v>
      </c>
      <c r="R148" s="22" t="str">
        <f t="shared" si="10"/>
        <v>3-5 Yrs</v>
      </c>
      <c r="S148" s="22">
        <f t="shared" si="11"/>
        <v>0</v>
      </c>
    </row>
    <row r="149" spans="1:19" x14ac:dyDescent="0.3">
      <c r="A149" s="22" t="s">
        <v>635</v>
      </c>
      <c r="B149" t="s">
        <v>636</v>
      </c>
      <c r="C149" t="s">
        <v>637</v>
      </c>
      <c r="D149" t="s">
        <v>483</v>
      </c>
      <c r="E149" s="22" t="s">
        <v>484</v>
      </c>
      <c r="F149" t="s">
        <v>408</v>
      </c>
      <c r="G149" s="22" t="s">
        <v>26</v>
      </c>
      <c r="H149" s="22">
        <f t="shared" si="8"/>
        <v>3</v>
      </c>
      <c r="I149" t="s">
        <v>43</v>
      </c>
      <c r="J149" s="22" t="s">
        <v>106</v>
      </c>
      <c r="K149" t="s">
        <v>213</v>
      </c>
      <c r="L149" t="s">
        <v>99</v>
      </c>
      <c r="M149" s="28">
        <v>44997</v>
      </c>
      <c r="N149" s="22">
        <v>31</v>
      </c>
      <c r="O149" s="22" t="str">
        <f>IF(COUNTIF(Exits_Attrition!$A$2:$A$65,A149)&gt;0,"Exited","Active")</f>
        <v>Active</v>
      </c>
      <c r="P149" s="28" t="str">
        <f>IFERROR(INDEX(Exits_Attrition!$H$2:$H$65,MATCH(A149,Exits_Attrition!$A$2:$A$65,0)),"")</f>
        <v/>
      </c>
      <c r="Q149" s="24">
        <f t="shared" si="9"/>
        <v>3.6</v>
      </c>
      <c r="R149" s="22" t="str">
        <f t="shared" si="10"/>
        <v>3-5 Yrs</v>
      </c>
      <c r="S149" s="22">
        <f t="shared" si="11"/>
        <v>0</v>
      </c>
    </row>
    <row r="150" spans="1:19" x14ac:dyDescent="0.3">
      <c r="A150" s="22" t="s">
        <v>638</v>
      </c>
      <c r="B150" t="s">
        <v>639</v>
      </c>
      <c r="C150" t="s">
        <v>640</v>
      </c>
      <c r="D150" t="s">
        <v>228</v>
      </c>
      <c r="E150" s="22" t="s">
        <v>227</v>
      </c>
      <c r="F150" t="s">
        <v>238</v>
      </c>
      <c r="G150" s="22" t="s">
        <v>26</v>
      </c>
      <c r="H150" s="22">
        <f t="shared" si="8"/>
        <v>3</v>
      </c>
      <c r="I150" t="s">
        <v>42</v>
      </c>
      <c r="J150" s="22" t="s">
        <v>106</v>
      </c>
      <c r="K150" t="s">
        <v>124</v>
      </c>
      <c r="L150" t="s">
        <v>99</v>
      </c>
      <c r="M150" s="28">
        <v>45000</v>
      </c>
      <c r="N150" s="22">
        <v>32</v>
      </c>
      <c r="O150" s="22" t="str">
        <f>IF(COUNTIF(Exits_Attrition!$A$2:$A$65,A150)&gt;0,"Exited","Active")</f>
        <v>Active</v>
      </c>
      <c r="P150" s="28" t="str">
        <f>IFERROR(INDEX(Exits_Attrition!$H$2:$H$65,MATCH(A150,Exits_Attrition!$A$2:$A$65,0)),"")</f>
        <v/>
      </c>
      <c r="Q150" s="24">
        <f t="shared" si="9"/>
        <v>3.5</v>
      </c>
      <c r="R150" s="22" t="str">
        <f t="shared" si="10"/>
        <v>3-5 Yrs</v>
      </c>
      <c r="S150" s="22">
        <f t="shared" si="11"/>
        <v>0</v>
      </c>
    </row>
    <row r="151" spans="1:19" x14ac:dyDescent="0.3">
      <c r="A151" s="22" t="s">
        <v>252</v>
      </c>
      <c r="B151" t="s">
        <v>251</v>
      </c>
      <c r="C151" t="s">
        <v>641</v>
      </c>
      <c r="D151" t="s">
        <v>642</v>
      </c>
      <c r="E151" s="22" t="s">
        <v>643</v>
      </c>
      <c r="F151" t="s">
        <v>177</v>
      </c>
      <c r="G151" s="22" t="s">
        <v>30</v>
      </c>
      <c r="H151" s="22">
        <f t="shared" si="8"/>
        <v>5</v>
      </c>
      <c r="I151" t="s">
        <v>41</v>
      </c>
      <c r="J151" s="22" t="s">
        <v>97</v>
      </c>
      <c r="K151" t="s">
        <v>156</v>
      </c>
      <c r="L151" t="s">
        <v>99</v>
      </c>
      <c r="M151" s="28">
        <v>45005</v>
      </c>
      <c r="N151" s="22">
        <v>34</v>
      </c>
      <c r="O151" s="22" t="str">
        <f>IF(COUNTIF(Exits_Attrition!$A$2:$A$65,A151)&gt;0,"Exited","Active")</f>
        <v>Active</v>
      </c>
      <c r="P151" s="28" t="str">
        <f>IFERROR(INDEX(Exits_Attrition!$H$2:$H$65,MATCH(A151,Exits_Attrition!$A$2:$A$65,0)),"")</f>
        <v/>
      </c>
      <c r="Q151" s="24">
        <f t="shared" si="9"/>
        <v>3.5</v>
      </c>
      <c r="R151" s="22" t="str">
        <f t="shared" si="10"/>
        <v>3-5 Yrs</v>
      </c>
      <c r="S151" s="22">
        <f t="shared" si="11"/>
        <v>13</v>
      </c>
    </row>
    <row r="152" spans="1:19" x14ac:dyDescent="0.3">
      <c r="A152" s="22" t="s">
        <v>644</v>
      </c>
      <c r="B152" t="s">
        <v>645</v>
      </c>
      <c r="C152" t="s">
        <v>646</v>
      </c>
      <c r="D152" t="s">
        <v>242</v>
      </c>
      <c r="E152" s="22" t="s">
        <v>243</v>
      </c>
      <c r="F152" t="s">
        <v>569</v>
      </c>
      <c r="G152" s="22" t="s">
        <v>24</v>
      </c>
      <c r="H152" s="22">
        <f t="shared" si="8"/>
        <v>2</v>
      </c>
      <c r="I152" t="s">
        <v>39</v>
      </c>
      <c r="J152" s="22" t="s">
        <v>106</v>
      </c>
      <c r="K152" t="s">
        <v>98</v>
      </c>
      <c r="L152" t="s">
        <v>99</v>
      </c>
      <c r="M152" s="28">
        <v>45006</v>
      </c>
      <c r="N152" s="22">
        <v>31</v>
      </c>
      <c r="O152" s="22" t="str">
        <f>IF(COUNTIF(Exits_Attrition!$A$2:$A$65,A152)&gt;0,"Exited","Active")</f>
        <v>Active</v>
      </c>
      <c r="P152" s="28" t="str">
        <f>IFERROR(INDEX(Exits_Attrition!$H$2:$H$65,MATCH(A152,Exits_Attrition!$A$2:$A$65,0)),"")</f>
        <v/>
      </c>
      <c r="Q152" s="24">
        <f t="shared" si="9"/>
        <v>3.5</v>
      </c>
      <c r="R152" s="22" t="str">
        <f t="shared" si="10"/>
        <v>3-5 Yrs</v>
      </c>
      <c r="S152" s="22">
        <f t="shared" si="11"/>
        <v>0</v>
      </c>
    </row>
    <row r="153" spans="1:19" x14ac:dyDescent="0.3">
      <c r="A153" s="22" t="s">
        <v>647</v>
      </c>
      <c r="B153" t="s">
        <v>648</v>
      </c>
      <c r="C153" t="s">
        <v>649</v>
      </c>
      <c r="D153" t="s">
        <v>349</v>
      </c>
      <c r="E153" s="22" t="s">
        <v>350</v>
      </c>
      <c r="F153" t="s">
        <v>244</v>
      </c>
      <c r="G153" s="22" t="s">
        <v>26</v>
      </c>
      <c r="H153" s="22">
        <f t="shared" si="8"/>
        <v>3</v>
      </c>
      <c r="I153" t="s">
        <v>39</v>
      </c>
      <c r="J153" s="22" t="s">
        <v>106</v>
      </c>
      <c r="K153" t="s">
        <v>98</v>
      </c>
      <c r="L153" t="s">
        <v>99</v>
      </c>
      <c r="M153" s="28">
        <v>45007</v>
      </c>
      <c r="N153" s="22">
        <v>28</v>
      </c>
      <c r="O153" s="22" t="str">
        <f>IF(COUNTIF(Exits_Attrition!$A$2:$A$65,A153)&gt;0,"Exited","Active")</f>
        <v>Active</v>
      </c>
      <c r="P153" s="28" t="str">
        <f>IFERROR(INDEX(Exits_Attrition!$H$2:$H$65,MATCH(A153,Exits_Attrition!$A$2:$A$65,0)),"")</f>
        <v/>
      </c>
      <c r="Q153" s="24">
        <f t="shared" si="9"/>
        <v>3.5</v>
      </c>
      <c r="R153" s="22" t="str">
        <f t="shared" si="10"/>
        <v>3-5 Yrs</v>
      </c>
      <c r="S153" s="22">
        <f t="shared" si="11"/>
        <v>0</v>
      </c>
    </row>
    <row r="154" spans="1:19" x14ac:dyDescent="0.3">
      <c r="A154" s="22" t="s">
        <v>650</v>
      </c>
      <c r="B154" t="s">
        <v>651</v>
      </c>
      <c r="C154" t="s">
        <v>652</v>
      </c>
      <c r="D154" t="s">
        <v>217</v>
      </c>
      <c r="E154" s="22" t="s">
        <v>218</v>
      </c>
      <c r="F154" t="s">
        <v>219</v>
      </c>
      <c r="G154" s="22" t="s">
        <v>26</v>
      </c>
      <c r="H154" s="22">
        <f t="shared" si="8"/>
        <v>3</v>
      </c>
      <c r="I154" t="s">
        <v>40</v>
      </c>
      <c r="J154" s="22" t="s">
        <v>97</v>
      </c>
      <c r="K154" t="s">
        <v>156</v>
      </c>
      <c r="L154" t="s">
        <v>99</v>
      </c>
      <c r="M154" s="28">
        <v>45011</v>
      </c>
      <c r="N154" s="22">
        <v>33</v>
      </c>
      <c r="O154" s="22" t="str">
        <f>IF(COUNTIF(Exits_Attrition!$A$2:$A$65,A154)&gt;0,"Exited","Active")</f>
        <v>Active</v>
      </c>
      <c r="P154" s="28" t="str">
        <f>IFERROR(INDEX(Exits_Attrition!$H$2:$H$65,MATCH(A154,Exits_Attrition!$A$2:$A$65,0)),"")</f>
        <v/>
      </c>
      <c r="Q154" s="24">
        <f t="shared" si="9"/>
        <v>3.5</v>
      </c>
      <c r="R154" s="22" t="str">
        <f t="shared" si="10"/>
        <v>3-5 Yrs</v>
      </c>
      <c r="S154" s="22">
        <f t="shared" si="11"/>
        <v>0</v>
      </c>
    </row>
    <row r="155" spans="1:19" x14ac:dyDescent="0.3">
      <c r="A155" s="22" t="s">
        <v>653</v>
      </c>
      <c r="B155" t="s">
        <v>654</v>
      </c>
      <c r="C155" t="s">
        <v>655</v>
      </c>
      <c r="D155" t="s">
        <v>119</v>
      </c>
      <c r="E155" s="22" t="s">
        <v>118</v>
      </c>
      <c r="F155" t="s">
        <v>550</v>
      </c>
      <c r="G155" s="22" t="s">
        <v>24</v>
      </c>
      <c r="H155" s="22">
        <f t="shared" si="8"/>
        <v>2</v>
      </c>
      <c r="I155" t="s">
        <v>40</v>
      </c>
      <c r="J155" s="22" t="s">
        <v>106</v>
      </c>
      <c r="K155" t="s">
        <v>156</v>
      </c>
      <c r="L155" t="s">
        <v>99</v>
      </c>
      <c r="M155" s="28">
        <v>45015</v>
      </c>
      <c r="N155" s="22">
        <v>29</v>
      </c>
      <c r="O155" s="22" t="str">
        <f>IF(COUNTIF(Exits_Attrition!$A$2:$A$65,A155)&gt;0,"Exited","Active")</f>
        <v>Active</v>
      </c>
      <c r="P155" s="28" t="str">
        <f>IFERROR(INDEX(Exits_Attrition!$H$2:$H$65,MATCH(A155,Exits_Attrition!$A$2:$A$65,0)),"")</f>
        <v/>
      </c>
      <c r="Q155" s="24">
        <f t="shared" si="9"/>
        <v>3.5</v>
      </c>
      <c r="R155" s="22" t="str">
        <f t="shared" si="10"/>
        <v>3-5 Yrs</v>
      </c>
      <c r="S155" s="22">
        <f t="shared" si="11"/>
        <v>0</v>
      </c>
    </row>
    <row r="156" spans="1:19" x14ac:dyDescent="0.3">
      <c r="A156" s="22" t="s">
        <v>656</v>
      </c>
      <c r="B156" t="s">
        <v>657</v>
      </c>
      <c r="C156" t="s">
        <v>658</v>
      </c>
      <c r="D156" t="s">
        <v>224</v>
      </c>
      <c r="E156" s="22" t="s">
        <v>225</v>
      </c>
      <c r="F156" t="s">
        <v>659</v>
      </c>
      <c r="G156" s="22" t="s">
        <v>24</v>
      </c>
      <c r="H156" s="22">
        <f t="shared" si="8"/>
        <v>2</v>
      </c>
      <c r="I156" t="s">
        <v>47</v>
      </c>
      <c r="J156" s="22" t="s">
        <v>97</v>
      </c>
      <c r="K156" t="s">
        <v>156</v>
      </c>
      <c r="L156" t="s">
        <v>99</v>
      </c>
      <c r="M156" s="28">
        <v>45025</v>
      </c>
      <c r="N156" s="22">
        <v>28</v>
      </c>
      <c r="O156" s="22" t="str">
        <f>IF(COUNTIF(Exits_Attrition!$A$2:$A$65,A156)&gt;0,"Exited","Active")</f>
        <v>Active</v>
      </c>
      <c r="P156" s="28" t="str">
        <f>IFERROR(INDEX(Exits_Attrition!$H$2:$H$65,MATCH(A156,Exits_Attrition!$A$2:$A$65,0)),"")</f>
        <v/>
      </c>
      <c r="Q156" s="24">
        <f t="shared" si="9"/>
        <v>3.5</v>
      </c>
      <c r="R156" s="22" t="str">
        <f t="shared" si="10"/>
        <v>3-5 Yrs</v>
      </c>
      <c r="S156" s="22">
        <f t="shared" si="11"/>
        <v>0</v>
      </c>
    </row>
    <row r="157" spans="1:19" x14ac:dyDescent="0.3">
      <c r="A157" s="22" t="s">
        <v>660</v>
      </c>
      <c r="B157" t="s">
        <v>661</v>
      </c>
      <c r="C157" t="s">
        <v>662</v>
      </c>
      <c r="D157" t="s">
        <v>501</v>
      </c>
      <c r="E157" s="22" t="s">
        <v>502</v>
      </c>
      <c r="F157" t="s">
        <v>259</v>
      </c>
      <c r="G157" s="22" t="s">
        <v>26</v>
      </c>
      <c r="H157" s="22">
        <f t="shared" si="8"/>
        <v>3</v>
      </c>
      <c r="I157" t="s">
        <v>46</v>
      </c>
      <c r="J157" s="22" t="s">
        <v>97</v>
      </c>
      <c r="K157" t="s">
        <v>98</v>
      </c>
      <c r="L157" t="s">
        <v>99</v>
      </c>
      <c r="M157" s="28">
        <v>45027</v>
      </c>
      <c r="N157" s="22">
        <v>33</v>
      </c>
      <c r="O157" s="22" t="str">
        <f>IF(COUNTIF(Exits_Attrition!$A$2:$A$65,A157)&gt;0,"Exited","Active")</f>
        <v>Active</v>
      </c>
      <c r="P157" s="28" t="str">
        <f>IFERROR(INDEX(Exits_Attrition!$H$2:$H$65,MATCH(A157,Exits_Attrition!$A$2:$A$65,0)),"")</f>
        <v/>
      </c>
      <c r="Q157" s="24">
        <f t="shared" si="9"/>
        <v>3.5</v>
      </c>
      <c r="R157" s="22" t="str">
        <f t="shared" si="10"/>
        <v>3-5 Yrs</v>
      </c>
      <c r="S157" s="22">
        <f t="shared" si="11"/>
        <v>0</v>
      </c>
    </row>
    <row r="158" spans="1:19" x14ac:dyDescent="0.3">
      <c r="A158" s="22" t="s">
        <v>663</v>
      </c>
      <c r="B158" t="s">
        <v>664</v>
      </c>
      <c r="C158" t="s">
        <v>665</v>
      </c>
      <c r="D158" t="s">
        <v>433</v>
      </c>
      <c r="E158" s="22" t="s">
        <v>434</v>
      </c>
      <c r="F158" t="s">
        <v>212</v>
      </c>
      <c r="G158" s="22" t="s">
        <v>26</v>
      </c>
      <c r="H158" s="22">
        <f t="shared" si="8"/>
        <v>3</v>
      </c>
      <c r="I158" t="s">
        <v>45</v>
      </c>
      <c r="J158" s="22" t="s">
        <v>106</v>
      </c>
      <c r="K158" t="s">
        <v>98</v>
      </c>
      <c r="L158" t="s">
        <v>99</v>
      </c>
      <c r="M158" s="28">
        <v>45028</v>
      </c>
      <c r="N158" s="22">
        <v>29</v>
      </c>
      <c r="O158" s="22" t="str">
        <f>IF(COUNTIF(Exits_Attrition!$A$2:$A$65,A158)&gt;0,"Exited","Active")</f>
        <v>Active</v>
      </c>
      <c r="P158" s="28" t="str">
        <f>IFERROR(INDEX(Exits_Attrition!$H$2:$H$65,MATCH(A158,Exits_Attrition!$A$2:$A$65,0)),"")</f>
        <v/>
      </c>
      <c r="Q158" s="24">
        <f t="shared" si="9"/>
        <v>3.5</v>
      </c>
      <c r="R158" s="22" t="str">
        <f t="shared" si="10"/>
        <v>3-5 Yrs</v>
      </c>
      <c r="S158" s="22">
        <f t="shared" si="11"/>
        <v>0</v>
      </c>
    </row>
    <row r="159" spans="1:19" x14ac:dyDescent="0.3">
      <c r="A159" s="22" t="s">
        <v>122</v>
      </c>
      <c r="B159" t="s">
        <v>121</v>
      </c>
      <c r="C159" t="s">
        <v>666</v>
      </c>
      <c r="D159" t="s">
        <v>619</v>
      </c>
      <c r="E159" s="22" t="s">
        <v>618</v>
      </c>
      <c r="F159" t="s">
        <v>667</v>
      </c>
      <c r="G159" s="22" t="s">
        <v>32</v>
      </c>
      <c r="H159" s="22">
        <f t="shared" si="8"/>
        <v>6</v>
      </c>
      <c r="I159" t="s">
        <v>40</v>
      </c>
      <c r="J159" s="22" t="s">
        <v>97</v>
      </c>
      <c r="K159" t="s">
        <v>156</v>
      </c>
      <c r="L159" t="s">
        <v>99</v>
      </c>
      <c r="M159" s="28">
        <v>45038</v>
      </c>
      <c r="N159" s="22">
        <v>34</v>
      </c>
      <c r="O159" s="22" t="str">
        <f>IF(COUNTIF(Exits_Attrition!$A$2:$A$65,A159)&gt;0,"Exited","Active")</f>
        <v>Active</v>
      </c>
      <c r="P159" s="28" t="str">
        <f>IFERROR(INDEX(Exits_Attrition!$H$2:$H$65,MATCH(A159,Exits_Attrition!$A$2:$A$65,0)),"")</f>
        <v/>
      </c>
      <c r="Q159" s="24">
        <f t="shared" si="9"/>
        <v>3.4</v>
      </c>
      <c r="R159" s="22" t="str">
        <f t="shared" si="10"/>
        <v>3-5 Yrs</v>
      </c>
      <c r="S159" s="22">
        <f t="shared" si="11"/>
        <v>6</v>
      </c>
    </row>
    <row r="160" spans="1:19" x14ac:dyDescent="0.3">
      <c r="A160" s="22" t="s">
        <v>668</v>
      </c>
      <c r="B160" t="s">
        <v>669</v>
      </c>
      <c r="C160" t="s">
        <v>670</v>
      </c>
      <c r="D160" t="s">
        <v>257</v>
      </c>
      <c r="E160" s="22" t="s">
        <v>258</v>
      </c>
      <c r="F160" t="s">
        <v>671</v>
      </c>
      <c r="G160" s="22" t="s">
        <v>24</v>
      </c>
      <c r="H160" s="22">
        <f t="shared" si="8"/>
        <v>2</v>
      </c>
      <c r="I160" t="s">
        <v>46</v>
      </c>
      <c r="J160" s="22" t="s">
        <v>97</v>
      </c>
      <c r="K160" t="s">
        <v>98</v>
      </c>
      <c r="L160" t="s">
        <v>99</v>
      </c>
      <c r="M160" s="28">
        <v>45044</v>
      </c>
      <c r="N160" s="22">
        <v>26</v>
      </c>
      <c r="O160" s="22" t="str">
        <f>IF(COUNTIF(Exits_Attrition!$A$2:$A$65,A160)&gt;0,"Exited","Active")</f>
        <v>Active</v>
      </c>
      <c r="P160" s="28" t="str">
        <f>IFERROR(INDEX(Exits_Attrition!$H$2:$H$65,MATCH(A160,Exits_Attrition!$A$2:$A$65,0)),"")</f>
        <v/>
      </c>
      <c r="Q160" s="24">
        <f t="shared" si="9"/>
        <v>3.4</v>
      </c>
      <c r="R160" s="22" t="str">
        <f t="shared" si="10"/>
        <v>3-5 Yrs</v>
      </c>
      <c r="S160" s="22">
        <f t="shared" si="11"/>
        <v>0</v>
      </c>
    </row>
    <row r="161" spans="1:19" x14ac:dyDescent="0.3">
      <c r="A161" s="22" t="s">
        <v>672</v>
      </c>
      <c r="B161" t="s">
        <v>673</v>
      </c>
      <c r="C161" t="s">
        <v>674</v>
      </c>
      <c r="D161" t="s">
        <v>173</v>
      </c>
      <c r="E161" s="22" t="s">
        <v>172</v>
      </c>
      <c r="F161" t="s">
        <v>202</v>
      </c>
      <c r="G161" s="22" t="s">
        <v>28</v>
      </c>
      <c r="H161" s="22">
        <f t="shared" si="8"/>
        <v>4</v>
      </c>
      <c r="I161" t="s">
        <v>41</v>
      </c>
      <c r="J161" s="22" t="s">
        <v>97</v>
      </c>
      <c r="K161" t="s">
        <v>156</v>
      </c>
      <c r="L161" t="s">
        <v>99</v>
      </c>
      <c r="M161" s="28">
        <v>45049</v>
      </c>
      <c r="N161" s="22">
        <v>35</v>
      </c>
      <c r="O161" s="22" t="str">
        <f>IF(COUNTIF(Exits_Attrition!$A$2:$A$65,A161)&gt;0,"Exited","Active")</f>
        <v>Exited</v>
      </c>
      <c r="P161" s="28">
        <f>IFERROR(INDEX(Exits_Attrition!$H$2:$H$65,MATCH(A161,Exits_Attrition!$A$2:$A$65,0)),"")</f>
        <v>45949</v>
      </c>
      <c r="Q161" s="24">
        <f t="shared" si="9"/>
        <v>2.5</v>
      </c>
      <c r="R161" s="22" t="str">
        <f t="shared" si="10"/>
        <v>1-3 Yrs</v>
      </c>
      <c r="S161" s="22">
        <f t="shared" si="11"/>
        <v>0</v>
      </c>
    </row>
    <row r="162" spans="1:19" x14ac:dyDescent="0.3">
      <c r="A162" s="22" t="s">
        <v>675</v>
      </c>
      <c r="B162" t="s">
        <v>676</v>
      </c>
      <c r="C162" t="s">
        <v>677</v>
      </c>
      <c r="D162" t="s">
        <v>459</v>
      </c>
      <c r="E162" s="22" t="s">
        <v>458</v>
      </c>
      <c r="F162" t="s">
        <v>196</v>
      </c>
      <c r="G162" s="22" t="s">
        <v>28</v>
      </c>
      <c r="H162" s="22">
        <f t="shared" si="8"/>
        <v>4</v>
      </c>
      <c r="I162" t="s">
        <v>42</v>
      </c>
      <c r="J162" s="22" t="s">
        <v>97</v>
      </c>
      <c r="K162" t="s">
        <v>124</v>
      </c>
      <c r="L162" t="s">
        <v>99</v>
      </c>
      <c r="M162" s="28">
        <v>45051</v>
      </c>
      <c r="N162" s="22">
        <v>31</v>
      </c>
      <c r="O162" s="22" t="str">
        <f>IF(COUNTIF(Exits_Attrition!$A$2:$A$65,A162)&gt;0,"Exited","Active")</f>
        <v>Active</v>
      </c>
      <c r="P162" s="28" t="str">
        <f>IFERROR(INDEX(Exits_Attrition!$H$2:$H$65,MATCH(A162,Exits_Attrition!$A$2:$A$65,0)),"")</f>
        <v/>
      </c>
      <c r="Q162" s="24">
        <f t="shared" si="9"/>
        <v>3.4</v>
      </c>
      <c r="R162" s="22" t="str">
        <f t="shared" si="10"/>
        <v>3-5 Yrs</v>
      </c>
      <c r="S162" s="22">
        <f t="shared" si="11"/>
        <v>0</v>
      </c>
    </row>
    <row r="163" spans="1:19" x14ac:dyDescent="0.3">
      <c r="A163" s="22" t="s">
        <v>678</v>
      </c>
      <c r="B163" t="s">
        <v>679</v>
      </c>
      <c r="C163" t="s">
        <v>680</v>
      </c>
      <c r="D163" t="s">
        <v>304</v>
      </c>
      <c r="E163" s="22" t="s">
        <v>303</v>
      </c>
      <c r="F163" t="s">
        <v>569</v>
      </c>
      <c r="G163" s="22" t="s">
        <v>24</v>
      </c>
      <c r="H163" s="22">
        <f t="shared" si="8"/>
        <v>2</v>
      </c>
      <c r="I163" t="s">
        <v>39</v>
      </c>
      <c r="J163" s="22" t="s">
        <v>97</v>
      </c>
      <c r="K163" t="s">
        <v>98</v>
      </c>
      <c r="L163" t="s">
        <v>99</v>
      </c>
      <c r="M163" s="28">
        <v>45053</v>
      </c>
      <c r="N163" s="22">
        <v>32</v>
      </c>
      <c r="O163" s="22" t="str">
        <f>IF(COUNTIF(Exits_Attrition!$A$2:$A$65,A163)&gt;0,"Exited","Active")</f>
        <v>Active</v>
      </c>
      <c r="P163" s="28" t="str">
        <f>IFERROR(INDEX(Exits_Attrition!$H$2:$H$65,MATCH(A163,Exits_Attrition!$A$2:$A$65,0)),"")</f>
        <v/>
      </c>
      <c r="Q163" s="24">
        <f t="shared" si="9"/>
        <v>3.4</v>
      </c>
      <c r="R163" s="22" t="str">
        <f t="shared" si="10"/>
        <v>3-5 Yrs</v>
      </c>
      <c r="S163" s="22">
        <f t="shared" si="11"/>
        <v>0</v>
      </c>
    </row>
    <row r="164" spans="1:19" x14ac:dyDescent="0.3">
      <c r="A164" s="22" t="s">
        <v>681</v>
      </c>
      <c r="B164" t="s">
        <v>682</v>
      </c>
      <c r="C164" t="s">
        <v>683</v>
      </c>
      <c r="D164" t="s">
        <v>684</v>
      </c>
      <c r="E164" s="22" t="s">
        <v>685</v>
      </c>
      <c r="F164" t="s">
        <v>686</v>
      </c>
      <c r="G164" s="22" t="s">
        <v>24</v>
      </c>
      <c r="H164" s="22">
        <f t="shared" si="8"/>
        <v>2</v>
      </c>
      <c r="I164" t="s">
        <v>48</v>
      </c>
      <c r="J164" s="22" t="s">
        <v>97</v>
      </c>
      <c r="K164" t="s">
        <v>213</v>
      </c>
      <c r="L164" t="s">
        <v>99</v>
      </c>
      <c r="M164" s="28">
        <v>45053</v>
      </c>
      <c r="N164" s="22">
        <v>26</v>
      </c>
      <c r="O164" s="22" t="str">
        <f>IF(COUNTIF(Exits_Attrition!$A$2:$A$65,A164)&gt;0,"Exited","Active")</f>
        <v>Active</v>
      </c>
      <c r="P164" s="28" t="str">
        <f>IFERROR(INDEX(Exits_Attrition!$H$2:$H$65,MATCH(A164,Exits_Attrition!$A$2:$A$65,0)),"")</f>
        <v/>
      </c>
      <c r="Q164" s="24">
        <f t="shared" si="9"/>
        <v>3.4</v>
      </c>
      <c r="R164" s="22" t="str">
        <f t="shared" si="10"/>
        <v>3-5 Yrs</v>
      </c>
      <c r="S164" s="22">
        <f t="shared" si="11"/>
        <v>0</v>
      </c>
    </row>
    <row r="165" spans="1:19" x14ac:dyDescent="0.3">
      <c r="A165" s="22" t="s">
        <v>687</v>
      </c>
      <c r="B165" t="s">
        <v>688</v>
      </c>
      <c r="C165" t="s">
        <v>689</v>
      </c>
      <c r="D165" t="s">
        <v>228</v>
      </c>
      <c r="E165" s="22" t="s">
        <v>227</v>
      </c>
      <c r="F165" t="s">
        <v>576</v>
      </c>
      <c r="G165" s="22" t="s">
        <v>24</v>
      </c>
      <c r="H165" s="22">
        <f t="shared" si="8"/>
        <v>2</v>
      </c>
      <c r="I165" t="s">
        <v>42</v>
      </c>
      <c r="J165" s="22" t="s">
        <v>106</v>
      </c>
      <c r="K165" t="s">
        <v>124</v>
      </c>
      <c r="L165" t="s">
        <v>220</v>
      </c>
      <c r="M165" s="28">
        <v>45054</v>
      </c>
      <c r="N165" s="22">
        <v>27</v>
      </c>
      <c r="O165" s="22" t="str">
        <f>IF(COUNTIF(Exits_Attrition!$A$2:$A$65,A165)&gt;0,"Exited","Active")</f>
        <v>Active</v>
      </c>
      <c r="P165" s="28" t="str">
        <f>IFERROR(INDEX(Exits_Attrition!$H$2:$H$65,MATCH(A165,Exits_Attrition!$A$2:$A$65,0)),"")</f>
        <v/>
      </c>
      <c r="Q165" s="24">
        <f t="shared" si="9"/>
        <v>3.4</v>
      </c>
      <c r="R165" s="22" t="str">
        <f t="shared" si="10"/>
        <v>3-5 Yrs</v>
      </c>
      <c r="S165" s="22">
        <f t="shared" si="11"/>
        <v>0</v>
      </c>
    </row>
    <row r="166" spans="1:19" x14ac:dyDescent="0.3">
      <c r="A166" s="22" t="s">
        <v>690</v>
      </c>
      <c r="B166" t="s">
        <v>691</v>
      </c>
      <c r="C166" t="s">
        <v>692</v>
      </c>
      <c r="D166" t="s">
        <v>194</v>
      </c>
      <c r="E166" s="22" t="s">
        <v>195</v>
      </c>
      <c r="F166" t="s">
        <v>196</v>
      </c>
      <c r="G166" s="22" t="s">
        <v>28</v>
      </c>
      <c r="H166" s="22">
        <f t="shared" si="8"/>
        <v>4</v>
      </c>
      <c r="I166" t="s">
        <v>42</v>
      </c>
      <c r="J166" s="22" t="s">
        <v>106</v>
      </c>
      <c r="K166" t="s">
        <v>124</v>
      </c>
      <c r="L166" t="s">
        <v>99</v>
      </c>
      <c r="M166" s="28">
        <v>45057</v>
      </c>
      <c r="N166" s="22">
        <v>36</v>
      </c>
      <c r="O166" s="22" t="str">
        <f>IF(COUNTIF(Exits_Attrition!$A$2:$A$65,A166)&gt;0,"Exited","Active")</f>
        <v>Active</v>
      </c>
      <c r="P166" s="28" t="str">
        <f>IFERROR(INDEX(Exits_Attrition!$H$2:$H$65,MATCH(A166,Exits_Attrition!$A$2:$A$65,0)),"")</f>
        <v/>
      </c>
      <c r="Q166" s="24">
        <f t="shared" si="9"/>
        <v>3.4</v>
      </c>
      <c r="R166" s="22" t="str">
        <f t="shared" si="10"/>
        <v>3-5 Yrs</v>
      </c>
      <c r="S166" s="22">
        <f t="shared" si="11"/>
        <v>0</v>
      </c>
    </row>
    <row r="167" spans="1:19" x14ac:dyDescent="0.3">
      <c r="A167" s="22" t="s">
        <v>693</v>
      </c>
      <c r="B167" t="s">
        <v>694</v>
      </c>
      <c r="C167" t="s">
        <v>695</v>
      </c>
      <c r="D167" t="s">
        <v>313</v>
      </c>
      <c r="E167" s="22" t="s">
        <v>314</v>
      </c>
      <c r="F167" t="s">
        <v>183</v>
      </c>
      <c r="G167" s="22" t="s">
        <v>28</v>
      </c>
      <c r="H167" s="22">
        <f t="shared" si="8"/>
        <v>4</v>
      </c>
      <c r="I167" t="s">
        <v>39</v>
      </c>
      <c r="J167" s="22" t="s">
        <v>97</v>
      </c>
      <c r="K167" t="s">
        <v>98</v>
      </c>
      <c r="L167" t="s">
        <v>99</v>
      </c>
      <c r="M167" s="28">
        <v>45067</v>
      </c>
      <c r="N167" s="22">
        <v>33</v>
      </c>
      <c r="O167" s="22" t="str">
        <f>IF(COUNTIF(Exits_Attrition!$A$2:$A$65,A167)&gt;0,"Exited","Active")</f>
        <v>Active</v>
      </c>
      <c r="P167" s="28" t="str">
        <f>IFERROR(INDEX(Exits_Attrition!$H$2:$H$65,MATCH(A167,Exits_Attrition!$A$2:$A$65,0)),"")</f>
        <v/>
      </c>
      <c r="Q167" s="24">
        <f t="shared" si="9"/>
        <v>3.4</v>
      </c>
      <c r="R167" s="22" t="str">
        <f t="shared" si="10"/>
        <v>3-5 Yrs</v>
      </c>
      <c r="S167" s="22">
        <f t="shared" si="11"/>
        <v>0</v>
      </c>
    </row>
    <row r="168" spans="1:19" x14ac:dyDescent="0.3">
      <c r="A168" s="22" t="s">
        <v>696</v>
      </c>
      <c r="B168" t="s">
        <v>697</v>
      </c>
      <c r="C168" t="s">
        <v>698</v>
      </c>
      <c r="D168" t="s">
        <v>415</v>
      </c>
      <c r="E168" s="22" t="s">
        <v>416</v>
      </c>
      <c r="F168" t="s">
        <v>550</v>
      </c>
      <c r="G168" s="22" t="s">
        <v>24</v>
      </c>
      <c r="H168" s="22">
        <f t="shared" si="8"/>
        <v>2</v>
      </c>
      <c r="I168" t="s">
        <v>40</v>
      </c>
      <c r="J168" s="22" t="s">
        <v>106</v>
      </c>
      <c r="K168" t="s">
        <v>156</v>
      </c>
      <c r="L168" t="s">
        <v>220</v>
      </c>
      <c r="M168" s="28">
        <v>45068</v>
      </c>
      <c r="N168" s="22">
        <v>30</v>
      </c>
      <c r="O168" s="22" t="str">
        <f>IF(COUNTIF(Exits_Attrition!$A$2:$A$65,A168)&gt;0,"Exited","Active")</f>
        <v>Exited</v>
      </c>
      <c r="P168" s="28">
        <f>IFERROR(INDEX(Exits_Attrition!$H$2:$H$65,MATCH(A168,Exits_Attrition!$A$2:$A$65,0)),"")</f>
        <v>46116</v>
      </c>
      <c r="Q168" s="24">
        <f t="shared" si="9"/>
        <v>2.9</v>
      </c>
      <c r="R168" s="22" t="str">
        <f t="shared" si="10"/>
        <v>1-3 Yrs</v>
      </c>
      <c r="S168" s="22">
        <f t="shared" si="11"/>
        <v>0</v>
      </c>
    </row>
    <row r="169" spans="1:19" x14ac:dyDescent="0.3">
      <c r="A169" s="22" t="s">
        <v>699</v>
      </c>
      <c r="B169" t="s">
        <v>700</v>
      </c>
      <c r="C169" t="s">
        <v>701</v>
      </c>
      <c r="D169" t="s">
        <v>158</v>
      </c>
      <c r="E169" s="22" t="s">
        <v>157</v>
      </c>
      <c r="F169" t="s">
        <v>686</v>
      </c>
      <c r="G169" s="22" t="s">
        <v>24</v>
      </c>
      <c r="H169" s="22">
        <f t="shared" si="8"/>
        <v>2</v>
      </c>
      <c r="I169" t="s">
        <v>48</v>
      </c>
      <c r="J169" s="22" t="s">
        <v>97</v>
      </c>
      <c r="K169" t="s">
        <v>213</v>
      </c>
      <c r="L169" t="s">
        <v>99</v>
      </c>
      <c r="M169" s="28">
        <v>45071</v>
      </c>
      <c r="N169" s="22">
        <v>32</v>
      </c>
      <c r="O169" s="22" t="str">
        <f>IF(COUNTIF(Exits_Attrition!$A$2:$A$65,A169)&gt;0,"Exited","Active")</f>
        <v>Active</v>
      </c>
      <c r="P169" s="28" t="str">
        <f>IFERROR(INDEX(Exits_Attrition!$H$2:$H$65,MATCH(A169,Exits_Attrition!$A$2:$A$65,0)),"")</f>
        <v/>
      </c>
      <c r="Q169" s="24">
        <f t="shared" si="9"/>
        <v>3.4</v>
      </c>
      <c r="R169" s="22" t="str">
        <f t="shared" si="10"/>
        <v>3-5 Yrs</v>
      </c>
      <c r="S169" s="22">
        <f t="shared" si="11"/>
        <v>0</v>
      </c>
    </row>
    <row r="170" spans="1:19" x14ac:dyDescent="0.3">
      <c r="A170" s="22" t="s">
        <v>702</v>
      </c>
      <c r="B170" t="s">
        <v>703</v>
      </c>
      <c r="C170" t="s">
        <v>704</v>
      </c>
      <c r="D170" t="s">
        <v>242</v>
      </c>
      <c r="E170" s="22" t="s">
        <v>243</v>
      </c>
      <c r="F170" t="s">
        <v>244</v>
      </c>
      <c r="G170" s="22" t="s">
        <v>26</v>
      </c>
      <c r="H170" s="22">
        <f t="shared" si="8"/>
        <v>3</v>
      </c>
      <c r="I170" t="s">
        <v>39</v>
      </c>
      <c r="J170" s="22" t="s">
        <v>106</v>
      </c>
      <c r="K170" t="s">
        <v>98</v>
      </c>
      <c r="L170" t="s">
        <v>99</v>
      </c>
      <c r="M170" s="28">
        <v>45073</v>
      </c>
      <c r="N170" s="22">
        <v>29</v>
      </c>
      <c r="O170" s="22" t="str">
        <f>IF(COUNTIF(Exits_Attrition!$A$2:$A$65,A170)&gt;0,"Exited","Active")</f>
        <v>Active</v>
      </c>
      <c r="P170" s="28" t="str">
        <f>IFERROR(INDEX(Exits_Attrition!$H$2:$H$65,MATCH(A170,Exits_Attrition!$A$2:$A$65,0)),"")</f>
        <v/>
      </c>
      <c r="Q170" s="24">
        <f t="shared" si="9"/>
        <v>3.3</v>
      </c>
      <c r="R170" s="22" t="str">
        <f t="shared" si="10"/>
        <v>3-5 Yrs</v>
      </c>
      <c r="S170" s="22">
        <f t="shared" si="11"/>
        <v>0</v>
      </c>
    </row>
    <row r="171" spans="1:19" x14ac:dyDescent="0.3">
      <c r="A171" s="22" t="s">
        <v>705</v>
      </c>
      <c r="B171" t="s">
        <v>706</v>
      </c>
      <c r="C171" t="s">
        <v>707</v>
      </c>
      <c r="D171" t="s">
        <v>313</v>
      </c>
      <c r="E171" s="22" t="s">
        <v>314</v>
      </c>
      <c r="F171" t="s">
        <v>569</v>
      </c>
      <c r="G171" s="22" t="s">
        <v>24</v>
      </c>
      <c r="H171" s="22">
        <f t="shared" si="8"/>
        <v>2</v>
      </c>
      <c r="I171" t="s">
        <v>39</v>
      </c>
      <c r="J171" s="22" t="s">
        <v>106</v>
      </c>
      <c r="K171" t="s">
        <v>98</v>
      </c>
      <c r="L171" t="s">
        <v>220</v>
      </c>
      <c r="M171" s="28">
        <v>45096</v>
      </c>
      <c r="N171" s="22">
        <v>30</v>
      </c>
      <c r="O171" s="22" t="str">
        <f>IF(COUNTIF(Exits_Attrition!$A$2:$A$65,A171)&gt;0,"Exited","Active")</f>
        <v>Active</v>
      </c>
      <c r="P171" s="28" t="str">
        <f>IFERROR(INDEX(Exits_Attrition!$H$2:$H$65,MATCH(A171,Exits_Attrition!$A$2:$A$65,0)),"")</f>
        <v/>
      </c>
      <c r="Q171" s="24">
        <f t="shared" si="9"/>
        <v>3.3</v>
      </c>
      <c r="R171" s="22" t="str">
        <f t="shared" si="10"/>
        <v>3-5 Yrs</v>
      </c>
      <c r="S171" s="22">
        <f t="shared" si="11"/>
        <v>0</v>
      </c>
    </row>
    <row r="172" spans="1:19" x14ac:dyDescent="0.3">
      <c r="A172" s="22" t="s">
        <v>708</v>
      </c>
      <c r="B172" t="s">
        <v>709</v>
      </c>
      <c r="C172" t="s">
        <v>710</v>
      </c>
      <c r="D172" t="s">
        <v>185</v>
      </c>
      <c r="E172" s="22" t="s">
        <v>184</v>
      </c>
      <c r="F172" t="s">
        <v>263</v>
      </c>
      <c r="G172" s="22" t="s">
        <v>26</v>
      </c>
      <c r="H172" s="22">
        <f t="shared" si="8"/>
        <v>3</v>
      </c>
      <c r="I172" t="s">
        <v>44</v>
      </c>
      <c r="J172" s="22" t="s">
        <v>97</v>
      </c>
      <c r="K172" t="s">
        <v>124</v>
      </c>
      <c r="L172" t="s">
        <v>99</v>
      </c>
      <c r="M172" s="28">
        <v>45098</v>
      </c>
      <c r="N172" s="22">
        <v>31</v>
      </c>
      <c r="O172" s="22" t="str">
        <f>IF(COUNTIF(Exits_Attrition!$A$2:$A$65,A172)&gt;0,"Exited","Active")</f>
        <v>Active</v>
      </c>
      <c r="P172" s="28" t="str">
        <f>IFERROR(INDEX(Exits_Attrition!$H$2:$H$65,MATCH(A172,Exits_Attrition!$A$2:$A$65,0)),"")</f>
        <v/>
      </c>
      <c r="Q172" s="24">
        <f t="shared" si="9"/>
        <v>3.3</v>
      </c>
      <c r="R172" s="22" t="str">
        <f t="shared" si="10"/>
        <v>3-5 Yrs</v>
      </c>
      <c r="S172" s="22">
        <f t="shared" si="11"/>
        <v>0</v>
      </c>
    </row>
    <row r="173" spans="1:19" x14ac:dyDescent="0.3">
      <c r="A173" s="22" t="s">
        <v>711</v>
      </c>
      <c r="B173" t="s">
        <v>712</v>
      </c>
      <c r="C173" t="s">
        <v>713</v>
      </c>
      <c r="D173" t="s">
        <v>194</v>
      </c>
      <c r="E173" s="22" t="s">
        <v>195</v>
      </c>
      <c r="F173" t="s">
        <v>196</v>
      </c>
      <c r="G173" s="22" t="s">
        <v>28</v>
      </c>
      <c r="H173" s="22">
        <f t="shared" si="8"/>
        <v>4</v>
      </c>
      <c r="I173" t="s">
        <v>42</v>
      </c>
      <c r="J173" s="22" t="s">
        <v>106</v>
      </c>
      <c r="K173" t="s">
        <v>98</v>
      </c>
      <c r="L173" t="s">
        <v>99</v>
      </c>
      <c r="M173" s="28">
        <v>45103</v>
      </c>
      <c r="N173" s="22">
        <v>32</v>
      </c>
      <c r="O173" s="22" t="str">
        <f>IF(COUNTIF(Exits_Attrition!$A$2:$A$65,A173)&gt;0,"Exited","Active")</f>
        <v>Active</v>
      </c>
      <c r="P173" s="28" t="str">
        <f>IFERROR(INDEX(Exits_Attrition!$H$2:$H$65,MATCH(A173,Exits_Attrition!$A$2:$A$65,0)),"")</f>
        <v/>
      </c>
      <c r="Q173" s="24">
        <f t="shared" si="9"/>
        <v>3.3</v>
      </c>
      <c r="R173" s="22" t="str">
        <f t="shared" si="10"/>
        <v>3-5 Yrs</v>
      </c>
      <c r="S173" s="22">
        <f t="shared" si="11"/>
        <v>0</v>
      </c>
    </row>
    <row r="174" spans="1:19" x14ac:dyDescent="0.3">
      <c r="A174" s="22" t="s">
        <v>714</v>
      </c>
      <c r="B174" t="s">
        <v>715</v>
      </c>
      <c r="C174" t="s">
        <v>716</v>
      </c>
      <c r="D174" t="s">
        <v>185</v>
      </c>
      <c r="E174" s="22" t="s">
        <v>184</v>
      </c>
      <c r="F174" t="s">
        <v>263</v>
      </c>
      <c r="G174" s="22" t="s">
        <v>26</v>
      </c>
      <c r="H174" s="22">
        <f t="shared" si="8"/>
        <v>3</v>
      </c>
      <c r="I174" t="s">
        <v>44</v>
      </c>
      <c r="J174" s="22" t="s">
        <v>97</v>
      </c>
      <c r="K174" t="s">
        <v>124</v>
      </c>
      <c r="L174" t="s">
        <v>99</v>
      </c>
      <c r="M174" s="28">
        <v>45109</v>
      </c>
      <c r="N174" s="22">
        <v>29</v>
      </c>
      <c r="O174" s="22" t="str">
        <f>IF(COUNTIF(Exits_Attrition!$A$2:$A$65,A174)&gt;0,"Exited","Active")</f>
        <v>Active</v>
      </c>
      <c r="P174" s="28" t="str">
        <f>IFERROR(INDEX(Exits_Attrition!$H$2:$H$65,MATCH(A174,Exits_Attrition!$A$2:$A$65,0)),"")</f>
        <v/>
      </c>
      <c r="Q174" s="24">
        <f t="shared" si="9"/>
        <v>3.2</v>
      </c>
      <c r="R174" s="22" t="str">
        <f t="shared" si="10"/>
        <v>3-5 Yrs</v>
      </c>
      <c r="S174" s="22">
        <f t="shared" si="11"/>
        <v>0</v>
      </c>
    </row>
    <row r="175" spans="1:19" x14ac:dyDescent="0.3">
      <c r="A175" s="22" t="s">
        <v>717</v>
      </c>
      <c r="B175" t="s">
        <v>718</v>
      </c>
      <c r="C175" t="s">
        <v>719</v>
      </c>
      <c r="D175" t="s">
        <v>136</v>
      </c>
      <c r="E175" s="22" t="s">
        <v>135</v>
      </c>
      <c r="F175" t="s">
        <v>550</v>
      </c>
      <c r="G175" s="22" t="s">
        <v>24</v>
      </c>
      <c r="H175" s="22">
        <f t="shared" si="8"/>
        <v>2</v>
      </c>
      <c r="I175" t="s">
        <v>40</v>
      </c>
      <c r="J175" s="22" t="s">
        <v>106</v>
      </c>
      <c r="K175" t="s">
        <v>156</v>
      </c>
      <c r="L175" t="s">
        <v>99</v>
      </c>
      <c r="M175" s="28">
        <v>45116</v>
      </c>
      <c r="N175" s="22">
        <v>32</v>
      </c>
      <c r="O175" s="22" t="str">
        <f>IF(COUNTIF(Exits_Attrition!$A$2:$A$65,A175)&gt;0,"Exited","Active")</f>
        <v>Active</v>
      </c>
      <c r="P175" s="28" t="str">
        <f>IFERROR(INDEX(Exits_Attrition!$H$2:$H$65,MATCH(A175,Exits_Attrition!$A$2:$A$65,0)),"")</f>
        <v/>
      </c>
      <c r="Q175" s="24">
        <f t="shared" si="9"/>
        <v>3.2</v>
      </c>
      <c r="R175" s="22" t="str">
        <f t="shared" si="10"/>
        <v>3-5 Yrs</v>
      </c>
      <c r="S175" s="22">
        <f t="shared" si="11"/>
        <v>0</v>
      </c>
    </row>
    <row r="176" spans="1:19" x14ac:dyDescent="0.3">
      <c r="A176" s="22" t="s">
        <v>720</v>
      </c>
      <c r="B176" t="s">
        <v>721</v>
      </c>
      <c r="C176" t="s">
        <v>722</v>
      </c>
      <c r="D176" t="s">
        <v>166</v>
      </c>
      <c r="E176" s="22" t="s">
        <v>167</v>
      </c>
      <c r="F176" t="s">
        <v>659</v>
      </c>
      <c r="G176" s="22" t="s">
        <v>24</v>
      </c>
      <c r="H176" s="22">
        <f t="shared" si="8"/>
        <v>2</v>
      </c>
      <c r="I176" t="s">
        <v>47</v>
      </c>
      <c r="J176" s="22" t="s">
        <v>97</v>
      </c>
      <c r="K176" t="s">
        <v>98</v>
      </c>
      <c r="L176" t="s">
        <v>99</v>
      </c>
      <c r="M176" s="28">
        <v>45118</v>
      </c>
      <c r="N176" s="22">
        <v>31</v>
      </c>
      <c r="O176" s="22" t="str">
        <f>IF(COUNTIF(Exits_Attrition!$A$2:$A$65,A176)&gt;0,"Exited","Active")</f>
        <v>Active</v>
      </c>
      <c r="P176" s="28" t="str">
        <f>IFERROR(INDEX(Exits_Attrition!$H$2:$H$65,MATCH(A176,Exits_Attrition!$A$2:$A$65,0)),"")</f>
        <v/>
      </c>
      <c r="Q176" s="24">
        <f t="shared" si="9"/>
        <v>3.2</v>
      </c>
      <c r="R176" s="22" t="str">
        <f t="shared" si="10"/>
        <v>3-5 Yrs</v>
      </c>
      <c r="S176" s="22">
        <f t="shared" si="11"/>
        <v>0</v>
      </c>
    </row>
    <row r="177" spans="1:19" x14ac:dyDescent="0.3">
      <c r="A177" s="22" t="s">
        <v>723</v>
      </c>
      <c r="B177" t="s">
        <v>724</v>
      </c>
      <c r="C177" t="s">
        <v>725</v>
      </c>
      <c r="D177" t="s">
        <v>726</v>
      </c>
      <c r="E177" s="22" t="s">
        <v>727</v>
      </c>
      <c r="F177" t="s">
        <v>253</v>
      </c>
      <c r="G177" s="22" t="s">
        <v>26</v>
      </c>
      <c r="H177" s="22">
        <f t="shared" si="8"/>
        <v>3</v>
      </c>
      <c r="I177" t="s">
        <v>41</v>
      </c>
      <c r="J177" s="22" t="s">
        <v>106</v>
      </c>
      <c r="K177" t="s">
        <v>156</v>
      </c>
      <c r="L177" t="s">
        <v>99</v>
      </c>
      <c r="M177" s="28">
        <v>45120</v>
      </c>
      <c r="N177" s="22">
        <v>29</v>
      </c>
      <c r="O177" s="22" t="str">
        <f>IF(COUNTIF(Exits_Attrition!$A$2:$A$65,A177)&gt;0,"Exited","Active")</f>
        <v>Active</v>
      </c>
      <c r="P177" s="28" t="str">
        <f>IFERROR(INDEX(Exits_Attrition!$H$2:$H$65,MATCH(A177,Exits_Attrition!$A$2:$A$65,0)),"")</f>
        <v/>
      </c>
      <c r="Q177" s="24">
        <f t="shared" si="9"/>
        <v>3.2</v>
      </c>
      <c r="R177" s="22" t="str">
        <f t="shared" si="10"/>
        <v>3-5 Yrs</v>
      </c>
      <c r="S177" s="22">
        <f t="shared" si="11"/>
        <v>0</v>
      </c>
    </row>
    <row r="178" spans="1:19" x14ac:dyDescent="0.3">
      <c r="A178" s="22" t="s">
        <v>728</v>
      </c>
      <c r="B178" t="s">
        <v>729</v>
      </c>
      <c r="C178" t="s">
        <v>730</v>
      </c>
      <c r="D178" t="s">
        <v>251</v>
      </c>
      <c r="E178" s="22" t="s">
        <v>252</v>
      </c>
      <c r="F178" t="s">
        <v>253</v>
      </c>
      <c r="G178" s="22" t="s">
        <v>26</v>
      </c>
      <c r="H178" s="22">
        <f t="shared" si="8"/>
        <v>3</v>
      </c>
      <c r="I178" t="s">
        <v>41</v>
      </c>
      <c r="J178" s="22" t="s">
        <v>106</v>
      </c>
      <c r="K178" t="s">
        <v>124</v>
      </c>
      <c r="L178" t="s">
        <v>99</v>
      </c>
      <c r="M178" s="28">
        <v>45121</v>
      </c>
      <c r="N178" s="22">
        <v>34</v>
      </c>
      <c r="O178" s="22" t="str">
        <f>IF(COUNTIF(Exits_Attrition!$A$2:$A$65,A178)&gt;0,"Exited","Active")</f>
        <v>Active</v>
      </c>
      <c r="P178" s="28" t="str">
        <f>IFERROR(INDEX(Exits_Attrition!$H$2:$H$65,MATCH(A178,Exits_Attrition!$A$2:$A$65,0)),"")</f>
        <v/>
      </c>
      <c r="Q178" s="24">
        <f t="shared" si="9"/>
        <v>3.2</v>
      </c>
      <c r="R178" s="22" t="str">
        <f t="shared" si="10"/>
        <v>3-5 Yrs</v>
      </c>
      <c r="S178" s="22">
        <f t="shared" si="11"/>
        <v>0</v>
      </c>
    </row>
    <row r="179" spans="1:19" x14ac:dyDescent="0.3">
      <c r="A179" s="22" t="s">
        <v>731</v>
      </c>
      <c r="B179" t="s">
        <v>732</v>
      </c>
      <c r="C179" t="s">
        <v>733</v>
      </c>
      <c r="D179" t="s">
        <v>383</v>
      </c>
      <c r="E179" s="22" t="s">
        <v>384</v>
      </c>
      <c r="F179" t="s">
        <v>155</v>
      </c>
      <c r="G179" s="22" t="s">
        <v>28</v>
      </c>
      <c r="H179" s="22">
        <f t="shared" si="8"/>
        <v>4</v>
      </c>
      <c r="I179" t="s">
        <v>40</v>
      </c>
      <c r="J179" s="22" t="s">
        <v>106</v>
      </c>
      <c r="K179" t="s">
        <v>156</v>
      </c>
      <c r="L179" t="s">
        <v>99</v>
      </c>
      <c r="M179" s="28">
        <v>45127</v>
      </c>
      <c r="N179" s="22">
        <v>36</v>
      </c>
      <c r="O179" s="22" t="str">
        <f>IF(COUNTIF(Exits_Attrition!$A$2:$A$65,A179)&gt;0,"Exited","Active")</f>
        <v>Active</v>
      </c>
      <c r="P179" s="28" t="str">
        <f>IFERROR(INDEX(Exits_Attrition!$H$2:$H$65,MATCH(A179,Exits_Attrition!$A$2:$A$65,0)),"")</f>
        <v/>
      </c>
      <c r="Q179" s="24">
        <f t="shared" si="9"/>
        <v>3.2</v>
      </c>
      <c r="R179" s="22" t="str">
        <f t="shared" si="10"/>
        <v>3-5 Yrs</v>
      </c>
      <c r="S179" s="22">
        <f t="shared" si="11"/>
        <v>0</v>
      </c>
    </row>
    <row r="180" spans="1:19" x14ac:dyDescent="0.3">
      <c r="A180" s="22" t="s">
        <v>734</v>
      </c>
      <c r="B180" t="s">
        <v>735</v>
      </c>
      <c r="C180" t="s">
        <v>736</v>
      </c>
      <c r="D180" t="s">
        <v>291</v>
      </c>
      <c r="E180" s="22" t="s">
        <v>292</v>
      </c>
      <c r="F180" t="s">
        <v>560</v>
      </c>
      <c r="G180" s="22" t="s">
        <v>24</v>
      </c>
      <c r="H180" s="22">
        <f t="shared" si="8"/>
        <v>2</v>
      </c>
      <c r="I180" t="s">
        <v>41</v>
      </c>
      <c r="J180" s="22" t="s">
        <v>97</v>
      </c>
      <c r="K180" t="s">
        <v>156</v>
      </c>
      <c r="L180" t="s">
        <v>99</v>
      </c>
      <c r="M180" s="28">
        <v>45130</v>
      </c>
      <c r="N180" s="22">
        <v>27</v>
      </c>
      <c r="O180" s="22" t="str">
        <f>IF(COUNTIF(Exits_Attrition!$A$2:$A$65,A180)&gt;0,"Exited","Active")</f>
        <v>Active</v>
      </c>
      <c r="P180" s="28" t="str">
        <f>IFERROR(INDEX(Exits_Attrition!$H$2:$H$65,MATCH(A180,Exits_Attrition!$A$2:$A$65,0)),"")</f>
        <v/>
      </c>
      <c r="Q180" s="24">
        <f t="shared" si="9"/>
        <v>3.2</v>
      </c>
      <c r="R180" s="22" t="str">
        <f t="shared" si="10"/>
        <v>3-5 Yrs</v>
      </c>
      <c r="S180" s="22">
        <f t="shared" si="11"/>
        <v>0</v>
      </c>
    </row>
    <row r="181" spans="1:19" x14ac:dyDescent="0.3">
      <c r="A181" s="22" t="s">
        <v>737</v>
      </c>
      <c r="B181" t="s">
        <v>738</v>
      </c>
      <c r="C181" t="s">
        <v>739</v>
      </c>
      <c r="D181" t="s">
        <v>153</v>
      </c>
      <c r="E181" s="22" t="s">
        <v>154</v>
      </c>
      <c r="F181" t="s">
        <v>550</v>
      </c>
      <c r="G181" s="22" t="s">
        <v>24</v>
      </c>
      <c r="H181" s="22">
        <f t="shared" si="8"/>
        <v>2</v>
      </c>
      <c r="I181" t="s">
        <v>40</v>
      </c>
      <c r="J181" s="22" t="s">
        <v>106</v>
      </c>
      <c r="K181" t="s">
        <v>156</v>
      </c>
      <c r="L181" t="s">
        <v>99</v>
      </c>
      <c r="M181" s="28">
        <v>45137</v>
      </c>
      <c r="N181" s="22">
        <v>27</v>
      </c>
      <c r="O181" s="22" t="str">
        <f>IF(COUNTIF(Exits_Attrition!$A$2:$A$65,A181)&gt;0,"Exited","Active")</f>
        <v>Exited</v>
      </c>
      <c r="P181" s="28">
        <f>IFERROR(INDEX(Exits_Attrition!$H$2:$H$65,MATCH(A181,Exits_Attrition!$A$2:$A$65,0)),"")</f>
        <v>46228</v>
      </c>
      <c r="Q181" s="24">
        <f t="shared" si="9"/>
        <v>3</v>
      </c>
      <c r="R181" s="22" t="str">
        <f t="shared" si="10"/>
        <v>3-5 Yrs</v>
      </c>
      <c r="S181" s="22">
        <f t="shared" si="11"/>
        <v>0</v>
      </c>
    </row>
    <row r="182" spans="1:19" x14ac:dyDescent="0.3">
      <c r="A182" s="22" t="s">
        <v>740</v>
      </c>
      <c r="B182" t="s">
        <v>741</v>
      </c>
      <c r="C182" t="s">
        <v>742</v>
      </c>
      <c r="D182" t="s">
        <v>257</v>
      </c>
      <c r="E182" s="22" t="s">
        <v>258</v>
      </c>
      <c r="F182" t="s">
        <v>259</v>
      </c>
      <c r="G182" s="22" t="s">
        <v>26</v>
      </c>
      <c r="H182" s="22">
        <f t="shared" si="8"/>
        <v>3</v>
      </c>
      <c r="I182" t="s">
        <v>46</v>
      </c>
      <c r="J182" s="22" t="s">
        <v>97</v>
      </c>
      <c r="K182" t="s">
        <v>98</v>
      </c>
      <c r="L182" t="s">
        <v>99</v>
      </c>
      <c r="M182" s="28">
        <v>45137</v>
      </c>
      <c r="N182" s="22">
        <v>29</v>
      </c>
      <c r="O182" s="22" t="str">
        <f>IF(COUNTIF(Exits_Attrition!$A$2:$A$65,A182)&gt;0,"Exited","Active")</f>
        <v>Active</v>
      </c>
      <c r="P182" s="28" t="str">
        <f>IFERROR(INDEX(Exits_Attrition!$H$2:$H$65,MATCH(A182,Exits_Attrition!$A$2:$A$65,0)),"")</f>
        <v/>
      </c>
      <c r="Q182" s="24">
        <f t="shared" si="9"/>
        <v>3.2</v>
      </c>
      <c r="R182" s="22" t="str">
        <f t="shared" si="10"/>
        <v>3-5 Yrs</v>
      </c>
      <c r="S182" s="22">
        <f t="shared" si="11"/>
        <v>0</v>
      </c>
    </row>
    <row r="183" spans="1:19" x14ac:dyDescent="0.3">
      <c r="A183" s="22" t="s">
        <v>743</v>
      </c>
      <c r="B183" t="s">
        <v>744</v>
      </c>
      <c r="C183" t="s">
        <v>745</v>
      </c>
      <c r="D183" t="s">
        <v>224</v>
      </c>
      <c r="E183" s="22" t="s">
        <v>225</v>
      </c>
      <c r="F183" t="s">
        <v>659</v>
      </c>
      <c r="G183" s="22" t="s">
        <v>24</v>
      </c>
      <c r="H183" s="22">
        <f t="shared" si="8"/>
        <v>2</v>
      </c>
      <c r="I183" t="s">
        <v>47</v>
      </c>
      <c r="J183" s="22" t="s">
        <v>97</v>
      </c>
      <c r="K183" t="s">
        <v>98</v>
      </c>
      <c r="L183" t="s">
        <v>99</v>
      </c>
      <c r="M183" s="28">
        <v>45140</v>
      </c>
      <c r="N183" s="22">
        <v>26</v>
      </c>
      <c r="O183" s="22" t="str">
        <f>IF(COUNTIF(Exits_Attrition!$A$2:$A$65,A183)&gt;0,"Exited","Active")</f>
        <v>Active</v>
      </c>
      <c r="P183" s="28" t="str">
        <f>IFERROR(INDEX(Exits_Attrition!$H$2:$H$65,MATCH(A183,Exits_Attrition!$A$2:$A$65,0)),"")</f>
        <v/>
      </c>
      <c r="Q183" s="24">
        <f t="shared" si="9"/>
        <v>3.2</v>
      </c>
      <c r="R183" s="22" t="str">
        <f t="shared" si="10"/>
        <v>3-5 Yrs</v>
      </c>
      <c r="S183" s="22">
        <f t="shared" si="11"/>
        <v>0</v>
      </c>
    </row>
    <row r="184" spans="1:19" x14ac:dyDescent="0.3">
      <c r="A184" s="22" t="s">
        <v>746</v>
      </c>
      <c r="B184" t="s">
        <v>747</v>
      </c>
      <c r="C184" t="s">
        <v>748</v>
      </c>
      <c r="D184" t="s">
        <v>204</v>
      </c>
      <c r="E184" s="22" t="s">
        <v>203</v>
      </c>
      <c r="F184" t="s">
        <v>749</v>
      </c>
      <c r="G184" s="22" t="s">
        <v>24</v>
      </c>
      <c r="H184" s="22">
        <f t="shared" si="8"/>
        <v>2</v>
      </c>
      <c r="I184" t="s">
        <v>45</v>
      </c>
      <c r="J184" s="22" t="s">
        <v>106</v>
      </c>
      <c r="K184" t="s">
        <v>98</v>
      </c>
      <c r="L184" t="s">
        <v>99</v>
      </c>
      <c r="M184" s="28">
        <v>45149</v>
      </c>
      <c r="N184" s="22">
        <v>26</v>
      </c>
      <c r="O184" s="22" t="str">
        <f>IF(COUNTIF(Exits_Attrition!$A$2:$A$65,A184)&gt;0,"Exited","Active")</f>
        <v>Active</v>
      </c>
      <c r="P184" s="28" t="str">
        <f>IFERROR(INDEX(Exits_Attrition!$H$2:$H$65,MATCH(A184,Exits_Attrition!$A$2:$A$65,0)),"")</f>
        <v/>
      </c>
      <c r="Q184" s="24">
        <f t="shared" si="9"/>
        <v>3.1</v>
      </c>
      <c r="R184" s="22" t="str">
        <f t="shared" si="10"/>
        <v>3-5 Yrs</v>
      </c>
      <c r="S184" s="22">
        <f t="shared" si="11"/>
        <v>0</v>
      </c>
    </row>
    <row r="185" spans="1:19" x14ac:dyDescent="0.3">
      <c r="A185" s="22" t="s">
        <v>750</v>
      </c>
      <c r="B185" t="s">
        <v>751</v>
      </c>
      <c r="C185" t="s">
        <v>752</v>
      </c>
      <c r="D185" t="s">
        <v>121</v>
      </c>
      <c r="E185" s="22" t="s">
        <v>122</v>
      </c>
      <c r="F185" t="s">
        <v>550</v>
      </c>
      <c r="G185" s="22" t="s">
        <v>24</v>
      </c>
      <c r="H185" s="22">
        <f t="shared" si="8"/>
        <v>2</v>
      </c>
      <c r="I185" t="s">
        <v>40</v>
      </c>
      <c r="J185" s="22" t="s">
        <v>106</v>
      </c>
      <c r="K185" t="s">
        <v>156</v>
      </c>
      <c r="L185" t="s">
        <v>99</v>
      </c>
      <c r="M185" s="28">
        <v>45157</v>
      </c>
      <c r="N185" s="22">
        <v>32</v>
      </c>
      <c r="O185" s="22" t="str">
        <f>IF(COUNTIF(Exits_Attrition!$A$2:$A$65,A185)&gt;0,"Exited","Active")</f>
        <v>Active</v>
      </c>
      <c r="P185" s="28" t="str">
        <f>IFERROR(INDEX(Exits_Attrition!$H$2:$H$65,MATCH(A185,Exits_Attrition!$A$2:$A$65,0)),"")</f>
        <v/>
      </c>
      <c r="Q185" s="24">
        <f t="shared" si="9"/>
        <v>3.1</v>
      </c>
      <c r="R185" s="22" t="str">
        <f t="shared" si="10"/>
        <v>3-5 Yrs</v>
      </c>
      <c r="S185" s="22">
        <f t="shared" si="11"/>
        <v>0</v>
      </c>
    </row>
    <row r="186" spans="1:19" x14ac:dyDescent="0.3">
      <c r="A186" s="22" t="s">
        <v>753</v>
      </c>
      <c r="B186" t="s">
        <v>754</v>
      </c>
      <c r="C186" t="s">
        <v>755</v>
      </c>
      <c r="D186" t="s">
        <v>128</v>
      </c>
      <c r="E186" s="22" t="s">
        <v>129</v>
      </c>
      <c r="F186" t="s">
        <v>625</v>
      </c>
      <c r="G186" s="22" t="s">
        <v>24</v>
      </c>
      <c r="H186" s="22">
        <f t="shared" si="8"/>
        <v>2</v>
      </c>
      <c r="I186" t="s">
        <v>44</v>
      </c>
      <c r="J186" s="22" t="s">
        <v>106</v>
      </c>
      <c r="K186" t="s">
        <v>124</v>
      </c>
      <c r="L186" t="s">
        <v>99</v>
      </c>
      <c r="M186" s="28">
        <v>45157</v>
      </c>
      <c r="N186" s="22">
        <v>32</v>
      </c>
      <c r="O186" s="22" t="str">
        <f>IF(COUNTIF(Exits_Attrition!$A$2:$A$65,A186)&gt;0,"Exited","Active")</f>
        <v>Active</v>
      </c>
      <c r="P186" s="28" t="str">
        <f>IFERROR(INDEX(Exits_Attrition!$H$2:$H$65,MATCH(A186,Exits_Attrition!$A$2:$A$65,0)),"")</f>
        <v/>
      </c>
      <c r="Q186" s="24">
        <f t="shared" si="9"/>
        <v>3.1</v>
      </c>
      <c r="R186" s="22" t="str">
        <f t="shared" si="10"/>
        <v>3-5 Yrs</v>
      </c>
      <c r="S186" s="22">
        <f t="shared" si="11"/>
        <v>0</v>
      </c>
    </row>
    <row r="187" spans="1:19" x14ac:dyDescent="0.3">
      <c r="A187" s="22" t="s">
        <v>756</v>
      </c>
      <c r="B187" t="s">
        <v>757</v>
      </c>
      <c r="C187" t="s">
        <v>758</v>
      </c>
      <c r="D187" t="s">
        <v>285</v>
      </c>
      <c r="E187" s="22" t="s">
        <v>286</v>
      </c>
      <c r="F187" t="s">
        <v>545</v>
      </c>
      <c r="G187" s="22" t="s">
        <v>24</v>
      </c>
      <c r="H187" s="22">
        <f t="shared" si="8"/>
        <v>2</v>
      </c>
      <c r="I187" t="s">
        <v>43</v>
      </c>
      <c r="J187" s="22" t="s">
        <v>106</v>
      </c>
      <c r="K187" t="s">
        <v>124</v>
      </c>
      <c r="L187" t="s">
        <v>99</v>
      </c>
      <c r="M187" s="28">
        <v>45160</v>
      </c>
      <c r="N187" s="22">
        <v>32</v>
      </c>
      <c r="O187" s="22" t="str">
        <f>IF(COUNTIF(Exits_Attrition!$A$2:$A$65,A187)&gt;0,"Exited","Active")</f>
        <v>Active</v>
      </c>
      <c r="P187" s="28" t="str">
        <f>IFERROR(INDEX(Exits_Attrition!$H$2:$H$65,MATCH(A187,Exits_Attrition!$A$2:$A$65,0)),"")</f>
        <v/>
      </c>
      <c r="Q187" s="24">
        <f t="shared" si="9"/>
        <v>3.1</v>
      </c>
      <c r="R187" s="22" t="str">
        <f t="shared" si="10"/>
        <v>3-5 Yrs</v>
      </c>
      <c r="S187" s="22">
        <f t="shared" si="11"/>
        <v>0</v>
      </c>
    </row>
    <row r="188" spans="1:19" x14ac:dyDescent="0.3">
      <c r="A188" s="22" t="s">
        <v>759</v>
      </c>
      <c r="B188" t="s">
        <v>760</v>
      </c>
      <c r="C188" t="s">
        <v>761</v>
      </c>
      <c r="D188" t="s">
        <v>684</v>
      </c>
      <c r="E188" s="22" t="s">
        <v>685</v>
      </c>
      <c r="F188" t="s">
        <v>686</v>
      </c>
      <c r="G188" s="22" t="s">
        <v>24</v>
      </c>
      <c r="H188" s="22">
        <f t="shared" si="8"/>
        <v>2</v>
      </c>
      <c r="I188" t="s">
        <v>48</v>
      </c>
      <c r="J188" s="22" t="s">
        <v>106</v>
      </c>
      <c r="K188" t="s">
        <v>213</v>
      </c>
      <c r="L188" t="s">
        <v>99</v>
      </c>
      <c r="M188" s="28">
        <v>45164</v>
      </c>
      <c r="N188" s="22">
        <v>28</v>
      </c>
      <c r="O188" s="22" t="str">
        <f>IF(COUNTIF(Exits_Attrition!$A$2:$A$65,A188)&gt;0,"Exited","Active")</f>
        <v>Active</v>
      </c>
      <c r="P188" s="28" t="str">
        <f>IFERROR(INDEX(Exits_Attrition!$H$2:$H$65,MATCH(A188,Exits_Attrition!$A$2:$A$65,0)),"")</f>
        <v/>
      </c>
      <c r="Q188" s="24">
        <f t="shared" si="9"/>
        <v>3.1</v>
      </c>
      <c r="R188" s="22" t="str">
        <f t="shared" si="10"/>
        <v>3-5 Yrs</v>
      </c>
      <c r="S188" s="22">
        <f t="shared" si="11"/>
        <v>0</v>
      </c>
    </row>
    <row r="189" spans="1:19" x14ac:dyDescent="0.3">
      <c r="A189" s="22" t="s">
        <v>762</v>
      </c>
      <c r="B189" t="s">
        <v>763</v>
      </c>
      <c r="C189" t="s">
        <v>764</v>
      </c>
      <c r="D189" t="s">
        <v>224</v>
      </c>
      <c r="E189" s="22" t="s">
        <v>225</v>
      </c>
      <c r="F189" t="s">
        <v>226</v>
      </c>
      <c r="G189" s="22" t="s">
        <v>26</v>
      </c>
      <c r="H189" s="22">
        <f t="shared" si="8"/>
        <v>3</v>
      </c>
      <c r="I189" t="s">
        <v>47</v>
      </c>
      <c r="J189" s="22" t="s">
        <v>106</v>
      </c>
      <c r="K189" t="s">
        <v>98</v>
      </c>
      <c r="L189" t="s">
        <v>99</v>
      </c>
      <c r="M189" s="28">
        <v>45182</v>
      </c>
      <c r="N189" s="22">
        <v>34</v>
      </c>
      <c r="O189" s="22" t="str">
        <f>IF(COUNTIF(Exits_Attrition!$A$2:$A$65,A189)&gt;0,"Exited","Active")</f>
        <v>Active</v>
      </c>
      <c r="P189" s="28" t="str">
        <f>IFERROR(INDEX(Exits_Attrition!$H$2:$H$65,MATCH(A189,Exits_Attrition!$A$2:$A$65,0)),"")</f>
        <v/>
      </c>
      <c r="Q189" s="24">
        <f t="shared" si="9"/>
        <v>3</v>
      </c>
      <c r="R189" s="22" t="str">
        <f t="shared" si="10"/>
        <v>3-5 Yrs</v>
      </c>
      <c r="S189" s="22">
        <f t="shared" si="11"/>
        <v>0</v>
      </c>
    </row>
    <row r="190" spans="1:19" x14ac:dyDescent="0.3">
      <c r="A190" s="22" t="s">
        <v>416</v>
      </c>
      <c r="B190" t="s">
        <v>415</v>
      </c>
      <c r="C190" t="s">
        <v>765</v>
      </c>
      <c r="D190" t="s">
        <v>121</v>
      </c>
      <c r="E190" s="22" t="s">
        <v>122</v>
      </c>
      <c r="F190" t="s">
        <v>123</v>
      </c>
      <c r="G190" s="22" t="s">
        <v>30</v>
      </c>
      <c r="H190" s="22">
        <f t="shared" si="8"/>
        <v>5</v>
      </c>
      <c r="I190" t="s">
        <v>40</v>
      </c>
      <c r="J190" s="22" t="s">
        <v>97</v>
      </c>
      <c r="K190" t="s">
        <v>156</v>
      </c>
      <c r="L190" t="s">
        <v>99</v>
      </c>
      <c r="M190" s="28">
        <v>45192</v>
      </c>
      <c r="N190" s="22">
        <v>33</v>
      </c>
      <c r="O190" s="22" t="str">
        <f>IF(COUNTIF(Exits_Attrition!$A$2:$A$65,A190)&gt;0,"Exited","Active")</f>
        <v>Active</v>
      </c>
      <c r="P190" s="28" t="str">
        <f>IFERROR(INDEX(Exits_Attrition!$H$2:$H$65,MATCH(A190,Exits_Attrition!$A$2:$A$65,0)),"")</f>
        <v/>
      </c>
      <c r="Q190" s="24">
        <f t="shared" si="9"/>
        <v>3</v>
      </c>
      <c r="R190" s="22" t="str">
        <f t="shared" si="10"/>
        <v>3-5 Yrs</v>
      </c>
      <c r="S190" s="22">
        <f t="shared" si="11"/>
        <v>11</v>
      </c>
    </row>
    <row r="191" spans="1:19" x14ac:dyDescent="0.3">
      <c r="A191" s="22" t="s">
        <v>766</v>
      </c>
      <c r="B191" t="s">
        <v>767</v>
      </c>
      <c r="C191" t="s">
        <v>768</v>
      </c>
      <c r="D191" t="s">
        <v>136</v>
      </c>
      <c r="E191" s="22" t="s">
        <v>135</v>
      </c>
      <c r="F191" t="s">
        <v>550</v>
      </c>
      <c r="G191" s="22" t="s">
        <v>24</v>
      </c>
      <c r="H191" s="22">
        <f t="shared" si="8"/>
        <v>2</v>
      </c>
      <c r="I191" t="s">
        <v>40</v>
      </c>
      <c r="J191" s="22" t="s">
        <v>106</v>
      </c>
      <c r="K191" t="s">
        <v>156</v>
      </c>
      <c r="L191" t="s">
        <v>99</v>
      </c>
      <c r="M191" s="28">
        <v>45194</v>
      </c>
      <c r="N191" s="22">
        <v>27</v>
      </c>
      <c r="O191" s="22" t="str">
        <f>IF(COUNTIF(Exits_Attrition!$A$2:$A$65,A191)&gt;0,"Exited","Active")</f>
        <v>Active</v>
      </c>
      <c r="P191" s="28" t="str">
        <f>IFERROR(INDEX(Exits_Attrition!$H$2:$H$65,MATCH(A191,Exits_Attrition!$A$2:$A$65,0)),"")</f>
        <v/>
      </c>
      <c r="Q191" s="24">
        <f t="shared" si="9"/>
        <v>3</v>
      </c>
      <c r="R191" s="22" t="str">
        <f t="shared" si="10"/>
        <v>3-5 Yrs</v>
      </c>
      <c r="S191" s="22">
        <f t="shared" si="11"/>
        <v>0</v>
      </c>
    </row>
    <row r="192" spans="1:19" x14ac:dyDescent="0.3">
      <c r="A192" s="22" t="s">
        <v>769</v>
      </c>
      <c r="B192" t="s">
        <v>770</v>
      </c>
      <c r="C192" t="s">
        <v>771</v>
      </c>
      <c r="D192" t="s">
        <v>338</v>
      </c>
      <c r="E192" s="22" t="s">
        <v>339</v>
      </c>
      <c r="F192" t="s">
        <v>196</v>
      </c>
      <c r="G192" s="22" t="s">
        <v>28</v>
      </c>
      <c r="H192" s="22">
        <f t="shared" si="8"/>
        <v>4</v>
      </c>
      <c r="I192" t="s">
        <v>42</v>
      </c>
      <c r="J192" s="22" t="s">
        <v>97</v>
      </c>
      <c r="K192" t="s">
        <v>213</v>
      </c>
      <c r="L192" t="s">
        <v>99</v>
      </c>
      <c r="M192" s="28">
        <v>45213</v>
      </c>
      <c r="N192" s="22">
        <v>34</v>
      </c>
      <c r="O192" s="22" t="str">
        <f>IF(COUNTIF(Exits_Attrition!$A$2:$A$65,A192)&gt;0,"Exited","Active")</f>
        <v>Active</v>
      </c>
      <c r="P192" s="28" t="str">
        <f>IFERROR(INDEX(Exits_Attrition!$H$2:$H$65,MATCH(A192,Exits_Attrition!$A$2:$A$65,0)),"")</f>
        <v/>
      </c>
      <c r="Q192" s="24">
        <f t="shared" si="9"/>
        <v>3</v>
      </c>
      <c r="R192" s="22" t="str">
        <f t="shared" si="10"/>
        <v>3-5 Yrs</v>
      </c>
      <c r="S192" s="22">
        <f t="shared" si="11"/>
        <v>0</v>
      </c>
    </row>
    <row r="193" spans="1:19" x14ac:dyDescent="0.3">
      <c r="A193" s="22" t="s">
        <v>772</v>
      </c>
      <c r="B193" t="s">
        <v>773</v>
      </c>
      <c r="C193" t="s">
        <v>774</v>
      </c>
      <c r="D193" t="s">
        <v>228</v>
      </c>
      <c r="E193" s="22" t="s">
        <v>227</v>
      </c>
      <c r="F193" t="s">
        <v>238</v>
      </c>
      <c r="G193" s="22" t="s">
        <v>26</v>
      </c>
      <c r="H193" s="22">
        <f t="shared" si="8"/>
        <v>3</v>
      </c>
      <c r="I193" t="s">
        <v>42</v>
      </c>
      <c r="J193" s="22" t="s">
        <v>97</v>
      </c>
      <c r="K193" t="s">
        <v>107</v>
      </c>
      <c r="L193" t="s">
        <v>99</v>
      </c>
      <c r="M193" s="28">
        <v>45215</v>
      </c>
      <c r="N193" s="22">
        <v>28</v>
      </c>
      <c r="O193" s="22" t="str">
        <f>IF(COUNTIF(Exits_Attrition!$A$2:$A$65,A193)&gt;0,"Exited","Active")</f>
        <v>Active</v>
      </c>
      <c r="P193" s="28" t="str">
        <f>IFERROR(INDEX(Exits_Attrition!$H$2:$H$65,MATCH(A193,Exits_Attrition!$A$2:$A$65,0)),"")</f>
        <v/>
      </c>
      <c r="Q193" s="24">
        <f t="shared" si="9"/>
        <v>3</v>
      </c>
      <c r="R193" s="22" t="str">
        <f t="shared" si="10"/>
        <v>3-5 Yrs</v>
      </c>
      <c r="S193" s="22">
        <f t="shared" si="11"/>
        <v>0</v>
      </c>
    </row>
    <row r="194" spans="1:19" x14ac:dyDescent="0.3">
      <c r="A194" s="22" t="s">
        <v>775</v>
      </c>
      <c r="B194" t="s">
        <v>776</v>
      </c>
      <c r="C194" t="s">
        <v>777</v>
      </c>
      <c r="D194" t="s">
        <v>338</v>
      </c>
      <c r="E194" s="22" t="s">
        <v>339</v>
      </c>
      <c r="F194" t="s">
        <v>576</v>
      </c>
      <c r="G194" s="22" t="s">
        <v>24</v>
      </c>
      <c r="H194" s="22">
        <f t="shared" ref="H194:H257" si="12">VALUE(MID(G194,2,1))</f>
        <v>2</v>
      </c>
      <c r="I194" t="s">
        <v>42</v>
      </c>
      <c r="J194" s="22" t="s">
        <v>106</v>
      </c>
      <c r="K194" t="s">
        <v>124</v>
      </c>
      <c r="L194" t="s">
        <v>99</v>
      </c>
      <c r="M194" s="28">
        <v>45215</v>
      </c>
      <c r="N194" s="22">
        <v>31</v>
      </c>
      <c r="O194" s="22" t="str">
        <f>IF(COUNTIF(Exits_Attrition!$A$2:$A$65,A194)&gt;0,"Exited","Active")</f>
        <v>Exited</v>
      </c>
      <c r="P194" s="28">
        <f>IFERROR(INDEX(Exits_Attrition!$H$2:$H$65,MATCH(A194,Exits_Attrition!$A$2:$A$65,0)),"")</f>
        <v>46230</v>
      </c>
      <c r="Q194" s="24">
        <f t="shared" ref="Q194:Q257" si="13">ROUND((IF(P194="",AsOf,P194)-M194)/365.25,1)</f>
        <v>2.8</v>
      </c>
      <c r="R194" s="22" t="str">
        <f t="shared" ref="R194:R257" si="14">IF(Q194&lt;1,"Under 1 Yr",IF(Q194&lt;3,"1-3 Yrs",IF(Q194&lt;5,"3-5 Yrs","5+ Yrs")))</f>
        <v>1-3 Yrs</v>
      </c>
      <c r="S194" s="22">
        <f t="shared" ref="S194:S257" si="15">COUNTIF($E$2:$E$501,A194)</f>
        <v>0</v>
      </c>
    </row>
    <row r="195" spans="1:19" x14ac:dyDescent="0.3">
      <c r="A195" s="22" t="s">
        <v>201</v>
      </c>
      <c r="B195" t="s">
        <v>200</v>
      </c>
      <c r="C195" t="s">
        <v>778</v>
      </c>
      <c r="D195" t="s">
        <v>175</v>
      </c>
      <c r="E195" s="22" t="s">
        <v>176</v>
      </c>
      <c r="F195" t="s">
        <v>177</v>
      </c>
      <c r="G195" s="22" t="s">
        <v>30</v>
      </c>
      <c r="H195" s="22">
        <f t="shared" si="12"/>
        <v>5</v>
      </c>
      <c r="I195" t="s">
        <v>41</v>
      </c>
      <c r="J195" s="22" t="s">
        <v>106</v>
      </c>
      <c r="K195" t="s">
        <v>156</v>
      </c>
      <c r="L195" t="s">
        <v>99</v>
      </c>
      <c r="M195" s="28">
        <v>45217</v>
      </c>
      <c r="N195" s="22">
        <v>34</v>
      </c>
      <c r="O195" s="22" t="str">
        <f>IF(COUNTIF(Exits_Attrition!$A$2:$A$65,A195)&gt;0,"Exited","Active")</f>
        <v>Active</v>
      </c>
      <c r="P195" s="28" t="str">
        <f>IFERROR(INDEX(Exits_Attrition!$H$2:$H$65,MATCH(A195,Exits_Attrition!$A$2:$A$65,0)),"")</f>
        <v/>
      </c>
      <c r="Q195" s="24">
        <f t="shared" si="13"/>
        <v>3</v>
      </c>
      <c r="R195" s="22" t="str">
        <f t="shared" si="14"/>
        <v>3-5 Yrs</v>
      </c>
      <c r="S195" s="22">
        <f t="shared" si="15"/>
        <v>12</v>
      </c>
    </row>
    <row r="196" spans="1:19" x14ac:dyDescent="0.3">
      <c r="A196" s="22" t="s">
        <v>779</v>
      </c>
      <c r="B196" t="s">
        <v>780</v>
      </c>
      <c r="C196" t="s">
        <v>781</v>
      </c>
      <c r="D196" t="s">
        <v>257</v>
      </c>
      <c r="E196" s="22" t="s">
        <v>258</v>
      </c>
      <c r="F196" t="s">
        <v>671</v>
      </c>
      <c r="G196" s="22" t="s">
        <v>24</v>
      </c>
      <c r="H196" s="22">
        <f t="shared" si="12"/>
        <v>2</v>
      </c>
      <c r="I196" t="s">
        <v>46</v>
      </c>
      <c r="J196" s="22" t="s">
        <v>97</v>
      </c>
      <c r="K196" t="s">
        <v>98</v>
      </c>
      <c r="L196" t="s">
        <v>99</v>
      </c>
      <c r="M196" s="28">
        <v>45220</v>
      </c>
      <c r="N196" s="22">
        <v>27</v>
      </c>
      <c r="O196" s="22" t="str">
        <f>IF(COUNTIF(Exits_Attrition!$A$2:$A$65,A196)&gt;0,"Exited","Active")</f>
        <v>Active</v>
      </c>
      <c r="P196" s="28" t="str">
        <f>IFERROR(INDEX(Exits_Attrition!$H$2:$H$65,MATCH(A196,Exits_Attrition!$A$2:$A$65,0)),"")</f>
        <v/>
      </c>
      <c r="Q196" s="24">
        <f t="shared" si="13"/>
        <v>2.9</v>
      </c>
      <c r="R196" s="22" t="str">
        <f t="shared" si="14"/>
        <v>1-3 Yrs</v>
      </c>
      <c r="S196" s="22">
        <f t="shared" si="15"/>
        <v>0</v>
      </c>
    </row>
    <row r="197" spans="1:19" x14ac:dyDescent="0.3">
      <c r="A197" s="22" t="s">
        <v>782</v>
      </c>
      <c r="B197" t="s">
        <v>783</v>
      </c>
      <c r="C197" t="s">
        <v>784</v>
      </c>
      <c r="D197" t="s">
        <v>304</v>
      </c>
      <c r="E197" s="22" t="s">
        <v>303</v>
      </c>
      <c r="F197" t="s">
        <v>183</v>
      </c>
      <c r="G197" s="22" t="s">
        <v>28</v>
      </c>
      <c r="H197" s="22">
        <f t="shared" si="12"/>
        <v>4</v>
      </c>
      <c r="I197" t="s">
        <v>39</v>
      </c>
      <c r="J197" s="22" t="s">
        <v>106</v>
      </c>
      <c r="K197" t="s">
        <v>156</v>
      </c>
      <c r="L197" t="s">
        <v>99</v>
      </c>
      <c r="M197" s="28">
        <v>45222</v>
      </c>
      <c r="N197" s="22">
        <v>31</v>
      </c>
      <c r="O197" s="22" t="str">
        <f>IF(COUNTIF(Exits_Attrition!$A$2:$A$65,A197)&gt;0,"Exited","Active")</f>
        <v>Active</v>
      </c>
      <c r="P197" s="28" t="str">
        <f>IFERROR(INDEX(Exits_Attrition!$H$2:$H$65,MATCH(A197,Exits_Attrition!$A$2:$A$65,0)),"")</f>
        <v/>
      </c>
      <c r="Q197" s="24">
        <f t="shared" si="13"/>
        <v>2.9</v>
      </c>
      <c r="R197" s="22" t="str">
        <f t="shared" si="14"/>
        <v>1-3 Yrs</v>
      </c>
      <c r="S197" s="22">
        <f t="shared" si="15"/>
        <v>0</v>
      </c>
    </row>
    <row r="198" spans="1:19" x14ac:dyDescent="0.3">
      <c r="A198" s="22" t="s">
        <v>785</v>
      </c>
      <c r="B198" t="s">
        <v>786</v>
      </c>
      <c r="C198" t="s">
        <v>787</v>
      </c>
      <c r="D198" t="s">
        <v>158</v>
      </c>
      <c r="E198" s="22" t="s">
        <v>157</v>
      </c>
      <c r="F198" t="s">
        <v>541</v>
      </c>
      <c r="G198" s="22" t="s">
        <v>26</v>
      </c>
      <c r="H198" s="22">
        <f t="shared" si="12"/>
        <v>3</v>
      </c>
      <c r="I198" t="s">
        <v>48</v>
      </c>
      <c r="J198" s="22" t="s">
        <v>97</v>
      </c>
      <c r="K198" t="s">
        <v>124</v>
      </c>
      <c r="L198" t="s">
        <v>99</v>
      </c>
      <c r="M198" s="28">
        <v>45225</v>
      </c>
      <c r="N198" s="22">
        <v>31</v>
      </c>
      <c r="O198" s="22" t="str">
        <f>IF(COUNTIF(Exits_Attrition!$A$2:$A$65,A198)&gt;0,"Exited","Active")</f>
        <v>Active</v>
      </c>
      <c r="P198" s="28" t="str">
        <f>IFERROR(INDEX(Exits_Attrition!$H$2:$H$65,MATCH(A198,Exits_Attrition!$A$2:$A$65,0)),"")</f>
        <v/>
      </c>
      <c r="Q198" s="24">
        <f t="shared" si="13"/>
        <v>2.9</v>
      </c>
      <c r="R198" s="22" t="str">
        <f t="shared" si="14"/>
        <v>1-3 Yrs</v>
      </c>
      <c r="S198" s="22">
        <f t="shared" si="15"/>
        <v>0</v>
      </c>
    </row>
    <row r="199" spans="1:19" x14ac:dyDescent="0.3">
      <c r="A199" s="22" t="s">
        <v>788</v>
      </c>
      <c r="B199" t="s">
        <v>789</v>
      </c>
      <c r="C199" t="s">
        <v>790</v>
      </c>
      <c r="D199" t="s">
        <v>236</v>
      </c>
      <c r="E199" s="22" t="s">
        <v>237</v>
      </c>
      <c r="F199" t="s">
        <v>238</v>
      </c>
      <c r="G199" s="22" t="s">
        <v>26</v>
      </c>
      <c r="H199" s="22">
        <f t="shared" si="12"/>
        <v>3</v>
      </c>
      <c r="I199" t="s">
        <v>42</v>
      </c>
      <c r="J199" s="22" t="s">
        <v>106</v>
      </c>
      <c r="K199" t="s">
        <v>98</v>
      </c>
      <c r="L199" t="s">
        <v>99</v>
      </c>
      <c r="M199" s="28">
        <v>45230</v>
      </c>
      <c r="N199" s="22">
        <v>32</v>
      </c>
      <c r="O199" s="22" t="str">
        <f>IF(COUNTIF(Exits_Attrition!$A$2:$A$65,A199)&gt;0,"Exited","Active")</f>
        <v>Active</v>
      </c>
      <c r="P199" s="28" t="str">
        <f>IFERROR(INDEX(Exits_Attrition!$H$2:$H$65,MATCH(A199,Exits_Attrition!$A$2:$A$65,0)),"")</f>
        <v/>
      </c>
      <c r="Q199" s="24">
        <f t="shared" si="13"/>
        <v>2.9</v>
      </c>
      <c r="R199" s="22" t="str">
        <f t="shared" si="14"/>
        <v>1-3 Yrs</v>
      </c>
      <c r="S199" s="22">
        <f t="shared" si="15"/>
        <v>0</v>
      </c>
    </row>
    <row r="200" spans="1:19" x14ac:dyDescent="0.3">
      <c r="A200" s="22" t="s">
        <v>791</v>
      </c>
      <c r="B200" t="s">
        <v>792</v>
      </c>
      <c r="C200" t="s">
        <v>793</v>
      </c>
      <c r="D200" t="s">
        <v>153</v>
      </c>
      <c r="E200" s="22" t="s">
        <v>154</v>
      </c>
      <c r="F200" t="s">
        <v>219</v>
      </c>
      <c r="G200" s="22" t="s">
        <v>26</v>
      </c>
      <c r="H200" s="22">
        <f t="shared" si="12"/>
        <v>3</v>
      </c>
      <c r="I200" t="s">
        <v>40</v>
      </c>
      <c r="J200" s="22" t="s">
        <v>97</v>
      </c>
      <c r="K200" t="s">
        <v>213</v>
      </c>
      <c r="L200" t="s">
        <v>99</v>
      </c>
      <c r="M200" s="28">
        <v>45235</v>
      </c>
      <c r="N200" s="22">
        <v>29</v>
      </c>
      <c r="O200" s="22" t="str">
        <f>IF(COUNTIF(Exits_Attrition!$A$2:$A$65,A200)&gt;0,"Exited","Active")</f>
        <v>Active</v>
      </c>
      <c r="P200" s="28" t="str">
        <f>IFERROR(INDEX(Exits_Attrition!$H$2:$H$65,MATCH(A200,Exits_Attrition!$A$2:$A$65,0)),"")</f>
        <v/>
      </c>
      <c r="Q200" s="24">
        <f t="shared" si="13"/>
        <v>2.9</v>
      </c>
      <c r="R200" s="22" t="str">
        <f t="shared" si="14"/>
        <v>1-3 Yrs</v>
      </c>
      <c r="S200" s="22">
        <f t="shared" si="15"/>
        <v>0</v>
      </c>
    </row>
    <row r="201" spans="1:19" x14ac:dyDescent="0.3">
      <c r="A201" s="22" t="s">
        <v>794</v>
      </c>
      <c r="B201" t="s">
        <v>795</v>
      </c>
      <c r="C201" t="s">
        <v>796</v>
      </c>
      <c r="D201" t="s">
        <v>217</v>
      </c>
      <c r="E201" s="22" t="s">
        <v>218</v>
      </c>
      <c r="F201" t="s">
        <v>155</v>
      </c>
      <c r="G201" s="22" t="s">
        <v>28</v>
      </c>
      <c r="H201" s="22">
        <f t="shared" si="12"/>
        <v>4</v>
      </c>
      <c r="I201" t="s">
        <v>40</v>
      </c>
      <c r="J201" s="22" t="s">
        <v>106</v>
      </c>
      <c r="K201" t="s">
        <v>156</v>
      </c>
      <c r="L201" t="s">
        <v>99</v>
      </c>
      <c r="M201" s="28">
        <v>45238</v>
      </c>
      <c r="N201" s="22">
        <v>34</v>
      </c>
      <c r="O201" s="22" t="str">
        <f>IF(COUNTIF(Exits_Attrition!$A$2:$A$65,A201)&gt;0,"Exited","Active")</f>
        <v>Active</v>
      </c>
      <c r="P201" s="28" t="str">
        <f>IFERROR(INDEX(Exits_Attrition!$H$2:$H$65,MATCH(A201,Exits_Attrition!$A$2:$A$65,0)),"")</f>
        <v/>
      </c>
      <c r="Q201" s="24">
        <f t="shared" si="13"/>
        <v>2.9</v>
      </c>
      <c r="R201" s="22" t="str">
        <f t="shared" si="14"/>
        <v>1-3 Yrs</v>
      </c>
      <c r="S201" s="22">
        <f t="shared" si="15"/>
        <v>0</v>
      </c>
    </row>
    <row r="202" spans="1:19" x14ac:dyDescent="0.3">
      <c r="A202" s="22" t="s">
        <v>797</v>
      </c>
      <c r="B202" t="s">
        <v>798</v>
      </c>
      <c r="C202" t="s">
        <v>799</v>
      </c>
      <c r="D202" t="s">
        <v>187</v>
      </c>
      <c r="E202" s="22" t="s">
        <v>188</v>
      </c>
      <c r="F202" t="s">
        <v>263</v>
      </c>
      <c r="G202" s="22" t="s">
        <v>26</v>
      </c>
      <c r="H202" s="22">
        <f t="shared" si="12"/>
        <v>3</v>
      </c>
      <c r="I202" t="s">
        <v>44</v>
      </c>
      <c r="J202" s="22" t="s">
        <v>97</v>
      </c>
      <c r="K202" t="s">
        <v>124</v>
      </c>
      <c r="L202" t="s">
        <v>99</v>
      </c>
      <c r="M202" s="28">
        <v>45251</v>
      </c>
      <c r="N202" s="22">
        <v>28</v>
      </c>
      <c r="O202" s="22" t="str">
        <f>IF(COUNTIF(Exits_Attrition!$A$2:$A$65,A202)&gt;0,"Exited","Active")</f>
        <v>Active</v>
      </c>
      <c r="P202" s="28" t="str">
        <f>IFERROR(INDEX(Exits_Attrition!$H$2:$H$65,MATCH(A202,Exits_Attrition!$A$2:$A$65,0)),"")</f>
        <v/>
      </c>
      <c r="Q202" s="24">
        <f t="shared" si="13"/>
        <v>2.9</v>
      </c>
      <c r="R202" s="22" t="str">
        <f t="shared" si="14"/>
        <v>1-3 Yrs</v>
      </c>
      <c r="S202" s="22">
        <f t="shared" si="15"/>
        <v>0</v>
      </c>
    </row>
    <row r="203" spans="1:19" x14ac:dyDescent="0.3">
      <c r="A203" s="22" t="s">
        <v>800</v>
      </c>
      <c r="B203" t="s">
        <v>801</v>
      </c>
      <c r="C203" t="s">
        <v>802</v>
      </c>
      <c r="D203" t="s">
        <v>206</v>
      </c>
      <c r="E203" s="22" t="s">
        <v>207</v>
      </c>
      <c r="F203" t="s">
        <v>749</v>
      </c>
      <c r="G203" s="22" t="s">
        <v>24</v>
      </c>
      <c r="H203" s="22">
        <f t="shared" si="12"/>
        <v>2</v>
      </c>
      <c r="I203" t="s">
        <v>45</v>
      </c>
      <c r="J203" s="22" t="s">
        <v>106</v>
      </c>
      <c r="K203" t="s">
        <v>98</v>
      </c>
      <c r="L203" t="s">
        <v>99</v>
      </c>
      <c r="M203" s="28">
        <v>45255</v>
      </c>
      <c r="N203" s="22">
        <v>27</v>
      </c>
      <c r="O203" s="22" t="str">
        <f>IF(COUNTIF(Exits_Attrition!$A$2:$A$65,A203)&gt;0,"Exited","Active")</f>
        <v>Active</v>
      </c>
      <c r="P203" s="28" t="str">
        <f>IFERROR(INDEX(Exits_Attrition!$H$2:$H$65,MATCH(A203,Exits_Attrition!$A$2:$A$65,0)),"")</f>
        <v/>
      </c>
      <c r="Q203" s="24">
        <f t="shared" si="13"/>
        <v>2.8</v>
      </c>
      <c r="R203" s="22" t="str">
        <f t="shared" si="14"/>
        <v>1-3 Yrs</v>
      </c>
      <c r="S203" s="22">
        <f t="shared" si="15"/>
        <v>0</v>
      </c>
    </row>
    <row r="204" spans="1:19" x14ac:dyDescent="0.3">
      <c r="A204" s="22" t="s">
        <v>803</v>
      </c>
      <c r="B204" t="s">
        <v>804</v>
      </c>
      <c r="C204" t="s">
        <v>805</v>
      </c>
      <c r="D204" t="s">
        <v>251</v>
      </c>
      <c r="E204" s="22" t="s">
        <v>252</v>
      </c>
      <c r="F204" t="s">
        <v>253</v>
      </c>
      <c r="G204" s="22" t="s">
        <v>26</v>
      </c>
      <c r="H204" s="22">
        <f t="shared" si="12"/>
        <v>3</v>
      </c>
      <c r="I204" t="s">
        <v>41</v>
      </c>
      <c r="J204" s="22" t="s">
        <v>97</v>
      </c>
      <c r="K204" t="s">
        <v>156</v>
      </c>
      <c r="L204" t="s">
        <v>99</v>
      </c>
      <c r="M204" s="28">
        <v>45257</v>
      </c>
      <c r="N204" s="22">
        <v>31</v>
      </c>
      <c r="O204" s="22" t="str">
        <f>IF(COUNTIF(Exits_Attrition!$A$2:$A$65,A204)&gt;0,"Exited","Active")</f>
        <v>Active</v>
      </c>
      <c r="P204" s="28" t="str">
        <f>IFERROR(INDEX(Exits_Attrition!$H$2:$H$65,MATCH(A204,Exits_Attrition!$A$2:$A$65,0)),"")</f>
        <v/>
      </c>
      <c r="Q204" s="24">
        <f t="shared" si="13"/>
        <v>2.8</v>
      </c>
      <c r="R204" s="22" t="str">
        <f t="shared" si="14"/>
        <v>1-3 Yrs</v>
      </c>
      <c r="S204" s="22">
        <f t="shared" si="15"/>
        <v>0</v>
      </c>
    </row>
    <row r="205" spans="1:19" x14ac:dyDescent="0.3">
      <c r="A205" s="22" t="s">
        <v>806</v>
      </c>
      <c r="B205" t="s">
        <v>807</v>
      </c>
      <c r="C205" t="s">
        <v>808</v>
      </c>
      <c r="D205" t="s">
        <v>128</v>
      </c>
      <c r="E205" s="22" t="s">
        <v>129</v>
      </c>
      <c r="F205" t="s">
        <v>130</v>
      </c>
      <c r="G205" s="22" t="s">
        <v>28</v>
      </c>
      <c r="H205" s="22">
        <f t="shared" si="12"/>
        <v>4</v>
      </c>
      <c r="I205" t="s">
        <v>44</v>
      </c>
      <c r="J205" s="22" t="s">
        <v>106</v>
      </c>
      <c r="K205" t="s">
        <v>124</v>
      </c>
      <c r="L205" t="s">
        <v>99</v>
      </c>
      <c r="M205" s="28">
        <v>45267</v>
      </c>
      <c r="N205" s="22">
        <v>30</v>
      </c>
      <c r="O205" s="22" t="str">
        <f>IF(COUNTIF(Exits_Attrition!$A$2:$A$65,A205)&gt;0,"Exited","Active")</f>
        <v>Active</v>
      </c>
      <c r="P205" s="28" t="str">
        <f>IFERROR(INDEX(Exits_Attrition!$H$2:$H$65,MATCH(A205,Exits_Attrition!$A$2:$A$65,0)),"")</f>
        <v/>
      </c>
      <c r="Q205" s="24">
        <f t="shared" si="13"/>
        <v>2.8</v>
      </c>
      <c r="R205" s="22" t="str">
        <f t="shared" si="14"/>
        <v>1-3 Yrs</v>
      </c>
      <c r="S205" s="22">
        <f t="shared" si="15"/>
        <v>0</v>
      </c>
    </row>
    <row r="206" spans="1:19" x14ac:dyDescent="0.3">
      <c r="A206" s="22" t="s">
        <v>195</v>
      </c>
      <c r="B206" t="s">
        <v>194</v>
      </c>
      <c r="C206" t="s">
        <v>809</v>
      </c>
      <c r="D206" t="s">
        <v>268</v>
      </c>
      <c r="E206" s="22" t="s">
        <v>267</v>
      </c>
      <c r="F206" t="s">
        <v>232</v>
      </c>
      <c r="G206" s="22" t="s">
        <v>30</v>
      </c>
      <c r="H206" s="22">
        <f t="shared" si="12"/>
        <v>5</v>
      </c>
      <c r="I206" t="s">
        <v>42</v>
      </c>
      <c r="J206" s="22" t="s">
        <v>106</v>
      </c>
      <c r="K206" t="s">
        <v>124</v>
      </c>
      <c r="L206" t="s">
        <v>99</v>
      </c>
      <c r="M206" s="28">
        <v>45271</v>
      </c>
      <c r="N206" s="22">
        <v>32</v>
      </c>
      <c r="O206" s="22" t="str">
        <f>IF(COUNTIF(Exits_Attrition!$A$2:$A$65,A206)&gt;0,"Exited","Active")</f>
        <v>Active</v>
      </c>
      <c r="P206" s="28" t="str">
        <f>IFERROR(INDEX(Exits_Attrition!$H$2:$H$65,MATCH(A206,Exits_Attrition!$A$2:$A$65,0)),"")</f>
        <v/>
      </c>
      <c r="Q206" s="24">
        <f t="shared" si="13"/>
        <v>2.8</v>
      </c>
      <c r="R206" s="22" t="str">
        <f t="shared" si="14"/>
        <v>1-3 Yrs</v>
      </c>
      <c r="S206" s="22">
        <f t="shared" si="15"/>
        <v>9</v>
      </c>
    </row>
    <row r="207" spans="1:19" x14ac:dyDescent="0.3">
      <c r="A207" s="22" t="s">
        <v>810</v>
      </c>
      <c r="B207" t="s">
        <v>811</v>
      </c>
      <c r="C207" t="s">
        <v>812</v>
      </c>
      <c r="D207" t="s">
        <v>361</v>
      </c>
      <c r="E207" s="22" t="s">
        <v>362</v>
      </c>
      <c r="F207" t="s">
        <v>244</v>
      </c>
      <c r="G207" s="22" t="s">
        <v>26</v>
      </c>
      <c r="H207" s="22">
        <f t="shared" si="12"/>
        <v>3</v>
      </c>
      <c r="I207" t="s">
        <v>39</v>
      </c>
      <c r="J207" s="22" t="s">
        <v>97</v>
      </c>
      <c r="K207" t="s">
        <v>98</v>
      </c>
      <c r="L207" t="s">
        <v>99</v>
      </c>
      <c r="M207" s="28">
        <v>45272</v>
      </c>
      <c r="N207" s="22">
        <v>29</v>
      </c>
      <c r="O207" s="22" t="str">
        <f>IF(COUNTIF(Exits_Attrition!$A$2:$A$65,A207)&gt;0,"Exited","Active")</f>
        <v>Active</v>
      </c>
      <c r="P207" s="28" t="str">
        <f>IFERROR(INDEX(Exits_Attrition!$H$2:$H$65,MATCH(A207,Exits_Attrition!$A$2:$A$65,0)),"")</f>
        <v/>
      </c>
      <c r="Q207" s="24">
        <f t="shared" si="13"/>
        <v>2.8</v>
      </c>
      <c r="R207" s="22" t="str">
        <f t="shared" si="14"/>
        <v>1-3 Yrs</v>
      </c>
      <c r="S207" s="22">
        <f t="shared" si="15"/>
        <v>0</v>
      </c>
    </row>
    <row r="208" spans="1:19" x14ac:dyDescent="0.3">
      <c r="A208" s="22" t="s">
        <v>813</v>
      </c>
      <c r="B208" t="s">
        <v>814</v>
      </c>
      <c r="C208" t="s">
        <v>815</v>
      </c>
      <c r="D208" t="s">
        <v>257</v>
      </c>
      <c r="E208" s="22" t="s">
        <v>258</v>
      </c>
      <c r="F208" t="s">
        <v>259</v>
      </c>
      <c r="G208" s="22" t="s">
        <v>26</v>
      </c>
      <c r="H208" s="22">
        <f t="shared" si="12"/>
        <v>3</v>
      </c>
      <c r="I208" t="s">
        <v>46</v>
      </c>
      <c r="J208" s="22" t="s">
        <v>97</v>
      </c>
      <c r="K208" t="s">
        <v>98</v>
      </c>
      <c r="L208" t="s">
        <v>99</v>
      </c>
      <c r="M208" s="28">
        <v>45272</v>
      </c>
      <c r="N208" s="22">
        <v>28</v>
      </c>
      <c r="O208" s="22" t="str">
        <f>IF(COUNTIF(Exits_Attrition!$A$2:$A$65,A208)&gt;0,"Exited","Active")</f>
        <v>Exited</v>
      </c>
      <c r="P208" s="28">
        <f>IFERROR(INDEX(Exits_Attrition!$H$2:$H$65,MATCH(A208,Exits_Attrition!$A$2:$A$65,0)),"")</f>
        <v>46120</v>
      </c>
      <c r="Q208" s="24">
        <f t="shared" si="13"/>
        <v>2.2999999999999998</v>
      </c>
      <c r="R208" s="22" t="str">
        <f t="shared" si="14"/>
        <v>1-3 Yrs</v>
      </c>
      <c r="S208" s="22">
        <f t="shared" si="15"/>
        <v>0</v>
      </c>
    </row>
    <row r="209" spans="1:19" x14ac:dyDescent="0.3">
      <c r="A209" s="22" t="s">
        <v>816</v>
      </c>
      <c r="B209" t="s">
        <v>817</v>
      </c>
      <c r="C209" t="s">
        <v>818</v>
      </c>
      <c r="D209" t="s">
        <v>400</v>
      </c>
      <c r="E209" s="22" t="s">
        <v>401</v>
      </c>
      <c r="F209" t="s">
        <v>569</v>
      </c>
      <c r="G209" s="22" t="s">
        <v>24</v>
      </c>
      <c r="H209" s="22">
        <f t="shared" si="12"/>
        <v>2</v>
      </c>
      <c r="I209" t="s">
        <v>39</v>
      </c>
      <c r="J209" s="22" t="s">
        <v>106</v>
      </c>
      <c r="K209" t="s">
        <v>98</v>
      </c>
      <c r="L209" t="s">
        <v>99</v>
      </c>
      <c r="M209" s="28">
        <v>45273</v>
      </c>
      <c r="N209" s="22">
        <v>26</v>
      </c>
      <c r="O209" s="22" t="str">
        <f>IF(COUNTIF(Exits_Attrition!$A$2:$A$65,A209)&gt;0,"Exited","Active")</f>
        <v>Active</v>
      </c>
      <c r="P209" s="28" t="str">
        <f>IFERROR(INDEX(Exits_Attrition!$H$2:$H$65,MATCH(A209,Exits_Attrition!$A$2:$A$65,0)),"")</f>
        <v/>
      </c>
      <c r="Q209" s="24">
        <f t="shared" si="13"/>
        <v>2.8</v>
      </c>
      <c r="R209" s="22" t="str">
        <f t="shared" si="14"/>
        <v>1-3 Yrs</v>
      </c>
      <c r="S209" s="22">
        <f t="shared" si="15"/>
        <v>0</v>
      </c>
    </row>
    <row r="210" spans="1:19" x14ac:dyDescent="0.3">
      <c r="A210" s="22" t="s">
        <v>819</v>
      </c>
      <c r="B210" t="s">
        <v>820</v>
      </c>
      <c r="C210" t="s">
        <v>821</v>
      </c>
      <c r="D210" t="s">
        <v>822</v>
      </c>
      <c r="E210" s="22" t="s">
        <v>823</v>
      </c>
      <c r="F210" t="s">
        <v>253</v>
      </c>
      <c r="G210" s="22" t="s">
        <v>26</v>
      </c>
      <c r="H210" s="22">
        <f t="shared" si="12"/>
        <v>3</v>
      </c>
      <c r="I210" t="s">
        <v>41</v>
      </c>
      <c r="J210" s="22" t="s">
        <v>97</v>
      </c>
      <c r="K210" t="s">
        <v>156</v>
      </c>
      <c r="L210" t="s">
        <v>99</v>
      </c>
      <c r="M210" s="28">
        <v>45287</v>
      </c>
      <c r="N210" s="22">
        <v>28</v>
      </c>
      <c r="O210" s="22" t="str">
        <f>IF(COUNTIF(Exits_Attrition!$A$2:$A$65,A210)&gt;0,"Exited","Active")</f>
        <v>Active</v>
      </c>
      <c r="P210" s="28" t="str">
        <f>IFERROR(INDEX(Exits_Attrition!$H$2:$H$65,MATCH(A210,Exits_Attrition!$A$2:$A$65,0)),"")</f>
        <v/>
      </c>
      <c r="Q210" s="24">
        <f t="shared" si="13"/>
        <v>2.8</v>
      </c>
      <c r="R210" s="22" t="str">
        <f t="shared" si="14"/>
        <v>1-3 Yrs</v>
      </c>
      <c r="S210" s="22">
        <f t="shared" si="15"/>
        <v>0</v>
      </c>
    </row>
    <row r="211" spans="1:19" x14ac:dyDescent="0.3">
      <c r="A211" s="22" t="s">
        <v>824</v>
      </c>
      <c r="B211" t="s">
        <v>825</v>
      </c>
      <c r="C211" t="s">
        <v>826</v>
      </c>
      <c r="D211" t="s">
        <v>483</v>
      </c>
      <c r="E211" s="22" t="s">
        <v>484</v>
      </c>
      <c r="F211" t="s">
        <v>408</v>
      </c>
      <c r="G211" s="22" t="s">
        <v>26</v>
      </c>
      <c r="H211" s="22">
        <f t="shared" si="12"/>
        <v>3</v>
      </c>
      <c r="I211" t="s">
        <v>43</v>
      </c>
      <c r="J211" s="22" t="s">
        <v>106</v>
      </c>
      <c r="K211" t="s">
        <v>98</v>
      </c>
      <c r="L211" t="s">
        <v>99</v>
      </c>
      <c r="M211" s="28">
        <v>45290</v>
      </c>
      <c r="N211" s="22">
        <v>32</v>
      </c>
      <c r="O211" s="22" t="str">
        <f>IF(COUNTIF(Exits_Attrition!$A$2:$A$65,A211)&gt;0,"Exited","Active")</f>
        <v>Active</v>
      </c>
      <c r="P211" s="28" t="str">
        <f>IFERROR(INDEX(Exits_Attrition!$H$2:$H$65,MATCH(A211,Exits_Attrition!$A$2:$A$65,0)),"")</f>
        <v/>
      </c>
      <c r="Q211" s="24">
        <f t="shared" si="13"/>
        <v>2.8</v>
      </c>
      <c r="R211" s="22" t="str">
        <f t="shared" si="14"/>
        <v>1-3 Yrs</v>
      </c>
      <c r="S211" s="22">
        <f t="shared" si="15"/>
        <v>0</v>
      </c>
    </row>
    <row r="212" spans="1:19" x14ac:dyDescent="0.3">
      <c r="A212" s="22" t="s">
        <v>827</v>
      </c>
      <c r="B212" t="s">
        <v>828</v>
      </c>
      <c r="C212" t="s">
        <v>829</v>
      </c>
      <c r="D212" t="s">
        <v>726</v>
      </c>
      <c r="E212" s="22" t="s">
        <v>727</v>
      </c>
      <c r="F212" t="s">
        <v>560</v>
      </c>
      <c r="G212" s="22" t="s">
        <v>24</v>
      </c>
      <c r="H212" s="22">
        <f t="shared" si="12"/>
        <v>2</v>
      </c>
      <c r="I212" t="s">
        <v>41</v>
      </c>
      <c r="J212" s="22" t="s">
        <v>106</v>
      </c>
      <c r="K212" t="s">
        <v>107</v>
      </c>
      <c r="L212" t="s">
        <v>99</v>
      </c>
      <c r="M212" s="28">
        <v>45295</v>
      </c>
      <c r="N212" s="22">
        <v>28</v>
      </c>
      <c r="O212" s="22" t="str">
        <f>IF(COUNTIF(Exits_Attrition!$A$2:$A$65,A212)&gt;0,"Exited","Active")</f>
        <v>Exited</v>
      </c>
      <c r="P212" s="28">
        <f>IFERROR(INDEX(Exits_Attrition!$H$2:$H$65,MATCH(A212,Exits_Attrition!$A$2:$A$65,0)),"")</f>
        <v>46030</v>
      </c>
      <c r="Q212" s="24">
        <f t="shared" si="13"/>
        <v>2</v>
      </c>
      <c r="R212" s="22" t="str">
        <f t="shared" si="14"/>
        <v>1-3 Yrs</v>
      </c>
      <c r="S212" s="22">
        <f t="shared" si="15"/>
        <v>0</v>
      </c>
    </row>
    <row r="213" spans="1:19" x14ac:dyDescent="0.3">
      <c r="A213" s="22" t="s">
        <v>830</v>
      </c>
      <c r="B213" t="s">
        <v>831</v>
      </c>
      <c r="C213" t="s">
        <v>832</v>
      </c>
      <c r="D213" t="s">
        <v>285</v>
      </c>
      <c r="E213" s="22" t="s">
        <v>286</v>
      </c>
      <c r="F213" t="s">
        <v>545</v>
      </c>
      <c r="G213" s="22" t="s">
        <v>24</v>
      </c>
      <c r="H213" s="22">
        <f t="shared" si="12"/>
        <v>2</v>
      </c>
      <c r="I213" t="s">
        <v>43</v>
      </c>
      <c r="J213" s="22" t="s">
        <v>106</v>
      </c>
      <c r="K213" t="s">
        <v>98</v>
      </c>
      <c r="L213" t="s">
        <v>99</v>
      </c>
      <c r="M213" s="28">
        <v>45298</v>
      </c>
      <c r="N213" s="22">
        <v>30</v>
      </c>
      <c r="O213" s="22" t="str">
        <f>IF(COUNTIF(Exits_Attrition!$A$2:$A$65,A213)&gt;0,"Exited","Active")</f>
        <v>Active</v>
      </c>
      <c r="P213" s="28" t="str">
        <f>IFERROR(INDEX(Exits_Attrition!$H$2:$H$65,MATCH(A213,Exits_Attrition!$A$2:$A$65,0)),"")</f>
        <v/>
      </c>
      <c r="Q213" s="24">
        <f t="shared" si="13"/>
        <v>2.7</v>
      </c>
      <c r="R213" s="22" t="str">
        <f t="shared" si="14"/>
        <v>1-3 Yrs</v>
      </c>
      <c r="S213" s="22">
        <f t="shared" si="15"/>
        <v>0</v>
      </c>
    </row>
    <row r="214" spans="1:19" x14ac:dyDescent="0.3">
      <c r="A214" s="22" t="s">
        <v>362</v>
      </c>
      <c r="B214" t="s">
        <v>361</v>
      </c>
      <c r="C214" t="s">
        <v>833</v>
      </c>
      <c r="D214" t="s">
        <v>132</v>
      </c>
      <c r="E214" s="22" t="s">
        <v>131</v>
      </c>
      <c r="F214" t="s">
        <v>834</v>
      </c>
      <c r="G214" s="22" t="s">
        <v>32</v>
      </c>
      <c r="H214" s="22">
        <f t="shared" si="12"/>
        <v>6</v>
      </c>
      <c r="I214" t="s">
        <v>39</v>
      </c>
      <c r="J214" s="22" t="s">
        <v>106</v>
      </c>
      <c r="K214" t="s">
        <v>107</v>
      </c>
      <c r="L214" t="s">
        <v>99</v>
      </c>
      <c r="M214" s="28">
        <v>45308</v>
      </c>
      <c r="N214" s="22">
        <v>35</v>
      </c>
      <c r="O214" s="22" t="str">
        <f>IF(COUNTIF(Exits_Attrition!$A$2:$A$65,A214)&gt;0,"Exited","Active")</f>
        <v>Active</v>
      </c>
      <c r="P214" s="28" t="str">
        <f>IFERROR(INDEX(Exits_Attrition!$H$2:$H$65,MATCH(A214,Exits_Attrition!$A$2:$A$65,0)),"")</f>
        <v/>
      </c>
      <c r="Q214" s="24">
        <f t="shared" si="13"/>
        <v>2.7</v>
      </c>
      <c r="R214" s="22" t="str">
        <f t="shared" si="14"/>
        <v>1-3 Yrs</v>
      </c>
      <c r="S214" s="22">
        <f t="shared" si="15"/>
        <v>6</v>
      </c>
    </row>
    <row r="215" spans="1:19" x14ac:dyDescent="0.3">
      <c r="A215" s="22" t="s">
        <v>835</v>
      </c>
      <c r="B215" t="s">
        <v>836</v>
      </c>
      <c r="C215" t="s">
        <v>837</v>
      </c>
      <c r="D215" t="s">
        <v>166</v>
      </c>
      <c r="E215" s="22" t="s">
        <v>167</v>
      </c>
      <c r="F215" t="s">
        <v>659</v>
      </c>
      <c r="G215" s="22" t="s">
        <v>24</v>
      </c>
      <c r="H215" s="22">
        <f t="shared" si="12"/>
        <v>2</v>
      </c>
      <c r="I215" t="s">
        <v>47</v>
      </c>
      <c r="J215" s="22" t="s">
        <v>106</v>
      </c>
      <c r="K215" t="s">
        <v>124</v>
      </c>
      <c r="L215" t="s">
        <v>99</v>
      </c>
      <c r="M215" s="28">
        <v>45308</v>
      </c>
      <c r="N215" s="22">
        <v>29</v>
      </c>
      <c r="O215" s="22" t="str">
        <f>IF(COUNTIF(Exits_Attrition!$A$2:$A$65,A215)&gt;0,"Exited","Active")</f>
        <v>Exited</v>
      </c>
      <c r="P215" s="28">
        <f>IFERROR(INDEX(Exits_Attrition!$H$2:$H$65,MATCH(A215,Exits_Attrition!$A$2:$A$65,0)),"")</f>
        <v>46259</v>
      </c>
      <c r="Q215" s="24">
        <f t="shared" si="13"/>
        <v>2.6</v>
      </c>
      <c r="R215" s="22" t="str">
        <f t="shared" si="14"/>
        <v>1-3 Yrs</v>
      </c>
      <c r="S215" s="22">
        <f t="shared" si="15"/>
        <v>0</v>
      </c>
    </row>
    <row r="216" spans="1:19" x14ac:dyDescent="0.3">
      <c r="A216" s="22" t="s">
        <v>838</v>
      </c>
      <c r="B216" t="s">
        <v>839</v>
      </c>
      <c r="C216" t="s">
        <v>840</v>
      </c>
      <c r="D216" t="s">
        <v>483</v>
      </c>
      <c r="E216" s="22" t="s">
        <v>484</v>
      </c>
      <c r="F216" t="s">
        <v>545</v>
      </c>
      <c r="G216" s="22" t="s">
        <v>24</v>
      </c>
      <c r="H216" s="22">
        <f t="shared" si="12"/>
        <v>2</v>
      </c>
      <c r="I216" t="s">
        <v>43</v>
      </c>
      <c r="J216" s="22" t="s">
        <v>106</v>
      </c>
      <c r="K216" t="s">
        <v>98</v>
      </c>
      <c r="L216" t="s">
        <v>99</v>
      </c>
      <c r="M216" s="28">
        <v>45314</v>
      </c>
      <c r="N216" s="22">
        <v>29</v>
      </c>
      <c r="O216" s="22" t="str">
        <f>IF(COUNTIF(Exits_Attrition!$A$2:$A$65,A216)&gt;0,"Exited","Active")</f>
        <v>Active</v>
      </c>
      <c r="P216" s="28" t="str">
        <f>IFERROR(INDEX(Exits_Attrition!$H$2:$H$65,MATCH(A216,Exits_Attrition!$A$2:$A$65,0)),"")</f>
        <v/>
      </c>
      <c r="Q216" s="24">
        <f t="shared" si="13"/>
        <v>2.7</v>
      </c>
      <c r="R216" s="22" t="str">
        <f t="shared" si="14"/>
        <v>1-3 Yrs</v>
      </c>
      <c r="S216" s="22">
        <f t="shared" si="15"/>
        <v>0</v>
      </c>
    </row>
    <row r="217" spans="1:19" x14ac:dyDescent="0.3">
      <c r="A217" s="22" t="s">
        <v>841</v>
      </c>
      <c r="B217" t="s">
        <v>842</v>
      </c>
      <c r="C217" t="s">
        <v>843</v>
      </c>
      <c r="D217" t="s">
        <v>400</v>
      </c>
      <c r="E217" s="22" t="s">
        <v>401</v>
      </c>
      <c r="F217" t="s">
        <v>569</v>
      </c>
      <c r="G217" s="22" t="s">
        <v>24</v>
      </c>
      <c r="H217" s="22">
        <f t="shared" si="12"/>
        <v>2</v>
      </c>
      <c r="I217" t="s">
        <v>39</v>
      </c>
      <c r="J217" s="22" t="s">
        <v>97</v>
      </c>
      <c r="K217" t="s">
        <v>98</v>
      </c>
      <c r="L217" t="s">
        <v>99</v>
      </c>
      <c r="M217" s="28">
        <v>45316</v>
      </c>
      <c r="N217" s="22">
        <v>31</v>
      </c>
      <c r="O217" s="22" t="str">
        <f>IF(COUNTIF(Exits_Attrition!$A$2:$A$65,A217)&gt;0,"Exited","Active")</f>
        <v>Active</v>
      </c>
      <c r="P217" s="28" t="str">
        <f>IFERROR(INDEX(Exits_Attrition!$H$2:$H$65,MATCH(A217,Exits_Attrition!$A$2:$A$65,0)),"")</f>
        <v/>
      </c>
      <c r="Q217" s="24">
        <f t="shared" si="13"/>
        <v>2.7</v>
      </c>
      <c r="R217" s="22" t="str">
        <f t="shared" si="14"/>
        <v>1-3 Yrs</v>
      </c>
      <c r="S217" s="22">
        <f t="shared" si="15"/>
        <v>0</v>
      </c>
    </row>
    <row r="218" spans="1:19" x14ac:dyDescent="0.3">
      <c r="A218" s="22" t="s">
        <v>844</v>
      </c>
      <c r="B218" t="s">
        <v>845</v>
      </c>
      <c r="C218" t="s">
        <v>846</v>
      </c>
      <c r="D218" t="s">
        <v>338</v>
      </c>
      <c r="E218" s="22" t="s">
        <v>339</v>
      </c>
      <c r="F218" t="s">
        <v>238</v>
      </c>
      <c r="G218" s="22" t="s">
        <v>26</v>
      </c>
      <c r="H218" s="22">
        <f t="shared" si="12"/>
        <v>3</v>
      </c>
      <c r="I218" t="s">
        <v>42</v>
      </c>
      <c r="J218" s="22" t="s">
        <v>106</v>
      </c>
      <c r="K218" t="s">
        <v>98</v>
      </c>
      <c r="L218" t="s">
        <v>99</v>
      </c>
      <c r="M218" s="28">
        <v>45333</v>
      </c>
      <c r="N218" s="22">
        <v>33</v>
      </c>
      <c r="O218" s="22" t="str">
        <f>IF(COUNTIF(Exits_Attrition!$A$2:$A$65,A218)&gt;0,"Exited","Active")</f>
        <v>Active</v>
      </c>
      <c r="P218" s="28" t="str">
        <f>IFERROR(INDEX(Exits_Attrition!$H$2:$H$65,MATCH(A218,Exits_Attrition!$A$2:$A$65,0)),"")</f>
        <v/>
      </c>
      <c r="Q218" s="24">
        <f t="shared" si="13"/>
        <v>2.6</v>
      </c>
      <c r="R218" s="22" t="str">
        <f t="shared" si="14"/>
        <v>1-3 Yrs</v>
      </c>
      <c r="S218" s="22">
        <f t="shared" si="15"/>
        <v>0</v>
      </c>
    </row>
    <row r="219" spans="1:19" x14ac:dyDescent="0.3">
      <c r="A219" s="22" t="s">
        <v>847</v>
      </c>
      <c r="B219" t="s">
        <v>848</v>
      </c>
      <c r="C219" t="s">
        <v>849</v>
      </c>
      <c r="D219" t="s">
        <v>251</v>
      </c>
      <c r="E219" s="22" t="s">
        <v>252</v>
      </c>
      <c r="F219" t="s">
        <v>253</v>
      </c>
      <c r="G219" s="22" t="s">
        <v>26</v>
      </c>
      <c r="H219" s="22">
        <f t="shared" si="12"/>
        <v>3</v>
      </c>
      <c r="I219" t="s">
        <v>41</v>
      </c>
      <c r="J219" s="22" t="s">
        <v>97</v>
      </c>
      <c r="K219" t="s">
        <v>156</v>
      </c>
      <c r="L219" t="s">
        <v>99</v>
      </c>
      <c r="M219" s="28">
        <v>45342</v>
      </c>
      <c r="N219" s="22">
        <v>31</v>
      </c>
      <c r="O219" s="22" t="str">
        <f>IF(COUNTIF(Exits_Attrition!$A$2:$A$65,A219)&gt;0,"Exited","Active")</f>
        <v>Active</v>
      </c>
      <c r="P219" s="28" t="str">
        <f>IFERROR(INDEX(Exits_Attrition!$H$2:$H$65,MATCH(A219,Exits_Attrition!$A$2:$A$65,0)),"")</f>
        <v/>
      </c>
      <c r="Q219" s="24">
        <f t="shared" si="13"/>
        <v>2.6</v>
      </c>
      <c r="R219" s="22" t="str">
        <f t="shared" si="14"/>
        <v>1-3 Yrs</v>
      </c>
      <c r="S219" s="22">
        <f t="shared" si="15"/>
        <v>0</v>
      </c>
    </row>
    <row r="220" spans="1:19" x14ac:dyDescent="0.3">
      <c r="A220" s="22" t="s">
        <v>850</v>
      </c>
      <c r="B220" t="s">
        <v>851</v>
      </c>
      <c r="C220" t="s">
        <v>852</v>
      </c>
      <c r="D220" t="s">
        <v>173</v>
      </c>
      <c r="E220" s="22" t="s">
        <v>172</v>
      </c>
      <c r="F220" t="s">
        <v>253</v>
      </c>
      <c r="G220" s="22" t="s">
        <v>26</v>
      </c>
      <c r="H220" s="22">
        <f t="shared" si="12"/>
        <v>3</v>
      </c>
      <c r="I220" t="s">
        <v>41</v>
      </c>
      <c r="J220" s="22" t="s">
        <v>97</v>
      </c>
      <c r="K220" t="s">
        <v>156</v>
      </c>
      <c r="L220" t="s">
        <v>99</v>
      </c>
      <c r="M220" s="28">
        <v>45345</v>
      </c>
      <c r="N220" s="22">
        <v>32</v>
      </c>
      <c r="O220" s="22" t="str">
        <f>IF(COUNTIF(Exits_Attrition!$A$2:$A$65,A220)&gt;0,"Exited","Active")</f>
        <v>Active</v>
      </c>
      <c r="P220" s="28" t="str">
        <f>IFERROR(INDEX(Exits_Attrition!$H$2:$H$65,MATCH(A220,Exits_Attrition!$A$2:$A$65,0)),"")</f>
        <v/>
      </c>
      <c r="Q220" s="24">
        <f t="shared" si="13"/>
        <v>2.6</v>
      </c>
      <c r="R220" s="22" t="str">
        <f t="shared" si="14"/>
        <v>1-3 Yrs</v>
      </c>
      <c r="S220" s="22">
        <f t="shared" si="15"/>
        <v>0</v>
      </c>
    </row>
    <row r="221" spans="1:19" x14ac:dyDescent="0.3">
      <c r="A221" s="22" t="s">
        <v>853</v>
      </c>
      <c r="B221" t="s">
        <v>854</v>
      </c>
      <c r="C221" t="s">
        <v>855</v>
      </c>
      <c r="D221" t="s">
        <v>501</v>
      </c>
      <c r="E221" s="22" t="s">
        <v>502</v>
      </c>
      <c r="F221" t="s">
        <v>259</v>
      </c>
      <c r="G221" s="22" t="s">
        <v>26</v>
      </c>
      <c r="H221" s="22">
        <f t="shared" si="12"/>
        <v>3</v>
      </c>
      <c r="I221" t="s">
        <v>46</v>
      </c>
      <c r="J221" s="22" t="s">
        <v>97</v>
      </c>
      <c r="K221" t="s">
        <v>107</v>
      </c>
      <c r="L221" t="s">
        <v>99</v>
      </c>
      <c r="M221" s="28">
        <v>45356</v>
      </c>
      <c r="N221" s="22">
        <v>33</v>
      </c>
      <c r="O221" s="22" t="str">
        <f>IF(COUNTIF(Exits_Attrition!$A$2:$A$65,A221)&gt;0,"Exited","Active")</f>
        <v>Active</v>
      </c>
      <c r="P221" s="28" t="str">
        <f>IFERROR(INDEX(Exits_Attrition!$H$2:$H$65,MATCH(A221,Exits_Attrition!$A$2:$A$65,0)),"")</f>
        <v/>
      </c>
      <c r="Q221" s="24">
        <f t="shared" si="13"/>
        <v>2.6</v>
      </c>
      <c r="R221" s="22" t="str">
        <f t="shared" si="14"/>
        <v>1-3 Yrs</v>
      </c>
      <c r="S221" s="22">
        <f t="shared" si="15"/>
        <v>0</v>
      </c>
    </row>
    <row r="222" spans="1:19" x14ac:dyDescent="0.3">
      <c r="A222" s="22" t="s">
        <v>856</v>
      </c>
      <c r="B222" t="s">
        <v>857</v>
      </c>
      <c r="C222" t="s">
        <v>858</v>
      </c>
      <c r="D222" t="s">
        <v>101</v>
      </c>
      <c r="E222" s="22" t="s">
        <v>100</v>
      </c>
      <c r="F222" t="s">
        <v>569</v>
      </c>
      <c r="G222" s="22" t="s">
        <v>24</v>
      </c>
      <c r="H222" s="22">
        <f t="shared" si="12"/>
        <v>2</v>
      </c>
      <c r="I222" t="s">
        <v>39</v>
      </c>
      <c r="J222" s="22" t="s">
        <v>106</v>
      </c>
      <c r="K222" t="s">
        <v>98</v>
      </c>
      <c r="L222" t="s">
        <v>99</v>
      </c>
      <c r="M222" s="28">
        <v>45365</v>
      </c>
      <c r="N222" s="22">
        <v>32</v>
      </c>
      <c r="O222" s="22" t="str">
        <f>IF(COUNTIF(Exits_Attrition!$A$2:$A$65,A222)&gt;0,"Exited","Active")</f>
        <v>Active</v>
      </c>
      <c r="P222" s="28" t="str">
        <f>IFERROR(INDEX(Exits_Attrition!$H$2:$H$65,MATCH(A222,Exits_Attrition!$A$2:$A$65,0)),"")</f>
        <v/>
      </c>
      <c r="Q222" s="24">
        <f t="shared" si="13"/>
        <v>2.5</v>
      </c>
      <c r="R222" s="22" t="str">
        <f t="shared" si="14"/>
        <v>1-3 Yrs</v>
      </c>
      <c r="S222" s="22">
        <f t="shared" si="15"/>
        <v>0</v>
      </c>
    </row>
    <row r="223" spans="1:19" x14ac:dyDescent="0.3">
      <c r="A223" s="22" t="s">
        <v>859</v>
      </c>
      <c r="B223" t="s">
        <v>860</v>
      </c>
      <c r="C223" t="s">
        <v>861</v>
      </c>
      <c r="D223" t="s">
        <v>119</v>
      </c>
      <c r="E223" s="22" t="s">
        <v>118</v>
      </c>
      <c r="F223" t="s">
        <v>155</v>
      </c>
      <c r="G223" s="22" t="s">
        <v>28</v>
      </c>
      <c r="H223" s="22">
        <f t="shared" si="12"/>
        <v>4</v>
      </c>
      <c r="I223" t="s">
        <v>40</v>
      </c>
      <c r="J223" s="22" t="s">
        <v>106</v>
      </c>
      <c r="K223" t="s">
        <v>124</v>
      </c>
      <c r="L223" t="s">
        <v>99</v>
      </c>
      <c r="M223" s="28">
        <v>45367</v>
      </c>
      <c r="N223" s="22">
        <v>36</v>
      </c>
      <c r="O223" s="22" t="str">
        <f>IF(COUNTIF(Exits_Attrition!$A$2:$A$65,A223)&gt;0,"Exited","Active")</f>
        <v>Active</v>
      </c>
      <c r="P223" s="28" t="str">
        <f>IFERROR(INDEX(Exits_Attrition!$H$2:$H$65,MATCH(A223,Exits_Attrition!$A$2:$A$65,0)),"")</f>
        <v/>
      </c>
      <c r="Q223" s="24">
        <f t="shared" si="13"/>
        <v>2.5</v>
      </c>
      <c r="R223" s="22" t="str">
        <f t="shared" si="14"/>
        <v>1-3 Yrs</v>
      </c>
      <c r="S223" s="22">
        <f t="shared" si="15"/>
        <v>0</v>
      </c>
    </row>
    <row r="224" spans="1:19" x14ac:dyDescent="0.3">
      <c r="A224" s="22" t="s">
        <v>862</v>
      </c>
      <c r="B224" t="s">
        <v>863</v>
      </c>
      <c r="C224" t="s">
        <v>864</v>
      </c>
      <c r="D224" t="s">
        <v>128</v>
      </c>
      <c r="E224" s="22" t="s">
        <v>129</v>
      </c>
      <c r="F224" t="s">
        <v>625</v>
      </c>
      <c r="G224" s="22" t="s">
        <v>24</v>
      </c>
      <c r="H224" s="22">
        <f t="shared" si="12"/>
        <v>2</v>
      </c>
      <c r="I224" t="s">
        <v>44</v>
      </c>
      <c r="J224" s="22" t="s">
        <v>97</v>
      </c>
      <c r="K224" t="s">
        <v>124</v>
      </c>
      <c r="L224" t="s">
        <v>99</v>
      </c>
      <c r="M224" s="28">
        <v>45369</v>
      </c>
      <c r="N224" s="22">
        <v>32</v>
      </c>
      <c r="O224" s="22" t="str">
        <f>IF(COUNTIF(Exits_Attrition!$A$2:$A$65,A224)&gt;0,"Exited","Active")</f>
        <v>Active</v>
      </c>
      <c r="P224" s="28" t="str">
        <f>IFERROR(INDEX(Exits_Attrition!$H$2:$H$65,MATCH(A224,Exits_Attrition!$A$2:$A$65,0)),"")</f>
        <v/>
      </c>
      <c r="Q224" s="24">
        <f t="shared" si="13"/>
        <v>2.5</v>
      </c>
      <c r="R224" s="22" t="str">
        <f t="shared" si="14"/>
        <v>1-3 Yrs</v>
      </c>
      <c r="S224" s="22">
        <f t="shared" si="15"/>
        <v>0</v>
      </c>
    </row>
    <row r="225" spans="1:19" x14ac:dyDescent="0.3">
      <c r="A225" s="22" t="s">
        <v>865</v>
      </c>
      <c r="B225" t="s">
        <v>866</v>
      </c>
      <c r="C225" t="s">
        <v>867</v>
      </c>
      <c r="D225" t="s">
        <v>204</v>
      </c>
      <c r="E225" s="22" t="s">
        <v>203</v>
      </c>
      <c r="F225" t="s">
        <v>749</v>
      </c>
      <c r="G225" s="22" t="s">
        <v>24</v>
      </c>
      <c r="H225" s="22">
        <f t="shared" si="12"/>
        <v>2</v>
      </c>
      <c r="I225" t="s">
        <v>45</v>
      </c>
      <c r="J225" s="22" t="s">
        <v>106</v>
      </c>
      <c r="K225" t="s">
        <v>98</v>
      </c>
      <c r="L225" t="s">
        <v>99</v>
      </c>
      <c r="M225" s="28">
        <v>45369</v>
      </c>
      <c r="N225" s="22">
        <v>26</v>
      </c>
      <c r="O225" s="22" t="str">
        <f>IF(COUNTIF(Exits_Attrition!$A$2:$A$65,A225)&gt;0,"Exited","Active")</f>
        <v>Active</v>
      </c>
      <c r="P225" s="28" t="str">
        <f>IFERROR(INDEX(Exits_Attrition!$H$2:$H$65,MATCH(A225,Exits_Attrition!$A$2:$A$65,0)),"")</f>
        <v/>
      </c>
      <c r="Q225" s="24">
        <f t="shared" si="13"/>
        <v>2.5</v>
      </c>
      <c r="R225" s="22" t="str">
        <f t="shared" si="14"/>
        <v>1-3 Yrs</v>
      </c>
      <c r="S225" s="22">
        <f t="shared" si="15"/>
        <v>0</v>
      </c>
    </row>
    <row r="226" spans="1:19" x14ac:dyDescent="0.3">
      <c r="A226" s="22" t="s">
        <v>384</v>
      </c>
      <c r="B226" t="s">
        <v>383</v>
      </c>
      <c r="C226" t="s">
        <v>868</v>
      </c>
      <c r="D226" t="s">
        <v>121</v>
      </c>
      <c r="E226" s="22" t="s">
        <v>122</v>
      </c>
      <c r="F226" t="s">
        <v>123</v>
      </c>
      <c r="G226" s="22" t="s">
        <v>30</v>
      </c>
      <c r="H226" s="22">
        <f t="shared" si="12"/>
        <v>5</v>
      </c>
      <c r="I226" t="s">
        <v>40</v>
      </c>
      <c r="J226" s="22" t="s">
        <v>97</v>
      </c>
      <c r="K226" t="s">
        <v>156</v>
      </c>
      <c r="L226" t="s">
        <v>99</v>
      </c>
      <c r="M226" s="28">
        <v>45373</v>
      </c>
      <c r="N226" s="22">
        <v>38</v>
      </c>
      <c r="O226" s="22" t="str">
        <f>IF(COUNTIF(Exits_Attrition!$A$2:$A$65,A226)&gt;0,"Exited","Active")</f>
        <v>Active</v>
      </c>
      <c r="P226" s="28" t="str">
        <f>IFERROR(INDEX(Exits_Attrition!$H$2:$H$65,MATCH(A226,Exits_Attrition!$A$2:$A$65,0)),"")</f>
        <v/>
      </c>
      <c r="Q226" s="24">
        <f t="shared" si="13"/>
        <v>2.5</v>
      </c>
      <c r="R226" s="22" t="str">
        <f t="shared" si="14"/>
        <v>1-3 Yrs</v>
      </c>
      <c r="S226" s="22">
        <f t="shared" si="15"/>
        <v>11</v>
      </c>
    </row>
    <row r="227" spans="1:19" x14ac:dyDescent="0.3">
      <c r="A227" s="22" t="s">
        <v>869</v>
      </c>
      <c r="B227" t="s">
        <v>870</v>
      </c>
      <c r="C227" t="s">
        <v>871</v>
      </c>
      <c r="D227" t="s">
        <v>136</v>
      </c>
      <c r="E227" s="22" t="s">
        <v>135</v>
      </c>
      <c r="F227" t="s">
        <v>550</v>
      </c>
      <c r="G227" s="22" t="s">
        <v>24</v>
      </c>
      <c r="H227" s="22">
        <f t="shared" si="12"/>
        <v>2</v>
      </c>
      <c r="I227" t="s">
        <v>40</v>
      </c>
      <c r="J227" s="22" t="s">
        <v>97</v>
      </c>
      <c r="K227" t="s">
        <v>156</v>
      </c>
      <c r="L227" t="s">
        <v>99</v>
      </c>
      <c r="M227" s="28">
        <v>45382</v>
      </c>
      <c r="N227" s="22">
        <v>26</v>
      </c>
      <c r="O227" s="22" t="str">
        <f>IF(COUNTIF(Exits_Attrition!$A$2:$A$65,A227)&gt;0,"Exited","Active")</f>
        <v>Active</v>
      </c>
      <c r="P227" s="28" t="str">
        <f>IFERROR(INDEX(Exits_Attrition!$H$2:$H$65,MATCH(A227,Exits_Attrition!$A$2:$A$65,0)),"")</f>
        <v/>
      </c>
      <c r="Q227" s="24">
        <f t="shared" si="13"/>
        <v>2.5</v>
      </c>
      <c r="R227" s="22" t="str">
        <f t="shared" si="14"/>
        <v>1-3 Yrs</v>
      </c>
      <c r="S227" s="22">
        <f t="shared" si="15"/>
        <v>0</v>
      </c>
    </row>
    <row r="228" spans="1:19" x14ac:dyDescent="0.3">
      <c r="A228" s="22" t="s">
        <v>872</v>
      </c>
      <c r="B228" t="s">
        <v>873</v>
      </c>
      <c r="C228" t="s">
        <v>874</v>
      </c>
      <c r="D228" t="s">
        <v>116</v>
      </c>
      <c r="E228" s="22" t="s">
        <v>115</v>
      </c>
      <c r="F228" t="s">
        <v>183</v>
      </c>
      <c r="G228" s="22" t="s">
        <v>28</v>
      </c>
      <c r="H228" s="22">
        <f t="shared" si="12"/>
        <v>4</v>
      </c>
      <c r="I228" t="s">
        <v>39</v>
      </c>
      <c r="J228" s="22" t="s">
        <v>106</v>
      </c>
      <c r="K228" t="s">
        <v>98</v>
      </c>
      <c r="L228" t="s">
        <v>99</v>
      </c>
      <c r="M228" s="28">
        <v>45383</v>
      </c>
      <c r="N228" s="22">
        <v>32</v>
      </c>
      <c r="O228" s="22" t="str">
        <f>IF(COUNTIF(Exits_Attrition!$A$2:$A$65,A228)&gt;0,"Exited","Active")</f>
        <v>Active</v>
      </c>
      <c r="P228" s="28" t="str">
        <f>IFERROR(INDEX(Exits_Attrition!$H$2:$H$65,MATCH(A228,Exits_Attrition!$A$2:$A$65,0)),"")</f>
        <v/>
      </c>
      <c r="Q228" s="24">
        <f t="shared" si="13"/>
        <v>2.5</v>
      </c>
      <c r="R228" s="22" t="str">
        <f t="shared" si="14"/>
        <v>1-3 Yrs</v>
      </c>
      <c r="S228" s="22">
        <f t="shared" si="15"/>
        <v>0</v>
      </c>
    </row>
    <row r="229" spans="1:19" x14ac:dyDescent="0.3">
      <c r="A229" s="22" t="s">
        <v>875</v>
      </c>
      <c r="B229" t="s">
        <v>876</v>
      </c>
      <c r="C229" t="s">
        <v>877</v>
      </c>
      <c r="D229" t="s">
        <v>383</v>
      </c>
      <c r="E229" s="22" t="s">
        <v>384</v>
      </c>
      <c r="F229" t="s">
        <v>219</v>
      </c>
      <c r="G229" s="22" t="s">
        <v>26</v>
      </c>
      <c r="H229" s="22">
        <f t="shared" si="12"/>
        <v>3</v>
      </c>
      <c r="I229" t="s">
        <v>40</v>
      </c>
      <c r="J229" s="22" t="s">
        <v>106</v>
      </c>
      <c r="K229" t="s">
        <v>156</v>
      </c>
      <c r="L229" t="s">
        <v>99</v>
      </c>
      <c r="M229" s="28">
        <v>45385</v>
      </c>
      <c r="N229" s="22">
        <v>31</v>
      </c>
      <c r="O229" s="22" t="str">
        <f>IF(COUNTIF(Exits_Attrition!$A$2:$A$65,A229)&gt;0,"Exited","Active")</f>
        <v>Active</v>
      </c>
      <c r="P229" s="28" t="str">
        <f>IFERROR(INDEX(Exits_Attrition!$H$2:$H$65,MATCH(A229,Exits_Attrition!$A$2:$A$65,0)),"")</f>
        <v/>
      </c>
      <c r="Q229" s="24">
        <f t="shared" si="13"/>
        <v>2.5</v>
      </c>
      <c r="R229" s="22" t="str">
        <f t="shared" si="14"/>
        <v>1-3 Yrs</v>
      </c>
      <c r="S229" s="22">
        <f t="shared" si="15"/>
        <v>0</v>
      </c>
    </row>
    <row r="230" spans="1:19" x14ac:dyDescent="0.3">
      <c r="A230" s="22" t="s">
        <v>878</v>
      </c>
      <c r="B230" t="s">
        <v>879</v>
      </c>
      <c r="C230" t="s">
        <v>880</v>
      </c>
      <c r="D230" t="s">
        <v>173</v>
      </c>
      <c r="E230" s="22" t="s">
        <v>172</v>
      </c>
      <c r="F230" t="s">
        <v>253</v>
      </c>
      <c r="G230" s="22" t="s">
        <v>26</v>
      </c>
      <c r="H230" s="22">
        <f t="shared" si="12"/>
        <v>3</v>
      </c>
      <c r="I230" t="s">
        <v>41</v>
      </c>
      <c r="J230" s="22" t="s">
        <v>106</v>
      </c>
      <c r="K230" t="s">
        <v>107</v>
      </c>
      <c r="L230" t="s">
        <v>220</v>
      </c>
      <c r="M230" s="28">
        <v>45385</v>
      </c>
      <c r="N230" s="22">
        <v>34</v>
      </c>
      <c r="O230" s="22" t="str">
        <f>IF(COUNTIF(Exits_Attrition!$A$2:$A$65,A230)&gt;0,"Exited","Active")</f>
        <v>Active</v>
      </c>
      <c r="P230" s="28" t="str">
        <f>IFERROR(INDEX(Exits_Attrition!$H$2:$H$65,MATCH(A230,Exits_Attrition!$A$2:$A$65,0)),"")</f>
        <v/>
      </c>
      <c r="Q230" s="24">
        <f t="shared" si="13"/>
        <v>2.5</v>
      </c>
      <c r="R230" s="22" t="str">
        <f t="shared" si="14"/>
        <v>1-3 Yrs</v>
      </c>
      <c r="S230" s="22">
        <f t="shared" si="15"/>
        <v>0</v>
      </c>
    </row>
    <row r="231" spans="1:19" x14ac:dyDescent="0.3">
      <c r="A231" s="22" t="s">
        <v>881</v>
      </c>
      <c r="B231" t="s">
        <v>882</v>
      </c>
      <c r="C231" t="s">
        <v>883</v>
      </c>
      <c r="D231" t="s">
        <v>236</v>
      </c>
      <c r="E231" s="22" t="s">
        <v>237</v>
      </c>
      <c r="F231" t="s">
        <v>576</v>
      </c>
      <c r="G231" s="22" t="s">
        <v>24</v>
      </c>
      <c r="H231" s="22">
        <f t="shared" si="12"/>
        <v>2</v>
      </c>
      <c r="I231" t="s">
        <v>42</v>
      </c>
      <c r="J231" s="22" t="s">
        <v>97</v>
      </c>
      <c r="K231" t="s">
        <v>124</v>
      </c>
      <c r="L231" t="s">
        <v>99</v>
      </c>
      <c r="M231" s="28">
        <v>45387</v>
      </c>
      <c r="N231" s="22">
        <v>26</v>
      </c>
      <c r="O231" s="22" t="str">
        <f>IF(COUNTIF(Exits_Attrition!$A$2:$A$65,A231)&gt;0,"Exited","Active")</f>
        <v>Active</v>
      </c>
      <c r="P231" s="28" t="str">
        <f>IFERROR(INDEX(Exits_Attrition!$H$2:$H$65,MATCH(A231,Exits_Attrition!$A$2:$A$65,0)),"")</f>
        <v/>
      </c>
      <c r="Q231" s="24">
        <f t="shared" si="13"/>
        <v>2.5</v>
      </c>
      <c r="R231" s="22" t="str">
        <f t="shared" si="14"/>
        <v>1-3 Yrs</v>
      </c>
      <c r="S231" s="22">
        <f t="shared" si="15"/>
        <v>0</v>
      </c>
    </row>
    <row r="232" spans="1:19" x14ac:dyDescent="0.3">
      <c r="A232" s="22" t="s">
        <v>884</v>
      </c>
      <c r="B232" t="s">
        <v>885</v>
      </c>
      <c r="C232" t="s">
        <v>886</v>
      </c>
      <c r="D232" t="s">
        <v>116</v>
      </c>
      <c r="E232" s="22" t="s">
        <v>115</v>
      </c>
      <c r="F232" t="s">
        <v>244</v>
      </c>
      <c r="G232" s="22" t="s">
        <v>26</v>
      </c>
      <c r="H232" s="22">
        <f t="shared" si="12"/>
        <v>3</v>
      </c>
      <c r="I232" t="s">
        <v>39</v>
      </c>
      <c r="J232" s="22" t="s">
        <v>97</v>
      </c>
      <c r="K232" t="s">
        <v>98</v>
      </c>
      <c r="L232" t="s">
        <v>99</v>
      </c>
      <c r="M232" s="28">
        <v>45391</v>
      </c>
      <c r="N232" s="22">
        <v>29</v>
      </c>
      <c r="O232" s="22" t="str">
        <f>IF(COUNTIF(Exits_Attrition!$A$2:$A$65,A232)&gt;0,"Exited","Active")</f>
        <v>Active</v>
      </c>
      <c r="P232" s="28" t="str">
        <f>IFERROR(INDEX(Exits_Attrition!$H$2:$H$65,MATCH(A232,Exits_Attrition!$A$2:$A$65,0)),"")</f>
        <v/>
      </c>
      <c r="Q232" s="24">
        <f t="shared" si="13"/>
        <v>2.5</v>
      </c>
      <c r="R232" s="22" t="str">
        <f t="shared" si="14"/>
        <v>1-3 Yrs</v>
      </c>
      <c r="S232" s="22">
        <f t="shared" si="15"/>
        <v>0</v>
      </c>
    </row>
    <row r="233" spans="1:19" x14ac:dyDescent="0.3">
      <c r="A233" s="22" t="s">
        <v>887</v>
      </c>
      <c r="B233" t="s">
        <v>888</v>
      </c>
      <c r="C233" t="s">
        <v>889</v>
      </c>
      <c r="D233" t="s">
        <v>173</v>
      </c>
      <c r="E233" s="22" t="s">
        <v>172</v>
      </c>
      <c r="F233" t="s">
        <v>890</v>
      </c>
      <c r="G233" s="22" t="s">
        <v>22</v>
      </c>
      <c r="H233" s="22">
        <f t="shared" si="12"/>
        <v>1</v>
      </c>
      <c r="I233" t="s">
        <v>41</v>
      </c>
      <c r="J233" s="22" t="s">
        <v>97</v>
      </c>
      <c r="K233" t="s">
        <v>156</v>
      </c>
      <c r="L233" t="s">
        <v>99</v>
      </c>
      <c r="M233" s="28">
        <v>45392</v>
      </c>
      <c r="N233" s="22">
        <v>26</v>
      </c>
      <c r="O233" s="22" t="str">
        <f>IF(COUNTIF(Exits_Attrition!$A$2:$A$65,A233)&gt;0,"Exited","Active")</f>
        <v>Active</v>
      </c>
      <c r="P233" s="28" t="str">
        <f>IFERROR(INDEX(Exits_Attrition!$H$2:$H$65,MATCH(A233,Exits_Attrition!$A$2:$A$65,0)),"")</f>
        <v/>
      </c>
      <c r="Q233" s="24">
        <f t="shared" si="13"/>
        <v>2.5</v>
      </c>
      <c r="R233" s="22" t="str">
        <f t="shared" si="14"/>
        <v>1-3 Yrs</v>
      </c>
      <c r="S233" s="22">
        <f t="shared" si="15"/>
        <v>0</v>
      </c>
    </row>
    <row r="234" spans="1:19" x14ac:dyDescent="0.3">
      <c r="A234" s="22" t="s">
        <v>891</v>
      </c>
      <c r="B234" t="s">
        <v>892</v>
      </c>
      <c r="C234" t="s">
        <v>893</v>
      </c>
      <c r="D234" t="s">
        <v>513</v>
      </c>
      <c r="E234" s="22" t="s">
        <v>514</v>
      </c>
      <c r="F234" t="s">
        <v>894</v>
      </c>
      <c r="G234" s="22" t="s">
        <v>22</v>
      </c>
      <c r="H234" s="22">
        <f t="shared" si="12"/>
        <v>1</v>
      </c>
      <c r="I234" t="s">
        <v>43</v>
      </c>
      <c r="J234" s="22" t="s">
        <v>106</v>
      </c>
      <c r="K234" t="s">
        <v>156</v>
      </c>
      <c r="L234" t="s">
        <v>99</v>
      </c>
      <c r="M234" s="28">
        <v>45395</v>
      </c>
      <c r="N234" s="22">
        <v>26</v>
      </c>
      <c r="O234" s="22" t="str">
        <f>IF(COUNTIF(Exits_Attrition!$A$2:$A$65,A234)&gt;0,"Exited","Active")</f>
        <v>Active</v>
      </c>
      <c r="P234" s="28" t="str">
        <f>IFERROR(INDEX(Exits_Attrition!$H$2:$H$65,MATCH(A234,Exits_Attrition!$A$2:$A$65,0)),"")</f>
        <v/>
      </c>
      <c r="Q234" s="24">
        <f t="shared" si="13"/>
        <v>2.5</v>
      </c>
      <c r="R234" s="22" t="str">
        <f t="shared" si="14"/>
        <v>1-3 Yrs</v>
      </c>
      <c r="S234" s="22">
        <f t="shared" si="15"/>
        <v>0</v>
      </c>
    </row>
    <row r="235" spans="1:19" x14ac:dyDescent="0.3">
      <c r="A235" s="22" t="s">
        <v>895</v>
      </c>
      <c r="B235" t="s">
        <v>896</v>
      </c>
      <c r="C235" t="s">
        <v>897</v>
      </c>
      <c r="D235" t="s">
        <v>128</v>
      </c>
      <c r="E235" s="22" t="s">
        <v>129</v>
      </c>
      <c r="F235" t="s">
        <v>898</v>
      </c>
      <c r="G235" s="22" t="s">
        <v>22</v>
      </c>
      <c r="H235" s="22">
        <f t="shared" si="12"/>
        <v>1</v>
      </c>
      <c r="I235" t="s">
        <v>44</v>
      </c>
      <c r="J235" s="22" t="s">
        <v>106</v>
      </c>
      <c r="K235" t="s">
        <v>156</v>
      </c>
      <c r="L235" t="s">
        <v>99</v>
      </c>
      <c r="M235" s="28">
        <v>45395</v>
      </c>
      <c r="N235" s="22">
        <v>24</v>
      </c>
      <c r="O235" s="22" t="str">
        <f>IF(COUNTIF(Exits_Attrition!$A$2:$A$65,A235)&gt;0,"Exited","Active")</f>
        <v>Exited</v>
      </c>
      <c r="P235" s="28">
        <f>IFERROR(INDEX(Exits_Attrition!$H$2:$H$65,MATCH(A235,Exits_Attrition!$A$2:$A$65,0)),"")</f>
        <v>46048</v>
      </c>
      <c r="Q235" s="24">
        <f t="shared" si="13"/>
        <v>1.8</v>
      </c>
      <c r="R235" s="22" t="str">
        <f t="shared" si="14"/>
        <v>1-3 Yrs</v>
      </c>
      <c r="S235" s="22">
        <f t="shared" si="15"/>
        <v>0</v>
      </c>
    </row>
    <row r="236" spans="1:19" x14ac:dyDescent="0.3">
      <c r="A236" s="22" t="s">
        <v>899</v>
      </c>
      <c r="B236" t="s">
        <v>900</v>
      </c>
      <c r="C236" t="s">
        <v>901</v>
      </c>
      <c r="D236" t="s">
        <v>383</v>
      </c>
      <c r="E236" s="22" t="s">
        <v>384</v>
      </c>
      <c r="F236" t="s">
        <v>902</v>
      </c>
      <c r="G236" s="22" t="s">
        <v>22</v>
      </c>
      <c r="H236" s="22">
        <f t="shared" si="12"/>
        <v>1</v>
      </c>
      <c r="I236" t="s">
        <v>40</v>
      </c>
      <c r="J236" s="22" t="s">
        <v>106</v>
      </c>
      <c r="K236" t="s">
        <v>156</v>
      </c>
      <c r="L236" t="s">
        <v>220</v>
      </c>
      <c r="M236" s="28">
        <v>45401</v>
      </c>
      <c r="N236" s="22">
        <v>26</v>
      </c>
      <c r="O236" s="22" t="str">
        <f>IF(COUNTIF(Exits_Attrition!$A$2:$A$65,A236)&gt;0,"Exited","Active")</f>
        <v>Active</v>
      </c>
      <c r="P236" s="28" t="str">
        <f>IFERROR(INDEX(Exits_Attrition!$H$2:$H$65,MATCH(A236,Exits_Attrition!$A$2:$A$65,0)),"")</f>
        <v/>
      </c>
      <c r="Q236" s="24">
        <f t="shared" si="13"/>
        <v>2.4</v>
      </c>
      <c r="R236" s="22" t="str">
        <f t="shared" si="14"/>
        <v>1-3 Yrs</v>
      </c>
      <c r="S236" s="22">
        <f t="shared" si="15"/>
        <v>0</v>
      </c>
    </row>
    <row r="237" spans="1:19" x14ac:dyDescent="0.3">
      <c r="A237" s="22" t="s">
        <v>514</v>
      </c>
      <c r="B237" t="s">
        <v>513</v>
      </c>
      <c r="C237" t="s">
        <v>903</v>
      </c>
      <c r="D237" t="s">
        <v>145</v>
      </c>
      <c r="E237" s="22" t="s">
        <v>144</v>
      </c>
      <c r="F237" t="s">
        <v>444</v>
      </c>
      <c r="G237" s="22" t="s">
        <v>30</v>
      </c>
      <c r="H237" s="22">
        <f t="shared" si="12"/>
        <v>5</v>
      </c>
      <c r="I237" t="s">
        <v>43</v>
      </c>
      <c r="J237" s="22" t="s">
        <v>106</v>
      </c>
      <c r="K237" t="s">
        <v>98</v>
      </c>
      <c r="L237" t="s">
        <v>99</v>
      </c>
      <c r="M237" s="28">
        <v>45403</v>
      </c>
      <c r="N237" s="22">
        <v>36</v>
      </c>
      <c r="O237" s="22" t="str">
        <f>IF(COUNTIF(Exits_Attrition!$A$2:$A$65,A237)&gt;0,"Exited","Active")</f>
        <v>Active</v>
      </c>
      <c r="P237" s="28" t="str">
        <f>IFERROR(INDEX(Exits_Attrition!$H$2:$H$65,MATCH(A237,Exits_Attrition!$A$2:$A$65,0)),"")</f>
        <v/>
      </c>
      <c r="Q237" s="24">
        <f t="shared" si="13"/>
        <v>2.4</v>
      </c>
      <c r="R237" s="22" t="str">
        <f t="shared" si="14"/>
        <v>1-3 Yrs</v>
      </c>
      <c r="S237" s="22">
        <f t="shared" si="15"/>
        <v>9</v>
      </c>
    </row>
    <row r="238" spans="1:19" x14ac:dyDescent="0.3">
      <c r="A238" s="22" t="s">
        <v>904</v>
      </c>
      <c r="B238" t="s">
        <v>905</v>
      </c>
      <c r="C238" t="s">
        <v>906</v>
      </c>
      <c r="D238" t="s">
        <v>101</v>
      </c>
      <c r="E238" s="22" t="s">
        <v>100</v>
      </c>
      <c r="F238" t="s">
        <v>569</v>
      </c>
      <c r="G238" s="22" t="s">
        <v>24</v>
      </c>
      <c r="H238" s="22">
        <f t="shared" si="12"/>
        <v>2</v>
      </c>
      <c r="I238" t="s">
        <v>39</v>
      </c>
      <c r="J238" s="22" t="s">
        <v>97</v>
      </c>
      <c r="K238" t="s">
        <v>98</v>
      </c>
      <c r="L238" t="s">
        <v>99</v>
      </c>
      <c r="M238" s="28">
        <v>45405</v>
      </c>
      <c r="N238" s="22">
        <v>32</v>
      </c>
      <c r="O238" s="22" t="str">
        <f>IF(COUNTIF(Exits_Attrition!$A$2:$A$65,A238)&gt;0,"Exited","Active")</f>
        <v>Active</v>
      </c>
      <c r="P238" s="28" t="str">
        <f>IFERROR(INDEX(Exits_Attrition!$H$2:$H$65,MATCH(A238,Exits_Attrition!$A$2:$A$65,0)),"")</f>
        <v/>
      </c>
      <c r="Q238" s="24">
        <f t="shared" si="13"/>
        <v>2.4</v>
      </c>
      <c r="R238" s="22" t="str">
        <f t="shared" si="14"/>
        <v>1-3 Yrs</v>
      </c>
      <c r="S238" s="22">
        <f t="shared" si="15"/>
        <v>0</v>
      </c>
    </row>
    <row r="239" spans="1:19" x14ac:dyDescent="0.3">
      <c r="A239" s="22" t="s">
        <v>129</v>
      </c>
      <c r="B239" t="s">
        <v>128</v>
      </c>
      <c r="C239" t="s">
        <v>907</v>
      </c>
      <c r="D239" t="s">
        <v>187</v>
      </c>
      <c r="E239" s="22" t="s">
        <v>188</v>
      </c>
      <c r="F239" t="s">
        <v>189</v>
      </c>
      <c r="G239" s="22" t="s">
        <v>30</v>
      </c>
      <c r="H239" s="22">
        <f t="shared" si="12"/>
        <v>5</v>
      </c>
      <c r="I239" t="s">
        <v>44</v>
      </c>
      <c r="J239" s="22" t="s">
        <v>97</v>
      </c>
      <c r="K239" t="s">
        <v>124</v>
      </c>
      <c r="L239" t="s">
        <v>99</v>
      </c>
      <c r="M239" s="28">
        <v>45407</v>
      </c>
      <c r="N239" s="22">
        <v>35</v>
      </c>
      <c r="O239" s="22" t="str">
        <f>IF(COUNTIF(Exits_Attrition!$A$2:$A$65,A239)&gt;0,"Exited","Active")</f>
        <v>Active</v>
      </c>
      <c r="P239" s="28" t="str">
        <f>IFERROR(INDEX(Exits_Attrition!$H$2:$H$65,MATCH(A239,Exits_Attrition!$A$2:$A$65,0)),"")</f>
        <v/>
      </c>
      <c r="Q239" s="24">
        <f t="shared" si="13"/>
        <v>2.4</v>
      </c>
      <c r="R239" s="22" t="str">
        <f t="shared" si="14"/>
        <v>1-3 Yrs</v>
      </c>
      <c r="S239" s="22">
        <f t="shared" si="15"/>
        <v>13</v>
      </c>
    </row>
    <row r="240" spans="1:19" x14ac:dyDescent="0.3">
      <c r="A240" s="22" t="s">
        <v>908</v>
      </c>
      <c r="B240" t="s">
        <v>909</v>
      </c>
      <c r="C240" t="s">
        <v>910</v>
      </c>
      <c r="D240" t="s">
        <v>349</v>
      </c>
      <c r="E240" s="22" t="s">
        <v>350</v>
      </c>
      <c r="F240" t="s">
        <v>911</v>
      </c>
      <c r="G240" s="22" t="s">
        <v>22</v>
      </c>
      <c r="H240" s="22">
        <f t="shared" si="12"/>
        <v>1</v>
      </c>
      <c r="I240" t="s">
        <v>39</v>
      </c>
      <c r="J240" s="22" t="s">
        <v>97</v>
      </c>
      <c r="K240" t="s">
        <v>156</v>
      </c>
      <c r="L240" t="s">
        <v>99</v>
      </c>
      <c r="M240" s="28">
        <v>45412</v>
      </c>
      <c r="N240" s="22">
        <v>27</v>
      </c>
      <c r="O240" s="22" t="str">
        <f>IF(COUNTIF(Exits_Attrition!$A$2:$A$65,A240)&gt;0,"Exited","Active")</f>
        <v>Exited</v>
      </c>
      <c r="P240" s="28">
        <f>IFERROR(INDEX(Exits_Attrition!$H$2:$H$65,MATCH(A240,Exits_Attrition!$A$2:$A$65,0)),"")</f>
        <v>46133</v>
      </c>
      <c r="Q240" s="24">
        <f t="shared" si="13"/>
        <v>2</v>
      </c>
      <c r="R240" s="22" t="str">
        <f t="shared" si="14"/>
        <v>1-3 Yrs</v>
      </c>
      <c r="S240" s="22">
        <f t="shared" si="15"/>
        <v>0</v>
      </c>
    </row>
    <row r="241" spans="1:19" x14ac:dyDescent="0.3">
      <c r="A241" s="22" t="s">
        <v>912</v>
      </c>
      <c r="B241" t="s">
        <v>913</v>
      </c>
      <c r="C241" t="s">
        <v>914</v>
      </c>
      <c r="D241" t="s">
        <v>684</v>
      </c>
      <c r="E241" s="22" t="s">
        <v>685</v>
      </c>
      <c r="F241" t="s">
        <v>915</v>
      </c>
      <c r="G241" s="22" t="s">
        <v>28</v>
      </c>
      <c r="H241" s="22">
        <f t="shared" si="12"/>
        <v>4</v>
      </c>
      <c r="I241" t="s">
        <v>48</v>
      </c>
      <c r="J241" s="22" t="s">
        <v>97</v>
      </c>
      <c r="K241" t="s">
        <v>213</v>
      </c>
      <c r="L241" t="s">
        <v>99</v>
      </c>
      <c r="M241" s="28">
        <v>45416</v>
      </c>
      <c r="N241" s="22">
        <v>30</v>
      </c>
      <c r="O241" s="22" t="str">
        <f>IF(COUNTIF(Exits_Attrition!$A$2:$A$65,A241)&gt;0,"Exited","Active")</f>
        <v>Active</v>
      </c>
      <c r="P241" s="28" t="str">
        <f>IFERROR(INDEX(Exits_Attrition!$H$2:$H$65,MATCH(A241,Exits_Attrition!$A$2:$A$65,0)),"")</f>
        <v/>
      </c>
      <c r="Q241" s="24">
        <f t="shared" si="13"/>
        <v>2.4</v>
      </c>
      <c r="R241" s="22" t="str">
        <f t="shared" si="14"/>
        <v>1-3 Yrs</v>
      </c>
      <c r="S241" s="22">
        <f t="shared" si="15"/>
        <v>0</v>
      </c>
    </row>
    <row r="242" spans="1:19" x14ac:dyDescent="0.3">
      <c r="A242" s="22" t="s">
        <v>727</v>
      </c>
      <c r="B242" t="s">
        <v>726</v>
      </c>
      <c r="C242" t="s">
        <v>916</v>
      </c>
      <c r="D242" t="s">
        <v>175</v>
      </c>
      <c r="E242" s="22" t="s">
        <v>176</v>
      </c>
      <c r="F242" t="s">
        <v>177</v>
      </c>
      <c r="G242" s="22" t="s">
        <v>30</v>
      </c>
      <c r="H242" s="22">
        <f t="shared" si="12"/>
        <v>5</v>
      </c>
      <c r="I242" t="s">
        <v>41</v>
      </c>
      <c r="J242" s="22" t="s">
        <v>106</v>
      </c>
      <c r="K242" t="s">
        <v>156</v>
      </c>
      <c r="L242" t="s">
        <v>99</v>
      </c>
      <c r="M242" s="28">
        <v>45419</v>
      </c>
      <c r="N242" s="22">
        <v>36</v>
      </c>
      <c r="O242" s="22" t="str">
        <f>IF(COUNTIF(Exits_Attrition!$A$2:$A$65,A242)&gt;0,"Exited","Active")</f>
        <v>Active</v>
      </c>
      <c r="P242" s="28" t="str">
        <f>IFERROR(INDEX(Exits_Attrition!$H$2:$H$65,MATCH(A242,Exits_Attrition!$A$2:$A$65,0)),"")</f>
        <v/>
      </c>
      <c r="Q242" s="24">
        <f t="shared" si="13"/>
        <v>2.4</v>
      </c>
      <c r="R242" s="22" t="str">
        <f t="shared" si="14"/>
        <v>1-3 Yrs</v>
      </c>
      <c r="S242" s="22">
        <f t="shared" si="15"/>
        <v>8</v>
      </c>
    </row>
    <row r="243" spans="1:19" x14ac:dyDescent="0.3">
      <c r="A243" s="22" t="s">
        <v>917</v>
      </c>
      <c r="B243" t="s">
        <v>918</v>
      </c>
      <c r="C243" t="s">
        <v>919</v>
      </c>
      <c r="D243" t="s">
        <v>313</v>
      </c>
      <c r="E243" s="22" t="s">
        <v>314</v>
      </c>
      <c r="F243" t="s">
        <v>569</v>
      </c>
      <c r="G243" s="22" t="s">
        <v>24</v>
      </c>
      <c r="H243" s="22">
        <f t="shared" si="12"/>
        <v>2</v>
      </c>
      <c r="I243" t="s">
        <v>39</v>
      </c>
      <c r="J243" s="22" t="s">
        <v>106</v>
      </c>
      <c r="K243" t="s">
        <v>98</v>
      </c>
      <c r="L243" t="s">
        <v>99</v>
      </c>
      <c r="M243" s="28">
        <v>45422</v>
      </c>
      <c r="N243" s="22">
        <v>27</v>
      </c>
      <c r="O243" s="22" t="str">
        <f>IF(COUNTIF(Exits_Attrition!$A$2:$A$65,A243)&gt;0,"Exited","Active")</f>
        <v>Active</v>
      </c>
      <c r="P243" s="28" t="str">
        <f>IFERROR(INDEX(Exits_Attrition!$H$2:$H$65,MATCH(A243,Exits_Attrition!$A$2:$A$65,0)),"")</f>
        <v/>
      </c>
      <c r="Q243" s="24">
        <f t="shared" si="13"/>
        <v>2.4</v>
      </c>
      <c r="R243" s="22" t="str">
        <f t="shared" si="14"/>
        <v>1-3 Yrs</v>
      </c>
      <c r="S243" s="22">
        <f t="shared" si="15"/>
        <v>0</v>
      </c>
    </row>
    <row r="244" spans="1:19" x14ac:dyDescent="0.3">
      <c r="A244" s="22" t="s">
        <v>920</v>
      </c>
      <c r="B244" t="s">
        <v>921</v>
      </c>
      <c r="C244" t="s">
        <v>922</v>
      </c>
      <c r="D244" t="s">
        <v>726</v>
      </c>
      <c r="E244" s="22" t="s">
        <v>727</v>
      </c>
      <c r="F244" t="s">
        <v>202</v>
      </c>
      <c r="G244" s="22" t="s">
        <v>28</v>
      </c>
      <c r="H244" s="22">
        <f t="shared" si="12"/>
        <v>4</v>
      </c>
      <c r="I244" t="s">
        <v>41</v>
      </c>
      <c r="J244" s="22" t="s">
        <v>97</v>
      </c>
      <c r="K244" t="s">
        <v>156</v>
      </c>
      <c r="L244" t="s">
        <v>99</v>
      </c>
      <c r="M244" s="28">
        <v>45422</v>
      </c>
      <c r="N244" s="22">
        <v>36</v>
      </c>
      <c r="O244" s="22" t="str">
        <f>IF(COUNTIF(Exits_Attrition!$A$2:$A$65,A244)&gt;0,"Exited","Active")</f>
        <v>Active</v>
      </c>
      <c r="P244" s="28" t="str">
        <f>IFERROR(INDEX(Exits_Attrition!$H$2:$H$65,MATCH(A244,Exits_Attrition!$A$2:$A$65,0)),"")</f>
        <v/>
      </c>
      <c r="Q244" s="24">
        <f t="shared" si="13"/>
        <v>2.4</v>
      </c>
      <c r="R244" s="22" t="str">
        <f t="shared" si="14"/>
        <v>1-3 Yrs</v>
      </c>
      <c r="S244" s="22">
        <f t="shared" si="15"/>
        <v>0</v>
      </c>
    </row>
    <row r="245" spans="1:19" x14ac:dyDescent="0.3">
      <c r="A245" s="22" t="s">
        <v>923</v>
      </c>
      <c r="B245" t="s">
        <v>924</v>
      </c>
      <c r="C245" t="s">
        <v>925</v>
      </c>
      <c r="D245" t="s">
        <v>153</v>
      </c>
      <c r="E245" s="22" t="s">
        <v>154</v>
      </c>
      <c r="F245" t="s">
        <v>902</v>
      </c>
      <c r="G245" s="22" t="s">
        <v>22</v>
      </c>
      <c r="H245" s="22">
        <f t="shared" si="12"/>
        <v>1</v>
      </c>
      <c r="I245" t="s">
        <v>40</v>
      </c>
      <c r="J245" s="22" t="s">
        <v>106</v>
      </c>
      <c r="K245" t="s">
        <v>213</v>
      </c>
      <c r="L245" t="s">
        <v>99</v>
      </c>
      <c r="M245" s="28">
        <v>45423</v>
      </c>
      <c r="N245" s="22">
        <v>25</v>
      </c>
      <c r="O245" s="22" t="str">
        <f>IF(COUNTIF(Exits_Attrition!$A$2:$A$65,A245)&gt;0,"Exited","Active")</f>
        <v>Active</v>
      </c>
      <c r="P245" s="28" t="str">
        <f>IFERROR(INDEX(Exits_Attrition!$H$2:$H$65,MATCH(A245,Exits_Attrition!$A$2:$A$65,0)),"")</f>
        <v/>
      </c>
      <c r="Q245" s="24">
        <f t="shared" si="13"/>
        <v>2.4</v>
      </c>
      <c r="R245" s="22" t="str">
        <f t="shared" si="14"/>
        <v>1-3 Yrs</v>
      </c>
      <c r="S245" s="22">
        <f t="shared" si="15"/>
        <v>0</v>
      </c>
    </row>
    <row r="246" spans="1:19" x14ac:dyDescent="0.3">
      <c r="A246" s="22" t="s">
        <v>926</v>
      </c>
      <c r="B246" t="s">
        <v>927</v>
      </c>
      <c r="C246" t="s">
        <v>928</v>
      </c>
      <c r="D246" t="s">
        <v>158</v>
      </c>
      <c r="E246" s="22" t="s">
        <v>157</v>
      </c>
      <c r="F246" t="s">
        <v>541</v>
      </c>
      <c r="G246" s="22" t="s">
        <v>26</v>
      </c>
      <c r="H246" s="22">
        <f t="shared" si="12"/>
        <v>3</v>
      </c>
      <c r="I246" t="s">
        <v>48</v>
      </c>
      <c r="J246" s="22" t="s">
        <v>106</v>
      </c>
      <c r="K246" t="s">
        <v>213</v>
      </c>
      <c r="L246" t="s">
        <v>99</v>
      </c>
      <c r="M246" s="28">
        <v>45423</v>
      </c>
      <c r="N246" s="22">
        <v>32</v>
      </c>
      <c r="O246" s="22" t="str">
        <f>IF(COUNTIF(Exits_Attrition!$A$2:$A$65,A246)&gt;0,"Exited","Active")</f>
        <v>Exited</v>
      </c>
      <c r="P246" s="28">
        <f>IFERROR(INDEX(Exits_Attrition!$H$2:$H$65,MATCH(A246,Exits_Attrition!$A$2:$A$65,0)),"")</f>
        <v>45985</v>
      </c>
      <c r="Q246" s="24">
        <f t="shared" si="13"/>
        <v>1.5</v>
      </c>
      <c r="R246" s="22" t="str">
        <f t="shared" si="14"/>
        <v>1-3 Yrs</v>
      </c>
      <c r="S246" s="22">
        <f t="shared" si="15"/>
        <v>0</v>
      </c>
    </row>
    <row r="247" spans="1:19" x14ac:dyDescent="0.3">
      <c r="A247" s="22" t="s">
        <v>929</v>
      </c>
      <c r="B247" t="s">
        <v>930</v>
      </c>
      <c r="C247" t="s">
        <v>931</v>
      </c>
      <c r="D247" t="s">
        <v>185</v>
      </c>
      <c r="E247" s="22" t="s">
        <v>184</v>
      </c>
      <c r="F247" t="s">
        <v>898</v>
      </c>
      <c r="G247" s="22" t="s">
        <v>22</v>
      </c>
      <c r="H247" s="22">
        <f t="shared" si="12"/>
        <v>1</v>
      </c>
      <c r="I247" t="s">
        <v>44</v>
      </c>
      <c r="J247" s="22" t="s">
        <v>106</v>
      </c>
      <c r="K247" t="s">
        <v>124</v>
      </c>
      <c r="L247" t="s">
        <v>220</v>
      </c>
      <c r="M247" s="28">
        <v>45426</v>
      </c>
      <c r="N247" s="22">
        <v>27</v>
      </c>
      <c r="O247" s="22" t="str">
        <f>IF(COUNTIF(Exits_Attrition!$A$2:$A$65,A247)&gt;0,"Exited","Active")</f>
        <v>Active</v>
      </c>
      <c r="P247" s="28" t="str">
        <f>IFERROR(INDEX(Exits_Attrition!$H$2:$H$65,MATCH(A247,Exits_Attrition!$A$2:$A$65,0)),"")</f>
        <v/>
      </c>
      <c r="Q247" s="24">
        <f t="shared" si="13"/>
        <v>2.4</v>
      </c>
      <c r="R247" s="22" t="str">
        <f t="shared" si="14"/>
        <v>1-3 Yrs</v>
      </c>
      <c r="S247" s="22">
        <f t="shared" si="15"/>
        <v>0</v>
      </c>
    </row>
    <row r="248" spans="1:19" x14ac:dyDescent="0.3">
      <c r="A248" s="22" t="s">
        <v>104</v>
      </c>
      <c r="B248" t="s">
        <v>103</v>
      </c>
      <c r="C248" t="s">
        <v>932</v>
      </c>
      <c r="D248" t="s">
        <v>132</v>
      </c>
      <c r="E248" s="22" t="s">
        <v>131</v>
      </c>
      <c r="F248" t="s">
        <v>834</v>
      </c>
      <c r="G248" s="22" t="s">
        <v>32</v>
      </c>
      <c r="H248" s="22">
        <f t="shared" si="12"/>
        <v>6</v>
      </c>
      <c r="I248" t="s">
        <v>39</v>
      </c>
      <c r="J248" s="22" t="s">
        <v>97</v>
      </c>
      <c r="K248" t="s">
        <v>98</v>
      </c>
      <c r="L248" t="s">
        <v>99</v>
      </c>
      <c r="M248" s="28">
        <v>45428</v>
      </c>
      <c r="N248" s="22">
        <v>37</v>
      </c>
      <c r="O248" s="22" t="str">
        <f>IF(COUNTIF(Exits_Attrition!$A$2:$A$65,A248)&gt;0,"Exited","Active")</f>
        <v>Active</v>
      </c>
      <c r="P248" s="28" t="str">
        <f>IFERROR(INDEX(Exits_Attrition!$H$2:$H$65,MATCH(A248,Exits_Attrition!$A$2:$A$65,0)),"")</f>
        <v/>
      </c>
      <c r="Q248" s="24">
        <f t="shared" si="13"/>
        <v>2.4</v>
      </c>
      <c r="R248" s="22" t="str">
        <f t="shared" si="14"/>
        <v>1-3 Yrs</v>
      </c>
      <c r="S248" s="22">
        <f t="shared" si="15"/>
        <v>5</v>
      </c>
    </row>
    <row r="249" spans="1:19" x14ac:dyDescent="0.3">
      <c r="A249" s="22" t="s">
        <v>933</v>
      </c>
      <c r="B249" t="s">
        <v>934</v>
      </c>
      <c r="C249" t="s">
        <v>935</v>
      </c>
      <c r="D249" t="s">
        <v>166</v>
      </c>
      <c r="E249" s="22" t="s">
        <v>167</v>
      </c>
      <c r="F249" t="s">
        <v>936</v>
      </c>
      <c r="G249" s="22" t="s">
        <v>22</v>
      </c>
      <c r="H249" s="22">
        <f t="shared" si="12"/>
        <v>1</v>
      </c>
      <c r="I249" t="s">
        <v>47</v>
      </c>
      <c r="J249" s="22" t="s">
        <v>106</v>
      </c>
      <c r="K249" t="s">
        <v>98</v>
      </c>
      <c r="L249" t="s">
        <v>99</v>
      </c>
      <c r="M249" s="28">
        <v>45430</v>
      </c>
      <c r="N249" s="22">
        <v>24</v>
      </c>
      <c r="O249" s="22" t="str">
        <f>IF(COUNTIF(Exits_Attrition!$A$2:$A$65,A249)&gt;0,"Exited","Active")</f>
        <v>Active</v>
      </c>
      <c r="P249" s="28" t="str">
        <f>IFERROR(INDEX(Exits_Attrition!$H$2:$H$65,MATCH(A249,Exits_Attrition!$A$2:$A$65,0)),"")</f>
        <v/>
      </c>
      <c r="Q249" s="24">
        <f t="shared" si="13"/>
        <v>2.4</v>
      </c>
      <c r="R249" s="22" t="str">
        <f t="shared" si="14"/>
        <v>1-3 Yrs</v>
      </c>
      <c r="S249" s="22">
        <f t="shared" si="15"/>
        <v>0</v>
      </c>
    </row>
    <row r="250" spans="1:19" x14ac:dyDescent="0.3">
      <c r="A250" s="22" t="s">
        <v>937</v>
      </c>
      <c r="B250" t="s">
        <v>938</v>
      </c>
      <c r="C250" t="s">
        <v>939</v>
      </c>
      <c r="D250" t="s">
        <v>119</v>
      </c>
      <c r="E250" s="22" t="s">
        <v>118</v>
      </c>
      <c r="F250" t="s">
        <v>219</v>
      </c>
      <c r="G250" s="22" t="s">
        <v>26</v>
      </c>
      <c r="H250" s="22">
        <f t="shared" si="12"/>
        <v>3</v>
      </c>
      <c r="I250" t="s">
        <v>40</v>
      </c>
      <c r="J250" s="22" t="s">
        <v>106</v>
      </c>
      <c r="K250" t="s">
        <v>190</v>
      </c>
      <c r="L250" t="s">
        <v>99</v>
      </c>
      <c r="M250" s="28">
        <v>45436</v>
      </c>
      <c r="N250" s="22">
        <v>31</v>
      </c>
      <c r="O250" s="22" t="str">
        <f>IF(COUNTIF(Exits_Attrition!$A$2:$A$65,A250)&gt;0,"Exited","Active")</f>
        <v>Active</v>
      </c>
      <c r="P250" s="28" t="str">
        <f>IFERROR(INDEX(Exits_Attrition!$H$2:$H$65,MATCH(A250,Exits_Attrition!$A$2:$A$65,0)),"")</f>
        <v/>
      </c>
      <c r="Q250" s="24">
        <f t="shared" si="13"/>
        <v>2.4</v>
      </c>
      <c r="R250" s="22" t="str">
        <f t="shared" si="14"/>
        <v>1-3 Yrs</v>
      </c>
      <c r="S250" s="22">
        <f t="shared" si="15"/>
        <v>0</v>
      </c>
    </row>
    <row r="251" spans="1:19" x14ac:dyDescent="0.3">
      <c r="A251" s="22" t="s">
        <v>940</v>
      </c>
      <c r="B251" t="s">
        <v>941</v>
      </c>
      <c r="C251" t="s">
        <v>942</v>
      </c>
      <c r="D251" t="s">
        <v>501</v>
      </c>
      <c r="E251" s="22" t="s">
        <v>502</v>
      </c>
      <c r="F251" t="s">
        <v>943</v>
      </c>
      <c r="G251" s="22" t="s">
        <v>22</v>
      </c>
      <c r="H251" s="22">
        <f t="shared" si="12"/>
        <v>1</v>
      </c>
      <c r="I251" t="s">
        <v>46</v>
      </c>
      <c r="J251" s="22" t="s">
        <v>106</v>
      </c>
      <c r="K251" t="s">
        <v>98</v>
      </c>
      <c r="L251" t="s">
        <v>99</v>
      </c>
      <c r="M251" s="28">
        <v>45437</v>
      </c>
      <c r="N251" s="22">
        <v>30</v>
      </c>
      <c r="O251" s="22" t="str">
        <f>IF(COUNTIF(Exits_Attrition!$A$2:$A$65,A251)&gt;0,"Exited","Active")</f>
        <v>Active</v>
      </c>
      <c r="P251" s="28" t="str">
        <f>IFERROR(INDEX(Exits_Attrition!$H$2:$H$65,MATCH(A251,Exits_Attrition!$A$2:$A$65,0)),"")</f>
        <v/>
      </c>
      <c r="Q251" s="24">
        <f t="shared" si="13"/>
        <v>2.2999999999999998</v>
      </c>
      <c r="R251" s="22" t="str">
        <f t="shared" si="14"/>
        <v>1-3 Yrs</v>
      </c>
      <c r="S251" s="22">
        <f t="shared" si="15"/>
        <v>0</v>
      </c>
    </row>
    <row r="252" spans="1:19" x14ac:dyDescent="0.3">
      <c r="A252" s="22" t="s">
        <v>944</v>
      </c>
      <c r="B252" t="s">
        <v>945</v>
      </c>
      <c r="C252" t="s">
        <v>946</v>
      </c>
      <c r="D252" t="s">
        <v>204</v>
      </c>
      <c r="E252" s="22" t="s">
        <v>203</v>
      </c>
      <c r="F252" t="s">
        <v>947</v>
      </c>
      <c r="G252" s="22" t="s">
        <v>22</v>
      </c>
      <c r="H252" s="22">
        <f t="shared" si="12"/>
        <v>1</v>
      </c>
      <c r="I252" t="s">
        <v>45</v>
      </c>
      <c r="J252" s="22" t="s">
        <v>106</v>
      </c>
      <c r="K252" t="s">
        <v>107</v>
      </c>
      <c r="L252" t="s">
        <v>99</v>
      </c>
      <c r="M252" s="28">
        <v>45446</v>
      </c>
      <c r="N252" s="22">
        <v>25</v>
      </c>
      <c r="O252" s="22" t="str">
        <f>IF(COUNTIF(Exits_Attrition!$A$2:$A$65,A252)&gt;0,"Exited","Active")</f>
        <v>Active</v>
      </c>
      <c r="P252" s="28" t="str">
        <f>IFERROR(INDEX(Exits_Attrition!$H$2:$H$65,MATCH(A252,Exits_Attrition!$A$2:$A$65,0)),"")</f>
        <v/>
      </c>
      <c r="Q252" s="24">
        <f t="shared" si="13"/>
        <v>2.2999999999999998</v>
      </c>
      <c r="R252" s="22" t="str">
        <f t="shared" si="14"/>
        <v>1-3 Yrs</v>
      </c>
      <c r="S252" s="22">
        <f t="shared" si="15"/>
        <v>0</v>
      </c>
    </row>
    <row r="253" spans="1:19" x14ac:dyDescent="0.3">
      <c r="A253" s="22" t="s">
        <v>948</v>
      </c>
      <c r="B253" t="s">
        <v>949</v>
      </c>
      <c r="C253" t="s">
        <v>950</v>
      </c>
      <c r="D253" t="s">
        <v>128</v>
      </c>
      <c r="E253" s="22" t="s">
        <v>129</v>
      </c>
      <c r="F253" t="s">
        <v>898</v>
      </c>
      <c r="G253" s="22" t="s">
        <v>22</v>
      </c>
      <c r="H253" s="22">
        <f t="shared" si="12"/>
        <v>1</v>
      </c>
      <c r="I253" t="s">
        <v>44</v>
      </c>
      <c r="J253" s="22" t="s">
        <v>97</v>
      </c>
      <c r="K253" t="s">
        <v>213</v>
      </c>
      <c r="L253" t="s">
        <v>99</v>
      </c>
      <c r="M253" s="28">
        <v>45449</v>
      </c>
      <c r="N253" s="22">
        <v>25</v>
      </c>
      <c r="O253" s="22" t="str">
        <f>IF(COUNTIF(Exits_Attrition!$A$2:$A$65,A253)&gt;0,"Exited","Active")</f>
        <v>Active</v>
      </c>
      <c r="P253" s="28" t="str">
        <f>IFERROR(INDEX(Exits_Attrition!$H$2:$H$65,MATCH(A253,Exits_Attrition!$A$2:$A$65,0)),"")</f>
        <v/>
      </c>
      <c r="Q253" s="24">
        <f t="shared" si="13"/>
        <v>2.2999999999999998</v>
      </c>
      <c r="R253" s="22" t="str">
        <f t="shared" si="14"/>
        <v>1-3 Yrs</v>
      </c>
      <c r="S253" s="22">
        <f t="shared" si="15"/>
        <v>0</v>
      </c>
    </row>
    <row r="254" spans="1:19" x14ac:dyDescent="0.3">
      <c r="A254" s="22" t="s">
        <v>951</v>
      </c>
      <c r="B254" t="s">
        <v>952</v>
      </c>
      <c r="C254" t="s">
        <v>953</v>
      </c>
      <c r="D254" t="s">
        <v>400</v>
      </c>
      <c r="E254" s="22" t="s">
        <v>401</v>
      </c>
      <c r="F254" t="s">
        <v>569</v>
      </c>
      <c r="G254" s="22" t="s">
        <v>24</v>
      </c>
      <c r="H254" s="22">
        <f t="shared" si="12"/>
        <v>2</v>
      </c>
      <c r="I254" t="s">
        <v>39</v>
      </c>
      <c r="J254" s="22" t="s">
        <v>97</v>
      </c>
      <c r="K254" t="s">
        <v>156</v>
      </c>
      <c r="L254" t="s">
        <v>99</v>
      </c>
      <c r="M254" s="28">
        <v>45460</v>
      </c>
      <c r="N254" s="22">
        <v>32</v>
      </c>
      <c r="O254" s="22" t="str">
        <f>IF(COUNTIF(Exits_Attrition!$A$2:$A$65,A254)&gt;0,"Exited","Active")</f>
        <v>Exited</v>
      </c>
      <c r="P254" s="28">
        <f>IFERROR(INDEX(Exits_Attrition!$H$2:$H$65,MATCH(A254,Exits_Attrition!$A$2:$A$65,0)),"")</f>
        <v>46205</v>
      </c>
      <c r="Q254" s="24">
        <f t="shared" si="13"/>
        <v>2</v>
      </c>
      <c r="R254" s="22" t="str">
        <f t="shared" si="14"/>
        <v>1-3 Yrs</v>
      </c>
      <c r="S254" s="22">
        <f t="shared" si="15"/>
        <v>0</v>
      </c>
    </row>
    <row r="255" spans="1:19" x14ac:dyDescent="0.3">
      <c r="A255" s="22" t="s">
        <v>954</v>
      </c>
      <c r="B255" t="s">
        <v>955</v>
      </c>
      <c r="C255" t="s">
        <v>956</v>
      </c>
      <c r="D255" t="s">
        <v>217</v>
      </c>
      <c r="E255" s="22" t="s">
        <v>218</v>
      </c>
      <c r="F255" t="s">
        <v>550</v>
      </c>
      <c r="G255" s="22" t="s">
        <v>24</v>
      </c>
      <c r="H255" s="22">
        <f t="shared" si="12"/>
        <v>2</v>
      </c>
      <c r="I255" t="s">
        <v>40</v>
      </c>
      <c r="J255" s="22" t="s">
        <v>106</v>
      </c>
      <c r="K255" t="s">
        <v>156</v>
      </c>
      <c r="L255" t="s">
        <v>99</v>
      </c>
      <c r="M255" s="28">
        <v>45470</v>
      </c>
      <c r="N255" s="22">
        <v>31</v>
      </c>
      <c r="O255" s="22" t="str">
        <f>IF(COUNTIF(Exits_Attrition!$A$2:$A$65,A255)&gt;0,"Exited","Active")</f>
        <v>Active</v>
      </c>
      <c r="P255" s="28" t="str">
        <f>IFERROR(INDEX(Exits_Attrition!$H$2:$H$65,MATCH(A255,Exits_Attrition!$A$2:$A$65,0)),"")</f>
        <v/>
      </c>
      <c r="Q255" s="24">
        <f t="shared" si="13"/>
        <v>2.2999999999999998</v>
      </c>
      <c r="R255" s="22" t="str">
        <f t="shared" si="14"/>
        <v>1-3 Yrs</v>
      </c>
      <c r="S255" s="22">
        <f t="shared" si="15"/>
        <v>0</v>
      </c>
    </row>
    <row r="256" spans="1:19" x14ac:dyDescent="0.3">
      <c r="A256" s="22" t="s">
        <v>957</v>
      </c>
      <c r="B256" t="s">
        <v>958</v>
      </c>
      <c r="C256" t="s">
        <v>959</v>
      </c>
      <c r="D256" t="s">
        <v>513</v>
      </c>
      <c r="E256" s="22" t="s">
        <v>514</v>
      </c>
      <c r="F256" t="s">
        <v>894</v>
      </c>
      <c r="G256" s="22" t="s">
        <v>22</v>
      </c>
      <c r="H256" s="22">
        <f t="shared" si="12"/>
        <v>1</v>
      </c>
      <c r="I256" t="s">
        <v>43</v>
      </c>
      <c r="J256" s="22" t="s">
        <v>97</v>
      </c>
      <c r="K256" t="s">
        <v>98</v>
      </c>
      <c r="L256" t="s">
        <v>99</v>
      </c>
      <c r="M256" s="28">
        <v>45471</v>
      </c>
      <c r="N256" s="22">
        <v>24</v>
      </c>
      <c r="O256" s="22" t="str">
        <f>IF(COUNTIF(Exits_Attrition!$A$2:$A$65,A256)&gt;0,"Exited","Active")</f>
        <v>Active</v>
      </c>
      <c r="P256" s="28" t="str">
        <f>IFERROR(INDEX(Exits_Attrition!$H$2:$H$65,MATCH(A256,Exits_Attrition!$A$2:$A$65,0)),"")</f>
        <v/>
      </c>
      <c r="Q256" s="24">
        <f t="shared" si="13"/>
        <v>2.2999999999999998</v>
      </c>
      <c r="R256" s="22" t="str">
        <f t="shared" si="14"/>
        <v>1-3 Yrs</v>
      </c>
      <c r="S256" s="22">
        <f t="shared" si="15"/>
        <v>0</v>
      </c>
    </row>
    <row r="257" spans="1:19" x14ac:dyDescent="0.3">
      <c r="A257" s="22" t="s">
        <v>960</v>
      </c>
      <c r="B257" t="s">
        <v>961</v>
      </c>
      <c r="C257" t="s">
        <v>962</v>
      </c>
      <c r="D257" t="s">
        <v>153</v>
      </c>
      <c r="E257" s="22" t="s">
        <v>154</v>
      </c>
      <c r="F257" t="s">
        <v>550</v>
      </c>
      <c r="G257" s="22" t="s">
        <v>24</v>
      </c>
      <c r="H257" s="22">
        <f t="shared" si="12"/>
        <v>2</v>
      </c>
      <c r="I257" t="s">
        <v>40</v>
      </c>
      <c r="J257" s="22" t="s">
        <v>106</v>
      </c>
      <c r="K257" t="s">
        <v>156</v>
      </c>
      <c r="L257" t="s">
        <v>220</v>
      </c>
      <c r="M257" s="28">
        <v>45473</v>
      </c>
      <c r="N257" s="22">
        <v>31</v>
      </c>
      <c r="O257" s="22" t="str">
        <f>IF(COUNTIF(Exits_Attrition!$A$2:$A$65,A257)&gt;0,"Exited","Active")</f>
        <v>Active</v>
      </c>
      <c r="P257" s="28" t="str">
        <f>IFERROR(INDEX(Exits_Attrition!$H$2:$H$65,MATCH(A257,Exits_Attrition!$A$2:$A$65,0)),"")</f>
        <v/>
      </c>
      <c r="Q257" s="24">
        <f t="shared" si="13"/>
        <v>2.2999999999999998</v>
      </c>
      <c r="R257" s="22" t="str">
        <f t="shared" si="14"/>
        <v>1-3 Yrs</v>
      </c>
      <c r="S257" s="22">
        <f t="shared" si="15"/>
        <v>0</v>
      </c>
    </row>
    <row r="258" spans="1:19" x14ac:dyDescent="0.3">
      <c r="A258" s="22" t="s">
        <v>963</v>
      </c>
      <c r="B258" t="s">
        <v>964</v>
      </c>
      <c r="C258" t="s">
        <v>965</v>
      </c>
      <c r="D258" t="s">
        <v>483</v>
      </c>
      <c r="E258" s="22" t="s">
        <v>484</v>
      </c>
      <c r="F258" t="s">
        <v>545</v>
      </c>
      <c r="G258" s="22" t="s">
        <v>24</v>
      </c>
      <c r="H258" s="22">
        <f t="shared" ref="H258:H321" si="16">VALUE(MID(G258,2,1))</f>
        <v>2</v>
      </c>
      <c r="I258" t="s">
        <v>43</v>
      </c>
      <c r="J258" s="22" t="s">
        <v>106</v>
      </c>
      <c r="K258" t="s">
        <v>156</v>
      </c>
      <c r="L258" t="s">
        <v>99</v>
      </c>
      <c r="M258" s="28">
        <v>45476</v>
      </c>
      <c r="N258" s="22">
        <v>28</v>
      </c>
      <c r="O258" s="22" t="str">
        <f>IF(COUNTIF(Exits_Attrition!$A$2:$A$65,A258)&gt;0,"Exited","Active")</f>
        <v>Active</v>
      </c>
      <c r="P258" s="28" t="str">
        <f>IFERROR(INDEX(Exits_Attrition!$H$2:$H$65,MATCH(A258,Exits_Attrition!$A$2:$A$65,0)),"")</f>
        <v/>
      </c>
      <c r="Q258" s="24">
        <f t="shared" ref="Q258:Q321" si="17">ROUND((IF(P258="",AsOf,P258)-M258)/365.25,1)</f>
        <v>2.2000000000000002</v>
      </c>
      <c r="R258" s="22" t="str">
        <f t="shared" ref="R258:R321" si="18">IF(Q258&lt;1,"Under 1 Yr",IF(Q258&lt;3,"1-3 Yrs",IF(Q258&lt;5,"3-5 Yrs","5+ Yrs")))</f>
        <v>1-3 Yrs</v>
      </c>
      <c r="S258" s="22">
        <f t="shared" ref="S258:S321" si="19">COUNTIF($E$2:$E$501,A258)</f>
        <v>0</v>
      </c>
    </row>
    <row r="259" spans="1:19" x14ac:dyDescent="0.3">
      <c r="A259" s="22" t="s">
        <v>966</v>
      </c>
      <c r="B259" t="s">
        <v>967</v>
      </c>
      <c r="C259" t="s">
        <v>968</v>
      </c>
      <c r="D259" t="s">
        <v>204</v>
      </c>
      <c r="E259" s="22" t="s">
        <v>203</v>
      </c>
      <c r="F259" t="s">
        <v>947</v>
      </c>
      <c r="G259" s="22" t="s">
        <v>22</v>
      </c>
      <c r="H259" s="22">
        <f t="shared" si="16"/>
        <v>1</v>
      </c>
      <c r="I259" t="s">
        <v>45</v>
      </c>
      <c r="J259" s="22" t="s">
        <v>106</v>
      </c>
      <c r="K259" t="s">
        <v>98</v>
      </c>
      <c r="L259" t="s">
        <v>99</v>
      </c>
      <c r="M259" s="28">
        <v>45476</v>
      </c>
      <c r="N259" s="22">
        <v>29</v>
      </c>
      <c r="O259" s="22" t="str">
        <f>IF(COUNTIF(Exits_Attrition!$A$2:$A$65,A259)&gt;0,"Exited","Active")</f>
        <v>Active</v>
      </c>
      <c r="P259" s="28" t="str">
        <f>IFERROR(INDEX(Exits_Attrition!$H$2:$H$65,MATCH(A259,Exits_Attrition!$A$2:$A$65,0)),"")</f>
        <v/>
      </c>
      <c r="Q259" s="24">
        <f t="shared" si="17"/>
        <v>2.2000000000000002</v>
      </c>
      <c r="R259" s="22" t="str">
        <f t="shared" si="18"/>
        <v>1-3 Yrs</v>
      </c>
      <c r="S259" s="22">
        <f t="shared" si="19"/>
        <v>0</v>
      </c>
    </row>
    <row r="260" spans="1:19" x14ac:dyDescent="0.3">
      <c r="A260" s="22" t="s">
        <v>969</v>
      </c>
      <c r="B260" t="s">
        <v>970</v>
      </c>
      <c r="C260" t="s">
        <v>971</v>
      </c>
      <c r="D260" t="s">
        <v>113</v>
      </c>
      <c r="E260" s="22" t="s">
        <v>112</v>
      </c>
      <c r="F260" t="s">
        <v>569</v>
      </c>
      <c r="G260" s="22" t="s">
        <v>24</v>
      </c>
      <c r="H260" s="22">
        <f t="shared" si="16"/>
        <v>2</v>
      </c>
      <c r="I260" t="s">
        <v>39</v>
      </c>
      <c r="J260" s="22" t="s">
        <v>97</v>
      </c>
      <c r="K260" t="s">
        <v>107</v>
      </c>
      <c r="L260" t="s">
        <v>220</v>
      </c>
      <c r="M260" s="28">
        <v>45477</v>
      </c>
      <c r="N260" s="22">
        <v>31</v>
      </c>
      <c r="O260" s="22" t="str">
        <f>IF(COUNTIF(Exits_Attrition!$A$2:$A$65,A260)&gt;0,"Exited","Active")</f>
        <v>Active</v>
      </c>
      <c r="P260" s="28" t="str">
        <f>IFERROR(INDEX(Exits_Attrition!$H$2:$H$65,MATCH(A260,Exits_Attrition!$A$2:$A$65,0)),"")</f>
        <v/>
      </c>
      <c r="Q260" s="24">
        <f t="shared" si="17"/>
        <v>2.2000000000000002</v>
      </c>
      <c r="R260" s="22" t="str">
        <f t="shared" si="18"/>
        <v>1-3 Yrs</v>
      </c>
      <c r="S260" s="22">
        <f t="shared" si="19"/>
        <v>0</v>
      </c>
    </row>
    <row r="261" spans="1:19" x14ac:dyDescent="0.3">
      <c r="A261" s="22" t="s">
        <v>643</v>
      </c>
      <c r="B261" t="s">
        <v>642</v>
      </c>
      <c r="C261" t="s">
        <v>972</v>
      </c>
      <c r="D261" t="s">
        <v>391</v>
      </c>
      <c r="E261" s="22" t="s">
        <v>392</v>
      </c>
      <c r="F261" t="s">
        <v>393</v>
      </c>
      <c r="G261" s="22" t="s">
        <v>32</v>
      </c>
      <c r="H261" s="22">
        <f t="shared" si="16"/>
        <v>6</v>
      </c>
      <c r="I261" t="s">
        <v>41</v>
      </c>
      <c r="J261" s="22" t="s">
        <v>97</v>
      </c>
      <c r="K261" t="s">
        <v>156</v>
      </c>
      <c r="L261" t="s">
        <v>99</v>
      </c>
      <c r="M261" s="28">
        <v>45478</v>
      </c>
      <c r="N261" s="22">
        <v>39</v>
      </c>
      <c r="O261" s="22" t="str">
        <f>IF(COUNTIF(Exits_Attrition!$A$2:$A$65,A261)&gt;0,"Exited","Active")</f>
        <v>Active</v>
      </c>
      <c r="P261" s="28" t="str">
        <f>IFERROR(INDEX(Exits_Attrition!$H$2:$H$65,MATCH(A261,Exits_Attrition!$A$2:$A$65,0)),"")</f>
        <v/>
      </c>
      <c r="Q261" s="24">
        <f t="shared" si="17"/>
        <v>2.2000000000000002</v>
      </c>
      <c r="R261" s="22" t="str">
        <f t="shared" si="18"/>
        <v>1-3 Yrs</v>
      </c>
      <c r="S261" s="22">
        <f t="shared" si="19"/>
        <v>3</v>
      </c>
    </row>
    <row r="262" spans="1:19" x14ac:dyDescent="0.3">
      <c r="A262" s="22" t="s">
        <v>973</v>
      </c>
      <c r="B262" t="s">
        <v>974</v>
      </c>
      <c r="C262" t="s">
        <v>975</v>
      </c>
      <c r="D262" t="s">
        <v>136</v>
      </c>
      <c r="E262" s="22" t="s">
        <v>135</v>
      </c>
      <c r="F262" t="s">
        <v>550</v>
      </c>
      <c r="G262" s="22" t="s">
        <v>24</v>
      </c>
      <c r="H262" s="22">
        <f t="shared" si="16"/>
        <v>2</v>
      </c>
      <c r="I262" t="s">
        <v>40</v>
      </c>
      <c r="J262" s="22" t="s">
        <v>97</v>
      </c>
      <c r="K262" t="s">
        <v>156</v>
      </c>
      <c r="L262" t="s">
        <v>99</v>
      </c>
      <c r="M262" s="28">
        <v>45482</v>
      </c>
      <c r="N262" s="22">
        <v>27</v>
      </c>
      <c r="O262" s="22" t="str">
        <f>IF(COUNTIF(Exits_Attrition!$A$2:$A$65,A262)&gt;0,"Exited","Active")</f>
        <v>Active</v>
      </c>
      <c r="P262" s="28" t="str">
        <f>IFERROR(INDEX(Exits_Attrition!$H$2:$H$65,MATCH(A262,Exits_Attrition!$A$2:$A$65,0)),"")</f>
        <v/>
      </c>
      <c r="Q262" s="24">
        <f t="shared" si="17"/>
        <v>2.2000000000000002</v>
      </c>
      <c r="R262" s="22" t="str">
        <f t="shared" si="18"/>
        <v>1-3 Yrs</v>
      </c>
      <c r="S262" s="22">
        <f t="shared" si="19"/>
        <v>0</v>
      </c>
    </row>
    <row r="263" spans="1:19" x14ac:dyDescent="0.3">
      <c r="A263" s="22" t="s">
        <v>976</v>
      </c>
      <c r="B263" t="s">
        <v>977</v>
      </c>
      <c r="C263" t="s">
        <v>978</v>
      </c>
      <c r="D263" t="s">
        <v>128</v>
      </c>
      <c r="E263" s="22" t="s">
        <v>129</v>
      </c>
      <c r="F263" t="s">
        <v>625</v>
      </c>
      <c r="G263" s="22" t="s">
        <v>24</v>
      </c>
      <c r="H263" s="22">
        <f t="shared" si="16"/>
        <v>2</v>
      </c>
      <c r="I263" t="s">
        <v>44</v>
      </c>
      <c r="J263" s="22" t="s">
        <v>97</v>
      </c>
      <c r="K263" t="s">
        <v>124</v>
      </c>
      <c r="L263" t="s">
        <v>99</v>
      </c>
      <c r="M263" s="28">
        <v>45486</v>
      </c>
      <c r="N263" s="22">
        <v>29</v>
      </c>
      <c r="O263" s="22" t="str">
        <f>IF(COUNTIF(Exits_Attrition!$A$2:$A$65,A263)&gt;0,"Exited","Active")</f>
        <v>Active</v>
      </c>
      <c r="P263" s="28" t="str">
        <f>IFERROR(INDEX(Exits_Attrition!$H$2:$H$65,MATCH(A263,Exits_Attrition!$A$2:$A$65,0)),"")</f>
        <v/>
      </c>
      <c r="Q263" s="24">
        <f t="shared" si="17"/>
        <v>2.2000000000000002</v>
      </c>
      <c r="R263" s="22" t="str">
        <f t="shared" si="18"/>
        <v>1-3 Yrs</v>
      </c>
      <c r="S263" s="22">
        <f t="shared" si="19"/>
        <v>0</v>
      </c>
    </row>
    <row r="264" spans="1:19" x14ac:dyDescent="0.3">
      <c r="A264" s="22" t="s">
        <v>979</v>
      </c>
      <c r="B264" t="s">
        <v>980</v>
      </c>
      <c r="C264" t="s">
        <v>981</v>
      </c>
      <c r="D264" t="s">
        <v>338</v>
      </c>
      <c r="E264" s="22" t="s">
        <v>339</v>
      </c>
      <c r="F264" t="s">
        <v>238</v>
      </c>
      <c r="G264" s="22" t="s">
        <v>26</v>
      </c>
      <c r="H264" s="22">
        <f t="shared" si="16"/>
        <v>3</v>
      </c>
      <c r="I264" t="s">
        <v>42</v>
      </c>
      <c r="J264" s="22" t="s">
        <v>97</v>
      </c>
      <c r="K264" t="s">
        <v>213</v>
      </c>
      <c r="L264" t="s">
        <v>99</v>
      </c>
      <c r="M264" s="28">
        <v>45487</v>
      </c>
      <c r="N264" s="22">
        <v>30</v>
      </c>
      <c r="O264" s="22" t="str">
        <f>IF(COUNTIF(Exits_Attrition!$A$2:$A$65,A264)&gt;0,"Exited","Active")</f>
        <v>Active</v>
      </c>
      <c r="P264" s="28" t="str">
        <f>IFERROR(INDEX(Exits_Attrition!$H$2:$H$65,MATCH(A264,Exits_Attrition!$A$2:$A$65,0)),"")</f>
        <v/>
      </c>
      <c r="Q264" s="24">
        <f t="shared" si="17"/>
        <v>2.2000000000000002</v>
      </c>
      <c r="R264" s="22" t="str">
        <f t="shared" si="18"/>
        <v>1-3 Yrs</v>
      </c>
      <c r="S264" s="22">
        <f t="shared" si="19"/>
        <v>0</v>
      </c>
    </row>
    <row r="265" spans="1:19" x14ac:dyDescent="0.3">
      <c r="A265" s="22" t="s">
        <v>982</v>
      </c>
      <c r="B265" t="s">
        <v>983</v>
      </c>
      <c r="C265" t="s">
        <v>984</v>
      </c>
      <c r="D265" t="s">
        <v>101</v>
      </c>
      <c r="E265" s="22" t="s">
        <v>100</v>
      </c>
      <c r="F265" t="s">
        <v>569</v>
      </c>
      <c r="G265" s="22" t="s">
        <v>24</v>
      </c>
      <c r="H265" s="22">
        <f t="shared" si="16"/>
        <v>2</v>
      </c>
      <c r="I265" t="s">
        <v>39</v>
      </c>
      <c r="J265" s="22" t="s">
        <v>106</v>
      </c>
      <c r="K265" t="s">
        <v>98</v>
      </c>
      <c r="L265" t="s">
        <v>99</v>
      </c>
      <c r="M265" s="28">
        <v>45489</v>
      </c>
      <c r="N265" s="22">
        <v>30</v>
      </c>
      <c r="O265" s="22" t="str">
        <f>IF(COUNTIF(Exits_Attrition!$A$2:$A$65,A265)&gt;0,"Exited","Active")</f>
        <v>Active</v>
      </c>
      <c r="P265" s="28" t="str">
        <f>IFERROR(INDEX(Exits_Attrition!$H$2:$H$65,MATCH(A265,Exits_Attrition!$A$2:$A$65,0)),"")</f>
        <v/>
      </c>
      <c r="Q265" s="24">
        <f t="shared" si="17"/>
        <v>2.2000000000000002</v>
      </c>
      <c r="R265" s="22" t="str">
        <f t="shared" si="18"/>
        <v>1-3 Yrs</v>
      </c>
      <c r="S265" s="22">
        <f t="shared" si="19"/>
        <v>0</v>
      </c>
    </row>
    <row r="266" spans="1:19" x14ac:dyDescent="0.3">
      <c r="A266" s="22" t="s">
        <v>502</v>
      </c>
      <c r="B266" t="s">
        <v>501</v>
      </c>
      <c r="C266" t="s">
        <v>985</v>
      </c>
      <c r="D266" t="s">
        <v>294</v>
      </c>
      <c r="E266" s="22" t="s">
        <v>293</v>
      </c>
      <c r="F266" t="s">
        <v>986</v>
      </c>
      <c r="G266" s="22" t="s">
        <v>30</v>
      </c>
      <c r="H266" s="22">
        <f t="shared" si="16"/>
        <v>5</v>
      </c>
      <c r="I266" t="s">
        <v>46</v>
      </c>
      <c r="J266" s="22" t="s">
        <v>97</v>
      </c>
      <c r="K266" t="s">
        <v>98</v>
      </c>
      <c r="L266" t="s">
        <v>99</v>
      </c>
      <c r="M266" s="28">
        <v>45490</v>
      </c>
      <c r="N266" s="22">
        <v>38</v>
      </c>
      <c r="O266" s="22" t="str">
        <f>IF(COUNTIF(Exits_Attrition!$A$2:$A$65,A266)&gt;0,"Exited","Active")</f>
        <v>Active</v>
      </c>
      <c r="P266" s="28" t="str">
        <f>IFERROR(INDEX(Exits_Attrition!$H$2:$H$65,MATCH(A266,Exits_Attrition!$A$2:$A$65,0)),"")</f>
        <v/>
      </c>
      <c r="Q266" s="24">
        <f t="shared" si="17"/>
        <v>2.2000000000000002</v>
      </c>
      <c r="R266" s="22" t="str">
        <f t="shared" si="18"/>
        <v>1-3 Yrs</v>
      </c>
      <c r="S266" s="22">
        <f t="shared" si="19"/>
        <v>11</v>
      </c>
    </row>
    <row r="267" spans="1:19" x14ac:dyDescent="0.3">
      <c r="A267" s="22" t="s">
        <v>987</v>
      </c>
      <c r="B267" t="s">
        <v>988</v>
      </c>
      <c r="C267" t="s">
        <v>989</v>
      </c>
      <c r="D267" t="s">
        <v>257</v>
      </c>
      <c r="E267" s="22" t="s">
        <v>258</v>
      </c>
      <c r="F267" t="s">
        <v>671</v>
      </c>
      <c r="G267" s="22" t="s">
        <v>24</v>
      </c>
      <c r="H267" s="22">
        <f t="shared" si="16"/>
        <v>2</v>
      </c>
      <c r="I267" t="s">
        <v>46</v>
      </c>
      <c r="J267" s="22" t="s">
        <v>106</v>
      </c>
      <c r="K267" t="s">
        <v>98</v>
      </c>
      <c r="L267" t="s">
        <v>99</v>
      </c>
      <c r="M267" s="28">
        <v>45500</v>
      </c>
      <c r="N267" s="22">
        <v>32</v>
      </c>
      <c r="O267" s="22" t="str">
        <f>IF(COUNTIF(Exits_Attrition!$A$2:$A$65,A267)&gt;0,"Exited","Active")</f>
        <v>Active</v>
      </c>
      <c r="P267" s="28" t="str">
        <f>IFERROR(INDEX(Exits_Attrition!$H$2:$H$65,MATCH(A267,Exits_Attrition!$A$2:$A$65,0)),"")</f>
        <v/>
      </c>
      <c r="Q267" s="24">
        <f t="shared" si="17"/>
        <v>2.2000000000000002</v>
      </c>
      <c r="R267" s="22" t="str">
        <f t="shared" si="18"/>
        <v>1-3 Yrs</v>
      </c>
      <c r="S267" s="22">
        <f t="shared" si="19"/>
        <v>0</v>
      </c>
    </row>
    <row r="268" spans="1:19" x14ac:dyDescent="0.3">
      <c r="A268" s="22" t="s">
        <v>990</v>
      </c>
      <c r="B268" t="s">
        <v>991</v>
      </c>
      <c r="C268" t="s">
        <v>992</v>
      </c>
      <c r="D268" t="s">
        <v>349</v>
      </c>
      <c r="E268" s="22" t="s">
        <v>350</v>
      </c>
      <c r="F268" t="s">
        <v>569</v>
      </c>
      <c r="G268" s="22" t="s">
        <v>24</v>
      </c>
      <c r="H268" s="22">
        <f t="shared" si="16"/>
        <v>2</v>
      </c>
      <c r="I268" t="s">
        <v>39</v>
      </c>
      <c r="J268" s="22" t="s">
        <v>106</v>
      </c>
      <c r="K268" t="s">
        <v>98</v>
      </c>
      <c r="L268" t="s">
        <v>99</v>
      </c>
      <c r="M268" s="28">
        <v>45503</v>
      </c>
      <c r="N268" s="22">
        <v>29</v>
      </c>
      <c r="O268" s="22" t="str">
        <f>IF(COUNTIF(Exits_Attrition!$A$2:$A$65,A268)&gt;0,"Exited","Active")</f>
        <v>Active</v>
      </c>
      <c r="P268" s="28" t="str">
        <f>IFERROR(INDEX(Exits_Attrition!$H$2:$H$65,MATCH(A268,Exits_Attrition!$A$2:$A$65,0)),"")</f>
        <v/>
      </c>
      <c r="Q268" s="24">
        <f t="shared" si="17"/>
        <v>2.2000000000000002</v>
      </c>
      <c r="R268" s="22" t="str">
        <f t="shared" si="18"/>
        <v>1-3 Yrs</v>
      </c>
      <c r="S268" s="22">
        <f t="shared" si="19"/>
        <v>0</v>
      </c>
    </row>
    <row r="269" spans="1:19" x14ac:dyDescent="0.3">
      <c r="A269" s="22" t="s">
        <v>993</v>
      </c>
      <c r="B269" t="s">
        <v>994</v>
      </c>
      <c r="C269" t="s">
        <v>995</v>
      </c>
      <c r="D269" t="s">
        <v>116</v>
      </c>
      <c r="E269" s="22" t="s">
        <v>115</v>
      </c>
      <c r="F269" t="s">
        <v>569</v>
      </c>
      <c r="G269" s="22" t="s">
        <v>24</v>
      </c>
      <c r="H269" s="22">
        <f t="shared" si="16"/>
        <v>2</v>
      </c>
      <c r="I269" t="s">
        <v>39</v>
      </c>
      <c r="J269" s="22" t="s">
        <v>106</v>
      </c>
      <c r="K269" t="s">
        <v>98</v>
      </c>
      <c r="L269" t="s">
        <v>99</v>
      </c>
      <c r="M269" s="28">
        <v>45505</v>
      </c>
      <c r="N269" s="22">
        <v>27</v>
      </c>
      <c r="O269" s="22" t="str">
        <f>IF(COUNTIF(Exits_Attrition!$A$2:$A$65,A269)&gt;0,"Exited","Active")</f>
        <v>Exited</v>
      </c>
      <c r="P269" s="28">
        <f>IFERROR(INDEX(Exits_Attrition!$H$2:$H$65,MATCH(A269,Exits_Attrition!$A$2:$A$65,0)),"")</f>
        <v>46138</v>
      </c>
      <c r="Q269" s="24">
        <f t="shared" si="17"/>
        <v>1.7</v>
      </c>
      <c r="R269" s="22" t="str">
        <f t="shared" si="18"/>
        <v>1-3 Yrs</v>
      </c>
      <c r="S269" s="22">
        <f t="shared" si="19"/>
        <v>0</v>
      </c>
    </row>
    <row r="270" spans="1:19" x14ac:dyDescent="0.3">
      <c r="A270" s="22" t="s">
        <v>996</v>
      </c>
      <c r="B270" t="s">
        <v>997</v>
      </c>
      <c r="C270" t="s">
        <v>998</v>
      </c>
      <c r="D270" t="s">
        <v>400</v>
      </c>
      <c r="E270" s="22" t="s">
        <v>401</v>
      </c>
      <c r="F270" t="s">
        <v>911</v>
      </c>
      <c r="G270" s="22" t="s">
        <v>22</v>
      </c>
      <c r="H270" s="22">
        <f t="shared" si="16"/>
        <v>1</v>
      </c>
      <c r="I270" t="s">
        <v>39</v>
      </c>
      <c r="J270" s="22" t="s">
        <v>106</v>
      </c>
      <c r="K270" t="s">
        <v>98</v>
      </c>
      <c r="L270" t="s">
        <v>99</v>
      </c>
      <c r="M270" s="28">
        <v>45506</v>
      </c>
      <c r="N270" s="22">
        <v>29</v>
      </c>
      <c r="O270" s="22" t="str">
        <f>IF(COUNTIF(Exits_Attrition!$A$2:$A$65,A270)&gt;0,"Exited","Active")</f>
        <v>Active</v>
      </c>
      <c r="P270" s="28" t="str">
        <f>IFERROR(INDEX(Exits_Attrition!$H$2:$H$65,MATCH(A270,Exits_Attrition!$A$2:$A$65,0)),"")</f>
        <v/>
      </c>
      <c r="Q270" s="24">
        <f t="shared" si="17"/>
        <v>2.2000000000000002</v>
      </c>
      <c r="R270" s="22" t="str">
        <f t="shared" si="18"/>
        <v>1-3 Yrs</v>
      </c>
      <c r="S270" s="22">
        <f t="shared" si="19"/>
        <v>0</v>
      </c>
    </row>
    <row r="271" spans="1:19" x14ac:dyDescent="0.3">
      <c r="A271" s="22" t="s">
        <v>999</v>
      </c>
      <c r="B271" t="s">
        <v>1000</v>
      </c>
      <c r="C271" t="s">
        <v>1001</v>
      </c>
      <c r="D271" t="s">
        <v>200</v>
      </c>
      <c r="E271" s="22" t="s">
        <v>201</v>
      </c>
      <c r="F271" t="s">
        <v>560</v>
      </c>
      <c r="G271" s="22" t="s">
        <v>24</v>
      </c>
      <c r="H271" s="22">
        <f t="shared" si="16"/>
        <v>2</v>
      </c>
      <c r="I271" t="s">
        <v>41</v>
      </c>
      <c r="J271" s="22" t="s">
        <v>97</v>
      </c>
      <c r="K271" t="s">
        <v>156</v>
      </c>
      <c r="L271" t="s">
        <v>99</v>
      </c>
      <c r="M271" s="28">
        <v>45506</v>
      </c>
      <c r="N271" s="22">
        <v>30</v>
      </c>
      <c r="O271" s="22" t="str">
        <f>IF(COUNTIF(Exits_Attrition!$A$2:$A$65,A271)&gt;0,"Exited","Active")</f>
        <v>Active</v>
      </c>
      <c r="P271" s="28" t="str">
        <f>IFERROR(INDEX(Exits_Attrition!$H$2:$H$65,MATCH(A271,Exits_Attrition!$A$2:$A$65,0)),"")</f>
        <v/>
      </c>
      <c r="Q271" s="24">
        <f t="shared" si="17"/>
        <v>2.2000000000000002</v>
      </c>
      <c r="R271" s="22" t="str">
        <f t="shared" si="18"/>
        <v>1-3 Yrs</v>
      </c>
      <c r="S271" s="22">
        <f t="shared" si="19"/>
        <v>0</v>
      </c>
    </row>
    <row r="272" spans="1:19" x14ac:dyDescent="0.3">
      <c r="A272" s="22" t="s">
        <v>1002</v>
      </c>
      <c r="B272" t="s">
        <v>1003</v>
      </c>
      <c r="C272" t="s">
        <v>1004</v>
      </c>
      <c r="D272" t="s">
        <v>128</v>
      </c>
      <c r="E272" s="22" t="s">
        <v>129</v>
      </c>
      <c r="F272" t="s">
        <v>625</v>
      </c>
      <c r="G272" s="22" t="s">
        <v>24</v>
      </c>
      <c r="H272" s="22">
        <f t="shared" si="16"/>
        <v>2</v>
      </c>
      <c r="I272" t="s">
        <v>44</v>
      </c>
      <c r="J272" s="22" t="s">
        <v>97</v>
      </c>
      <c r="K272" t="s">
        <v>124</v>
      </c>
      <c r="L272" t="s">
        <v>99</v>
      </c>
      <c r="M272" s="28">
        <v>45506</v>
      </c>
      <c r="N272" s="22">
        <v>27</v>
      </c>
      <c r="O272" s="22" t="str">
        <f>IF(COUNTIF(Exits_Attrition!$A$2:$A$65,A272)&gt;0,"Exited","Active")</f>
        <v>Active</v>
      </c>
      <c r="P272" s="28" t="str">
        <f>IFERROR(INDEX(Exits_Attrition!$H$2:$H$65,MATCH(A272,Exits_Attrition!$A$2:$A$65,0)),"")</f>
        <v/>
      </c>
      <c r="Q272" s="24">
        <f t="shared" si="17"/>
        <v>2.2000000000000002</v>
      </c>
      <c r="R272" s="22" t="str">
        <f t="shared" si="18"/>
        <v>1-3 Yrs</v>
      </c>
      <c r="S272" s="22">
        <f t="shared" si="19"/>
        <v>0</v>
      </c>
    </row>
    <row r="273" spans="1:19" x14ac:dyDescent="0.3">
      <c r="A273" s="22" t="s">
        <v>1005</v>
      </c>
      <c r="B273" t="s">
        <v>1006</v>
      </c>
      <c r="C273" t="s">
        <v>1007</v>
      </c>
      <c r="D273" t="s">
        <v>236</v>
      </c>
      <c r="E273" s="22" t="s">
        <v>237</v>
      </c>
      <c r="F273" t="s">
        <v>576</v>
      </c>
      <c r="G273" s="22" t="s">
        <v>24</v>
      </c>
      <c r="H273" s="22">
        <f t="shared" si="16"/>
        <v>2</v>
      </c>
      <c r="I273" t="s">
        <v>42</v>
      </c>
      <c r="J273" s="22" t="s">
        <v>106</v>
      </c>
      <c r="K273" t="s">
        <v>124</v>
      </c>
      <c r="L273" t="s">
        <v>99</v>
      </c>
      <c r="M273" s="28">
        <v>45509</v>
      </c>
      <c r="N273" s="22">
        <v>29</v>
      </c>
      <c r="O273" s="22" t="str">
        <f>IF(COUNTIF(Exits_Attrition!$A$2:$A$65,A273)&gt;0,"Exited","Active")</f>
        <v>Active</v>
      </c>
      <c r="P273" s="28" t="str">
        <f>IFERROR(INDEX(Exits_Attrition!$H$2:$H$65,MATCH(A273,Exits_Attrition!$A$2:$A$65,0)),"")</f>
        <v/>
      </c>
      <c r="Q273" s="24">
        <f t="shared" si="17"/>
        <v>2.2000000000000002</v>
      </c>
      <c r="R273" s="22" t="str">
        <f t="shared" si="18"/>
        <v>1-3 Yrs</v>
      </c>
      <c r="S273" s="22">
        <f t="shared" si="19"/>
        <v>0</v>
      </c>
    </row>
    <row r="274" spans="1:19" x14ac:dyDescent="0.3">
      <c r="A274" s="22" t="s">
        <v>308</v>
      </c>
      <c r="B274" t="s">
        <v>307</v>
      </c>
      <c r="C274" t="s">
        <v>1008</v>
      </c>
      <c r="D274" t="s">
        <v>94</v>
      </c>
      <c r="E274" s="22" t="s">
        <v>95</v>
      </c>
      <c r="F274" t="s">
        <v>1009</v>
      </c>
      <c r="G274" s="22" t="s">
        <v>34</v>
      </c>
      <c r="H274" s="22">
        <f t="shared" si="16"/>
        <v>7</v>
      </c>
      <c r="I274" t="s">
        <v>45</v>
      </c>
      <c r="J274" s="22" t="s">
        <v>97</v>
      </c>
      <c r="K274" t="s">
        <v>190</v>
      </c>
      <c r="L274" t="s">
        <v>99</v>
      </c>
      <c r="M274" s="28">
        <v>45514</v>
      </c>
      <c r="N274" s="22">
        <v>38</v>
      </c>
      <c r="O274" s="22" t="str">
        <f>IF(COUNTIF(Exits_Attrition!$A$2:$A$65,A274)&gt;0,"Exited","Active")</f>
        <v>Active</v>
      </c>
      <c r="P274" s="28" t="str">
        <f>IFERROR(INDEX(Exits_Attrition!$H$2:$H$65,MATCH(A274,Exits_Attrition!$A$2:$A$65,0)),"")</f>
        <v/>
      </c>
      <c r="Q274" s="24">
        <f t="shared" si="17"/>
        <v>2.1</v>
      </c>
      <c r="R274" s="22" t="str">
        <f t="shared" si="18"/>
        <v>1-3 Yrs</v>
      </c>
      <c r="S274" s="22">
        <f t="shared" si="19"/>
        <v>1</v>
      </c>
    </row>
    <row r="275" spans="1:19" x14ac:dyDescent="0.3">
      <c r="A275" s="22" t="s">
        <v>1010</v>
      </c>
      <c r="B275" t="s">
        <v>1011</v>
      </c>
      <c r="C275" t="s">
        <v>1012</v>
      </c>
      <c r="D275" t="s">
        <v>383</v>
      </c>
      <c r="E275" s="22" t="s">
        <v>384</v>
      </c>
      <c r="F275" t="s">
        <v>902</v>
      </c>
      <c r="G275" s="22" t="s">
        <v>22</v>
      </c>
      <c r="H275" s="22">
        <f t="shared" si="16"/>
        <v>1</v>
      </c>
      <c r="I275" t="s">
        <v>40</v>
      </c>
      <c r="J275" s="22" t="s">
        <v>106</v>
      </c>
      <c r="K275" t="s">
        <v>156</v>
      </c>
      <c r="L275" t="s">
        <v>99</v>
      </c>
      <c r="M275" s="28">
        <v>45517</v>
      </c>
      <c r="N275" s="22">
        <v>28</v>
      </c>
      <c r="O275" s="22" t="str">
        <f>IF(COUNTIF(Exits_Attrition!$A$2:$A$65,A275)&gt;0,"Exited","Active")</f>
        <v>Active</v>
      </c>
      <c r="P275" s="28" t="str">
        <f>IFERROR(INDEX(Exits_Attrition!$H$2:$H$65,MATCH(A275,Exits_Attrition!$A$2:$A$65,0)),"")</f>
        <v/>
      </c>
      <c r="Q275" s="24">
        <f t="shared" si="17"/>
        <v>2.1</v>
      </c>
      <c r="R275" s="22" t="str">
        <f t="shared" si="18"/>
        <v>1-3 Yrs</v>
      </c>
      <c r="S275" s="22">
        <f t="shared" si="19"/>
        <v>0</v>
      </c>
    </row>
    <row r="276" spans="1:19" x14ac:dyDescent="0.3">
      <c r="A276" s="22" t="s">
        <v>1013</v>
      </c>
      <c r="B276" t="s">
        <v>1014</v>
      </c>
      <c r="C276" t="s">
        <v>1015</v>
      </c>
      <c r="D276" t="s">
        <v>251</v>
      </c>
      <c r="E276" s="22" t="s">
        <v>252</v>
      </c>
      <c r="F276" t="s">
        <v>560</v>
      </c>
      <c r="G276" s="22" t="s">
        <v>24</v>
      </c>
      <c r="H276" s="22">
        <f t="shared" si="16"/>
        <v>2</v>
      </c>
      <c r="I276" t="s">
        <v>41</v>
      </c>
      <c r="J276" s="22" t="s">
        <v>106</v>
      </c>
      <c r="K276" t="s">
        <v>156</v>
      </c>
      <c r="L276" t="s">
        <v>99</v>
      </c>
      <c r="M276" s="28">
        <v>45517</v>
      </c>
      <c r="N276" s="22">
        <v>32</v>
      </c>
      <c r="O276" s="22" t="str">
        <f>IF(COUNTIF(Exits_Attrition!$A$2:$A$65,A276)&gt;0,"Exited","Active")</f>
        <v>Active</v>
      </c>
      <c r="P276" s="28" t="str">
        <f>IFERROR(INDEX(Exits_Attrition!$H$2:$H$65,MATCH(A276,Exits_Attrition!$A$2:$A$65,0)),"")</f>
        <v/>
      </c>
      <c r="Q276" s="24">
        <f t="shared" si="17"/>
        <v>2.1</v>
      </c>
      <c r="R276" s="22" t="str">
        <f t="shared" si="18"/>
        <v>1-3 Yrs</v>
      </c>
      <c r="S276" s="22">
        <f t="shared" si="19"/>
        <v>0</v>
      </c>
    </row>
    <row r="277" spans="1:19" x14ac:dyDescent="0.3">
      <c r="A277" s="22" t="s">
        <v>1016</v>
      </c>
      <c r="B277" t="s">
        <v>1017</v>
      </c>
      <c r="C277" t="s">
        <v>1018</v>
      </c>
      <c r="D277" t="s">
        <v>291</v>
      </c>
      <c r="E277" s="22" t="s">
        <v>292</v>
      </c>
      <c r="F277" t="s">
        <v>560</v>
      </c>
      <c r="G277" s="22" t="s">
        <v>24</v>
      </c>
      <c r="H277" s="22">
        <f t="shared" si="16"/>
        <v>2</v>
      </c>
      <c r="I277" t="s">
        <v>41</v>
      </c>
      <c r="J277" s="22" t="s">
        <v>97</v>
      </c>
      <c r="K277" t="s">
        <v>190</v>
      </c>
      <c r="L277" t="s">
        <v>99</v>
      </c>
      <c r="M277" s="28">
        <v>45523</v>
      </c>
      <c r="N277" s="22">
        <v>30</v>
      </c>
      <c r="O277" s="22" t="str">
        <f>IF(COUNTIF(Exits_Attrition!$A$2:$A$65,A277)&gt;0,"Exited","Active")</f>
        <v>Active</v>
      </c>
      <c r="P277" s="28" t="str">
        <f>IFERROR(INDEX(Exits_Attrition!$H$2:$H$65,MATCH(A277,Exits_Attrition!$A$2:$A$65,0)),"")</f>
        <v/>
      </c>
      <c r="Q277" s="24">
        <f t="shared" si="17"/>
        <v>2.1</v>
      </c>
      <c r="R277" s="22" t="str">
        <f t="shared" si="18"/>
        <v>1-3 Yrs</v>
      </c>
      <c r="S277" s="22">
        <f t="shared" si="19"/>
        <v>0</v>
      </c>
    </row>
    <row r="278" spans="1:19" x14ac:dyDescent="0.3">
      <c r="A278" s="22" t="s">
        <v>1019</v>
      </c>
      <c r="B278" t="s">
        <v>1020</v>
      </c>
      <c r="C278" t="s">
        <v>1021</v>
      </c>
      <c r="D278" t="s">
        <v>291</v>
      </c>
      <c r="E278" s="22" t="s">
        <v>292</v>
      </c>
      <c r="F278" t="s">
        <v>890</v>
      </c>
      <c r="G278" s="22" t="s">
        <v>22</v>
      </c>
      <c r="H278" s="22">
        <f t="shared" si="16"/>
        <v>1</v>
      </c>
      <c r="I278" t="s">
        <v>41</v>
      </c>
      <c r="J278" s="22" t="s">
        <v>106</v>
      </c>
      <c r="K278" t="s">
        <v>156</v>
      </c>
      <c r="L278" t="s">
        <v>99</v>
      </c>
      <c r="M278" s="28">
        <v>45526</v>
      </c>
      <c r="N278" s="22">
        <v>27</v>
      </c>
      <c r="O278" s="22" t="str">
        <f>IF(COUNTIF(Exits_Attrition!$A$2:$A$65,A278)&gt;0,"Exited","Active")</f>
        <v>Active</v>
      </c>
      <c r="P278" s="28" t="str">
        <f>IFERROR(INDEX(Exits_Attrition!$H$2:$H$65,MATCH(A278,Exits_Attrition!$A$2:$A$65,0)),"")</f>
        <v/>
      </c>
      <c r="Q278" s="24">
        <f t="shared" si="17"/>
        <v>2.1</v>
      </c>
      <c r="R278" s="22" t="str">
        <f t="shared" si="18"/>
        <v>1-3 Yrs</v>
      </c>
      <c r="S278" s="22">
        <f t="shared" si="19"/>
        <v>0</v>
      </c>
    </row>
    <row r="279" spans="1:19" x14ac:dyDescent="0.3">
      <c r="A279" s="22" t="s">
        <v>1022</v>
      </c>
      <c r="B279" t="s">
        <v>1023</v>
      </c>
      <c r="C279" t="s">
        <v>1024</v>
      </c>
      <c r="D279" t="s">
        <v>136</v>
      </c>
      <c r="E279" s="22" t="s">
        <v>135</v>
      </c>
      <c r="F279" t="s">
        <v>902</v>
      </c>
      <c r="G279" s="22" t="s">
        <v>22</v>
      </c>
      <c r="H279" s="22">
        <f t="shared" si="16"/>
        <v>1</v>
      </c>
      <c r="I279" t="s">
        <v>40</v>
      </c>
      <c r="J279" s="22" t="s">
        <v>106</v>
      </c>
      <c r="K279" t="s">
        <v>156</v>
      </c>
      <c r="L279" t="s">
        <v>99</v>
      </c>
      <c r="M279" s="28">
        <v>45527</v>
      </c>
      <c r="N279" s="22">
        <v>26</v>
      </c>
      <c r="O279" s="22" t="str">
        <f>IF(COUNTIF(Exits_Attrition!$A$2:$A$65,A279)&gt;0,"Exited","Active")</f>
        <v>Active</v>
      </c>
      <c r="P279" s="28" t="str">
        <f>IFERROR(INDEX(Exits_Attrition!$H$2:$H$65,MATCH(A279,Exits_Attrition!$A$2:$A$65,0)),"")</f>
        <v/>
      </c>
      <c r="Q279" s="24">
        <f t="shared" si="17"/>
        <v>2.1</v>
      </c>
      <c r="R279" s="22" t="str">
        <f t="shared" si="18"/>
        <v>1-3 Yrs</v>
      </c>
      <c r="S279" s="22">
        <f t="shared" si="19"/>
        <v>0</v>
      </c>
    </row>
    <row r="280" spans="1:19" x14ac:dyDescent="0.3">
      <c r="A280" s="22" t="s">
        <v>434</v>
      </c>
      <c r="B280" t="s">
        <v>433</v>
      </c>
      <c r="C280" t="s">
        <v>1025</v>
      </c>
      <c r="D280" t="s">
        <v>206</v>
      </c>
      <c r="E280" s="22" t="s">
        <v>207</v>
      </c>
      <c r="F280" t="s">
        <v>208</v>
      </c>
      <c r="G280" s="22" t="s">
        <v>30</v>
      </c>
      <c r="H280" s="22">
        <f t="shared" si="16"/>
        <v>5</v>
      </c>
      <c r="I280" t="s">
        <v>45</v>
      </c>
      <c r="J280" s="22" t="s">
        <v>106</v>
      </c>
      <c r="K280" t="s">
        <v>98</v>
      </c>
      <c r="L280" t="s">
        <v>99</v>
      </c>
      <c r="M280" s="28">
        <v>45531</v>
      </c>
      <c r="N280" s="22">
        <v>35</v>
      </c>
      <c r="O280" s="22" t="str">
        <f>IF(COUNTIF(Exits_Attrition!$A$2:$A$65,A280)&gt;0,"Exited","Active")</f>
        <v>Active</v>
      </c>
      <c r="P280" s="28" t="str">
        <f>IFERROR(INDEX(Exits_Attrition!$H$2:$H$65,MATCH(A280,Exits_Attrition!$A$2:$A$65,0)),"")</f>
        <v/>
      </c>
      <c r="Q280" s="24">
        <f t="shared" si="17"/>
        <v>2.1</v>
      </c>
      <c r="R280" s="22" t="str">
        <f t="shared" si="18"/>
        <v>1-3 Yrs</v>
      </c>
      <c r="S280" s="22">
        <f t="shared" si="19"/>
        <v>9</v>
      </c>
    </row>
    <row r="281" spans="1:19" x14ac:dyDescent="0.3">
      <c r="A281" s="22" t="s">
        <v>1026</v>
      </c>
      <c r="B281" t="s">
        <v>1027</v>
      </c>
      <c r="C281" t="s">
        <v>1028</v>
      </c>
      <c r="D281" t="s">
        <v>257</v>
      </c>
      <c r="E281" s="22" t="s">
        <v>258</v>
      </c>
      <c r="F281" t="s">
        <v>259</v>
      </c>
      <c r="G281" s="22" t="s">
        <v>26</v>
      </c>
      <c r="H281" s="22">
        <f t="shared" si="16"/>
        <v>3</v>
      </c>
      <c r="I281" t="s">
        <v>46</v>
      </c>
      <c r="J281" s="22" t="s">
        <v>97</v>
      </c>
      <c r="K281" t="s">
        <v>98</v>
      </c>
      <c r="L281" t="s">
        <v>99</v>
      </c>
      <c r="M281" s="28">
        <v>45537</v>
      </c>
      <c r="N281" s="22">
        <v>30</v>
      </c>
      <c r="O281" s="22" t="str">
        <f>IF(COUNTIF(Exits_Attrition!$A$2:$A$65,A281)&gt;0,"Exited","Active")</f>
        <v>Exited</v>
      </c>
      <c r="P281" s="28">
        <f>IFERROR(INDEX(Exits_Attrition!$H$2:$H$65,MATCH(A281,Exits_Attrition!$A$2:$A$65,0)),"")</f>
        <v>46231</v>
      </c>
      <c r="Q281" s="24">
        <f t="shared" si="17"/>
        <v>1.9</v>
      </c>
      <c r="R281" s="22" t="str">
        <f t="shared" si="18"/>
        <v>1-3 Yrs</v>
      </c>
      <c r="S281" s="22">
        <f t="shared" si="19"/>
        <v>0</v>
      </c>
    </row>
    <row r="282" spans="1:19" x14ac:dyDescent="0.3">
      <c r="A282" s="22" t="s">
        <v>1029</v>
      </c>
      <c r="B282" t="s">
        <v>1030</v>
      </c>
      <c r="C282" t="s">
        <v>1031</v>
      </c>
      <c r="D282" t="s">
        <v>251</v>
      </c>
      <c r="E282" s="22" t="s">
        <v>252</v>
      </c>
      <c r="F282" t="s">
        <v>560</v>
      </c>
      <c r="G282" s="22" t="s">
        <v>24</v>
      </c>
      <c r="H282" s="22">
        <f t="shared" si="16"/>
        <v>2</v>
      </c>
      <c r="I282" t="s">
        <v>41</v>
      </c>
      <c r="J282" s="22" t="s">
        <v>106</v>
      </c>
      <c r="K282" t="s">
        <v>156</v>
      </c>
      <c r="L282" t="s">
        <v>99</v>
      </c>
      <c r="M282" s="28">
        <v>45544</v>
      </c>
      <c r="N282" s="22">
        <v>29</v>
      </c>
      <c r="O282" s="22" t="str">
        <f>IF(COUNTIF(Exits_Attrition!$A$2:$A$65,A282)&gt;0,"Exited","Active")</f>
        <v>Active</v>
      </c>
      <c r="P282" s="28" t="str">
        <f>IFERROR(INDEX(Exits_Attrition!$H$2:$H$65,MATCH(A282,Exits_Attrition!$A$2:$A$65,0)),"")</f>
        <v/>
      </c>
      <c r="Q282" s="24">
        <f t="shared" si="17"/>
        <v>2.1</v>
      </c>
      <c r="R282" s="22" t="str">
        <f t="shared" si="18"/>
        <v>1-3 Yrs</v>
      </c>
      <c r="S282" s="22">
        <f t="shared" si="19"/>
        <v>0</v>
      </c>
    </row>
    <row r="283" spans="1:19" x14ac:dyDescent="0.3">
      <c r="A283" s="22" t="s">
        <v>1032</v>
      </c>
      <c r="B283" t="s">
        <v>1033</v>
      </c>
      <c r="C283" t="s">
        <v>1034</v>
      </c>
      <c r="D283" t="s">
        <v>822</v>
      </c>
      <c r="E283" s="22" t="s">
        <v>823</v>
      </c>
      <c r="F283" t="s">
        <v>560</v>
      </c>
      <c r="G283" s="22" t="s">
        <v>24</v>
      </c>
      <c r="H283" s="22">
        <f t="shared" si="16"/>
        <v>2</v>
      </c>
      <c r="I283" t="s">
        <v>41</v>
      </c>
      <c r="J283" s="22" t="s">
        <v>97</v>
      </c>
      <c r="K283" t="s">
        <v>107</v>
      </c>
      <c r="L283" t="s">
        <v>99</v>
      </c>
      <c r="M283" s="28">
        <v>45549</v>
      </c>
      <c r="N283" s="22">
        <v>30</v>
      </c>
      <c r="O283" s="22" t="str">
        <f>IF(COUNTIF(Exits_Attrition!$A$2:$A$65,A283)&gt;0,"Exited","Active")</f>
        <v>Active</v>
      </c>
      <c r="P283" s="28" t="str">
        <f>IFERROR(INDEX(Exits_Attrition!$H$2:$H$65,MATCH(A283,Exits_Attrition!$A$2:$A$65,0)),"")</f>
        <v/>
      </c>
      <c r="Q283" s="24">
        <f t="shared" si="17"/>
        <v>2</v>
      </c>
      <c r="R283" s="22" t="str">
        <f t="shared" si="18"/>
        <v>1-3 Yrs</v>
      </c>
      <c r="S283" s="22">
        <f t="shared" si="19"/>
        <v>0</v>
      </c>
    </row>
    <row r="284" spans="1:19" x14ac:dyDescent="0.3">
      <c r="A284" s="22" t="s">
        <v>1035</v>
      </c>
      <c r="B284" t="s">
        <v>1036</v>
      </c>
      <c r="C284" t="s">
        <v>1037</v>
      </c>
      <c r="D284" t="s">
        <v>513</v>
      </c>
      <c r="E284" s="22" t="s">
        <v>514</v>
      </c>
      <c r="F284" t="s">
        <v>545</v>
      </c>
      <c r="G284" s="22" t="s">
        <v>24</v>
      </c>
      <c r="H284" s="22">
        <f t="shared" si="16"/>
        <v>2</v>
      </c>
      <c r="I284" t="s">
        <v>43</v>
      </c>
      <c r="J284" s="22" t="s">
        <v>97</v>
      </c>
      <c r="K284" t="s">
        <v>98</v>
      </c>
      <c r="L284" t="s">
        <v>99</v>
      </c>
      <c r="M284" s="28">
        <v>45554</v>
      </c>
      <c r="N284" s="22">
        <v>31</v>
      </c>
      <c r="O284" s="22" t="str">
        <f>IF(COUNTIF(Exits_Attrition!$A$2:$A$65,A284)&gt;0,"Exited","Active")</f>
        <v>Exited</v>
      </c>
      <c r="P284" s="28">
        <f>IFERROR(INDEX(Exits_Attrition!$H$2:$H$65,MATCH(A284,Exits_Attrition!$A$2:$A$65,0)),"")</f>
        <v>45954</v>
      </c>
      <c r="Q284" s="24">
        <f t="shared" si="17"/>
        <v>1.1000000000000001</v>
      </c>
      <c r="R284" s="22" t="str">
        <f t="shared" si="18"/>
        <v>1-3 Yrs</v>
      </c>
      <c r="S284" s="22">
        <f t="shared" si="19"/>
        <v>0</v>
      </c>
    </row>
    <row r="285" spans="1:19" x14ac:dyDescent="0.3">
      <c r="A285" s="22" t="s">
        <v>1038</v>
      </c>
      <c r="B285" t="s">
        <v>1039</v>
      </c>
      <c r="C285" t="s">
        <v>1040</v>
      </c>
      <c r="D285" t="s">
        <v>726</v>
      </c>
      <c r="E285" s="22" t="s">
        <v>727</v>
      </c>
      <c r="F285" t="s">
        <v>202</v>
      </c>
      <c r="G285" s="22" t="s">
        <v>28</v>
      </c>
      <c r="H285" s="22">
        <f t="shared" si="16"/>
        <v>4</v>
      </c>
      <c r="I285" t="s">
        <v>41</v>
      </c>
      <c r="J285" s="22" t="s">
        <v>106</v>
      </c>
      <c r="K285" t="s">
        <v>124</v>
      </c>
      <c r="L285" t="s">
        <v>99</v>
      </c>
      <c r="M285" s="28">
        <v>45567</v>
      </c>
      <c r="N285" s="22">
        <v>30</v>
      </c>
      <c r="O285" s="22" t="str">
        <f>IF(COUNTIF(Exits_Attrition!$A$2:$A$65,A285)&gt;0,"Exited","Active")</f>
        <v>Exited</v>
      </c>
      <c r="P285" s="28">
        <f>IFERROR(INDEX(Exits_Attrition!$H$2:$H$65,MATCH(A285,Exits_Attrition!$A$2:$A$65,0)),"")</f>
        <v>45977</v>
      </c>
      <c r="Q285" s="24">
        <f t="shared" si="17"/>
        <v>1.1000000000000001</v>
      </c>
      <c r="R285" s="22" t="str">
        <f t="shared" si="18"/>
        <v>1-3 Yrs</v>
      </c>
      <c r="S285" s="22">
        <f t="shared" si="19"/>
        <v>0</v>
      </c>
    </row>
    <row r="286" spans="1:19" x14ac:dyDescent="0.3">
      <c r="A286" s="22" t="s">
        <v>1041</v>
      </c>
      <c r="B286" t="s">
        <v>1042</v>
      </c>
      <c r="C286" t="s">
        <v>1043</v>
      </c>
      <c r="D286" t="s">
        <v>257</v>
      </c>
      <c r="E286" s="22" t="s">
        <v>258</v>
      </c>
      <c r="F286" t="s">
        <v>943</v>
      </c>
      <c r="G286" s="22" t="s">
        <v>22</v>
      </c>
      <c r="H286" s="22">
        <f t="shared" si="16"/>
        <v>1</v>
      </c>
      <c r="I286" t="s">
        <v>46</v>
      </c>
      <c r="J286" s="22" t="s">
        <v>106</v>
      </c>
      <c r="K286" t="s">
        <v>107</v>
      </c>
      <c r="L286" t="s">
        <v>99</v>
      </c>
      <c r="M286" s="28">
        <v>45570</v>
      </c>
      <c r="N286" s="22">
        <v>28</v>
      </c>
      <c r="O286" s="22" t="str">
        <f>IF(COUNTIF(Exits_Attrition!$A$2:$A$65,A286)&gt;0,"Exited","Active")</f>
        <v>Active</v>
      </c>
      <c r="P286" s="28" t="str">
        <f>IFERROR(INDEX(Exits_Attrition!$H$2:$H$65,MATCH(A286,Exits_Attrition!$A$2:$A$65,0)),"")</f>
        <v/>
      </c>
      <c r="Q286" s="24">
        <f t="shared" si="17"/>
        <v>2</v>
      </c>
      <c r="R286" s="22" t="str">
        <f t="shared" si="18"/>
        <v>1-3 Yrs</v>
      </c>
      <c r="S286" s="22">
        <f t="shared" si="19"/>
        <v>0</v>
      </c>
    </row>
    <row r="287" spans="1:19" x14ac:dyDescent="0.3">
      <c r="A287" s="22" t="s">
        <v>1044</v>
      </c>
      <c r="B287" t="s">
        <v>1045</v>
      </c>
      <c r="C287" t="s">
        <v>1046</v>
      </c>
      <c r="D287" t="s">
        <v>304</v>
      </c>
      <c r="E287" s="22" t="s">
        <v>303</v>
      </c>
      <c r="F287" t="s">
        <v>911</v>
      </c>
      <c r="G287" s="22" t="s">
        <v>22</v>
      </c>
      <c r="H287" s="22">
        <f t="shared" si="16"/>
        <v>1</v>
      </c>
      <c r="I287" t="s">
        <v>39</v>
      </c>
      <c r="J287" s="22" t="s">
        <v>106</v>
      </c>
      <c r="K287" t="s">
        <v>98</v>
      </c>
      <c r="L287" t="s">
        <v>99</v>
      </c>
      <c r="M287" s="28">
        <v>45572</v>
      </c>
      <c r="N287" s="22">
        <v>24</v>
      </c>
      <c r="O287" s="22" t="str">
        <f>IF(COUNTIF(Exits_Attrition!$A$2:$A$65,A287)&gt;0,"Exited","Active")</f>
        <v>Active</v>
      </c>
      <c r="P287" s="28" t="str">
        <f>IFERROR(INDEX(Exits_Attrition!$H$2:$H$65,MATCH(A287,Exits_Attrition!$A$2:$A$65,0)),"")</f>
        <v/>
      </c>
      <c r="Q287" s="24">
        <f t="shared" si="17"/>
        <v>2</v>
      </c>
      <c r="R287" s="22" t="str">
        <f t="shared" si="18"/>
        <v>1-3 Yrs</v>
      </c>
      <c r="S287" s="22">
        <f t="shared" si="19"/>
        <v>0</v>
      </c>
    </row>
    <row r="288" spans="1:19" x14ac:dyDescent="0.3">
      <c r="A288" s="22" t="s">
        <v>1047</v>
      </c>
      <c r="B288" t="s">
        <v>1048</v>
      </c>
      <c r="C288" t="s">
        <v>1049</v>
      </c>
      <c r="D288" t="s">
        <v>459</v>
      </c>
      <c r="E288" s="22" t="s">
        <v>458</v>
      </c>
      <c r="F288" t="s">
        <v>576</v>
      </c>
      <c r="G288" s="22" t="s">
        <v>24</v>
      </c>
      <c r="H288" s="22">
        <f t="shared" si="16"/>
        <v>2</v>
      </c>
      <c r="I288" t="s">
        <v>42</v>
      </c>
      <c r="J288" s="22" t="s">
        <v>106</v>
      </c>
      <c r="K288" t="s">
        <v>107</v>
      </c>
      <c r="L288" t="s">
        <v>99</v>
      </c>
      <c r="M288" s="28">
        <v>45574</v>
      </c>
      <c r="N288" s="22">
        <v>27</v>
      </c>
      <c r="O288" s="22" t="str">
        <f>IF(COUNTIF(Exits_Attrition!$A$2:$A$65,A288)&gt;0,"Exited","Active")</f>
        <v>Active</v>
      </c>
      <c r="P288" s="28" t="str">
        <f>IFERROR(INDEX(Exits_Attrition!$H$2:$H$65,MATCH(A288,Exits_Attrition!$A$2:$A$65,0)),"")</f>
        <v/>
      </c>
      <c r="Q288" s="24">
        <f t="shared" si="17"/>
        <v>2</v>
      </c>
      <c r="R288" s="22" t="str">
        <f t="shared" si="18"/>
        <v>1-3 Yrs</v>
      </c>
      <c r="S288" s="22">
        <f t="shared" si="19"/>
        <v>0</v>
      </c>
    </row>
    <row r="289" spans="1:19" x14ac:dyDescent="0.3">
      <c r="A289" s="22" t="s">
        <v>1050</v>
      </c>
      <c r="B289" t="s">
        <v>1051</v>
      </c>
      <c r="C289" t="s">
        <v>1052</v>
      </c>
      <c r="D289" t="s">
        <v>383</v>
      </c>
      <c r="E289" s="22" t="s">
        <v>384</v>
      </c>
      <c r="F289" t="s">
        <v>902</v>
      </c>
      <c r="G289" s="22" t="s">
        <v>22</v>
      </c>
      <c r="H289" s="22">
        <f t="shared" si="16"/>
        <v>1</v>
      </c>
      <c r="I289" t="s">
        <v>40</v>
      </c>
      <c r="J289" s="22" t="s">
        <v>106</v>
      </c>
      <c r="K289" t="s">
        <v>156</v>
      </c>
      <c r="L289" t="s">
        <v>99</v>
      </c>
      <c r="M289" s="28">
        <v>45579</v>
      </c>
      <c r="N289" s="22">
        <v>24</v>
      </c>
      <c r="O289" s="22" t="str">
        <f>IF(COUNTIF(Exits_Attrition!$A$2:$A$65,A289)&gt;0,"Exited","Active")</f>
        <v>Active</v>
      </c>
      <c r="P289" s="28" t="str">
        <f>IFERROR(INDEX(Exits_Attrition!$H$2:$H$65,MATCH(A289,Exits_Attrition!$A$2:$A$65,0)),"")</f>
        <v/>
      </c>
      <c r="Q289" s="24">
        <f t="shared" si="17"/>
        <v>2</v>
      </c>
      <c r="R289" s="22" t="str">
        <f t="shared" si="18"/>
        <v>1-3 Yrs</v>
      </c>
      <c r="S289" s="22">
        <f t="shared" si="19"/>
        <v>0</v>
      </c>
    </row>
    <row r="290" spans="1:19" x14ac:dyDescent="0.3">
      <c r="A290" s="22" t="s">
        <v>1053</v>
      </c>
      <c r="B290" t="s">
        <v>1054</v>
      </c>
      <c r="C290" t="s">
        <v>1055</v>
      </c>
      <c r="D290" t="s">
        <v>291</v>
      </c>
      <c r="E290" s="22" t="s">
        <v>292</v>
      </c>
      <c r="F290" t="s">
        <v>560</v>
      </c>
      <c r="G290" s="22" t="s">
        <v>24</v>
      </c>
      <c r="H290" s="22">
        <f t="shared" si="16"/>
        <v>2</v>
      </c>
      <c r="I290" t="s">
        <v>41</v>
      </c>
      <c r="J290" s="22" t="s">
        <v>97</v>
      </c>
      <c r="K290" t="s">
        <v>156</v>
      </c>
      <c r="L290" t="s">
        <v>220</v>
      </c>
      <c r="M290" s="28">
        <v>45589</v>
      </c>
      <c r="N290" s="22">
        <v>27</v>
      </c>
      <c r="O290" s="22" t="str">
        <f>IF(COUNTIF(Exits_Attrition!$A$2:$A$65,A290)&gt;0,"Exited","Active")</f>
        <v>Active</v>
      </c>
      <c r="P290" s="28" t="str">
        <f>IFERROR(INDEX(Exits_Attrition!$H$2:$H$65,MATCH(A290,Exits_Attrition!$A$2:$A$65,0)),"")</f>
        <v/>
      </c>
      <c r="Q290" s="24">
        <f t="shared" si="17"/>
        <v>1.9</v>
      </c>
      <c r="R290" s="22" t="str">
        <f t="shared" si="18"/>
        <v>1-3 Yrs</v>
      </c>
      <c r="S290" s="22">
        <f t="shared" si="19"/>
        <v>0</v>
      </c>
    </row>
    <row r="291" spans="1:19" x14ac:dyDescent="0.3">
      <c r="A291" s="22" t="s">
        <v>1056</v>
      </c>
      <c r="B291" t="s">
        <v>1057</v>
      </c>
      <c r="C291" t="s">
        <v>1058</v>
      </c>
      <c r="D291" t="s">
        <v>513</v>
      </c>
      <c r="E291" s="22" t="s">
        <v>514</v>
      </c>
      <c r="F291" t="s">
        <v>894</v>
      </c>
      <c r="G291" s="22" t="s">
        <v>22</v>
      </c>
      <c r="H291" s="22">
        <f t="shared" si="16"/>
        <v>1</v>
      </c>
      <c r="I291" t="s">
        <v>43</v>
      </c>
      <c r="J291" s="22" t="s">
        <v>97</v>
      </c>
      <c r="K291" t="s">
        <v>98</v>
      </c>
      <c r="L291" t="s">
        <v>99</v>
      </c>
      <c r="M291" s="28">
        <v>45593</v>
      </c>
      <c r="N291" s="22">
        <v>27</v>
      </c>
      <c r="O291" s="22" t="str">
        <f>IF(COUNTIF(Exits_Attrition!$A$2:$A$65,A291)&gt;0,"Exited","Active")</f>
        <v>Active</v>
      </c>
      <c r="P291" s="28" t="str">
        <f>IFERROR(INDEX(Exits_Attrition!$H$2:$H$65,MATCH(A291,Exits_Attrition!$A$2:$A$65,0)),"")</f>
        <v/>
      </c>
      <c r="Q291" s="24">
        <f t="shared" si="17"/>
        <v>1.9</v>
      </c>
      <c r="R291" s="22" t="str">
        <f t="shared" si="18"/>
        <v>1-3 Yrs</v>
      </c>
      <c r="S291" s="22">
        <f t="shared" si="19"/>
        <v>0</v>
      </c>
    </row>
    <row r="292" spans="1:19" x14ac:dyDescent="0.3">
      <c r="A292" s="22" t="s">
        <v>1059</v>
      </c>
      <c r="B292" t="s">
        <v>1060</v>
      </c>
      <c r="C292" t="s">
        <v>1061</v>
      </c>
      <c r="D292" t="s">
        <v>338</v>
      </c>
      <c r="E292" s="22" t="s">
        <v>339</v>
      </c>
      <c r="F292" t="s">
        <v>1062</v>
      </c>
      <c r="G292" s="22" t="s">
        <v>22</v>
      </c>
      <c r="H292" s="22">
        <f t="shared" si="16"/>
        <v>1</v>
      </c>
      <c r="I292" t="s">
        <v>42</v>
      </c>
      <c r="J292" s="22" t="s">
        <v>97</v>
      </c>
      <c r="K292" t="s">
        <v>107</v>
      </c>
      <c r="L292" t="s">
        <v>99</v>
      </c>
      <c r="M292" s="28">
        <v>45597</v>
      </c>
      <c r="N292" s="22">
        <v>26</v>
      </c>
      <c r="O292" s="22" t="str">
        <f>IF(COUNTIF(Exits_Attrition!$A$2:$A$65,A292)&gt;0,"Exited","Active")</f>
        <v>Active</v>
      </c>
      <c r="P292" s="28" t="str">
        <f>IFERROR(INDEX(Exits_Attrition!$H$2:$H$65,MATCH(A292,Exits_Attrition!$A$2:$A$65,0)),"")</f>
        <v/>
      </c>
      <c r="Q292" s="24">
        <f t="shared" si="17"/>
        <v>1.9</v>
      </c>
      <c r="R292" s="22" t="str">
        <f t="shared" si="18"/>
        <v>1-3 Yrs</v>
      </c>
      <c r="S292" s="22">
        <f t="shared" si="19"/>
        <v>0</v>
      </c>
    </row>
    <row r="293" spans="1:19" x14ac:dyDescent="0.3">
      <c r="A293" s="22" t="s">
        <v>1063</v>
      </c>
      <c r="B293" t="s">
        <v>1064</v>
      </c>
      <c r="C293" t="s">
        <v>1065</v>
      </c>
      <c r="D293" t="s">
        <v>181</v>
      </c>
      <c r="E293" s="22" t="s">
        <v>182</v>
      </c>
      <c r="F293" t="s">
        <v>911</v>
      </c>
      <c r="G293" s="22" t="s">
        <v>22</v>
      </c>
      <c r="H293" s="22">
        <f t="shared" si="16"/>
        <v>1</v>
      </c>
      <c r="I293" t="s">
        <v>39</v>
      </c>
      <c r="J293" s="22" t="s">
        <v>106</v>
      </c>
      <c r="K293" t="s">
        <v>98</v>
      </c>
      <c r="L293" t="s">
        <v>99</v>
      </c>
      <c r="M293" s="28">
        <v>45606</v>
      </c>
      <c r="N293" s="22">
        <v>26</v>
      </c>
      <c r="O293" s="22" t="str">
        <f>IF(COUNTIF(Exits_Attrition!$A$2:$A$65,A293)&gt;0,"Exited","Active")</f>
        <v>Active</v>
      </c>
      <c r="P293" s="28" t="str">
        <f>IFERROR(INDEX(Exits_Attrition!$H$2:$H$65,MATCH(A293,Exits_Attrition!$A$2:$A$65,0)),"")</f>
        <v/>
      </c>
      <c r="Q293" s="24">
        <f t="shared" si="17"/>
        <v>1.9</v>
      </c>
      <c r="R293" s="22" t="str">
        <f t="shared" si="18"/>
        <v>1-3 Yrs</v>
      </c>
      <c r="S293" s="22">
        <f t="shared" si="19"/>
        <v>0</v>
      </c>
    </row>
    <row r="294" spans="1:19" x14ac:dyDescent="0.3">
      <c r="A294" s="22" t="s">
        <v>1066</v>
      </c>
      <c r="B294" t="s">
        <v>1067</v>
      </c>
      <c r="C294" t="s">
        <v>1068</v>
      </c>
      <c r="D294" t="s">
        <v>822</v>
      </c>
      <c r="E294" s="22" t="s">
        <v>823</v>
      </c>
      <c r="F294" t="s">
        <v>560</v>
      </c>
      <c r="G294" s="22" t="s">
        <v>24</v>
      </c>
      <c r="H294" s="22">
        <f t="shared" si="16"/>
        <v>2</v>
      </c>
      <c r="I294" t="s">
        <v>41</v>
      </c>
      <c r="J294" s="22" t="s">
        <v>106</v>
      </c>
      <c r="K294" t="s">
        <v>156</v>
      </c>
      <c r="L294" t="s">
        <v>99</v>
      </c>
      <c r="M294" s="28">
        <v>45612</v>
      </c>
      <c r="N294" s="22">
        <v>28</v>
      </c>
      <c r="O294" s="22" t="str">
        <f>IF(COUNTIF(Exits_Attrition!$A$2:$A$65,A294)&gt;0,"Exited","Active")</f>
        <v>Exited</v>
      </c>
      <c r="P294" s="28">
        <f>IFERROR(INDEX(Exits_Attrition!$H$2:$H$65,MATCH(A294,Exits_Attrition!$A$2:$A$65,0)),"")</f>
        <v>46021</v>
      </c>
      <c r="Q294" s="24">
        <f t="shared" si="17"/>
        <v>1.1000000000000001</v>
      </c>
      <c r="R294" s="22" t="str">
        <f t="shared" si="18"/>
        <v>1-3 Yrs</v>
      </c>
      <c r="S294" s="22">
        <f t="shared" si="19"/>
        <v>0</v>
      </c>
    </row>
    <row r="295" spans="1:19" x14ac:dyDescent="0.3">
      <c r="A295" s="22" t="s">
        <v>1069</v>
      </c>
      <c r="B295" t="s">
        <v>1070</v>
      </c>
      <c r="C295" t="s">
        <v>1071</v>
      </c>
      <c r="D295" t="s">
        <v>684</v>
      </c>
      <c r="E295" s="22" t="s">
        <v>685</v>
      </c>
      <c r="F295" t="s">
        <v>915</v>
      </c>
      <c r="G295" s="22" t="s">
        <v>28</v>
      </c>
      <c r="H295" s="22">
        <f t="shared" si="16"/>
        <v>4</v>
      </c>
      <c r="I295" t="s">
        <v>48</v>
      </c>
      <c r="J295" s="22" t="s">
        <v>106</v>
      </c>
      <c r="K295" t="s">
        <v>107</v>
      </c>
      <c r="L295" t="s">
        <v>99</v>
      </c>
      <c r="M295" s="28">
        <v>45612</v>
      </c>
      <c r="N295" s="22">
        <v>35</v>
      </c>
      <c r="O295" s="22" t="str">
        <f>IF(COUNTIF(Exits_Attrition!$A$2:$A$65,A295)&gt;0,"Exited","Active")</f>
        <v>Active</v>
      </c>
      <c r="P295" s="28" t="str">
        <f>IFERROR(INDEX(Exits_Attrition!$H$2:$H$65,MATCH(A295,Exits_Attrition!$A$2:$A$65,0)),"")</f>
        <v/>
      </c>
      <c r="Q295" s="24">
        <f t="shared" si="17"/>
        <v>1.9</v>
      </c>
      <c r="R295" s="22" t="str">
        <f t="shared" si="18"/>
        <v>1-3 Yrs</v>
      </c>
      <c r="S295" s="22">
        <f t="shared" si="19"/>
        <v>0</v>
      </c>
    </row>
    <row r="296" spans="1:19" x14ac:dyDescent="0.3">
      <c r="A296" s="22" t="s">
        <v>1072</v>
      </c>
      <c r="B296" t="s">
        <v>1073</v>
      </c>
      <c r="C296" t="s">
        <v>1074</v>
      </c>
      <c r="D296" t="s">
        <v>200</v>
      </c>
      <c r="E296" s="22" t="s">
        <v>201</v>
      </c>
      <c r="F296" t="s">
        <v>560</v>
      </c>
      <c r="G296" s="22" t="s">
        <v>24</v>
      </c>
      <c r="H296" s="22">
        <f t="shared" si="16"/>
        <v>2</v>
      </c>
      <c r="I296" t="s">
        <v>41</v>
      </c>
      <c r="J296" s="22" t="s">
        <v>97</v>
      </c>
      <c r="K296" t="s">
        <v>156</v>
      </c>
      <c r="L296" t="s">
        <v>99</v>
      </c>
      <c r="M296" s="28">
        <v>45613</v>
      </c>
      <c r="N296" s="22">
        <v>26</v>
      </c>
      <c r="O296" s="22" t="str">
        <f>IF(COUNTIF(Exits_Attrition!$A$2:$A$65,A296)&gt;0,"Exited","Active")</f>
        <v>Exited</v>
      </c>
      <c r="P296" s="28">
        <f>IFERROR(INDEX(Exits_Attrition!$H$2:$H$65,MATCH(A296,Exits_Attrition!$A$2:$A$65,0)),"")</f>
        <v>45986</v>
      </c>
      <c r="Q296" s="24">
        <f t="shared" si="17"/>
        <v>1</v>
      </c>
      <c r="R296" s="22" t="str">
        <f t="shared" si="18"/>
        <v>1-3 Yrs</v>
      </c>
      <c r="S296" s="22">
        <f t="shared" si="19"/>
        <v>0</v>
      </c>
    </row>
    <row r="297" spans="1:19" x14ac:dyDescent="0.3">
      <c r="A297" s="22" t="s">
        <v>1075</v>
      </c>
      <c r="B297" t="s">
        <v>1076</v>
      </c>
      <c r="C297" t="s">
        <v>1077</v>
      </c>
      <c r="D297" t="s">
        <v>101</v>
      </c>
      <c r="E297" s="22" t="s">
        <v>100</v>
      </c>
      <c r="F297" t="s">
        <v>569</v>
      </c>
      <c r="G297" s="22" t="s">
        <v>24</v>
      </c>
      <c r="H297" s="22">
        <f t="shared" si="16"/>
        <v>2</v>
      </c>
      <c r="I297" t="s">
        <v>39</v>
      </c>
      <c r="J297" s="22" t="s">
        <v>106</v>
      </c>
      <c r="K297" t="s">
        <v>98</v>
      </c>
      <c r="L297" t="s">
        <v>99</v>
      </c>
      <c r="M297" s="28">
        <v>45614</v>
      </c>
      <c r="N297" s="22">
        <v>28</v>
      </c>
      <c r="O297" s="22" t="str">
        <f>IF(COUNTIF(Exits_Attrition!$A$2:$A$65,A297)&gt;0,"Exited","Active")</f>
        <v>Exited</v>
      </c>
      <c r="P297" s="28">
        <f>IFERROR(INDEX(Exits_Attrition!$H$2:$H$65,MATCH(A297,Exits_Attrition!$A$2:$A$65,0)),"")</f>
        <v>46002</v>
      </c>
      <c r="Q297" s="24">
        <f t="shared" si="17"/>
        <v>1.1000000000000001</v>
      </c>
      <c r="R297" s="22" t="str">
        <f t="shared" si="18"/>
        <v>1-3 Yrs</v>
      </c>
      <c r="S297" s="22">
        <f t="shared" si="19"/>
        <v>0</v>
      </c>
    </row>
    <row r="298" spans="1:19" x14ac:dyDescent="0.3">
      <c r="A298" s="22" t="s">
        <v>1078</v>
      </c>
      <c r="B298" t="s">
        <v>1079</v>
      </c>
      <c r="C298" t="s">
        <v>1080</v>
      </c>
      <c r="D298" t="s">
        <v>251</v>
      </c>
      <c r="E298" s="22" t="s">
        <v>252</v>
      </c>
      <c r="F298" t="s">
        <v>253</v>
      </c>
      <c r="G298" s="22" t="s">
        <v>26</v>
      </c>
      <c r="H298" s="22">
        <f t="shared" si="16"/>
        <v>3</v>
      </c>
      <c r="I298" t="s">
        <v>41</v>
      </c>
      <c r="J298" s="22" t="s">
        <v>106</v>
      </c>
      <c r="K298" t="s">
        <v>156</v>
      </c>
      <c r="L298" t="s">
        <v>99</v>
      </c>
      <c r="M298" s="28">
        <v>45622</v>
      </c>
      <c r="N298" s="22">
        <v>31</v>
      </c>
      <c r="O298" s="22" t="str">
        <f>IF(COUNTIF(Exits_Attrition!$A$2:$A$65,A298)&gt;0,"Exited","Active")</f>
        <v>Active</v>
      </c>
      <c r="P298" s="28" t="str">
        <f>IFERROR(INDEX(Exits_Attrition!$H$2:$H$65,MATCH(A298,Exits_Attrition!$A$2:$A$65,0)),"")</f>
        <v/>
      </c>
      <c r="Q298" s="24">
        <f t="shared" si="17"/>
        <v>1.8</v>
      </c>
      <c r="R298" s="22" t="str">
        <f t="shared" si="18"/>
        <v>1-3 Yrs</v>
      </c>
      <c r="S298" s="22">
        <f t="shared" si="19"/>
        <v>0</v>
      </c>
    </row>
    <row r="299" spans="1:19" x14ac:dyDescent="0.3">
      <c r="A299" s="22" t="s">
        <v>1081</v>
      </c>
      <c r="B299" t="s">
        <v>1082</v>
      </c>
      <c r="C299" t="s">
        <v>1083</v>
      </c>
      <c r="D299" t="s">
        <v>228</v>
      </c>
      <c r="E299" s="22" t="s">
        <v>227</v>
      </c>
      <c r="F299" t="s">
        <v>576</v>
      </c>
      <c r="G299" s="22" t="s">
        <v>24</v>
      </c>
      <c r="H299" s="22">
        <f t="shared" si="16"/>
        <v>2</v>
      </c>
      <c r="I299" t="s">
        <v>42</v>
      </c>
      <c r="J299" s="22" t="s">
        <v>106</v>
      </c>
      <c r="K299" t="s">
        <v>124</v>
      </c>
      <c r="L299" t="s">
        <v>99</v>
      </c>
      <c r="M299" s="28">
        <v>45623</v>
      </c>
      <c r="N299" s="22">
        <v>25</v>
      </c>
      <c r="O299" s="22" t="str">
        <f>IF(COUNTIF(Exits_Attrition!$A$2:$A$65,A299)&gt;0,"Exited","Active")</f>
        <v>Active</v>
      </c>
      <c r="P299" s="28" t="str">
        <f>IFERROR(INDEX(Exits_Attrition!$H$2:$H$65,MATCH(A299,Exits_Attrition!$A$2:$A$65,0)),"")</f>
        <v/>
      </c>
      <c r="Q299" s="24">
        <f t="shared" si="17"/>
        <v>1.8</v>
      </c>
      <c r="R299" s="22" t="str">
        <f t="shared" si="18"/>
        <v>1-3 Yrs</v>
      </c>
      <c r="S299" s="22">
        <f t="shared" si="19"/>
        <v>0</v>
      </c>
    </row>
    <row r="300" spans="1:19" x14ac:dyDescent="0.3">
      <c r="A300" s="22" t="s">
        <v>1084</v>
      </c>
      <c r="B300" t="s">
        <v>1085</v>
      </c>
      <c r="C300" t="s">
        <v>1086</v>
      </c>
      <c r="D300" t="s">
        <v>224</v>
      </c>
      <c r="E300" s="22" t="s">
        <v>225</v>
      </c>
      <c r="F300" t="s">
        <v>659</v>
      </c>
      <c r="G300" s="22" t="s">
        <v>24</v>
      </c>
      <c r="H300" s="22">
        <f t="shared" si="16"/>
        <v>2</v>
      </c>
      <c r="I300" t="s">
        <v>47</v>
      </c>
      <c r="J300" s="22" t="s">
        <v>106</v>
      </c>
      <c r="K300" t="s">
        <v>213</v>
      </c>
      <c r="L300" t="s">
        <v>99</v>
      </c>
      <c r="M300" s="28">
        <v>45624</v>
      </c>
      <c r="N300" s="22">
        <v>30</v>
      </c>
      <c r="O300" s="22" t="str">
        <f>IF(COUNTIF(Exits_Attrition!$A$2:$A$65,A300)&gt;0,"Exited","Active")</f>
        <v>Active</v>
      </c>
      <c r="P300" s="28" t="str">
        <f>IFERROR(INDEX(Exits_Attrition!$H$2:$H$65,MATCH(A300,Exits_Attrition!$A$2:$A$65,0)),"")</f>
        <v/>
      </c>
      <c r="Q300" s="24">
        <f t="shared" si="17"/>
        <v>1.8</v>
      </c>
      <c r="R300" s="22" t="str">
        <f t="shared" si="18"/>
        <v>1-3 Yrs</v>
      </c>
      <c r="S300" s="22">
        <f t="shared" si="19"/>
        <v>0</v>
      </c>
    </row>
    <row r="301" spans="1:19" x14ac:dyDescent="0.3">
      <c r="A301" s="22" t="s">
        <v>1087</v>
      </c>
      <c r="B301" t="s">
        <v>1088</v>
      </c>
      <c r="C301" t="s">
        <v>1089</v>
      </c>
      <c r="D301" t="s">
        <v>153</v>
      </c>
      <c r="E301" s="22" t="s">
        <v>154</v>
      </c>
      <c r="F301" t="s">
        <v>219</v>
      </c>
      <c r="G301" s="22" t="s">
        <v>26</v>
      </c>
      <c r="H301" s="22">
        <f t="shared" si="16"/>
        <v>3</v>
      </c>
      <c r="I301" t="s">
        <v>40</v>
      </c>
      <c r="J301" s="22" t="s">
        <v>106</v>
      </c>
      <c r="K301" t="s">
        <v>156</v>
      </c>
      <c r="L301" t="s">
        <v>99</v>
      </c>
      <c r="M301" s="28">
        <v>45626</v>
      </c>
      <c r="N301" s="22">
        <v>27</v>
      </c>
      <c r="O301" s="22" t="str">
        <f>IF(COUNTIF(Exits_Attrition!$A$2:$A$65,A301)&gt;0,"Exited","Active")</f>
        <v>Active</v>
      </c>
      <c r="P301" s="28" t="str">
        <f>IFERROR(INDEX(Exits_Attrition!$H$2:$H$65,MATCH(A301,Exits_Attrition!$A$2:$A$65,0)),"")</f>
        <v/>
      </c>
      <c r="Q301" s="24">
        <f t="shared" si="17"/>
        <v>1.8</v>
      </c>
      <c r="R301" s="22" t="str">
        <f t="shared" si="18"/>
        <v>1-3 Yrs</v>
      </c>
      <c r="S301" s="22">
        <f t="shared" si="19"/>
        <v>0</v>
      </c>
    </row>
    <row r="302" spans="1:19" x14ac:dyDescent="0.3">
      <c r="A302" s="22" t="s">
        <v>1090</v>
      </c>
      <c r="B302" t="s">
        <v>1091</v>
      </c>
      <c r="C302" t="s">
        <v>1092</v>
      </c>
      <c r="D302" t="s">
        <v>101</v>
      </c>
      <c r="E302" s="22" t="s">
        <v>100</v>
      </c>
      <c r="F302" t="s">
        <v>911</v>
      </c>
      <c r="G302" s="22" t="s">
        <v>22</v>
      </c>
      <c r="H302" s="22">
        <f t="shared" si="16"/>
        <v>1</v>
      </c>
      <c r="I302" t="s">
        <v>39</v>
      </c>
      <c r="J302" s="22" t="s">
        <v>106</v>
      </c>
      <c r="K302" t="s">
        <v>98</v>
      </c>
      <c r="L302" t="s">
        <v>99</v>
      </c>
      <c r="M302" s="28">
        <v>45630</v>
      </c>
      <c r="N302" s="22">
        <v>28</v>
      </c>
      <c r="O302" s="22" t="str">
        <f>IF(COUNTIF(Exits_Attrition!$A$2:$A$65,A302)&gt;0,"Exited","Active")</f>
        <v>Active</v>
      </c>
      <c r="P302" s="28" t="str">
        <f>IFERROR(INDEX(Exits_Attrition!$H$2:$H$65,MATCH(A302,Exits_Attrition!$A$2:$A$65,0)),"")</f>
        <v/>
      </c>
      <c r="Q302" s="24">
        <f t="shared" si="17"/>
        <v>1.8</v>
      </c>
      <c r="R302" s="22" t="str">
        <f t="shared" si="18"/>
        <v>1-3 Yrs</v>
      </c>
      <c r="S302" s="22">
        <f t="shared" si="19"/>
        <v>0</v>
      </c>
    </row>
    <row r="303" spans="1:19" x14ac:dyDescent="0.3">
      <c r="A303" s="22" t="s">
        <v>1093</v>
      </c>
      <c r="B303" t="s">
        <v>1094</v>
      </c>
      <c r="C303" t="s">
        <v>1095</v>
      </c>
      <c r="D303" t="s">
        <v>185</v>
      </c>
      <c r="E303" s="22" t="s">
        <v>184</v>
      </c>
      <c r="F303" t="s">
        <v>263</v>
      </c>
      <c r="G303" s="22" t="s">
        <v>26</v>
      </c>
      <c r="H303" s="22">
        <f t="shared" si="16"/>
        <v>3</v>
      </c>
      <c r="I303" t="s">
        <v>44</v>
      </c>
      <c r="J303" s="22" t="s">
        <v>97</v>
      </c>
      <c r="K303" t="s">
        <v>98</v>
      </c>
      <c r="L303" t="s">
        <v>99</v>
      </c>
      <c r="M303" s="28">
        <v>45630</v>
      </c>
      <c r="N303" s="22">
        <v>30</v>
      </c>
      <c r="O303" s="22" t="str">
        <f>IF(COUNTIF(Exits_Attrition!$A$2:$A$65,A303)&gt;0,"Exited","Active")</f>
        <v>Active</v>
      </c>
      <c r="P303" s="28" t="str">
        <f>IFERROR(INDEX(Exits_Attrition!$H$2:$H$65,MATCH(A303,Exits_Attrition!$A$2:$A$65,0)),"")</f>
        <v/>
      </c>
      <c r="Q303" s="24">
        <f t="shared" si="17"/>
        <v>1.8</v>
      </c>
      <c r="R303" s="22" t="str">
        <f t="shared" si="18"/>
        <v>1-3 Yrs</v>
      </c>
      <c r="S303" s="22">
        <f t="shared" si="19"/>
        <v>0</v>
      </c>
    </row>
    <row r="304" spans="1:19" x14ac:dyDescent="0.3">
      <c r="A304" s="22" t="s">
        <v>1096</v>
      </c>
      <c r="B304" t="s">
        <v>1097</v>
      </c>
      <c r="C304" t="s">
        <v>1098</v>
      </c>
      <c r="D304" t="s">
        <v>313</v>
      </c>
      <c r="E304" s="22" t="s">
        <v>314</v>
      </c>
      <c r="F304" t="s">
        <v>911</v>
      </c>
      <c r="G304" s="22" t="s">
        <v>22</v>
      </c>
      <c r="H304" s="22">
        <f t="shared" si="16"/>
        <v>1</v>
      </c>
      <c r="I304" t="s">
        <v>39</v>
      </c>
      <c r="J304" s="22" t="s">
        <v>106</v>
      </c>
      <c r="K304" t="s">
        <v>98</v>
      </c>
      <c r="L304" t="s">
        <v>99</v>
      </c>
      <c r="M304" s="28">
        <v>45632</v>
      </c>
      <c r="N304" s="22">
        <v>25</v>
      </c>
      <c r="O304" s="22" t="str">
        <f>IF(COUNTIF(Exits_Attrition!$A$2:$A$65,A304)&gt;0,"Exited","Active")</f>
        <v>Active</v>
      </c>
      <c r="P304" s="28" t="str">
        <f>IFERROR(INDEX(Exits_Attrition!$H$2:$H$65,MATCH(A304,Exits_Attrition!$A$2:$A$65,0)),"")</f>
        <v/>
      </c>
      <c r="Q304" s="24">
        <f t="shared" si="17"/>
        <v>1.8</v>
      </c>
      <c r="R304" s="22" t="str">
        <f t="shared" si="18"/>
        <v>1-3 Yrs</v>
      </c>
      <c r="S304" s="22">
        <f t="shared" si="19"/>
        <v>0</v>
      </c>
    </row>
    <row r="305" spans="1:19" x14ac:dyDescent="0.3">
      <c r="A305" s="22" t="s">
        <v>1099</v>
      </c>
      <c r="B305" t="s">
        <v>1100</v>
      </c>
      <c r="C305" t="s">
        <v>1101</v>
      </c>
      <c r="D305" t="s">
        <v>194</v>
      </c>
      <c r="E305" s="22" t="s">
        <v>195</v>
      </c>
      <c r="F305" t="s">
        <v>576</v>
      </c>
      <c r="G305" s="22" t="s">
        <v>24</v>
      </c>
      <c r="H305" s="22">
        <f t="shared" si="16"/>
        <v>2</v>
      </c>
      <c r="I305" t="s">
        <v>42</v>
      </c>
      <c r="J305" s="22" t="s">
        <v>97</v>
      </c>
      <c r="K305" t="s">
        <v>124</v>
      </c>
      <c r="L305" t="s">
        <v>99</v>
      </c>
      <c r="M305" s="28">
        <v>45632</v>
      </c>
      <c r="N305" s="22">
        <v>27</v>
      </c>
      <c r="O305" s="22" t="str">
        <f>IF(COUNTIF(Exits_Attrition!$A$2:$A$65,A305)&gt;0,"Exited","Active")</f>
        <v>Active</v>
      </c>
      <c r="P305" s="28" t="str">
        <f>IFERROR(INDEX(Exits_Attrition!$H$2:$H$65,MATCH(A305,Exits_Attrition!$A$2:$A$65,0)),"")</f>
        <v/>
      </c>
      <c r="Q305" s="24">
        <f t="shared" si="17"/>
        <v>1.8</v>
      </c>
      <c r="R305" s="22" t="str">
        <f t="shared" si="18"/>
        <v>1-3 Yrs</v>
      </c>
      <c r="S305" s="22">
        <f t="shared" si="19"/>
        <v>0</v>
      </c>
    </row>
    <row r="306" spans="1:19" x14ac:dyDescent="0.3">
      <c r="A306" s="22" t="s">
        <v>1102</v>
      </c>
      <c r="B306" t="s">
        <v>1103</v>
      </c>
      <c r="C306" t="s">
        <v>1104</v>
      </c>
      <c r="D306" t="s">
        <v>383</v>
      </c>
      <c r="E306" s="22" t="s">
        <v>384</v>
      </c>
      <c r="F306" t="s">
        <v>155</v>
      </c>
      <c r="G306" s="22" t="s">
        <v>28</v>
      </c>
      <c r="H306" s="22">
        <f t="shared" si="16"/>
        <v>4</v>
      </c>
      <c r="I306" t="s">
        <v>40</v>
      </c>
      <c r="J306" s="22" t="s">
        <v>106</v>
      </c>
      <c r="K306" t="s">
        <v>156</v>
      </c>
      <c r="L306" t="s">
        <v>99</v>
      </c>
      <c r="M306" s="28">
        <v>45645</v>
      </c>
      <c r="N306" s="22">
        <v>31</v>
      </c>
      <c r="O306" s="22" t="str">
        <f>IF(COUNTIF(Exits_Attrition!$A$2:$A$65,A306)&gt;0,"Exited","Active")</f>
        <v>Active</v>
      </c>
      <c r="P306" s="28" t="str">
        <f>IFERROR(INDEX(Exits_Attrition!$H$2:$H$65,MATCH(A306,Exits_Attrition!$A$2:$A$65,0)),"")</f>
        <v/>
      </c>
      <c r="Q306" s="24">
        <f t="shared" si="17"/>
        <v>1.8</v>
      </c>
      <c r="R306" s="22" t="str">
        <f t="shared" si="18"/>
        <v>1-3 Yrs</v>
      </c>
      <c r="S306" s="22">
        <f t="shared" si="19"/>
        <v>0</v>
      </c>
    </row>
    <row r="307" spans="1:19" x14ac:dyDescent="0.3">
      <c r="A307" s="22" t="s">
        <v>1105</v>
      </c>
      <c r="B307" t="s">
        <v>1106</v>
      </c>
      <c r="C307" t="s">
        <v>1107</v>
      </c>
      <c r="D307" t="s">
        <v>204</v>
      </c>
      <c r="E307" s="22" t="s">
        <v>203</v>
      </c>
      <c r="F307" t="s">
        <v>212</v>
      </c>
      <c r="G307" s="22" t="s">
        <v>26</v>
      </c>
      <c r="H307" s="22">
        <f t="shared" si="16"/>
        <v>3</v>
      </c>
      <c r="I307" t="s">
        <v>45</v>
      </c>
      <c r="J307" s="22" t="s">
        <v>106</v>
      </c>
      <c r="K307" t="s">
        <v>98</v>
      </c>
      <c r="L307" t="s">
        <v>99</v>
      </c>
      <c r="M307" s="28">
        <v>45656</v>
      </c>
      <c r="N307" s="22">
        <v>29</v>
      </c>
      <c r="O307" s="22" t="str">
        <f>IF(COUNTIF(Exits_Attrition!$A$2:$A$65,A307)&gt;0,"Exited","Active")</f>
        <v>Active</v>
      </c>
      <c r="P307" s="28" t="str">
        <f>IFERROR(INDEX(Exits_Attrition!$H$2:$H$65,MATCH(A307,Exits_Attrition!$A$2:$A$65,0)),"")</f>
        <v/>
      </c>
      <c r="Q307" s="24">
        <f t="shared" si="17"/>
        <v>1.7</v>
      </c>
      <c r="R307" s="22" t="str">
        <f t="shared" si="18"/>
        <v>1-3 Yrs</v>
      </c>
      <c r="S307" s="22">
        <f t="shared" si="19"/>
        <v>0</v>
      </c>
    </row>
    <row r="308" spans="1:19" x14ac:dyDescent="0.3">
      <c r="A308" s="22" t="s">
        <v>1108</v>
      </c>
      <c r="B308" t="s">
        <v>1109</v>
      </c>
      <c r="C308" t="s">
        <v>1110</v>
      </c>
      <c r="D308" t="s">
        <v>116</v>
      </c>
      <c r="E308" s="22" t="s">
        <v>115</v>
      </c>
      <c r="F308" t="s">
        <v>244</v>
      </c>
      <c r="G308" s="22" t="s">
        <v>26</v>
      </c>
      <c r="H308" s="22">
        <f t="shared" si="16"/>
        <v>3</v>
      </c>
      <c r="I308" t="s">
        <v>39</v>
      </c>
      <c r="J308" s="22" t="s">
        <v>97</v>
      </c>
      <c r="K308" t="s">
        <v>124</v>
      </c>
      <c r="L308" t="s">
        <v>99</v>
      </c>
      <c r="M308" s="28">
        <v>45657</v>
      </c>
      <c r="N308" s="22">
        <v>27</v>
      </c>
      <c r="O308" s="22" t="str">
        <f>IF(COUNTIF(Exits_Attrition!$A$2:$A$65,A308)&gt;0,"Exited","Active")</f>
        <v>Active</v>
      </c>
      <c r="P308" s="28" t="str">
        <f>IFERROR(INDEX(Exits_Attrition!$H$2:$H$65,MATCH(A308,Exits_Attrition!$A$2:$A$65,0)),"")</f>
        <v/>
      </c>
      <c r="Q308" s="24">
        <f t="shared" si="17"/>
        <v>1.7</v>
      </c>
      <c r="R308" s="22" t="str">
        <f t="shared" si="18"/>
        <v>1-3 Yrs</v>
      </c>
      <c r="S308" s="22">
        <f t="shared" si="19"/>
        <v>0</v>
      </c>
    </row>
    <row r="309" spans="1:19" x14ac:dyDescent="0.3">
      <c r="A309" s="22" t="s">
        <v>1111</v>
      </c>
      <c r="B309" t="s">
        <v>1112</v>
      </c>
      <c r="C309" t="s">
        <v>1113</v>
      </c>
      <c r="D309" t="s">
        <v>291</v>
      </c>
      <c r="E309" s="22" t="s">
        <v>292</v>
      </c>
      <c r="F309" t="s">
        <v>890</v>
      </c>
      <c r="G309" s="22" t="s">
        <v>22</v>
      </c>
      <c r="H309" s="22">
        <f t="shared" si="16"/>
        <v>1</v>
      </c>
      <c r="I309" t="s">
        <v>41</v>
      </c>
      <c r="J309" s="22" t="s">
        <v>106</v>
      </c>
      <c r="K309" t="s">
        <v>124</v>
      </c>
      <c r="L309" t="s">
        <v>99</v>
      </c>
      <c r="M309" s="28">
        <v>45662</v>
      </c>
      <c r="N309" s="22">
        <v>24</v>
      </c>
      <c r="O309" s="22" t="str">
        <f>IF(COUNTIF(Exits_Attrition!$A$2:$A$65,A309)&gt;0,"Exited","Active")</f>
        <v>Active</v>
      </c>
      <c r="P309" s="28" t="str">
        <f>IFERROR(INDEX(Exits_Attrition!$H$2:$H$65,MATCH(A309,Exits_Attrition!$A$2:$A$65,0)),"")</f>
        <v/>
      </c>
      <c r="Q309" s="24">
        <f t="shared" si="17"/>
        <v>1.7</v>
      </c>
      <c r="R309" s="22" t="str">
        <f t="shared" si="18"/>
        <v>1-3 Yrs</v>
      </c>
      <c r="S309" s="22">
        <f t="shared" si="19"/>
        <v>0</v>
      </c>
    </row>
    <row r="310" spans="1:19" x14ac:dyDescent="0.3">
      <c r="A310" s="22" t="s">
        <v>1114</v>
      </c>
      <c r="B310" t="s">
        <v>1115</v>
      </c>
      <c r="C310" t="s">
        <v>1116</v>
      </c>
      <c r="D310" t="s">
        <v>304</v>
      </c>
      <c r="E310" s="22" t="s">
        <v>303</v>
      </c>
      <c r="F310" t="s">
        <v>911</v>
      </c>
      <c r="G310" s="22" t="s">
        <v>22</v>
      </c>
      <c r="H310" s="22">
        <f t="shared" si="16"/>
        <v>1</v>
      </c>
      <c r="I310" t="s">
        <v>39</v>
      </c>
      <c r="J310" s="22" t="s">
        <v>106</v>
      </c>
      <c r="K310" t="s">
        <v>124</v>
      </c>
      <c r="L310" t="s">
        <v>99</v>
      </c>
      <c r="M310" s="28">
        <v>45669</v>
      </c>
      <c r="N310" s="22">
        <v>27</v>
      </c>
      <c r="O310" s="22" t="str">
        <f>IF(COUNTIF(Exits_Attrition!$A$2:$A$65,A310)&gt;0,"Exited","Active")</f>
        <v>Active</v>
      </c>
      <c r="P310" s="28" t="str">
        <f>IFERROR(INDEX(Exits_Attrition!$H$2:$H$65,MATCH(A310,Exits_Attrition!$A$2:$A$65,0)),"")</f>
        <v/>
      </c>
      <c r="Q310" s="24">
        <f t="shared" si="17"/>
        <v>1.7</v>
      </c>
      <c r="R310" s="22" t="str">
        <f t="shared" si="18"/>
        <v>1-3 Yrs</v>
      </c>
      <c r="S310" s="22">
        <f t="shared" si="19"/>
        <v>0</v>
      </c>
    </row>
    <row r="311" spans="1:19" x14ac:dyDescent="0.3">
      <c r="A311" s="22" t="s">
        <v>685</v>
      </c>
      <c r="B311" t="s">
        <v>684</v>
      </c>
      <c r="C311" t="s">
        <v>1117</v>
      </c>
      <c r="D311" t="s">
        <v>160</v>
      </c>
      <c r="E311" s="22" t="s">
        <v>161</v>
      </c>
      <c r="F311" t="s">
        <v>162</v>
      </c>
      <c r="G311" s="22" t="s">
        <v>30</v>
      </c>
      <c r="H311" s="22">
        <f t="shared" si="16"/>
        <v>5</v>
      </c>
      <c r="I311" t="s">
        <v>48</v>
      </c>
      <c r="J311" s="22" t="s">
        <v>97</v>
      </c>
      <c r="K311" t="s">
        <v>213</v>
      </c>
      <c r="L311" t="s">
        <v>99</v>
      </c>
      <c r="M311" s="28">
        <v>45669</v>
      </c>
      <c r="N311" s="22">
        <v>37</v>
      </c>
      <c r="O311" s="22" t="str">
        <f>IF(COUNTIF(Exits_Attrition!$A$2:$A$65,A311)&gt;0,"Exited","Active")</f>
        <v>Active</v>
      </c>
      <c r="P311" s="28" t="str">
        <f>IFERROR(INDEX(Exits_Attrition!$H$2:$H$65,MATCH(A311,Exits_Attrition!$A$2:$A$65,0)),"")</f>
        <v/>
      </c>
      <c r="Q311" s="24">
        <f t="shared" si="17"/>
        <v>1.7</v>
      </c>
      <c r="R311" s="22" t="str">
        <f t="shared" si="18"/>
        <v>1-3 Yrs</v>
      </c>
      <c r="S311" s="22">
        <f t="shared" si="19"/>
        <v>7</v>
      </c>
    </row>
    <row r="312" spans="1:19" x14ac:dyDescent="0.3">
      <c r="A312" s="22" t="s">
        <v>1118</v>
      </c>
      <c r="B312" t="s">
        <v>1119</v>
      </c>
      <c r="C312" t="s">
        <v>1120</v>
      </c>
      <c r="D312" t="s">
        <v>459</v>
      </c>
      <c r="E312" s="22" t="s">
        <v>458</v>
      </c>
      <c r="F312" t="s">
        <v>576</v>
      </c>
      <c r="G312" s="22" t="s">
        <v>24</v>
      </c>
      <c r="H312" s="22">
        <f t="shared" si="16"/>
        <v>2</v>
      </c>
      <c r="I312" t="s">
        <v>42</v>
      </c>
      <c r="J312" s="22" t="s">
        <v>106</v>
      </c>
      <c r="K312" t="s">
        <v>124</v>
      </c>
      <c r="L312" t="s">
        <v>99</v>
      </c>
      <c r="M312" s="28">
        <v>45670</v>
      </c>
      <c r="N312" s="22">
        <v>25</v>
      </c>
      <c r="O312" s="22" t="str">
        <f>IF(COUNTIF(Exits_Attrition!$A$2:$A$65,A312)&gt;0,"Exited","Active")</f>
        <v>Active</v>
      </c>
      <c r="P312" s="28" t="str">
        <f>IFERROR(INDEX(Exits_Attrition!$H$2:$H$65,MATCH(A312,Exits_Attrition!$A$2:$A$65,0)),"")</f>
        <v/>
      </c>
      <c r="Q312" s="24">
        <f t="shared" si="17"/>
        <v>1.7</v>
      </c>
      <c r="R312" s="22" t="str">
        <f t="shared" si="18"/>
        <v>1-3 Yrs</v>
      </c>
      <c r="S312" s="22">
        <f t="shared" si="19"/>
        <v>0</v>
      </c>
    </row>
    <row r="313" spans="1:19" x14ac:dyDescent="0.3">
      <c r="A313" s="22" t="s">
        <v>1121</v>
      </c>
      <c r="B313" t="s">
        <v>1122</v>
      </c>
      <c r="C313" t="s">
        <v>1123</v>
      </c>
      <c r="D313" t="s">
        <v>378</v>
      </c>
      <c r="E313" s="22" t="s">
        <v>379</v>
      </c>
      <c r="F313" t="s">
        <v>902</v>
      </c>
      <c r="G313" s="22" t="s">
        <v>22</v>
      </c>
      <c r="H313" s="22">
        <f t="shared" si="16"/>
        <v>1</v>
      </c>
      <c r="I313" t="s">
        <v>40</v>
      </c>
      <c r="J313" s="22" t="s">
        <v>97</v>
      </c>
      <c r="K313" t="s">
        <v>156</v>
      </c>
      <c r="L313" t="s">
        <v>99</v>
      </c>
      <c r="M313" s="28">
        <v>45672</v>
      </c>
      <c r="N313" s="22">
        <v>26</v>
      </c>
      <c r="O313" s="22" t="str">
        <f>IF(COUNTIF(Exits_Attrition!$A$2:$A$65,A313)&gt;0,"Exited","Active")</f>
        <v>Active</v>
      </c>
      <c r="P313" s="28" t="str">
        <f>IFERROR(INDEX(Exits_Attrition!$H$2:$H$65,MATCH(A313,Exits_Attrition!$A$2:$A$65,0)),"")</f>
        <v/>
      </c>
      <c r="Q313" s="24">
        <f t="shared" si="17"/>
        <v>1.7</v>
      </c>
      <c r="R313" s="22" t="str">
        <f t="shared" si="18"/>
        <v>1-3 Yrs</v>
      </c>
      <c r="S313" s="22">
        <f t="shared" si="19"/>
        <v>0</v>
      </c>
    </row>
    <row r="314" spans="1:19" x14ac:dyDescent="0.3">
      <c r="A314" s="22" t="s">
        <v>1124</v>
      </c>
      <c r="B314" t="s">
        <v>1125</v>
      </c>
      <c r="C314" t="s">
        <v>1126</v>
      </c>
      <c r="D314" t="s">
        <v>251</v>
      </c>
      <c r="E314" s="22" t="s">
        <v>252</v>
      </c>
      <c r="F314" t="s">
        <v>890</v>
      </c>
      <c r="G314" s="22" t="s">
        <v>22</v>
      </c>
      <c r="H314" s="22">
        <f t="shared" si="16"/>
        <v>1</v>
      </c>
      <c r="I314" t="s">
        <v>41</v>
      </c>
      <c r="J314" s="22" t="s">
        <v>106</v>
      </c>
      <c r="K314" t="s">
        <v>156</v>
      </c>
      <c r="L314" t="s">
        <v>99</v>
      </c>
      <c r="M314" s="28">
        <v>45675</v>
      </c>
      <c r="N314" s="22">
        <v>28</v>
      </c>
      <c r="O314" s="22" t="str">
        <f>IF(COUNTIF(Exits_Attrition!$A$2:$A$65,A314)&gt;0,"Exited","Active")</f>
        <v>Active</v>
      </c>
      <c r="P314" s="28" t="str">
        <f>IFERROR(INDEX(Exits_Attrition!$H$2:$H$65,MATCH(A314,Exits_Attrition!$A$2:$A$65,0)),"")</f>
        <v/>
      </c>
      <c r="Q314" s="24">
        <f t="shared" si="17"/>
        <v>1.7</v>
      </c>
      <c r="R314" s="22" t="str">
        <f t="shared" si="18"/>
        <v>1-3 Yrs</v>
      </c>
      <c r="S314" s="22">
        <f t="shared" si="19"/>
        <v>0</v>
      </c>
    </row>
    <row r="315" spans="1:19" x14ac:dyDescent="0.3">
      <c r="A315" s="22" t="s">
        <v>1127</v>
      </c>
      <c r="B315" t="s">
        <v>1128</v>
      </c>
      <c r="C315" t="s">
        <v>1129</v>
      </c>
      <c r="D315" t="s">
        <v>160</v>
      </c>
      <c r="E315" s="22" t="s">
        <v>161</v>
      </c>
      <c r="F315" t="s">
        <v>1130</v>
      </c>
      <c r="G315" s="22" t="s">
        <v>22</v>
      </c>
      <c r="H315" s="22">
        <f t="shared" si="16"/>
        <v>1</v>
      </c>
      <c r="I315" t="s">
        <v>48</v>
      </c>
      <c r="J315" s="22" t="s">
        <v>106</v>
      </c>
      <c r="K315" t="s">
        <v>213</v>
      </c>
      <c r="L315" t="s">
        <v>220</v>
      </c>
      <c r="M315" s="28">
        <v>45677</v>
      </c>
      <c r="N315" s="22">
        <v>28</v>
      </c>
      <c r="O315" s="22" t="str">
        <f>IF(COUNTIF(Exits_Attrition!$A$2:$A$65,A315)&gt;0,"Exited","Active")</f>
        <v>Active</v>
      </c>
      <c r="P315" s="28" t="str">
        <f>IFERROR(INDEX(Exits_Attrition!$H$2:$H$65,MATCH(A315,Exits_Attrition!$A$2:$A$65,0)),"")</f>
        <v/>
      </c>
      <c r="Q315" s="24">
        <f t="shared" si="17"/>
        <v>1.7</v>
      </c>
      <c r="R315" s="22" t="str">
        <f t="shared" si="18"/>
        <v>1-3 Yrs</v>
      </c>
      <c r="S315" s="22">
        <f t="shared" si="19"/>
        <v>0</v>
      </c>
    </row>
    <row r="316" spans="1:19" x14ac:dyDescent="0.3">
      <c r="A316" s="22" t="s">
        <v>1131</v>
      </c>
      <c r="B316" t="s">
        <v>1132</v>
      </c>
      <c r="C316" t="s">
        <v>1133</v>
      </c>
      <c r="D316" t="s">
        <v>158</v>
      </c>
      <c r="E316" s="22" t="s">
        <v>157</v>
      </c>
      <c r="F316" t="s">
        <v>686</v>
      </c>
      <c r="G316" s="22" t="s">
        <v>24</v>
      </c>
      <c r="H316" s="22">
        <f t="shared" si="16"/>
        <v>2</v>
      </c>
      <c r="I316" t="s">
        <v>48</v>
      </c>
      <c r="J316" s="22" t="s">
        <v>97</v>
      </c>
      <c r="K316" t="s">
        <v>190</v>
      </c>
      <c r="L316" t="s">
        <v>99</v>
      </c>
      <c r="M316" s="28">
        <v>45689</v>
      </c>
      <c r="N316" s="22">
        <v>30</v>
      </c>
      <c r="O316" s="22" t="str">
        <f>IF(COUNTIF(Exits_Attrition!$A$2:$A$65,A316)&gt;0,"Exited","Active")</f>
        <v>Active</v>
      </c>
      <c r="P316" s="28" t="str">
        <f>IFERROR(INDEX(Exits_Attrition!$H$2:$H$65,MATCH(A316,Exits_Attrition!$A$2:$A$65,0)),"")</f>
        <v/>
      </c>
      <c r="Q316" s="24">
        <f t="shared" si="17"/>
        <v>1.7</v>
      </c>
      <c r="R316" s="22" t="str">
        <f t="shared" si="18"/>
        <v>1-3 Yrs</v>
      </c>
      <c r="S316" s="22">
        <f t="shared" si="19"/>
        <v>0</v>
      </c>
    </row>
    <row r="317" spans="1:19" x14ac:dyDescent="0.3">
      <c r="A317" s="22" t="s">
        <v>1134</v>
      </c>
      <c r="B317" t="s">
        <v>1135</v>
      </c>
      <c r="C317" t="s">
        <v>1136</v>
      </c>
      <c r="D317" t="s">
        <v>194</v>
      </c>
      <c r="E317" s="22" t="s">
        <v>195</v>
      </c>
      <c r="F317" t="s">
        <v>1062</v>
      </c>
      <c r="G317" s="22" t="s">
        <v>22</v>
      </c>
      <c r="H317" s="22">
        <f t="shared" si="16"/>
        <v>1</v>
      </c>
      <c r="I317" t="s">
        <v>42</v>
      </c>
      <c r="J317" s="22" t="s">
        <v>97</v>
      </c>
      <c r="K317" t="s">
        <v>124</v>
      </c>
      <c r="L317" t="s">
        <v>99</v>
      </c>
      <c r="M317" s="28">
        <v>45690</v>
      </c>
      <c r="N317" s="22">
        <v>25</v>
      </c>
      <c r="O317" s="22" t="str">
        <f>IF(COUNTIF(Exits_Attrition!$A$2:$A$65,A317)&gt;0,"Exited","Active")</f>
        <v>Active</v>
      </c>
      <c r="P317" s="28" t="str">
        <f>IFERROR(INDEX(Exits_Attrition!$H$2:$H$65,MATCH(A317,Exits_Attrition!$A$2:$A$65,0)),"")</f>
        <v/>
      </c>
      <c r="Q317" s="24">
        <f t="shared" si="17"/>
        <v>1.7</v>
      </c>
      <c r="R317" s="22" t="str">
        <f t="shared" si="18"/>
        <v>1-3 Yrs</v>
      </c>
      <c r="S317" s="22">
        <f t="shared" si="19"/>
        <v>0</v>
      </c>
    </row>
    <row r="318" spans="1:19" x14ac:dyDescent="0.3">
      <c r="A318" s="22" t="s">
        <v>1137</v>
      </c>
      <c r="B318" t="s">
        <v>1138</v>
      </c>
      <c r="C318" t="s">
        <v>1139</v>
      </c>
      <c r="D318" t="s">
        <v>501</v>
      </c>
      <c r="E318" s="22" t="s">
        <v>502</v>
      </c>
      <c r="F318" t="s">
        <v>671</v>
      </c>
      <c r="G318" s="22" t="s">
        <v>24</v>
      </c>
      <c r="H318" s="22">
        <f t="shared" si="16"/>
        <v>2</v>
      </c>
      <c r="I318" t="s">
        <v>46</v>
      </c>
      <c r="J318" s="22" t="s">
        <v>97</v>
      </c>
      <c r="K318" t="s">
        <v>98</v>
      </c>
      <c r="L318" t="s">
        <v>99</v>
      </c>
      <c r="M318" s="28">
        <v>45692</v>
      </c>
      <c r="N318" s="22">
        <v>28</v>
      </c>
      <c r="O318" s="22" t="str">
        <f>IF(COUNTIF(Exits_Attrition!$A$2:$A$65,A318)&gt;0,"Exited","Active")</f>
        <v>Active</v>
      </c>
      <c r="P318" s="28" t="str">
        <f>IFERROR(INDEX(Exits_Attrition!$H$2:$H$65,MATCH(A318,Exits_Attrition!$A$2:$A$65,0)),"")</f>
        <v/>
      </c>
      <c r="Q318" s="24">
        <f t="shared" si="17"/>
        <v>1.7</v>
      </c>
      <c r="R318" s="22" t="str">
        <f t="shared" si="18"/>
        <v>1-3 Yrs</v>
      </c>
      <c r="S318" s="22">
        <f t="shared" si="19"/>
        <v>0</v>
      </c>
    </row>
    <row r="319" spans="1:19" x14ac:dyDescent="0.3">
      <c r="A319" s="22" t="s">
        <v>1140</v>
      </c>
      <c r="B319" t="s">
        <v>1141</v>
      </c>
      <c r="C319" t="s">
        <v>1142</v>
      </c>
      <c r="D319" t="s">
        <v>313</v>
      </c>
      <c r="E319" s="22" t="s">
        <v>314</v>
      </c>
      <c r="F319" t="s">
        <v>569</v>
      </c>
      <c r="G319" s="22" t="s">
        <v>24</v>
      </c>
      <c r="H319" s="22">
        <f t="shared" si="16"/>
        <v>2</v>
      </c>
      <c r="I319" t="s">
        <v>39</v>
      </c>
      <c r="J319" s="22" t="s">
        <v>106</v>
      </c>
      <c r="K319" t="s">
        <v>190</v>
      </c>
      <c r="L319" t="s">
        <v>220</v>
      </c>
      <c r="M319" s="28">
        <v>45695</v>
      </c>
      <c r="N319" s="22">
        <v>28</v>
      </c>
      <c r="O319" s="22" t="str">
        <f>IF(COUNTIF(Exits_Attrition!$A$2:$A$65,A319)&gt;0,"Exited","Active")</f>
        <v>Active</v>
      </c>
      <c r="P319" s="28" t="str">
        <f>IFERROR(INDEX(Exits_Attrition!$H$2:$H$65,MATCH(A319,Exits_Attrition!$A$2:$A$65,0)),"")</f>
        <v/>
      </c>
      <c r="Q319" s="24">
        <f t="shared" si="17"/>
        <v>1.6</v>
      </c>
      <c r="R319" s="22" t="str">
        <f t="shared" si="18"/>
        <v>1-3 Yrs</v>
      </c>
      <c r="S319" s="22">
        <f t="shared" si="19"/>
        <v>0</v>
      </c>
    </row>
    <row r="320" spans="1:19" x14ac:dyDescent="0.3">
      <c r="A320" s="22" t="s">
        <v>1143</v>
      </c>
      <c r="B320" t="s">
        <v>1144</v>
      </c>
      <c r="C320" t="s">
        <v>1145</v>
      </c>
      <c r="D320" t="s">
        <v>304</v>
      </c>
      <c r="E320" s="22" t="s">
        <v>303</v>
      </c>
      <c r="F320" t="s">
        <v>569</v>
      </c>
      <c r="G320" s="22" t="s">
        <v>24</v>
      </c>
      <c r="H320" s="22">
        <f t="shared" si="16"/>
        <v>2</v>
      </c>
      <c r="I320" t="s">
        <v>39</v>
      </c>
      <c r="J320" s="22" t="s">
        <v>97</v>
      </c>
      <c r="K320" t="s">
        <v>213</v>
      </c>
      <c r="L320" t="s">
        <v>99</v>
      </c>
      <c r="M320" s="28">
        <v>45698</v>
      </c>
      <c r="N320" s="22">
        <v>27</v>
      </c>
      <c r="O320" s="22" t="str">
        <f>IF(COUNTIF(Exits_Attrition!$A$2:$A$65,A320)&gt;0,"Exited","Active")</f>
        <v>Active</v>
      </c>
      <c r="P320" s="28" t="str">
        <f>IFERROR(INDEX(Exits_Attrition!$H$2:$H$65,MATCH(A320,Exits_Attrition!$A$2:$A$65,0)),"")</f>
        <v/>
      </c>
      <c r="Q320" s="24">
        <f t="shared" si="17"/>
        <v>1.6</v>
      </c>
      <c r="R320" s="22" t="str">
        <f t="shared" si="18"/>
        <v>1-3 Yrs</v>
      </c>
      <c r="S320" s="22">
        <f t="shared" si="19"/>
        <v>0</v>
      </c>
    </row>
    <row r="321" spans="1:19" x14ac:dyDescent="0.3">
      <c r="A321" s="22" t="s">
        <v>1146</v>
      </c>
      <c r="B321" t="s">
        <v>1147</v>
      </c>
      <c r="C321" t="s">
        <v>1148</v>
      </c>
      <c r="D321" t="s">
        <v>119</v>
      </c>
      <c r="E321" s="22" t="s">
        <v>118</v>
      </c>
      <c r="F321" t="s">
        <v>550</v>
      </c>
      <c r="G321" s="22" t="s">
        <v>24</v>
      </c>
      <c r="H321" s="22">
        <f t="shared" si="16"/>
        <v>2</v>
      </c>
      <c r="I321" t="s">
        <v>40</v>
      </c>
      <c r="J321" s="22" t="s">
        <v>106</v>
      </c>
      <c r="K321" t="s">
        <v>98</v>
      </c>
      <c r="L321" t="s">
        <v>220</v>
      </c>
      <c r="M321" s="28">
        <v>45701</v>
      </c>
      <c r="N321" s="22">
        <v>31</v>
      </c>
      <c r="O321" s="22" t="str">
        <f>IF(COUNTIF(Exits_Attrition!$A$2:$A$65,A321)&gt;0,"Exited","Active")</f>
        <v>Active</v>
      </c>
      <c r="P321" s="28" t="str">
        <f>IFERROR(INDEX(Exits_Attrition!$H$2:$H$65,MATCH(A321,Exits_Attrition!$A$2:$A$65,0)),"")</f>
        <v/>
      </c>
      <c r="Q321" s="24">
        <f t="shared" si="17"/>
        <v>1.6</v>
      </c>
      <c r="R321" s="22" t="str">
        <f t="shared" si="18"/>
        <v>1-3 Yrs</v>
      </c>
      <c r="S321" s="22">
        <f t="shared" si="19"/>
        <v>0</v>
      </c>
    </row>
    <row r="322" spans="1:19" x14ac:dyDescent="0.3">
      <c r="A322" s="22" t="s">
        <v>1149</v>
      </c>
      <c r="B322" t="s">
        <v>1150</v>
      </c>
      <c r="C322" t="s">
        <v>1151</v>
      </c>
      <c r="D322" t="s">
        <v>236</v>
      </c>
      <c r="E322" s="22" t="s">
        <v>237</v>
      </c>
      <c r="F322" t="s">
        <v>196</v>
      </c>
      <c r="G322" s="22" t="s">
        <v>28</v>
      </c>
      <c r="H322" s="22">
        <f t="shared" ref="H322:H385" si="20">VALUE(MID(G322,2,1))</f>
        <v>4</v>
      </c>
      <c r="I322" t="s">
        <v>42</v>
      </c>
      <c r="J322" s="22" t="s">
        <v>106</v>
      </c>
      <c r="K322" t="s">
        <v>124</v>
      </c>
      <c r="L322" t="s">
        <v>99</v>
      </c>
      <c r="M322" s="28">
        <v>45701</v>
      </c>
      <c r="N322" s="22">
        <v>30</v>
      </c>
      <c r="O322" s="22" t="str">
        <f>IF(COUNTIF(Exits_Attrition!$A$2:$A$65,A322)&gt;0,"Exited","Active")</f>
        <v>Active</v>
      </c>
      <c r="P322" s="28" t="str">
        <f>IFERROR(INDEX(Exits_Attrition!$H$2:$H$65,MATCH(A322,Exits_Attrition!$A$2:$A$65,0)),"")</f>
        <v/>
      </c>
      <c r="Q322" s="24">
        <f t="shared" ref="Q322:Q385" si="21">ROUND((IF(P322="",AsOf,P322)-M322)/365.25,1)</f>
        <v>1.6</v>
      </c>
      <c r="R322" s="22" t="str">
        <f t="shared" ref="R322:R385" si="22">IF(Q322&lt;1,"Under 1 Yr",IF(Q322&lt;3,"1-3 Yrs",IF(Q322&lt;5,"3-5 Yrs","5+ Yrs")))</f>
        <v>1-3 Yrs</v>
      </c>
      <c r="S322" s="22">
        <f t="shared" ref="S322:S385" si="23">COUNTIF($E$2:$E$501,A322)</f>
        <v>0</v>
      </c>
    </row>
    <row r="323" spans="1:19" x14ac:dyDescent="0.3">
      <c r="A323" s="22" t="s">
        <v>1152</v>
      </c>
      <c r="B323" t="s">
        <v>1153</v>
      </c>
      <c r="C323" t="s">
        <v>1154</v>
      </c>
      <c r="D323" t="s">
        <v>513</v>
      </c>
      <c r="E323" s="22" t="s">
        <v>514</v>
      </c>
      <c r="F323" t="s">
        <v>894</v>
      </c>
      <c r="G323" s="22" t="s">
        <v>22</v>
      </c>
      <c r="H323" s="22">
        <f t="shared" si="20"/>
        <v>1</v>
      </c>
      <c r="I323" t="s">
        <v>43</v>
      </c>
      <c r="J323" s="22" t="s">
        <v>97</v>
      </c>
      <c r="K323" t="s">
        <v>98</v>
      </c>
      <c r="L323" t="s">
        <v>99</v>
      </c>
      <c r="M323" s="28">
        <v>45705</v>
      </c>
      <c r="N323" s="22">
        <v>29</v>
      </c>
      <c r="O323" s="22" t="str">
        <f>IF(COUNTIF(Exits_Attrition!$A$2:$A$65,A323)&gt;0,"Exited","Active")</f>
        <v>Active</v>
      </c>
      <c r="P323" s="28" t="str">
        <f>IFERROR(INDEX(Exits_Attrition!$H$2:$H$65,MATCH(A323,Exits_Attrition!$A$2:$A$65,0)),"")</f>
        <v/>
      </c>
      <c r="Q323" s="24">
        <f t="shared" si="21"/>
        <v>1.6</v>
      </c>
      <c r="R323" s="22" t="str">
        <f t="shared" si="22"/>
        <v>1-3 Yrs</v>
      </c>
      <c r="S323" s="22">
        <f t="shared" si="23"/>
        <v>0</v>
      </c>
    </row>
    <row r="324" spans="1:19" x14ac:dyDescent="0.3">
      <c r="A324" s="22" t="s">
        <v>1155</v>
      </c>
      <c r="B324" t="s">
        <v>1156</v>
      </c>
      <c r="C324" t="s">
        <v>1157</v>
      </c>
      <c r="D324" t="s">
        <v>338</v>
      </c>
      <c r="E324" s="22" t="s">
        <v>339</v>
      </c>
      <c r="F324" t="s">
        <v>1062</v>
      </c>
      <c r="G324" s="22" t="s">
        <v>22</v>
      </c>
      <c r="H324" s="22">
        <f t="shared" si="20"/>
        <v>1</v>
      </c>
      <c r="I324" t="s">
        <v>42</v>
      </c>
      <c r="J324" s="22" t="s">
        <v>106</v>
      </c>
      <c r="K324" t="s">
        <v>107</v>
      </c>
      <c r="L324" t="s">
        <v>99</v>
      </c>
      <c r="M324" s="28">
        <v>45709</v>
      </c>
      <c r="N324" s="22">
        <v>25</v>
      </c>
      <c r="O324" s="22" t="str">
        <f>IF(COUNTIF(Exits_Attrition!$A$2:$A$65,A324)&gt;0,"Exited","Active")</f>
        <v>Active</v>
      </c>
      <c r="P324" s="28" t="str">
        <f>IFERROR(INDEX(Exits_Attrition!$H$2:$H$65,MATCH(A324,Exits_Attrition!$A$2:$A$65,0)),"")</f>
        <v/>
      </c>
      <c r="Q324" s="24">
        <f t="shared" si="21"/>
        <v>1.6</v>
      </c>
      <c r="R324" s="22" t="str">
        <f t="shared" si="22"/>
        <v>1-3 Yrs</v>
      </c>
      <c r="S324" s="22">
        <f t="shared" si="23"/>
        <v>0</v>
      </c>
    </row>
    <row r="325" spans="1:19" x14ac:dyDescent="0.3">
      <c r="A325" s="22" t="s">
        <v>1158</v>
      </c>
      <c r="B325" t="s">
        <v>1159</v>
      </c>
      <c r="C325" t="s">
        <v>1160</v>
      </c>
      <c r="D325" t="s">
        <v>415</v>
      </c>
      <c r="E325" s="22" t="s">
        <v>416</v>
      </c>
      <c r="F325" t="s">
        <v>550</v>
      </c>
      <c r="G325" s="22" t="s">
        <v>24</v>
      </c>
      <c r="H325" s="22">
        <f t="shared" si="20"/>
        <v>2</v>
      </c>
      <c r="I325" t="s">
        <v>40</v>
      </c>
      <c r="J325" s="22" t="s">
        <v>97</v>
      </c>
      <c r="K325" t="s">
        <v>156</v>
      </c>
      <c r="L325" t="s">
        <v>99</v>
      </c>
      <c r="M325" s="28">
        <v>45715</v>
      </c>
      <c r="N325" s="22">
        <v>25</v>
      </c>
      <c r="O325" s="22" t="str">
        <f>IF(COUNTIF(Exits_Attrition!$A$2:$A$65,A325)&gt;0,"Exited","Active")</f>
        <v>Active</v>
      </c>
      <c r="P325" s="28" t="str">
        <f>IFERROR(INDEX(Exits_Attrition!$H$2:$H$65,MATCH(A325,Exits_Attrition!$A$2:$A$65,0)),"")</f>
        <v/>
      </c>
      <c r="Q325" s="24">
        <f t="shared" si="21"/>
        <v>1.6</v>
      </c>
      <c r="R325" s="22" t="str">
        <f t="shared" si="22"/>
        <v>1-3 Yrs</v>
      </c>
      <c r="S325" s="22">
        <f t="shared" si="23"/>
        <v>0</v>
      </c>
    </row>
    <row r="326" spans="1:19" x14ac:dyDescent="0.3">
      <c r="A326" s="22" t="s">
        <v>1161</v>
      </c>
      <c r="B326" t="s">
        <v>1162</v>
      </c>
      <c r="C326" t="s">
        <v>1163</v>
      </c>
      <c r="D326" t="s">
        <v>291</v>
      </c>
      <c r="E326" s="22" t="s">
        <v>292</v>
      </c>
      <c r="F326" t="s">
        <v>253</v>
      </c>
      <c r="G326" s="22" t="s">
        <v>26</v>
      </c>
      <c r="H326" s="22">
        <f t="shared" si="20"/>
        <v>3</v>
      </c>
      <c r="I326" t="s">
        <v>41</v>
      </c>
      <c r="J326" s="22" t="s">
        <v>106</v>
      </c>
      <c r="K326" t="s">
        <v>156</v>
      </c>
      <c r="L326" t="s">
        <v>99</v>
      </c>
      <c r="M326" s="28">
        <v>45715</v>
      </c>
      <c r="N326" s="22">
        <v>31</v>
      </c>
      <c r="O326" s="22" t="str">
        <f>IF(COUNTIF(Exits_Attrition!$A$2:$A$65,A326)&gt;0,"Exited","Active")</f>
        <v>Active</v>
      </c>
      <c r="P326" s="28" t="str">
        <f>IFERROR(INDEX(Exits_Attrition!$H$2:$H$65,MATCH(A326,Exits_Attrition!$A$2:$A$65,0)),"")</f>
        <v/>
      </c>
      <c r="Q326" s="24">
        <f t="shared" si="21"/>
        <v>1.6</v>
      </c>
      <c r="R326" s="22" t="str">
        <f t="shared" si="22"/>
        <v>1-3 Yrs</v>
      </c>
      <c r="S326" s="22">
        <f t="shared" si="23"/>
        <v>0</v>
      </c>
    </row>
    <row r="327" spans="1:19" x14ac:dyDescent="0.3">
      <c r="A327" s="22" t="s">
        <v>1164</v>
      </c>
      <c r="B327" t="s">
        <v>1165</v>
      </c>
      <c r="C327" t="s">
        <v>1166</v>
      </c>
      <c r="D327" t="s">
        <v>433</v>
      </c>
      <c r="E327" s="22" t="s">
        <v>434</v>
      </c>
      <c r="F327" t="s">
        <v>749</v>
      </c>
      <c r="G327" s="22" t="s">
        <v>24</v>
      </c>
      <c r="H327" s="22">
        <f t="shared" si="20"/>
        <v>2</v>
      </c>
      <c r="I327" t="s">
        <v>45</v>
      </c>
      <c r="J327" s="22" t="s">
        <v>97</v>
      </c>
      <c r="K327" t="s">
        <v>98</v>
      </c>
      <c r="L327" t="s">
        <v>99</v>
      </c>
      <c r="M327" s="28">
        <v>45718</v>
      </c>
      <c r="N327" s="22">
        <v>30</v>
      </c>
      <c r="O327" s="22" t="str">
        <f>IF(COUNTIF(Exits_Attrition!$A$2:$A$65,A327)&gt;0,"Exited","Active")</f>
        <v>Active</v>
      </c>
      <c r="P327" s="28" t="str">
        <f>IFERROR(INDEX(Exits_Attrition!$H$2:$H$65,MATCH(A327,Exits_Attrition!$A$2:$A$65,0)),"")</f>
        <v/>
      </c>
      <c r="Q327" s="24">
        <f t="shared" si="21"/>
        <v>1.6</v>
      </c>
      <c r="R327" s="22" t="str">
        <f t="shared" si="22"/>
        <v>1-3 Yrs</v>
      </c>
      <c r="S327" s="22">
        <f t="shared" si="23"/>
        <v>0</v>
      </c>
    </row>
    <row r="328" spans="1:19" x14ac:dyDescent="0.3">
      <c r="A328" s="22" t="s">
        <v>1167</v>
      </c>
      <c r="B328" t="s">
        <v>1168</v>
      </c>
      <c r="C328" t="s">
        <v>1169</v>
      </c>
      <c r="D328" t="s">
        <v>136</v>
      </c>
      <c r="E328" s="22" t="s">
        <v>135</v>
      </c>
      <c r="F328" t="s">
        <v>155</v>
      </c>
      <c r="G328" s="22" t="s">
        <v>28</v>
      </c>
      <c r="H328" s="22">
        <f t="shared" si="20"/>
        <v>4</v>
      </c>
      <c r="I328" t="s">
        <v>40</v>
      </c>
      <c r="J328" s="22" t="s">
        <v>97</v>
      </c>
      <c r="K328" t="s">
        <v>156</v>
      </c>
      <c r="L328" t="s">
        <v>99</v>
      </c>
      <c r="M328" s="28">
        <v>45719</v>
      </c>
      <c r="N328" s="22">
        <v>29</v>
      </c>
      <c r="O328" s="22" t="str">
        <f>IF(COUNTIF(Exits_Attrition!$A$2:$A$65,A328)&gt;0,"Exited","Active")</f>
        <v>Active</v>
      </c>
      <c r="P328" s="28" t="str">
        <f>IFERROR(INDEX(Exits_Attrition!$H$2:$H$65,MATCH(A328,Exits_Attrition!$A$2:$A$65,0)),"")</f>
        <v/>
      </c>
      <c r="Q328" s="24">
        <f t="shared" si="21"/>
        <v>1.6</v>
      </c>
      <c r="R328" s="22" t="str">
        <f t="shared" si="22"/>
        <v>1-3 Yrs</v>
      </c>
      <c r="S328" s="22">
        <f t="shared" si="23"/>
        <v>0</v>
      </c>
    </row>
    <row r="329" spans="1:19" x14ac:dyDescent="0.3">
      <c r="A329" s="22" t="s">
        <v>1170</v>
      </c>
      <c r="B329" t="s">
        <v>1171</v>
      </c>
      <c r="C329" t="s">
        <v>1172</v>
      </c>
      <c r="D329" t="s">
        <v>415</v>
      </c>
      <c r="E329" s="22" t="s">
        <v>416</v>
      </c>
      <c r="F329" t="s">
        <v>902</v>
      </c>
      <c r="G329" s="22" t="s">
        <v>22</v>
      </c>
      <c r="H329" s="22">
        <f t="shared" si="20"/>
        <v>1</v>
      </c>
      <c r="I329" t="s">
        <v>40</v>
      </c>
      <c r="J329" s="22" t="s">
        <v>106</v>
      </c>
      <c r="K329" t="s">
        <v>156</v>
      </c>
      <c r="L329" t="s">
        <v>99</v>
      </c>
      <c r="M329" s="28">
        <v>45725</v>
      </c>
      <c r="N329" s="22">
        <v>23</v>
      </c>
      <c r="O329" s="22" t="str">
        <f>IF(COUNTIF(Exits_Attrition!$A$2:$A$65,A329)&gt;0,"Exited","Active")</f>
        <v>Active</v>
      </c>
      <c r="P329" s="28" t="str">
        <f>IFERROR(INDEX(Exits_Attrition!$H$2:$H$65,MATCH(A329,Exits_Attrition!$A$2:$A$65,0)),"")</f>
        <v/>
      </c>
      <c r="Q329" s="24">
        <f t="shared" si="21"/>
        <v>1.6</v>
      </c>
      <c r="R329" s="22" t="str">
        <f t="shared" si="22"/>
        <v>1-3 Yrs</v>
      </c>
      <c r="S329" s="22">
        <f t="shared" si="23"/>
        <v>0</v>
      </c>
    </row>
    <row r="330" spans="1:19" x14ac:dyDescent="0.3">
      <c r="A330" s="22" t="s">
        <v>1173</v>
      </c>
      <c r="B330" t="s">
        <v>1174</v>
      </c>
      <c r="C330" t="s">
        <v>1175</v>
      </c>
      <c r="D330" t="s">
        <v>113</v>
      </c>
      <c r="E330" s="22" t="s">
        <v>112</v>
      </c>
      <c r="F330" t="s">
        <v>569</v>
      </c>
      <c r="G330" s="22" t="s">
        <v>24</v>
      </c>
      <c r="H330" s="22">
        <f t="shared" si="20"/>
        <v>2</v>
      </c>
      <c r="I330" t="s">
        <v>39</v>
      </c>
      <c r="J330" s="22" t="s">
        <v>106</v>
      </c>
      <c r="K330" t="s">
        <v>98</v>
      </c>
      <c r="L330" t="s">
        <v>99</v>
      </c>
      <c r="M330" s="28">
        <v>45728</v>
      </c>
      <c r="N330" s="22">
        <v>25</v>
      </c>
      <c r="O330" s="22" t="str">
        <f>IF(COUNTIF(Exits_Attrition!$A$2:$A$65,A330)&gt;0,"Exited","Active")</f>
        <v>Active</v>
      </c>
      <c r="P330" s="28" t="str">
        <f>IFERROR(INDEX(Exits_Attrition!$H$2:$H$65,MATCH(A330,Exits_Attrition!$A$2:$A$65,0)),"")</f>
        <v/>
      </c>
      <c r="Q330" s="24">
        <f t="shared" si="21"/>
        <v>1.6</v>
      </c>
      <c r="R330" s="22" t="str">
        <f t="shared" si="22"/>
        <v>1-3 Yrs</v>
      </c>
      <c r="S330" s="22">
        <f t="shared" si="23"/>
        <v>0</v>
      </c>
    </row>
    <row r="331" spans="1:19" x14ac:dyDescent="0.3">
      <c r="A331" s="22" t="s">
        <v>1176</v>
      </c>
      <c r="B331" t="s">
        <v>1177</v>
      </c>
      <c r="C331" t="s">
        <v>1178</v>
      </c>
      <c r="D331" t="s">
        <v>236</v>
      </c>
      <c r="E331" s="22" t="s">
        <v>237</v>
      </c>
      <c r="F331" t="s">
        <v>238</v>
      </c>
      <c r="G331" s="22" t="s">
        <v>26</v>
      </c>
      <c r="H331" s="22">
        <f t="shared" si="20"/>
        <v>3</v>
      </c>
      <c r="I331" t="s">
        <v>42</v>
      </c>
      <c r="J331" s="22" t="s">
        <v>106</v>
      </c>
      <c r="K331" t="s">
        <v>124</v>
      </c>
      <c r="L331" t="s">
        <v>99</v>
      </c>
      <c r="M331" s="28">
        <v>45730</v>
      </c>
      <c r="N331" s="22">
        <v>27</v>
      </c>
      <c r="O331" s="22" t="str">
        <f>IF(COUNTIF(Exits_Attrition!$A$2:$A$65,A331)&gt;0,"Exited","Active")</f>
        <v>Active</v>
      </c>
      <c r="P331" s="28" t="str">
        <f>IFERROR(INDEX(Exits_Attrition!$H$2:$H$65,MATCH(A331,Exits_Attrition!$A$2:$A$65,0)),"")</f>
        <v/>
      </c>
      <c r="Q331" s="24">
        <f t="shared" si="21"/>
        <v>1.5</v>
      </c>
      <c r="R331" s="22" t="str">
        <f t="shared" si="22"/>
        <v>1-3 Yrs</v>
      </c>
      <c r="S331" s="22">
        <f t="shared" si="23"/>
        <v>0</v>
      </c>
    </row>
    <row r="332" spans="1:19" x14ac:dyDescent="0.3">
      <c r="A332" s="22" t="s">
        <v>1179</v>
      </c>
      <c r="B332" t="s">
        <v>1180</v>
      </c>
      <c r="C332" t="s">
        <v>1181</v>
      </c>
      <c r="D332" t="s">
        <v>433</v>
      </c>
      <c r="E332" s="22" t="s">
        <v>434</v>
      </c>
      <c r="F332" t="s">
        <v>476</v>
      </c>
      <c r="G332" s="22" t="s">
        <v>28</v>
      </c>
      <c r="H332" s="22">
        <f t="shared" si="20"/>
        <v>4</v>
      </c>
      <c r="I332" t="s">
        <v>45</v>
      </c>
      <c r="J332" s="22" t="s">
        <v>97</v>
      </c>
      <c r="K332" t="s">
        <v>98</v>
      </c>
      <c r="L332" t="s">
        <v>99</v>
      </c>
      <c r="M332" s="28">
        <v>45735</v>
      </c>
      <c r="N332" s="22">
        <v>34</v>
      </c>
      <c r="O332" s="22" t="str">
        <f>IF(COUNTIF(Exits_Attrition!$A$2:$A$65,A332)&gt;0,"Exited","Active")</f>
        <v>Active</v>
      </c>
      <c r="P332" s="28" t="str">
        <f>IFERROR(INDEX(Exits_Attrition!$H$2:$H$65,MATCH(A332,Exits_Attrition!$A$2:$A$65,0)),"")</f>
        <v/>
      </c>
      <c r="Q332" s="24">
        <f t="shared" si="21"/>
        <v>1.5</v>
      </c>
      <c r="R332" s="22" t="str">
        <f t="shared" si="22"/>
        <v>1-3 Yrs</v>
      </c>
      <c r="S332" s="22">
        <f t="shared" si="23"/>
        <v>0</v>
      </c>
    </row>
    <row r="333" spans="1:19" x14ac:dyDescent="0.3">
      <c r="A333" s="22" t="s">
        <v>1182</v>
      </c>
      <c r="B333" t="s">
        <v>1183</v>
      </c>
      <c r="C333" t="s">
        <v>1184</v>
      </c>
      <c r="D333" t="s">
        <v>400</v>
      </c>
      <c r="E333" s="22" t="s">
        <v>401</v>
      </c>
      <c r="F333" t="s">
        <v>569</v>
      </c>
      <c r="G333" s="22" t="s">
        <v>24</v>
      </c>
      <c r="H333" s="22">
        <f t="shared" si="20"/>
        <v>2</v>
      </c>
      <c r="I333" t="s">
        <v>39</v>
      </c>
      <c r="J333" s="22" t="s">
        <v>97</v>
      </c>
      <c r="K333" t="s">
        <v>98</v>
      </c>
      <c r="L333" t="s">
        <v>99</v>
      </c>
      <c r="M333" s="28">
        <v>45740</v>
      </c>
      <c r="N333" s="22">
        <v>30</v>
      </c>
      <c r="O333" s="22" t="str">
        <f>IF(COUNTIF(Exits_Attrition!$A$2:$A$65,A333)&gt;0,"Exited","Active")</f>
        <v>Active</v>
      </c>
      <c r="P333" s="28" t="str">
        <f>IFERROR(INDEX(Exits_Attrition!$H$2:$H$65,MATCH(A333,Exits_Attrition!$A$2:$A$65,0)),"")</f>
        <v/>
      </c>
      <c r="Q333" s="24">
        <f t="shared" si="21"/>
        <v>1.5</v>
      </c>
      <c r="R333" s="22" t="str">
        <f t="shared" si="22"/>
        <v>1-3 Yrs</v>
      </c>
      <c r="S333" s="22">
        <f t="shared" si="23"/>
        <v>0</v>
      </c>
    </row>
    <row r="334" spans="1:19" x14ac:dyDescent="0.3">
      <c r="A334" s="22" t="s">
        <v>1185</v>
      </c>
      <c r="B334" t="s">
        <v>1186</v>
      </c>
      <c r="C334" t="s">
        <v>1187</v>
      </c>
      <c r="D334" t="s">
        <v>185</v>
      </c>
      <c r="E334" s="22" t="s">
        <v>184</v>
      </c>
      <c r="F334" t="s">
        <v>263</v>
      </c>
      <c r="G334" s="22" t="s">
        <v>26</v>
      </c>
      <c r="H334" s="22">
        <f t="shared" si="20"/>
        <v>3</v>
      </c>
      <c r="I334" t="s">
        <v>44</v>
      </c>
      <c r="J334" s="22" t="s">
        <v>106</v>
      </c>
      <c r="K334" t="s">
        <v>124</v>
      </c>
      <c r="L334" t="s">
        <v>99</v>
      </c>
      <c r="M334" s="28">
        <v>45747</v>
      </c>
      <c r="N334" s="22">
        <v>27</v>
      </c>
      <c r="O334" s="22" t="str">
        <f>IF(COUNTIF(Exits_Attrition!$A$2:$A$65,A334)&gt;0,"Exited","Active")</f>
        <v>Active</v>
      </c>
      <c r="P334" s="28" t="str">
        <f>IFERROR(INDEX(Exits_Attrition!$H$2:$H$65,MATCH(A334,Exits_Attrition!$A$2:$A$65,0)),"")</f>
        <v/>
      </c>
      <c r="Q334" s="24">
        <f t="shared" si="21"/>
        <v>1.5</v>
      </c>
      <c r="R334" s="22" t="str">
        <f t="shared" si="22"/>
        <v>1-3 Yrs</v>
      </c>
      <c r="S334" s="22">
        <f t="shared" si="23"/>
        <v>0</v>
      </c>
    </row>
    <row r="335" spans="1:19" x14ac:dyDescent="0.3">
      <c r="A335" s="22" t="s">
        <v>1188</v>
      </c>
      <c r="B335" t="s">
        <v>1189</v>
      </c>
      <c r="C335" t="s">
        <v>1190</v>
      </c>
      <c r="D335" t="s">
        <v>726</v>
      </c>
      <c r="E335" s="22" t="s">
        <v>727</v>
      </c>
      <c r="F335" t="s">
        <v>890</v>
      </c>
      <c r="G335" s="22" t="s">
        <v>22</v>
      </c>
      <c r="H335" s="22">
        <f t="shared" si="20"/>
        <v>1</v>
      </c>
      <c r="I335" t="s">
        <v>41</v>
      </c>
      <c r="J335" s="22" t="s">
        <v>97</v>
      </c>
      <c r="K335" t="s">
        <v>156</v>
      </c>
      <c r="L335" t="s">
        <v>99</v>
      </c>
      <c r="M335" s="28">
        <v>45751</v>
      </c>
      <c r="N335" s="22">
        <v>28</v>
      </c>
      <c r="O335" s="22" t="str">
        <f>IF(COUNTIF(Exits_Attrition!$A$2:$A$65,A335)&gt;0,"Exited","Active")</f>
        <v>Exited</v>
      </c>
      <c r="P335" s="28">
        <f>IFERROR(INDEX(Exits_Attrition!$H$2:$H$65,MATCH(A335,Exits_Attrition!$A$2:$A$65,0)),"")</f>
        <v>46215</v>
      </c>
      <c r="Q335" s="24">
        <f t="shared" si="21"/>
        <v>1.3</v>
      </c>
      <c r="R335" s="22" t="str">
        <f t="shared" si="22"/>
        <v>1-3 Yrs</v>
      </c>
      <c r="S335" s="22">
        <f t="shared" si="23"/>
        <v>0</v>
      </c>
    </row>
    <row r="336" spans="1:19" x14ac:dyDescent="0.3">
      <c r="A336" s="22" t="s">
        <v>1191</v>
      </c>
      <c r="B336" t="s">
        <v>1192</v>
      </c>
      <c r="C336" t="s">
        <v>1193</v>
      </c>
      <c r="D336" t="s">
        <v>119</v>
      </c>
      <c r="E336" s="22" t="s">
        <v>118</v>
      </c>
      <c r="F336" t="s">
        <v>550</v>
      </c>
      <c r="G336" s="22" t="s">
        <v>24</v>
      </c>
      <c r="H336" s="22">
        <f t="shared" si="20"/>
        <v>2</v>
      </c>
      <c r="I336" t="s">
        <v>40</v>
      </c>
      <c r="J336" s="22" t="s">
        <v>106</v>
      </c>
      <c r="K336" t="s">
        <v>190</v>
      </c>
      <c r="L336" t="s">
        <v>99</v>
      </c>
      <c r="M336" s="28">
        <v>45754</v>
      </c>
      <c r="N336" s="22">
        <v>30</v>
      </c>
      <c r="O336" s="22" t="str">
        <f>IF(COUNTIF(Exits_Attrition!$A$2:$A$65,A336)&gt;0,"Exited","Active")</f>
        <v>Active</v>
      </c>
      <c r="P336" s="28" t="str">
        <f>IFERROR(INDEX(Exits_Attrition!$H$2:$H$65,MATCH(A336,Exits_Attrition!$A$2:$A$65,0)),"")</f>
        <v/>
      </c>
      <c r="Q336" s="24">
        <f t="shared" si="21"/>
        <v>1.5</v>
      </c>
      <c r="R336" s="22" t="str">
        <f t="shared" si="22"/>
        <v>1-3 Yrs</v>
      </c>
      <c r="S336" s="22">
        <f t="shared" si="23"/>
        <v>0</v>
      </c>
    </row>
    <row r="337" spans="1:19" x14ac:dyDescent="0.3">
      <c r="A337" s="22" t="s">
        <v>1194</v>
      </c>
      <c r="B337" t="s">
        <v>1195</v>
      </c>
      <c r="C337" t="s">
        <v>1196</v>
      </c>
      <c r="D337" t="s">
        <v>200</v>
      </c>
      <c r="E337" s="22" t="s">
        <v>201</v>
      </c>
      <c r="F337" t="s">
        <v>253</v>
      </c>
      <c r="G337" s="22" t="s">
        <v>26</v>
      </c>
      <c r="H337" s="22">
        <f t="shared" si="20"/>
        <v>3</v>
      </c>
      <c r="I337" t="s">
        <v>41</v>
      </c>
      <c r="J337" s="22" t="s">
        <v>106</v>
      </c>
      <c r="K337" t="s">
        <v>156</v>
      </c>
      <c r="L337" t="s">
        <v>99</v>
      </c>
      <c r="M337" s="28">
        <v>45756</v>
      </c>
      <c r="N337" s="22">
        <v>29</v>
      </c>
      <c r="O337" s="22" t="str">
        <f>IF(COUNTIF(Exits_Attrition!$A$2:$A$65,A337)&gt;0,"Exited","Active")</f>
        <v>Active</v>
      </c>
      <c r="P337" s="28" t="str">
        <f>IFERROR(INDEX(Exits_Attrition!$H$2:$H$65,MATCH(A337,Exits_Attrition!$A$2:$A$65,0)),"")</f>
        <v/>
      </c>
      <c r="Q337" s="24">
        <f t="shared" si="21"/>
        <v>1.5</v>
      </c>
      <c r="R337" s="22" t="str">
        <f t="shared" si="22"/>
        <v>1-3 Yrs</v>
      </c>
      <c r="S337" s="22">
        <f t="shared" si="23"/>
        <v>0</v>
      </c>
    </row>
    <row r="338" spans="1:19" x14ac:dyDescent="0.3">
      <c r="A338" s="22" t="s">
        <v>1197</v>
      </c>
      <c r="B338" t="s">
        <v>1198</v>
      </c>
      <c r="C338" t="s">
        <v>1199</v>
      </c>
      <c r="D338" t="s">
        <v>313</v>
      </c>
      <c r="E338" s="22" t="s">
        <v>314</v>
      </c>
      <c r="F338" t="s">
        <v>244</v>
      </c>
      <c r="G338" s="22" t="s">
        <v>26</v>
      </c>
      <c r="H338" s="22">
        <f t="shared" si="20"/>
        <v>3</v>
      </c>
      <c r="I338" t="s">
        <v>39</v>
      </c>
      <c r="J338" s="22" t="s">
        <v>106</v>
      </c>
      <c r="K338" t="s">
        <v>190</v>
      </c>
      <c r="L338" t="s">
        <v>99</v>
      </c>
      <c r="M338" s="28">
        <v>45758</v>
      </c>
      <c r="N338" s="22">
        <v>27</v>
      </c>
      <c r="O338" s="22" t="str">
        <f>IF(COUNTIF(Exits_Attrition!$A$2:$A$65,A338)&gt;0,"Exited","Active")</f>
        <v>Active</v>
      </c>
      <c r="P338" s="28" t="str">
        <f>IFERROR(INDEX(Exits_Attrition!$H$2:$H$65,MATCH(A338,Exits_Attrition!$A$2:$A$65,0)),"")</f>
        <v/>
      </c>
      <c r="Q338" s="24">
        <f t="shared" si="21"/>
        <v>1.5</v>
      </c>
      <c r="R338" s="22" t="str">
        <f t="shared" si="22"/>
        <v>1-3 Yrs</v>
      </c>
      <c r="S338" s="22">
        <f t="shared" si="23"/>
        <v>0</v>
      </c>
    </row>
    <row r="339" spans="1:19" x14ac:dyDescent="0.3">
      <c r="A339" s="22" t="s">
        <v>1200</v>
      </c>
      <c r="B339" t="s">
        <v>1201</v>
      </c>
      <c r="C339" t="s">
        <v>1202</v>
      </c>
      <c r="D339" t="s">
        <v>383</v>
      </c>
      <c r="E339" s="22" t="s">
        <v>384</v>
      </c>
      <c r="F339" t="s">
        <v>902</v>
      </c>
      <c r="G339" s="22" t="s">
        <v>22</v>
      </c>
      <c r="H339" s="22">
        <f t="shared" si="20"/>
        <v>1</v>
      </c>
      <c r="I339" t="s">
        <v>40</v>
      </c>
      <c r="J339" s="22" t="s">
        <v>106</v>
      </c>
      <c r="K339" t="s">
        <v>213</v>
      </c>
      <c r="L339" t="s">
        <v>99</v>
      </c>
      <c r="M339" s="28">
        <v>45759</v>
      </c>
      <c r="N339" s="22">
        <v>28</v>
      </c>
      <c r="O339" s="22" t="str">
        <f>IF(COUNTIF(Exits_Attrition!$A$2:$A$65,A339)&gt;0,"Exited","Active")</f>
        <v>Exited</v>
      </c>
      <c r="P339" s="28">
        <f>IFERROR(INDEX(Exits_Attrition!$H$2:$H$65,MATCH(A339,Exits_Attrition!$A$2:$A$65,0)),"")</f>
        <v>46132</v>
      </c>
      <c r="Q339" s="24">
        <f t="shared" si="21"/>
        <v>1</v>
      </c>
      <c r="R339" s="22" t="str">
        <f t="shared" si="22"/>
        <v>1-3 Yrs</v>
      </c>
      <c r="S339" s="22">
        <f t="shared" si="23"/>
        <v>0</v>
      </c>
    </row>
    <row r="340" spans="1:19" x14ac:dyDescent="0.3">
      <c r="A340" s="22" t="s">
        <v>161</v>
      </c>
      <c r="B340" t="s">
        <v>160</v>
      </c>
      <c r="C340" t="s">
        <v>1203</v>
      </c>
      <c r="D340" t="s">
        <v>1204</v>
      </c>
      <c r="E340" s="22" t="s">
        <v>1205</v>
      </c>
      <c r="F340" t="s">
        <v>1206</v>
      </c>
      <c r="G340" s="22" t="s">
        <v>32</v>
      </c>
      <c r="H340" s="22">
        <f t="shared" si="20"/>
        <v>6</v>
      </c>
      <c r="I340" t="s">
        <v>48</v>
      </c>
      <c r="J340" s="22" t="s">
        <v>97</v>
      </c>
      <c r="K340" t="s">
        <v>124</v>
      </c>
      <c r="L340" t="s">
        <v>99</v>
      </c>
      <c r="M340" s="28">
        <v>45760</v>
      </c>
      <c r="N340" s="22">
        <v>36</v>
      </c>
      <c r="O340" s="22" t="str">
        <f>IF(COUNTIF(Exits_Attrition!$A$2:$A$65,A340)&gt;0,"Exited","Active")</f>
        <v>Active</v>
      </c>
      <c r="P340" s="28" t="str">
        <f>IFERROR(INDEX(Exits_Attrition!$H$2:$H$65,MATCH(A340,Exits_Attrition!$A$2:$A$65,0)),"")</f>
        <v/>
      </c>
      <c r="Q340" s="24">
        <f t="shared" si="21"/>
        <v>1.5</v>
      </c>
      <c r="R340" s="22" t="str">
        <f t="shared" si="22"/>
        <v>1-3 Yrs</v>
      </c>
      <c r="S340" s="22">
        <f t="shared" si="23"/>
        <v>4</v>
      </c>
    </row>
    <row r="341" spans="1:19" x14ac:dyDescent="0.3">
      <c r="A341" s="22" t="s">
        <v>1207</v>
      </c>
      <c r="B341" t="s">
        <v>1208</v>
      </c>
      <c r="C341" t="s">
        <v>1209</v>
      </c>
      <c r="D341" t="s">
        <v>242</v>
      </c>
      <c r="E341" s="22" t="s">
        <v>243</v>
      </c>
      <c r="F341" t="s">
        <v>911</v>
      </c>
      <c r="G341" s="22" t="s">
        <v>22</v>
      </c>
      <c r="H341" s="22">
        <f t="shared" si="20"/>
        <v>1</v>
      </c>
      <c r="I341" t="s">
        <v>39</v>
      </c>
      <c r="J341" s="22" t="s">
        <v>106</v>
      </c>
      <c r="K341" t="s">
        <v>98</v>
      </c>
      <c r="L341" t="s">
        <v>99</v>
      </c>
      <c r="M341" s="28">
        <v>45762</v>
      </c>
      <c r="N341" s="22">
        <v>23</v>
      </c>
      <c r="O341" s="22" t="str">
        <f>IF(COUNTIF(Exits_Attrition!$A$2:$A$65,A341)&gt;0,"Exited","Active")</f>
        <v>Active</v>
      </c>
      <c r="P341" s="28" t="str">
        <f>IFERROR(INDEX(Exits_Attrition!$H$2:$H$65,MATCH(A341,Exits_Attrition!$A$2:$A$65,0)),"")</f>
        <v/>
      </c>
      <c r="Q341" s="24">
        <f t="shared" si="21"/>
        <v>1.5</v>
      </c>
      <c r="R341" s="22" t="str">
        <f t="shared" si="22"/>
        <v>1-3 Yrs</v>
      </c>
      <c r="S341" s="22">
        <f t="shared" si="23"/>
        <v>0</v>
      </c>
    </row>
    <row r="342" spans="1:19" x14ac:dyDescent="0.3">
      <c r="A342" s="22" t="s">
        <v>1210</v>
      </c>
      <c r="B342" t="s">
        <v>1211</v>
      </c>
      <c r="C342" t="s">
        <v>1212</v>
      </c>
      <c r="D342" t="s">
        <v>200</v>
      </c>
      <c r="E342" s="22" t="s">
        <v>201</v>
      </c>
      <c r="F342" t="s">
        <v>202</v>
      </c>
      <c r="G342" s="22" t="s">
        <v>28</v>
      </c>
      <c r="H342" s="22">
        <f t="shared" si="20"/>
        <v>4</v>
      </c>
      <c r="I342" t="s">
        <v>41</v>
      </c>
      <c r="J342" s="22" t="s">
        <v>97</v>
      </c>
      <c r="K342" t="s">
        <v>156</v>
      </c>
      <c r="L342" t="s">
        <v>99</v>
      </c>
      <c r="M342" s="28">
        <v>45763</v>
      </c>
      <c r="N342" s="22">
        <v>29</v>
      </c>
      <c r="O342" s="22" t="str">
        <f>IF(COUNTIF(Exits_Attrition!$A$2:$A$65,A342)&gt;0,"Exited","Active")</f>
        <v>Exited</v>
      </c>
      <c r="P342" s="28">
        <f>IFERROR(INDEX(Exits_Attrition!$H$2:$H$65,MATCH(A342,Exits_Attrition!$A$2:$A$65,0)),"")</f>
        <v>45953</v>
      </c>
      <c r="Q342" s="24">
        <f t="shared" si="21"/>
        <v>0.5</v>
      </c>
      <c r="R342" s="22" t="str">
        <f t="shared" si="22"/>
        <v>Under 1 Yr</v>
      </c>
      <c r="S342" s="22">
        <f t="shared" si="23"/>
        <v>0</v>
      </c>
    </row>
    <row r="343" spans="1:19" x14ac:dyDescent="0.3">
      <c r="A343" s="22" t="s">
        <v>1213</v>
      </c>
      <c r="B343" t="s">
        <v>1214</v>
      </c>
      <c r="C343" t="s">
        <v>1215</v>
      </c>
      <c r="D343" t="s">
        <v>338</v>
      </c>
      <c r="E343" s="22" t="s">
        <v>339</v>
      </c>
      <c r="F343" t="s">
        <v>1062</v>
      </c>
      <c r="G343" s="22" t="s">
        <v>22</v>
      </c>
      <c r="H343" s="22">
        <f t="shared" si="20"/>
        <v>1</v>
      </c>
      <c r="I343" t="s">
        <v>42</v>
      </c>
      <c r="J343" s="22" t="s">
        <v>106</v>
      </c>
      <c r="K343" t="s">
        <v>213</v>
      </c>
      <c r="L343" t="s">
        <v>99</v>
      </c>
      <c r="M343" s="28">
        <v>45768</v>
      </c>
      <c r="N343" s="22">
        <v>25</v>
      </c>
      <c r="O343" s="22" t="str">
        <f>IF(COUNTIF(Exits_Attrition!$A$2:$A$65,A343)&gt;0,"Exited","Active")</f>
        <v>Active</v>
      </c>
      <c r="P343" s="28" t="str">
        <f>IFERROR(INDEX(Exits_Attrition!$H$2:$H$65,MATCH(A343,Exits_Attrition!$A$2:$A$65,0)),"")</f>
        <v/>
      </c>
      <c r="Q343" s="24">
        <f t="shared" si="21"/>
        <v>1.4</v>
      </c>
      <c r="R343" s="22" t="str">
        <f t="shared" si="22"/>
        <v>1-3 Yrs</v>
      </c>
      <c r="S343" s="22">
        <f t="shared" si="23"/>
        <v>0</v>
      </c>
    </row>
    <row r="344" spans="1:19" x14ac:dyDescent="0.3">
      <c r="A344" s="22" t="s">
        <v>1216</v>
      </c>
      <c r="B344" t="s">
        <v>1217</v>
      </c>
      <c r="C344" t="s">
        <v>1218</v>
      </c>
      <c r="D344" t="s">
        <v>415</v>
      </c>
      <c r="E344" s="22" t="s">
        <v>416</v>
      </c>
      <c r="F344" t="s">
        <v>219</v>
      </c>
      <c r="G344" s="22" t="s">
        <v>26</v>
      </c>
      <c r="H344" s="22">
        <f t="shared" si="20"/>
        <v>3</v>
      </c>
      <c r="I344" t="s">
        <v>40</v>
      </c>
      <c r="J344" s="22" t="s">
        <v>97</v>
      </c>
      <c r="K344" t="s">
        <v>156</v>
      </c>
      <c r="L344" t="s">
        <v>99</v>
      </c>
      <c r="M344" s="28">
        <v>45776</v>
      </c>
      <c r="N344" s="22">
        <v>29</v>
      </c>
      <c r="O344" s="22" t="str">
        <f>IF(COUNTIF(Exits_Attrition!$A$2:$A$65,A344)&gt;0,"Exited","Active")</f>
        <v>Exited</v>
      </c>
      <c r="P344" s="28">
        <f>IFERROR(INDEX(Exits_Attrition!$H$2:$H$65,MATCH(A344,Exits_Attrition!$A$2:$A$65,0)),"")</f>
        <v>46116</v>
      </c>
      <c r="Q344" s="24">
        <f t="shared" si="21"/>
        <v>0.9</v>
      </c>
      <c r="R344" s="22" t="str">
        <f t="shared" si="22"/>
        <v>Under 1 Yr</v>
      </c>
      <c r="S344" s="22">
        <f t="shared" si="23"/>
        <v>0</v>
      </c>
    </row>
    <row r="345" spans="1:19" x14ac:dyDescent="0.3">
      <c r="A345" s="22" t="s">
        <v>1219</v>
      </c>
      <c r="B345" t="s">
        <v>1220</v>
      </c>
      <c r="C345" t="s">
        <v>1221</v>
      </c>
      <c r="D345" t="s">
        <v>383</v>
      </c>
      <c r="E345" s="22" t="s">
        <v>384</v>
      </c>
      <c r="F345" t="s">
        <v>219</v>
      </c>
      <c r="G345" s="22" t="s">
        <v>26</v>
      </c>
      <c r="H345" s="22">
        <f t="shared" si="20"/>
        <v>3</v>
      </c>
      <c r="I345" t="s">
        <v>40</v>
      </c>
      <c r="J345" s="22" t="s">
        <v>97</v>
      </c>
      <c r="K345" t="s">
        <v>156</v>
      </c>
      <c r="L345" t="s">
        <v>99</v>
      </c>
      <c r="M345" s="28">
        <v>45777</v>
      </c>
      <c r="N345" s="22">
        <v>27</v>
      </c>
      <c r="O345" s="22" t="str">
        <f>IF(COUNTIF(Exits_Attrition!$A$2:$A$65,A345)&gt;0,"Exited","Active")</f>
        <v>Active</v>
      </c>
      <c r="P345" s="28" t="str">
        <f>IFERROR(INDEX(Exits_Attrition!$H$2:$H$65,MATCH(A345,Exits_Attrition!$A$2:$A$65,0)),"")</f>
        <v/>
      </c>
      <c r="Q345" s="24">
        <f t="shared" si="21"/>
        <v>1.4</v>
      </c>
      <c r="R345" s="22" t="str">
        <f t="shared" si="22"/>
        <v>1-3 Yrs</v>
      </c>
      <c r="S345" s="22">
        <f t="shared" si="23"/>
        <v>0</v>
      </c>
    </row>
    <row r="346" spans="1:19" x14ac:dyDescent="0.3">
      <c r="A346" s="22" t="s">
        <v>1222</v>
      </c>
      <c r="B346" t="s">
        <v>1223</v>
      </c>
      <c r="C346" t="s">
        <v>1224</v>
      </c>
      <c r="D346" t="s">
        <v>204</v>
      </c>
      <c r="E346" s="22" t="s">
        <v>203</v>
      </c>
      <c r="F346" t="s">
        <v>947</v>
      </c>
      <c r="G346" s="22" t="s">
        <v>22</v>
      </c>
      <c r="H346" s="22">
        <f t="shared" si="20"/>
        <v>1</v>
      </c>
      <c r="I346" t="s">
        <v>45</v>
      </c>
      <c r="J346" s="22" t="s">
        <v>106</v>
      </c>
      <c r="K346" t="s">
        <v>190</v>
      </c>
      <c r="L346" t="s">
        <v>99</v>
      </c>
      <c r="M346" s="28">
        <v>45787</v>
      </c>
      <c r="N346" s="22">
        <v>29</v>
      </c>
      <c r="O346" s="22" t="str">
        <f>IF(COUNTIF(Exits_Attrition!$A$2:$A$65,A346)&gt;0,"Exited","Active")</f>
        <v>Active</v>
      </c>
      <c r="P346" s="28" t="str">
        <f>IFERROR(INDEX(Exits_Attrition!$H$2:$H$65,MATCH(A346,Exits_Attrition!$A$2:$A$65,0)),"")</f>
        <v/>
      </c>
      <c r="Q346" s="24">
        <f t="shared" si="21"/>
        <v>1.4</v>
      </c>
      <c r="R346" s="22" t="str">
        <f t="shared" si="22"/>
        <v>1-3 Yrs</v>
      </c>
      <c r="S346" s="22">
        <f t="shared" si="23"/>
        <v>0</v>
      </c>
    </row>
    <row r="347" spans="1:19" x14ac:dyDescent="0.3">
      <c r="A347" s="22" t="s">
        <v>1225</v>
      </c>
      <c r="B347" t="s">
        <v>1226</v>
      </c>
      <c r="C347" t="s">
        <v>1227</v>
      </c>
      <c r="D347" t="s">
        <v>313</v>
      </c>
      <c r="E347" s="22" t="s">
        <v>314</v>
      </c>
      <c r="F347" t="s">
        <v>244</v>
      </c>
      <c r="G347" s="22" t="s">
        <v>26</v>
      </c>
      <c r="H347" s="22">
        <f t="shared" si="20"/>
        <v>3</v>
      </c>
      <c r="I347" t="s">
        <v>39</v>
      </c>
      <c r="J347" s="22" t="s">
        <v>106</v>
      </c>
      <c r="K347" t="s">
        <v>98</v>
      </c>
      <c r="L347" t="s">
        <v>99</v>
      </c>
      <c r="M347" s="28">
        <v>45791</v>
      </c>
      <c r="N347" s="22">
        <v>33</v>
      </c>
      <c r="O347" s="22" t="str">
        <f>IF(COUNTIF(Exits_Attrition!$A$2:$A$65,A347)&gt;0,"Exited","Active")</f>
        <v>Active</v>
      </c>
      <c r="P347" s="28" t="str">
        <f>IFERROR(INDEX(Exits_Attrition!$H$2:$H$65,MATCH(A347,Exits_Attrition!$A$2:$A$65,0)),"")</f>
        <v/>
      </c>
      <c r="Q347" s="24">
        <f t="shared" si="21"/>
        <v>1.4</v>
      </c>
      <c r="R347" s="22" t="str">
        <f t="shared" si="22"/>
        <v>1-3 Yrs</v>
      </c>
      <c r="S347" s="22">
        <f t="shared" si="23"/>
        <v>0</v>
      </c>
    </row>
    <row r="348" spans="1:19" x14ac:dyDescent="0.3">
      <c r="A348" s="22" t="s">
        <v>1228</v>
      </c>
      <c r="B348" t="s">
        <v>1229</v>
      </c>
      <c r="C348" t="s">
        <v>1230</v>
      </c>
      <c r="D348" t="s">
        <v>291</v>
      </c>
      <c r="E348" s="22" t="s">
        <v>292</v>
      </c>
      <c r="F348" t="s">
        <v>890</v>
      </c>
      <c r="G348" s="22" t="s">
        <v>22</v>
      </c>
      <c r="H348" s="22">
        <f t="shared" si="20"/>
        <v>1</v>
      </c>
      <c r="I348" t="s">
        <v>41</v>
      </c>
      <c r="J348" s="22" t="s">
        <v>106</v>
      </c>
      <c r="K348" t="s">
        <v>156</v>
      </c>
      <c r="L348" t="s">
        <v>99</v>
      </c>
      <c r="M348" s="28">
        <v>45798</v>
      </c>
      <c r="N348" s="22">
        <v>29</v>
      </c>
      <c r="O348" s="22" t="str">
        <f>IF(COUNTIF(Exits_Attrition!$A$2:$A$65,A348)&gt;0,"Exited","Active")</f>
        <v>Active</v>
      </c>
      <c r="P348" s="28" t="str">
        <f>IFERROR(INDEX(Exits_Attrition!$H$2:$H$65,MATCH(A348,Exits_Attrition!$A$2:$A$65,0)),"")</f>
        <v/>
      </c>
      <c r="Q348" s="24">
        <f t="shared" si="21"/>
        <v>1.4</v>
      </c>
      <c r="R348" s="22" t="str">
        <f t="shared" si="22"/>
        <v>1-3 Yrs</v>
      </c>
      <c r="S348" s="22">
        <f t="shared" si="23"/>
        <v>0</v>
      </c>
    </row>
    <row r="349" spans="1:19" x14ac:dyDescent="0.3">
      <c r="A349" s="22" t="s">
        <v>1231</v>
      </c>
      <c r="B349" t="s">
        <v>1232</v>
      </c>
      <c r="C349" t="s">
        <v>1233</v>
      </c>
      <c r="D349" t="s">
        <v>175</v>
      </c>
      <c r="E349" s="22" t="s">
        <v>176</v>
      </c>
      <c r="F349" t="s">
        <v>890</v>
      </c>
      <c r="G349" s="22" t="s">
        <v>22</v>
      </c>
      <c r="H349" s="22">
        <f t="shared" si="20"/>
        <v>1</v>
      </c>
      <c r="I349" t="s">
        <v>41</v>
      </c>
      <c r="J349" s="22" t="s">
        <v>106</v>
      </c>
      <c r="K349" t="s">
        <v>213</v>
      </c>
      <c r="L349" t="s">
        <v>99</v>
      </c>
      <c r="M349" s="28">
        <v>45799</v>
      </c>
      <c r="N349" s="22">
        <v>28</v>
      </c>
      <c r="O349" s="22" t="str">
        <f>IF(COUNTIF(Exits_Attrition!$A$2:$A$65,A349)&gt;0,"Exited","Active")</f>
        <v>Active</v>
      </c>
      <c r="P349" s="28" t="str">
        <f>IFERROR(INDEX(Exits_Attrition!$H$2:$H$65,MATCH(A349,Exits_Attrition!$A$2:$A$65,0)),"")</f>
        <v/>
      </c>
      <c r="Q349" s="24">
        <f t="shared" si="21"/>
        <v>1.4</v>
      </c>
      <c r="R349" s="22" t="str">
        <f t="shared" si="22"/>
        <v>1-3 Yrs</v>
      </c>
      <c r="S349" s="22">
        <f t="shared" si="23"/>
        <v>0</v>
      </c>
    </row>
    <row r="350" spans="1:19" x14ac:dyDescent="0.3">
      <c r="A350" s="22" t="s">
        <v>1234</v>
      </c>
      <c r="B350" t="s">
        <v>1235</v>
      </c>
      <c r="C350" t="s">
        <v>1236</v>
      </c>
      <c r="D350" t="s">
        <v>204</v>
      </c>
      <c r="E350" s="22" t="s">
        <v>203</v>
      </c>
      <c r="F350" t="s">
        <v>749</v>
      </c>
      <c r="G350" s="22" t="s">
        <v>24</v>
      </c>
      <c r="H350" s="22">
        <f t="shared" si="20"/>
        <v>2</v>
      </c>
      <c r="I350" t="s">
        <v>45</v>
      </c>
      <c r="J350" s="22" t="s">
        <v>106</v>
      </c>
      <c r="K350" t="s">
        <v>98</v>
      </c>
      <c r="L350" t="s">
        <v>99</v>
      </c>
      <c r="M350" s="28">
        <v>45804</v>
      </c>
      <c r="N350" s="22">
        <v>31</v>
      </c>
      <c r="O350" s="22" t="str">
        <f>IF(COUNTIF(Exits_Attrition!$A$2:$A$65,A350)&gt;0,"Exited","Active")</f>
        <v>Exited</v>
      </c>
      <c r="P350" s="28">
        <f>IFERROR(INDEX(Exits_Attrition!$H$2:$H$65,MATCH(A350,Exits_Attrition!$A$2:$A$65,0)),"")</f>
        <v>46210</v>
      </c>
      <c r="Q350" s="24">
        <f t="shared" si="21"/>
        <v>1.1000000000000001</v>
      </c>
      <c r="R350" s="22" t="str">
        <f t="shared" si="22"/>
        <v>1-3 Yrs</v>
      </c>
      <c r="S350" s="22">
        <f t="shared" si="23"/>
        <v>0</v>
      </c>
    </row>
    <row r="351" spans="1:19" x14ac:dyDescent="0.3">
      <c r="A351" s="22" t="s">
        <v>1237</v>
      </c>
      <c r="B351" t="s">
        <v>1238</v>
      </c>
      <c r="C351" t="s">
        <v>1239</v>
      </c>
      <c r="D351" t="s">
        <v>313</v>
      </c>
      <c r="E351" s="22" t="s">
        <v>314</v>
      </c>
      <c r="F351" t="s">
        <v>569</v>
      </c>
      <c r="G351" s="22" t="s">
        <v>24</v>
      </c>
      <c r="H351" s="22">
        <f t="shared" si="20"/>
        <v>2</v>
      </c>
      <c r="I351" t="s">
        <v>39</v>
      </c>
      <c r="J351" s="22" t="s">
        <v>106</v>
      </c>
      <c r="K351" t="s">
        <v>98</v>
      </c>
      <c r="L351" t="s">
        <v>99</v>
      </c>
      <c r="M351" s="28">
        <v>45808</v>
      </c>
      <c r="N351" s="22">
        <v>29</v>
      </c>
      <c r="O351" s="22" t="str">
        <f>IF(COUNTIF(Exits_Attrition!$A$2:$A$65,A351)&gt;0,"Exited","Active")</f>
        <v>Active</v>
      </c>
      <c r="P351" s="28" t="str">
        <f>IFERROR(INDEX(Exits_Attrition!$H$2:$H$65,MATCH(A351,Exits_Attrition!$A$2:$A$65,0)),"")</f>
        <v/>
      </c>
      <c r="Q351" s="24">
        <f t="shared" si="21"/>
        <v>1.3</v>
      </c>
      <c r="R351" s="22" t="str">
        <f t="shared" si="22"/>
        <v>1-3 Yrs</v>
      </c>
      <c r="S351" s="22">
        <f t="shared" si="23"/>
        <v>0</v>
      </c>
    </row>
    <row r="352" spans="1:19" x14ac:dyDescent="0.3">
      <c r="A352" s="22" t="s">
        <v>1240</v>
      </c>
      <c r="B352" t="s">
        <v>1241</v>
      </c>
      <c r="C352" t="s">
        <v>1242</v>
      </c>
      <c r="D352" t="s">
        <v>173</v>
      </c>
      <c r="E352" s="22" t="s">
        <v>172</v>
      </c>
      <c r="F352" t="s">
        <v>253</v>
      </c>
      <c r="G352" s="22" t="s">
        <v>26</v>
      </c>
      <c r="H352" s="22">
        <f t="shared" si="20"/>
        <v>3</v>
      </c>
      <c r="I352" t="s">
        <v>41</v>
      </c>
      <c r="J352" s="22" t="s">
        <v>97</v>
      </c>
      <c r="K352" t="s">
        <v>156</v>
      </c>
      <c r="L352" t="s">
        <v>99</v>
      </c>
      <c r="M352" s="28">
        <v>45811</v>
      </c>
      <c r="N352" s="22">
        <v>31</v>
      </c>
      <c r="O352" s="22" t="str">
        <f>IF(COUNTIF(Exits_Attrition!$A$2:$A$65,A352)&gt;0,"Exited","Active")</f>
        <v>Active</v>
      </c>
      <c r="P352" s="28" t="str">
        <f>IFERROR(INDEX(Exits_Attrition!$H$2:$H$65,MATCH(A352,Exits_Attrition!$A$2:$A$65,0)),"")</f>
        <v/>
      </c>
      <c r="Q352" s="24">
        <f t="shared" si="21"/>
        <v>1.3</v>
      </c>
      <c r="R352" s="22" t="str">
        <f t="shared" si="22"/>
        <v>1-3 Yrs</v>
      </c>
      <c r="S352" s="22">
        <f t="shared" si="23"/>
        <v>0</v>
      </c>
    </row>
    <row r="353" spans="1:19" x14ac:dyDescent="0.3">
      <c r="A353" s="22" t="s">
        <v>1243</v>
      </c>
      <c r="B353" t="s">
        <v>1244</v>
      </c>
      <c r="C353" t="s">
        <v>1245</v>
      </c>
      <c r="D353" t="s">
        <v>501</v>
      </c>
      <c r="E353" s="22" t="s">
        <v>502</v>
      </c>
      <c r="F353" t="s">
        <v>943</v>
      </c>
      <c r="G353" s="22" t="s">
        <v>22</v>
      </c>
      <c r="H353" s="22">
        <f t="shared" si="20"/>
        <v>1</v>
      </c>
      <c r="I353" t="s">
        <v>46</v>
      </c>
      <c r="J353" s="22" t="s">
        <v>106</v>
      </c>
      <c r="K353" t="s">
        <v>124</v>
      </c>
      <c r="L353" t="s">
        <v>99</v>
      </c>
      <c r="M353" s="28">
        <v>45813</v>
      </c>
      <c r="N353" s="22">
        <v>29</v>
      </c>
      <c r="O353" s="22" t="str">
        <f>IF(COUNTIF(Exits_Attrition!$A$2:$A$65,A353)&gt;0,"Exited","Active")</f>
        <v>Exited</v>
      </c>
      <c r="P353" s="28">
        <f>IFERROR(INDEX(Exits_Attrition!$H$2:$H$65,MATCH(A353,Exits_Attrition!$A$2:$A$65,0)),"")</f>
        <v>46217</v>
      </c>
      <c r="Q353" s="24">
        <f t="shared" si="21"/>
        <v>1.1000000000000001</v>
      </c>
      <c r="R353" s="22" t="str">
        <f t="shared" si="22"/>
        <v>1-3 Yrs</v>
      </c>
      <c r="S353" s="22">
        <f t="shared" si="23"/>
        <v>0</v>
      </c>
    </row>
    <row r="354" spans="1:19" x14ac:dyDescent="0.3">
      <c r="A354" s="22" t="s">
        <v>1246</v>
      </c>
      <c r="B354" t="s">
        <v>1247</v>
      </c>
      <c r="C354" t="s">
        <v>1248</v>
      </c>
      <c r="D354" t="s">
        <v>501</v>
      </c>
      <c r="E354" s="22" t="s">
        <v>502</v>
      </c>
      <c r="F354" t="s">
        <v>426</v>
      </c>
      <c r="G354" s="22" t="s">
        <v>28</v>
      </c>
      <c r="H354" s="22">
        <f t="shared" si="20"/>
        <v>4</v>
      </c>
      <c r="I354" t="s">
        <v>46</v>
      </c>
      <c r="J354" s="22" t="s">
        <v>97</v>
      </c>
      <c r="K354" t="s">
        <v>98</v>
      </c>
      <c r="L354" t="s">
        <v>99</v>
      </c>
      <c r="M354" s="28">
        <v>45815</v>
      </c>
      <c r="N354" s="22">
        <v>32</v>
      </c>
      <c r="O354" s="22" t="str">
        <f>IF(COUNTIF(Exits_Attrition!$A$2:$A$65,A354)&gt;0,"Exited","Active")</f>
        <v>Active</v>
      </c>
      <c r="P354" s="28" t="str">
        <f>IFERROR(INDEX(Exits_Attrition!$H$2:$H$65,MATCH(A354,Exits_Attrition!$A$2:$A$65,0)),"")</f>
        <v/>
      </c>
      <c r="Q354" s="24">
        <f t="shared" si="21"/>
        <v>1.3</v>
      </c>
      <c r="R354" s="22" t="str">
        <f t="shared" si="22"/>
        <v>1-3 Yrs</v>
      </c>
      <c r="S354" s="22">
        <f t="shared" si="23"/>
        <v>0</v>
      </c>
    </row>
    <row r="355" spans="1:19" x14ac:dyDescent="0.3">
      <c r="A355" s="22" t="s">
        <v>1249</v>
      </c>
      <c r="B355" t="s">
        <v>1250</v>
      </c>
      <c r="C355" t="s">
        <v>1251</v>
      </c>
      <c r="D355" t="s">
        <v>378</v>
      </c>
      <c r="E355" s="22" t="s">
        <v>379</v>
      </c>
      <c r="F355" t="s">
        <v>219</v>
      </c>
      <c r="G355" s="22" t="s">
        <v>26</v>
      </c>
      <c r="H355" s="22">
        <f t="shared" si="20"/>
        <v>3</v>
      </c>
      <c r="I355" t="s">
        <v>40</v>
      </c>
      <c r="J355" s="22" t="s">
        <v>106</v>
      </c>
      <c r="K355" t="s">
        <v>156</v>
      </c>
      <c r="L355" t="s">
        <v>99</v>
      </c>
      <c r="M355" s="28">
        <v>45821</v>
      </c>
      <c r="N355" s="22">
        <v>31</v>
      </c>
      <c r="O355" s="22" t="str">
        <f>IF(COUNTIF(Exits_Attrition!$A$2:$A$65,A355)&gt;0,"Exited","Active")</f>
        <v>Exited</v>
      </c>
      <c r="P355" s="28">
        <f>IFERROR(INDEX(Exits_Attrition!$H$2:$H$65,MATCH(A355,Exits_Attrition!$A$2:$A$65,0)),"")</f>
        <v>46177</v>
      </c>
      <c r="Q355" s="24">
        <f t="shared" si="21"/>
        <v>1</v>
      </c>
      <c r="R355" s="22" t="str">
        <f t="shared" si="22"/>
        <v>1-3 Yrs</v>
      </c>
      <c r="S355" s="22">
        <f t="shared" si="23"/>
        <v>0</v>
      </c>
    </row>
    <row r="356" spans="1:19" x14ac:dyDescent="0.3">
      <c r="A356" s="22" t="s">
        <v>1252</v>
      </c>
      <c r="B356" t="s">
        <v>1253</v>
      </c>
      <c r="C356" t="s">
        <v>1254</v>
      </c>
      <c r="D356" t="s">
        <v>242</v>
      </c>
      <c r="E356" s="22" t="s">
        <v>243</v>
      </c>
      <c r="F356" t="s">
        <v>244</v>
      </c>
      <c r="G356" s="22" t="s">
        <v>26</v>
      </c>
      <c r="H356" s="22">
        <f t="shared" si="20"/>
        <v>3</v>
      </c>
      <c r="I356" t="s">
        <v>39</v>
      </c>
      <c r="J356" s="22" t="s">
        <v>106</v>
      </c>
      <c r="K356" t="s">
        <v>98</v>
      </c>
      <c r="L356" t="s">
        <v>99</v>
      </c>
      <c r="M356" s="28">
        <v>45822</v>
      </c>
      <c r="N356" s="22">
        <v>32</v>
      </c>
      <c r="O356" s="22" t="str">
        <f>IF(COUNTIF(Exits_Attrition!$A$2:$A$65,A356)&gt;0,"Exited","Active")</f>
        <v>Active</v>
      </c>
      <c r="P356" s="28" t="str">
        <f>IFERROR(INDEX(Exits_Attrition!$H$2:$H$65,MATCH(A356,Exits_Attrition!$A$2:$A$65,0)),"")</f>
        <v/>
      </c>
      <c r="Q356" s="24">
        <f t="shared" si="21"/>
        <v>1.3</v>
      </c>
      <c r="R356" s="22" t="str">
        <f t="shared" si="22"/>
        <v>1-3 Yrs</v>
      </c>
      <c r="S356" s="22">
        <f t="shared" si="23"/>
        <v>0</v>
      </c>
    </row>
    <row r="357" spans="1:19" x14ac:dyDescent="0.3">
      <c r="A357" s="22" t="s">
        <v>1255</v>
      </c>
      <c r="B357" t="s">
        <v>1256</v>
      </c>
      <c r="C357" t="s">
        <v>1257</v>
      </c>
      <c r="D357" t="s">
        <v>113</v>
      </c>
      <c r="E357" s="22" t="s">
        <v>112</v>
      </c>
      <c r="F357" t="s">
        <v>911</v>
      </c>
      <c r="G357" s="22" t="s">
        <v>22</v>
      </c>
      <c r="H357" s="22">
        <f t="shared" si="20"/>
        <v>1</v>
      </c>
      <c r="I357" t="s">
        <v>39</v>
      </c>
      <c r="J357" s="22" t="s">
        <v>97</v>
      </c>
      <c r="K357" t="s">
        <v>98</v>
      </c>
      <c r="L357" t="s">
        <v>99</v>
      </c>
      <c r="M357" s="28">
        <v>45826</v>
      </c>
      <c r="N357" s="22">
        <v>25</v>
      </c>
      <c r="O357" s="22" t="str">
        <f>IF(COUNTIF(Exits_Attrition!$A$2:$A$65,A357)&gt;0,"Exited","Active")</f>
        <v>Active</v>
      </c>
      <c r="P357" s="28" t="str">
        <f>IFERROR(INDEX(Exits_Attrition!$H$2:$H$65,MATCH(A357,Exits_Attrition!$A$2:$A$65,0)),"")</f>
        <v/>
      </c>
      <c r="Q357" s="24">
        <f t="shared" si="21"/>
        <v>1.3</v>
      </c>
      <c r="R357" s="22" t="str">
        <f t="shared" si="22"/>
        <v>1-3 Yrs</v>
      </c>
      <c r="S357" s="22">
        <f t="shared" si="23"/>
        <v>0</v>
      </c>
    </row>
    <row r="358" spans="1:19" x14ac:dyDescent="0.3">
      <c r="A358" s="22" t="s">
        <v>1258</v>
      </c>
      <c r="B358" t="s">
        <v>1259</v>
      </c>
      <c r="C358" t="s">
        <v>1260</v>
      </c>
      <c r="D358" t="s">
        <v>153</v>
      </c>
      <c r="E358" s="22" t="s">
        <v>154</v>
      </c>
      <c r="F358" t="s">
        <v>550</v>
      </c>
      <c r="G358" s="22" t="s">
        <v>24</v>
      </c>
      <c r="H358" s="22">
        <f t="shared" si="20"/>
        <v>2</v>
      </c>
      <c r="I358" t="s">
        <v>40</v>
      </c>
      <c r="J358" s="22" t="s">
        <v>106</v>
      </c>
      <c r="K358" t="s">
        <v>156</v>
      </c>
      <c r="L358" t="s">
        <v>99</v>
      </c>
      <c r="M358" s="28">
        <v>45829</v>
      </c>
      <c r="N358" s="22">
        <v>29</v>
      </c>
      <c r="O358" s="22" t="str">
        <f>IF(COUNTIF(Exits_Attrition!$A$2:$A$65,A358)&gt;0,"Exited","Active")</f>
        <v>Active</v>
      </c>
      <c r="P358" s="28" t="str">
        <f>IFERROR(INDEX(Exits_Attrition!$H$2:$H$65,MATCH(A358,Exits_Attrition!$A$2:$A$65,0)),"")</f>
        <v/>
      </c>
      <c r="Q358" s="24">
        <f t="shared" si="21"/>
        <v>1.3</v>
      </c>
      <c r="R358" s="22" t="str">
        <f t="shared" si="22"/>
        <v>1-3 Yrs</v>
      </c>
      <c r="S358" s="22">
        <f t="shared" si="23"/>
        <v>0</v>
      </c>
    </row>
    <row r="359" spans="1:19" x14ac:dyDescent="0.3">
      <c r="A359" s="22" t="s">
        <v>1261</v>
      </c>
      <c r="B359" t="s">
        <v>1262</v>
      </c>
      <c r="C359" t="s">
        <v>1263</v>
      </c>
      <c r="D359" t="s">
        <v>101</v>
      </c>
      <c r="E359" s="22" t="s">
        <v>100</v>
      </c>
      <c r="F359" t="s">
        <v>244</v>
      </c>
      <c r="G359" s="22" t="s">
        <v>26</v>
      </c>
      <c r="H359" s="22">
        <f t="shared" si="20"/>
        <v>3</v>
      </c>
      <c r="I359" t="s">
        <v>39</v>
      </c>
      <c r="J359" s="22" t="s">
        <v>106</v>
      </c>
      <c r="K359" t="s">
        <v>98</v>
      </c>
      <c r="L359" t="s">
        <v>99</v>
      </c>
      <c r="M359" s="28">
        <v>45833</v>
      </c>
      <c r="N359" s="22">
        <v>28</v>
      </c>
      <c r="O359" s="22" t="str">
        <f>IF(COUNTIF(Exits_Attrition!$A$2:$A$65,A359)&gt;0,"Exited","Active")</f>
        <v>Active</v>
      </c>
      <c r="P359" s="28" t="str">
        <f>IFERROR(INDEX(Exits_Attrition!$H$2:$H$65,MATCH(A359,Exits_Attrition!$A$2:$A$65,0)),"")</f>
        <v/>
      </c>
      <c r="Q359" s="24">
        <f t="shared" si="21"/>
        <v>1.3</v>
      </c>
      <c r="R359" s="22" t="str">
        <f t="shared" si="22"/>
        <v>1-3 Yrs</v>
      </c>
      <c r="S359" s="22">
        <f t="shared" si="23"/>
        <v>0</v>
      </c>
    </row>
    <row r="360" spans="1:19" x14ac:dyDescent="0.3">
      <c r="A360" s="22" t="s">
        <v>1264</v>
      </c>
      <c r="B360" t="s">
        <v>1265</v>
      </c>
      <c r="C360" t="s">
        <v>1266</v>
      </c>
      <c r="D360" t="s">
        <v>313</v>
      </c>
      <c r="E360" s="22" t="s">
        <v>314</v>
      </c>
      <c r="F360" t="s">
        <v>244</v>
      </c>
      <c r="G360" s="22" t="s">
        <v>26</v>
      </c>
      <c r="H360" s="22">
        <f t="shared" si="20"/>
        <v>3</v>
      </c>
      <c r="I360" t="s">
        <v>39</v>
      </c>
      <c r="J360" s="22" t="s">
        <v>106</v>
      </c>
      <c r="K360" t="s">
        <v>98</v>
      </c>
      <c r="L360" t="s">
        <v>99</v>
      </c>
      <c r="M360" s="28">
        <v>45839</v>
      </c>
      <c r="N360" s="22">
        <v>30</v>
      </c>
      <c r="O360" s="22" t="str">
        <f>IF(COUNTIF(Exits_Attrition!$A$2:$A$65,A360)&gt;0,"Exited","Active")</f>
        <v>Active</v>
      </c>
      <c r="P360" s="28" t="str">
        <f>IFERROR(INDEX(Exits_Attrition!$H$2:$H$65,MATCH(A360,Exits_Attrition!$A$2:$A$65,0)),"")</f>
        <v/>
      </c>
      <c r="Q360" s="24">
        <f t="shared" si="21"/>
        <v>1.2</v>
      </c>
      <c r="R360" s="22" t="str">
        <f t="shared" si="22"/>
        <v>1-3 Yrs</v>
      </c>
      <c r="S360" s="22">
        <f t="shared" si="23"/>
        <v>0</v>
      </c>
    </row>
    <row r="361" spans="1:19" x14ac:dyDescent="0.3">
      <c r="A361" s="22" t="s">
        <v>1267</v>
      </c>
      <c r="B361" t="s">
        <v>1268</v>
      </c>
      <c r="C361" t="s">
        <v>1269</v>
      </c>
      <c r="D361" t="s">
        <v>113</v>
      </c>
      <c r="E361" s="22" t="s">
        <v>112</v>
      </c>
      <c r="F361" t="s">
        <v>244</v>
      </c>
      <c r="G361" s="22" t="s">
        <v>26</v>
      </c>
      <c r="H361" s="22">
        <f t="shared" si="20"/>
        <v>3</v>
      </c>
      <c r="I361" t="s">
        <v>39</v>
      </c>
      <c r="J361" s="22" t="s">
        <v>106</v>
      </c>
      <c r="K361" t="s">
        <v>98</v>
      </c>
      <c r="L361" t="s">
        <v>99</v>
      </c>
      <c r="M361" s="28">
        <v>45839</v>
      </c>
      <c r="N361" s="22">
        <v>33</v>
      </c>
      <c r="O361" s="22" t="str">
        <f>IF(COUNTIF(Exits_Attrition!$A$2:$A$65,A361)&gt;0,"Exited","Active")</f>
        <v>Active</v>
      </c>
      <c r="P361" s="28" t="str">
        <f>IFERROR(INDEX(Exits_Attrition!$H$2:$H$65,MATCH(A361,Exits_Attrition!$A$2:$A$65,0)),"")</f>
        <v/>
      </c>
      <c r="Q361" s="24">
        <f t="shared" si="21"/>
        <v>1.2</v>
      </c>
      <c r="R361" s="22" t="str">
        <f t="shared" si="22"/>
        <v>1-3 Yrs</v>
      </c>
      <c r="S361" s="22">
        <f t="shared" si="23"/>
        <v>0</v>
      </c>
    </row>
    <row r="362" spans="1:19" x14ac:dyDescent="0.3">
      <c r="A362" s="22" t="s">
        <v>1270</v>
      </c>
      <c r="B362" t="s">
        <v>1271</v>
      </c>
      <c r="C362" t="s">
        <v>1272</v>
      </c>
      <c r="D362" t="s">
        <v>204</v>
      </c>
      <c r="E362" s="22" t="s">
        <v>203</v>
      </c>
      <c r="F362" t="s">
        <v>947</v>
      </c>
      <c r="G362" s="22" t="s">
        <v>22</v>
      </c>
      <c r="H362" s="22">
        <f t="shared" si="20"/>
        <v>1</v>
      </c>
      <c r="I362" t="s">
        <v>45</v>
      </c>
      <c r="J362" s="22" t="s">
        <v>97</v>
      </c>
      <c r="K362" t="s">
        <v>98</v>
      </c>
      <c r="L362" t="s">
        <v>99</v>
      </c>
      <c r="M362" s="28">
        <v>45839</v>
      </c>
      <c r="N362" s="22">
        <v>23</v>
      </c>
      <c r="O362" s="22" t="str">
        <f>IF(COUNTIF(Exits_Attrition!$A$2:$A$65,A362)&gt;0,"Exited","Active")</f>
        <v>Active</v>
      </c>
      <c r="P362" s="28" t="str">
        <f>IFERROR(INDEX(Exits_Attrition!$H$2:$H$65,MATCH(A362,Exits_Attrition!$A$2:$A$65,0)),"")</f>
        <v/>
      </c>
      <c r="Q362" s="24">
        <f t="shared" si="21"/>
        <v>1.2</v>
      </c>
      <c r="R362" s="22" t="str">
        <f t="shared" si="22"/>
        <v>1-3 Yrs</v>
      </c>
      <c r="S362" s="22">
        <f t="shared" si="23"/>
        <v>0</v>
      </c>
    </row>
    <row r="363" spans="1:19" x14ac:dyDescent="0.3">
      <c r="A363" s="22" t="s">
        <v>1273</v>
      </c>
      <c r="B363" t="s">
        <v>1274</v>
      </c>
      <c r="C363" t="s">
        <v>1275</v>
      </c>
      <c r="D363" t="s">
        <v>121</v>
      </c>
      <c r="E363" s="22" t="s">
        <v>122</v>
      </c>
      <c r="F363" t="s">
        <v>902</v>
      </c>
      <c r="G363" s="22" t="s">
        <v>22</v>
      </c>
      <c r="H363" s="22">
        <f t="shared" si="20"/>
        <v>1</v>
      </c>
      <c r="I363" t="s">
        <v>40</v>
      </c>
      <c r="J363" s="22" t="s">
        <v>106</v>
      </c>
      <c r="K363" t="s">
        <v>124</v>
      </c>
      <c r="L363" t="s">
        <v>220</v>
      </c>
      <c r="M363" s="28">
        <v>45844</v>
      </c>
      <c r="N363" s="22">
        <v>23</v>
      </c>
      <c r="O363" s="22" t="str">
        <f>IF(COUNTIF(Exits_Attrition!$A$2:$A$65,A363)&gt;0,"Exited","Active")</f>
        <v>Active</v>
      </c>
      <c r="P363" s="28" t="str">
        <f>IFERROR(INDEX(Exits_Attrition!$H$2:$H$65,MATCH(A363,Exits_Attrition!$A$2:$A$65,0)),"")</f>
        <v/>
      </c>
      <c r="Q363" s="24">
        <f t="shared" si="21"/>
        <v>1.2</v>
      </c>
      <c r="R363" s="22" t="str">
        <f t="shared" si="22"/>
        <v>1-3 Yrs</v>
      </c>
      <c r="S363" s="22">
        <f t="shared" si="23"/>
        <v>0</v>
      </c>
    </row>
    <row r="364" spans="1:19" x14ac:dyDescent="0.3">
      <c r="A364" s="22" t="s">
        <v>1276</v>
      </c>
      <c r="B364" t="s">
        <v>1277</v>
      </c>
      <c r="C364" t="s">
        <v>1278</v>
      </c>
      <c r="D364" t="s">
        <v>194</v>
      </c>
      <c r="E364" s="22" t="s">
        <v>195</v>
      </c>
      <c r="F364" t="s">
        <v>576</v>
      </c>
      <c r="G364" s="22" t="s">
        <v>24</v>
      </c>
      <c r="H364" s="22">
        <f t="shared" si="20"/>
        <v>2</v>
      </c>
      <c r="I364" t="s">
        <v>42</v>
      </c>
      <c r="J364" s="22" t="s">
        <v>106</v>
      </c>
      <c r="K364" t="s">
        <v>124</v>
      </c>
      <c r="L364" t="s">
        <v>99</v>
      </c>
      <c r="M364" s="28">
        <v>45844</v>
      </c>
      <c r="N364" s="22">
        <v>26</v>
      </c>
      <c r="O364" s="22" t="str">
        <f>IF(COUNTIF(Exits_Attrition!$A$2:$A$65,A364)&gt;0,"Exited","Active")</f>
        <v>Exited</v>
      </c>
      <c r="P364" s="28">
        <f>IFERROR(INDEX(Exits_Attrition!$H$2:$H$65,MATCH(A364,Exits_Attrition!$A$2:$A$65,0)),"")</f>
        <v>46141</v>
      </c>
      <c r="Q364" s="24">
        <f t="shared" si="21"/>
        <v>0.8</v>
      </c>
      <c r="R364" s="22" t="str">
        <f t="shared" si="22"/>
        <v>Under 1 Yr</v>
      </c>
      <c r="S364" s="22">
        <f t="shared" si="23"/>
        <v>0</v>
      </c>
    </row>
    <row r="365" spans="1:19" x14ac:dyDescent="0.3">
      <c r="A365" s="22" t="s">
        <v>523</v>
      </c>
      <c r="B365" t="s">
        <v>522</v>
      </c>
      <c r="C365" t="s">
        <v>1279</v>
      </c>
      <c r="D365" t="s">
        <v>94</v>
      </c>
      <c r="E365" s="22" t="s">
        <v>95</v>
      </c>
      <c r="F365" t="s">
        <v>1280</v>
      </c>
      <c r="G365" s="22" t="s">
        <v>34</v>
      </c>
      <c r="H365" s="22">
        <f t="shared" si="20"/>
        <v>7</v>
      </c>
      <c r="I365" t="s">
        <v>44</v>
      </c>
      <c r="J365" s="22" t="s">
        <v>106</v>
      </c>
      <c r="K365" t="s">
        <v>124</v>
      </c>
      <c r="L365" t="s">
        <v>99</v>
      </c>
      <c r="M365" s="28">
        <v>45844</v>
      </c>
      <c r="N365" s="22">
        <v>41</v>
      </c>
      <c r="O365" s="22" t="str">
        <f>IF(COUNTIF(Exits_Attrition!$A$2:$A$65,A365)&gt;0,"Exited","Active")</f>
        <v>Active</v>
      </c>
      <c r="P365" s="28" t="str">
        <f>IFERROR(INDEX(Exits_Attrition!$H$2:$H$65,MATCH(A365,Exits_Attrition!$A$2:$A$65,0)),"")</f>
        <v/>
      </c>
      <c r="Q365" s="24">
        <f t="shared" si="21"/>
        <v>1.2</v>
      </c>
      <c r="R365" s="22" t="str">
        <f t="shared" si="22"/>
        <v>1-3 Yrs</v>
      </c>
      <c r="S365" s="22">
        <f t="shared" si="23"/>
        <v>1</v>
      </c>
    </row>
    <row r="366" spans="1:19" x14ac:dyDescent="0.3">
      <c r="A366" s="22" t="s">
        <v>1281</v>
      </c>
      <c r="B366" t="s">
        <v>1282</v>
      </c>
      <c r="C366" t="s">
        <v>1283</v>
      </c>
      <c r="D366" t="s">
        <v>113</v>
      </c>
      <c r="E366" s="22" t="s">
        <v>112</v>
      </c>
      <c r="F366" t="s">
        <v>911</v>
      </c>
      <c r="G366" s="22" t="s">
        <v>22</v>
      </c>
      <c r="H366" s="22">
        <f t="shared" si="20"/>
        <v>1</v>
      </c>
      <c r="I366" t="s">
        <v>39</v>
      </c>
      <c r="J366" s="22" t="s">
        <v>97</v>
      </c>
      <c r="K366" t="s">
        <v>190</v>
      </c>
      <c r="L366" t="s">
        <v>99</v>
      </c>
      <c r="M366" s="28">
        <v>45859</v>
      </c>
      <c r="N366" s="22">
        <v>26</v>
      </c>
      <c r="O366" s="22" t="str">
        <f>IF(COUNTIF(Exits_Attrition!$A$2:$A$65,A366)&gt;0,"Exited","Active")</f>
        <v>Exited</v>
      </c>
      <c r="P366" s="28">
        <f>IFERROR(INDEX(Exits_Attrition!$H$2:$H$65,MATCH(A366,Exits_Attrition!$A$2:$A$65,0)),"")</f>
        <v>45952</v>
      </c>
      <c r="Q366" s="24">
        <f t="shared" si="21"/>
        <v>0.3</v>
      </c>
      <c r="R366" s="22" t="str">
        <f t="shared" si="22"/>
        <v>Under 1 Yr</v>
      </c>
      <c r="S366" s="22">
        <f t="shared" si="23"/>
        <v>0</v>
      </c>
    </row>
    <row r="367" spans="1:19" x14ac:dyDescent="0.3">
      <c r="A367" s="22" t="s">
        <v>1284</v>
      </c>
      <c r="B367" t="s">
        <v>1285</v>
      </c>
      <c r="C367" t="s">
        <v>1286</v>
      </c>
      <c r="D367" t="s">
        <v>173</v>
      </c>
      <c r="E367" s="22" t="s">
        <v>172</v>
      </c>
      <c r="F367" t="s">
        <v>202</v>
      </c>
      <c r="G367" s="22" t="s">
        <v>28</v>
      </c>
      <c r="H367" s="22">
        <f t="shared" si="20"/>
        <v>4</v>
      </c>
      <c r="I367" t="s">
        <v>41</v>
      </c>
      <c r="J367" s="22" t="s">
        <v>97</v>
      </c>
      <c r="K367" t="s">
        <v>156</v>
      </c>
      <c r="L367" t="s">
        <v>99</v>
      </c>
      <c r="M367" s="28">
        <v>45862</v>
      </c>
      <c r="N367" s="22">
        <v>30</v>
      </c>
      <c r="O367" s="22" t="str">
        <f>IF(COUNTIF(Exits_Attrition!$A$2:$A$65,A367)&gt;0,"Exited","Active")</f>
        <v>Active</v>
      </c>
      <c r="P367" s="28" t="str">
        <f>IFERROR(INDEX(Exits_Attrition!$H$2:$H$65,MATCH(A367,Exits_Attrition!$A$2:$A$65,0)),"")</f>
        <v/>
      </c>
      <c r="Q367" s="24">
        <f t="shared" si="21"/>
        <v>1.2</v>
      </c>
      <c r="R367" s="22" t="str">
        <f t="shared" si="22"/>
        <v>1-3 Yrs</v>
      </c>
      <c r="S367" s="22">
        <f t="shared" si="23"/>
        <v>0</v>
      </c>
    </row>
    <row r="368" spans="1:19" x14ac:dyDescent="0.3">
      <c r="A368" s="22" t="s">
        <v>1287</v>
      </c>
      <c r="B368" t="s">
        <v>1288</v>
      </c>
      <c r="C368" t="s">
        <v>1289</v>
      </c>
      <c r="D368" t="s">
        <v>349</v>
      </c>
      <c r="E368" s="22" t="s">
        <v>350</v>
      </c>
      <c r="F368" t="s">
        <v>569</v>
      </c>
      <c r="G368" s="22" t="s">
        <v>24</v>
      </c>
      <c r="H368" s="22">
        <f t="shared" si="20"/>
        <v>2</v>
      </c>
      <c r="I368" t="s">
        <v>39</v>
      </c>
      <c r="J368" s="22" t="s">
        <v>97</v>
      </c>
      <c r="K368" t="s">
        <v>190</v>
      </c>
      <c r="L368" t="s">
        <v>99</v>
      </c>
      <c r="M368" s="28">
        <v>45868</v>
      </c>
      <c r="N368" s="22">
        <v>28</v>
      </c>
      <c r="O368" s="22" t="str">
        <f>IF(COUNTIF(Exits_Attrition!$A$2:$A$65,A368)&gt;0,"Exited","Active")</f>
        <v>Active</v>
      </c>
      <c r="P368" s="28" t="str">
        <f>IFERROR(INDEX(Exits_Attrition!$H$2:$H$65,MATCH(A368,Exits_Attrition!$A$2:$A$65,0)),"")</f>
        <v/>
      </c>
      <c r="Q368" s="24">
        <f t="shared" si="21"/>
        <v>1.2</v>
      </c>
      <c r="R368" s="22" t="str">
        <f t="shared" si="22"/>
        <v>1-3 Yrs</v>
      </c>
      <c r="S368" s="22">
        <f t="shared" si="23"/>
        <v>0</v>
      </c>
    </row>
    <row r="369" spans="1:19" x14ac:dyDescent="0.3">
      <c r="A369" s="22" t="s">
        <v>1290</v>
      </c>
      <c r="B369" t="s">
        <v>1291</v>
      </c>
      <c r="C369" t="s">
        <v>1292</v>
      </c>
      <c r="D369" t="s">
        <v>166</v>
      </c>
      <c r="E369" s="22" t="s">
        <v>167</v>
      </c>
      <c r="F369" t="s">
        <v>936</v>
      </c>
      <c r="G369" s="22" t="s">
        <v>22</v>
      </c>
      <c r="H369" s="22">
        <f t="shared" si="20"/>
        <v>1</v>
      </c>
      <c r="I369" t="s">
        <v>47</v>
      </c>
      <c r="J369" s="22" t="s">
        <v>106</v>
      </c>
      <c r="K369" t="s">
        <v>98</v>
      </c>
      <c r="L369" t="s">
        <v>99</v>
      </c>
      <c r="M369" s="28">
        <v>45877</v>
      </c>
      <c r="N369" s="22">
        <v>29</v>
      </c>
      <c r="O369" s="22" t="str">
        <f>IF(COUNTIF(Exits_Attrition!$A$2:$A$65,A369)&gt;0,"Exited","Active")</f>
        <v>Active</v>
      </c>
      <c r="P369" s="28" t="str">
        <f>IFERROR(INDEX(Exits_Attrition!$H$2:$H$65,MATCH(A369,Exits_Attrition!$A$2:$A$65,0)),"")</f>
        <v/>
      </c>
      <c r="Q369" s="24">
        <f t="shared" si="21"/>
        <v>1.1000000000000001</v>
      </c>
      <c r="R369" s="22" t="str">
        <f t="shared" si="22"/>
        <v>1-3 Yrs</v>
      </c>
      <c r="S369" s="22">
        <f t="shared" si="23"/>
        <v>0</v>
      </c>
    </row>
    <row r="370" spans="1:19" x14ac:dyDescent="0.3">
      <c r="A370" s="22" t="s">
        <v>1205</v>
      </c>
      <c r="B370" t="s">
        <v>1204</v>
      </c>
      <c r="C370" t="s">
        <v>1293</v>
      </c>
      <c r="D370" t="s">
        <v>94</v>
      </c>
      <c r="E370" s="22" t="s">
        <v>95</v>
      </c>
      <c r="F370" t="s">
        <v>1294</v>
      </c>
      <c r="G370" s="22" t="s">
        <v>34</v>
      </c>
      <c r="H370" s="22">
        <f t="shared" si="20"/>
        <v>7</v>
      </c>
      <c r="I370" t="s">
        <v>48</v>
      </c>
      <c r="J370" s="22" t="s">
        <v>97</v>
      </c>
      <c r="K370" t="s">
        <v>107</v>
      </c>
      <c r="L370" t="s">
        <v>99</v>
      </c>
      <c r="M370" s="28">
        <v>45888</v>
      </c>
      <c r="N370" s="22">
        <v>39</v>
      </c>
      <c r="O370" s="22" t="str">
        <f>IF(COUNTIF(Exits_Attrition!$A$2:$A$65,A370)&gt;0,"Exited","Active")</f>
        <v>Active</v>
      </c>
      <c r="P370" s="28" t="str">
        <f>IFERROR(INDEX(Exits_Attrition!$H$2:$H$65,MATCH(A370,Exits_Attrition!$A$2:$A$65,0)),"")</f>
        <v/>
      </c>
      <c r="Q370" s="24">
        <f t="shared" si="21"/>
        <v>1.1000000000000001</v>
      </c>
      <c r="R370" s="22" t="str">
        <f t="shared" si="22"/>
        <v>1-3 Yrs</v>
      </c>
      <c r="S370" s="22">
        <f t="shared" si="23"/>
        <v>1</v>
      </c>
    </row>
    <row r="371" spans="1:19" x14ac:dyDescent="0.3">
      <c r="A371" s="22" t="s">
        <v>1295</v>
      </c>
      <c r="B371" t="s">
        <v>1296</v>
      </c>
      <c r="C371" t="s">
        <v>1297</v>
      </c>
      <c r="D371" t="s">
        <v>185</v>
      </c>
      <c r="E371" s="22" t="s">
        <v>184</v>
      </c>
      <c r="F371" t="s">
        <v>898</v>
      </c>
      <c r="G371" s="22" t="s">
        <v>22</v>
      </c>
      <c r="H371" s="22">
        <f t="shared" si="20"/>
        <v>1</v>
      </c>
      <c r="I371" t="s">
        <v>44</v>
      </c>
      <c r="J371" s="22" t="s">
        <v>106</v>
      </c>
      <c r="K371" t="s">
        <v>124</v>
      </c>
      <c r="L371" t="s">
        <v>99</v>
      </c>
      <c r="M371" s="28">
        <v>45891</v>
      </c>
      <c r="N371" s="22">
        <v>23</v>
      </c>
      <c r="O371" s="22" t="str">
        <f>IF(COUNTIF(Exits_Attrition!$A$2:$A$65,A371)&gt;0,"Exited","Active")</f>
        <v>Active</v>
      </c>
      <c r="P371" s="28" t="str">
        <f>IFERROR(INDEX(Exits_Attrition!$H$2:$H$65,MATCH(A371,Exits_Attrition!$A$2:$A$65,0)),"")</f>
        <v/>
      </c>
      <c r="Q371" s="24">
        <f t="shared" si="21"/>
        <v>1.1000000000000001</v>
      </c>
      <c r="R371" s="22" t="str">
        <f t="shared" si="22"/>
        <v>1-3 Yrs</v>
      </c>
      <c r="S371" s="22">
        <f t="shared" si="23"/>
        <v>0</v>
      </c>
    </row>
    <row r="372" spans="1:19" x14ac:dyDescent="0.3">
      <c r="A372" s="22" t="s">
        <v>1298</v>
      </c>
      <c r="B372" t="s">
        <v>1299</v>
      </c>
      <c r="C372" t="s">
        <v>1300</v>
      </c>
      <c r="D372" t="s">
        <v>228</v>
      </c>
      <c r="E372" s="22" t="s">
        <v>227</v>
      </c>
      <c r="F372" t="s">
        <v>1062</v>
      </c>
      <c r="G372" s="22" t="s">
        <v>22</v>
      </c>
      <c r="H372" s="22">
        <f t="shared" si="20"/>
        <v>1</v>
      </c>
      <c r="I372" t="s">
        <v>42</v>
      </c>
      <c r="J372" s="22" t="s">
        <v>97</v>
      </c>
      <c r="K372" t="s">
        <v>124</v>
      </c>
      <c r="L372" t="s">
        <v>99</v>
      </c>
      <c r="M372" s="28">
        <v>45894</v>
      </c>
      <c r="N372" s="22">
        <v>24</v>
      </c>
      <c r="O372" s="22" t="str">
        <f>IF(COUNTIF(Exits_Attrition!$A$2:$A$65,A372)&gt;0,"Exited","Active")</f>
        <v>Active</v>
      </c>
      <c r="P372" s="28" t="str">
        <f>IFERROR(INDEX(Exits_Attrition!$H$2:$H$65,MATCH(A372,Exits_Attrition!$A$2:$A$65,0)),"")</f>
        <v/>
      </c>
      <c r="Q372" s="24">
        <f t="shared" si="21"/>
        <v>1.1000000000000001</v>
      </c>
      <c r="R372" s="22" t="str">
        <f t="shared" si="22"/>
        <v>1-3 Yrs</v>
      </c>
      <c r="S372" s="22">
        <f t="shared" si="23"/>
        <v>0</v>
      </c>
    </row>
    <row r="373" spans="1:19" x14ac:dyDescent="0.3">
      <c r="A373" s="22" t="s">
        <v>1301</v>
      </c>
      <c r="B373" t="s">
        <v>1302</v>
      </c>
      <c r="C373" t="s">
        <v>1303</v>
      </c>
      <c r="D373" t="s">
        <v>433</v>
      </c>
      <c r="E373" s="22" t="s">
        <v>434</v>
      </c>
      <c r="F373" t="s">
        <v>476</v>
      </c>
      <c r="G373" s="22" t="s">
        <v>28</v>
      </c>
      <c r="H373" s="22">
        <f t="shared" si="20"/>
        <v>4</v>
      </c>
      <c r="I373" t="s">
        <v>45</v>
      </c>
      <c r="J373" s="22" t="s">
        <v>106</v>
      </c>
      <c r="K373" t="s">
        <v>98</v>
      </c>
      <c r="L373" t="s">
        <v>99</v>
      </c>
      <c r="M373" s="28">
        <v>45895</v>
      </c>
      <c r="N373" s="22">
        <v>35</v>
      </c>
      <c r="O373" s="22" t="str">
        <f>IF(COUNTIF(Exits_Attrition!$A$2:$A$65,A373)&gt;0,"Exited","Active")</f>
        <v>Exited</v>
      </c>
      <c r="P373" s="28">
        <f>IFERROR(INDEX(Exits_Attrition!$H$2:$H$65,MATCH(A373,Exits_Attrition!$A$2:$A$65,0)),"")</f>
        <v>46266</v>
      </c>
      <c r="Q373" s="24">
        <f t="shared" si="21"/>
        <v>1</v>
      </c>
      <c r="R373" s="22" t="str">
        <f t="shared" si="22"/>
        <v>1-3 Yrs</v>
      </c>
      <c r="S373" s="22">
        <f t="shared" si="23"/>
        <v>0</v>
      </c>
    </row>
    <row r="374" spans="1:19" x14ac:dyDescent="0.3">
      <c r="A374" s="22" t="s">
        <v>139</v>
      </c>
      <c r="B374" t="s">
        <v>138</v>
      </c>
      <c r="C374" t="s">
        <v>1304</v>
      </c>
      <c r="D374" t="s">
        <v>619</v>
      </c>
      <c r="E374" s="22" t="s">
        <v>618</v>
      </c>
      <c r="F374" t="s">
        <v>667</v>
      </c>
      <c r="G374" s="22" t="s">
        <v>32</v>
      </c>
      <c r="H374" s="22">
        <f t="shared" si="20"/>
        <v>6</v>
      </c>
      <c r="I374" t="s">
        <v>40</v>
      </c>
      <c r="J374" s="22" t="s">
        <v>106</v>
      </c>
      <c r="K374" t="s">
        <v>156</v>
      </c>
      <c r="L374" t="s">
        <v>220</v>
      </c>
      <c r="M374" s="28">
        <v>45898</v>
      </c>
      <c r="N374" s="22">
        <v>39</v>
      </c>
      <c r="O374" s="22" t="str">
        <f>IF(COUNTIF(Exits_Attrition!$A$2:$A$65,A374)&gt;0,"Exited","Active")</f>
        <v>Active</v>
      </c>
      <c r="P374" s="28" t="str">
        <f>IFERROR(INDEX(Exits_Attrition!$H$2:$H$65,MATCH(A374,Exits_Attrition!$A$2:$A$65,0)),"")</f>
        <v/>
      </c>
      <c r="Q374" s="24">
        <f t="shared" si="21"/>
        <v>1.1000000000000001</v>
      </c>
      <c r="R374" s="22" t="str">
        <f t="shared" si="22"/>
        <v>1-3 Yrs</v>
      </c>
      <c r="S374" s="22">
        <f t="shared" si="23"/>
        <v>4</v>
      </c>
    </row>
    <row r="375" spans="1:19" x14ac:dyDescent="0.3">
      <c r="A375" s="22" t="s">
        <v>1305</v>
      </c>
      <c r="B375" t="s">
        <v>1306</v>
      </c>
      <c r="C375" t="s">
        <v>1307</v>
      </c>
      <c r="D375" t="s">
        <v>101</v>
      </c>
      <c r="E375" s="22" t="s">
        <v>100</v>
      </c>
      <c r="F375" t="s">
        <v>183</v>
      </c>
      <c r="G375" s="22" t="s">
        <v>28</v>
      </c>
      <c r="H375" s="22">
        <f t="shared" si="20"/>
        <v>4</v>
      </c>
      <c r="I375" t="s">
        <v>39</v>
      </c>
      <c r="J375" s="22" t="s">
        <v>97</v>
      </c>
      <c r="K375" t="s">
        <v>98</v>
      </c>
      <c r="L375" t="s">
        <v>99</v>
      </c>
      <c r="M375" s="28">
        <v>45901</v>
      </c>
      <c r="N375" s="22">
        <v>35</v>
      </c>
      <c r="O375" s="22" t="str">
        <f>IF(COUNTIF(Exits_Attrition!$A$2:$A$65,A375)&gt;0,"Exited","Active")</f>
        <v>Exited</v>
      </c>
      <c r="P375" s="28">
        <f>IFERROR(INDEX(Exits_Attrition!$H$2:$H$65,MATCH(A375,Exits_Attrition!$A$2:$A$65,0)),"")</f>
        <v>46148</v>
      </c>
      <c r="Q375" s="24">
        <f t="shared" si="21"/>
        <v>0.7</v>
      </c>
      <c r="R375" s="22" t="str">
        <f t="shared" si="22"/>
        <v>Under 1 Yr</v>
      </c>
      <c r="S375" s="22">
        <f t="shared" si="23"/>
        <v>0</v>
      </c>
    </row>
    <row r="376" spans="1:19" x14ac:dyDescent="0.3">
      <c r="A376" s="22" t="s">
        <v>1308</v>
      </c>
      <c r="B376" t="s">
        <v>1309</v>
      </c>
      <c r="C376" t="s">
        <v>1310</v>
      </c>
      <c r="D376" t="s">
        <v>338</v>
      </c>
      <c r="E376" s="22" t="s">
        <v>339</v>
      </c>
      <c r="F376" t="s">
        <v>1062</v>
      </c>
      <c r="G376" s="22" t="s">
        <v>22</v>
      </c>
      <c r="H376" s="22">
        <f t="shared" si="20"/>
        <v>1</v>
      </c>
      <c r="I376" t="s">
        <v>42</v>
      </c>
      <c r="J376" s="22" t="s">
        <v>106</v>
      </c>
      <c r="K376" t="s">
        <v>124</v>
      </c>
      <c r="L376" t="s">
        <v>99</v>
      </c>
      <c r="M376" s="28">
        <v>45901</v>
      </c>
      <c r="N376" s="22">
        <v>29</v>
      </c>
      <c r="O376" s="22" t="str">
        <f>IF(COUNTIF(Exits_Attrition!$A$2:$A$65,A376)&gt;0,"Exited","Active")</f>
        <v>Exited</v>
      </c>
      <c r="P376" s="28">
        <f>IFERROR(INDEX(Exits_Attrition!$H$2:$H$65,MATCH(A376,Exits_Attrition!$A$2:$A$65,0)),"")</f>
        <v>46225</v>
      </c>
      <c r="Q376" s="24">
        <f t="shared" si="21"/>
        <v>0.9</v>
      </c>
      <c r="R376" s="22" t="str">
        <f t="shared" si="22"/>
        <v>Under 1 Yr</v>
      </c>
      <c r="S376" s="22">
        <f t="shared" si="23"/>
        <v>0</v>
      </c>
    </row>
    <row r="377" spans="1:19" x14ac:dyDescent="0.3">
      <c r="A377" s="22" t="s">
        <v>1311</v>
      </c>
      <c r="B377" t="s">
        <v>1312</v>
      </c>
      <c r="C377" t="s">
        <v>1313</v>
      </c>
      <c r="D377" t="s">
        <v>119</v>
      </c>
      <c r="E377" s="22" t="s">
        <v>118</v>
      </c>
      <c r="F377" t="s">
        <v>902</v>
      </c>
      <c r="G377" s="22" t="s">
        <v>22</v>
      </c>
      <c r="H377" s="22">
        <f t="shared" si="20"/>
        <v>1</v>
      </c>
      <c r="I377" t="s">
        <v>40</v>
      </c>
      <c r="J377" s="22" t="s">
        <v>97</v>
      </c>
      <c r="K377" t="s">
        <v>156</v>
      </c>
      <c r="L377" t="s">
        <v>99</v>
      </c>
      <c r="M377" s="28">
        <v>45902</v>
      </c>
      <c r="N377" s="22">
        <v>26</v>
      </c>
      <c r="O377" s="22" t="str">
        <f>IF(COUNTIF(Exits_Attrition!$A$2:$A$65,A377)&gt;0,"Exited","Active")</f>
        <v>Active</v>
      </c>
      <c r="P377" s="28" t="str">
        <f>IFERROR(INDEX(Exits_Attrition!$H$2:$H$65,MATCH(A377,Exits_Attrition!$A$2:$A$65,0)),"")</f>
        <v/>
      </c>
      <c r="Q377" s="24">
        <f t="shared" si="21"/>
        <v>1.1000000000000001</v>
      </c>
      <c r="R377" s="22" t="str">
        <f t="shared" si="22"/>
        <v>1-3 Yrs</v>
      </c>
      <c r="S377" s="22">
        <f t="shared" si="23"/>
        <v>0</v>
      </c>
    </row>
    <row r="378" spans="1:19" x14ac:dyDescent="0.3">
      <c r="A378" s="22" t="s">
        <v>1314</v>
      </c>
      <c r="B378" t="s">
        <v>1315</v>
      </c>
      <c r="C378" t="s">
        <v>1316</v>
      </c>
      <c r="D378" t="s">
        <v>181</v>
      </c>
      <c r="E378" s="22" t="s">
        <v>182</v>
      </c>
      <c r="F378" t="s">
        <v>183</v>
      </c>
      <c r="G378" s="22" t="s">
        <v>28</v>
      </c>
      <c r="H378" s="22">
        <f t="shared" si="20"/>
        <v>4</v>
      </c>
      <c r="I378" t="s">
        <v>39</v>
      </c>
      <c r="J378" s="22" t="s">
        <v>106</v>
      </c>
      <c r="K378" t="s">
        <v>98</v>
      </c>
      <c r="L378" t="s">
        <v>99</v>
      </c>
      <c r="M378" s="28">
        <v>45921</v>
      </c>
      <c r="N378" s="22">
        <v>35</v>
      </c>
      <c r="O378" s="22" t="str">
        <f>IF(COUNTIF(Exits_Attrition!$A$2:$A$65,A378)&gt;0,"Exited","Active")</f>
        <v>Active</v>
      </c>
      <c r="P378" s="28" t="str">
        <f>IFERROR(INDEX(Exits_Attrition!$H$2:$H$65,MATCH(A378,Exits_Attrition!$A$2:$A$65,0)),"")</f>
        <v/>
      </c>
      <c r="Q378" s="24">
        <f t="shared" si="21"/>
        <v>1</v>
      </c>
      <c r="R378" s="22" t="str">
        <f t="shared" si="22"/>
        <v>1-3 Yrs</v>
      </c>
      <c r="S378" s="22">
        <f t="shared" si="23"/>
        <v>0</v>
      </c>
    </row>
    <row r="379" spans="1:19" x14ac:dyDescent="0.3">
      <c r="A379" s="22" t="s">
        <v>1317</v>
      </c>
      <c r="B379" t="s">
        <v>1318</v>
      </c>
      <c r="C379" t="s">
        <v>1319</v>
      </c>
      <c r="D379" t="s">
        <v>400</v>
      </c>
      <c r="E379" s="22" t="s">
        <v>401</v>
      </c>
      <c r="F379" t="s">
        <v>569</v>
      </c>
      <c r="G379" s="22" t="s">
        <v>24</v>
      </c>
      <c r="H379" s="22">
        <f t="shared" si="20"/>
        <v>2</v>
      </c>
      <c r="I379" t="s">
        <v>39</v>
      </c>
      <c r="J379" s="22" t="s">
        <v>106</v>
      </c>
      <c r="K379" t="s">
        <v>98</v>
      </c>
      <c r="L379" t="s">
        <v>220</v>
      </c>
      <c r="M379" s="28">
        <v>45922</v>
      </c>
      <c r="N379" s="22">
        <v>29</v>
      </c>
      <c r="O379" s="22" t="str">
        <f>IF(COUNTIF(Exits_Attrition!$A$2:$A$65,A379)&gt;0,"Exited","Active")</f>
        <v>Active</v>
      </c>
      <c r="P379" s="28" t="str">
        <f>IFERROR(INDEX(Exits_Attrition!$H$2:$H$65,MATCH(A379,Exits_Attrition!$A$2:$A$65,0)),"")</f>
        <v/>
      </c>
      <c r="Q379" s="24">
        <f t="shared" si="21"/>
        <v>1</v>
      </c>
      <c r="R379" s="22" t="str">
        <f t="shared" si="22"/>
        <v>1-3 Yrs</v>
      </c>
      <c r="S379" s="22">
        <f t="shared" si="23"/>
        <v>0</v>
      </c>
    </row>
    <row r="380" spans="1:19" x14ac:dyDescent="0.3">
      <c r="A380" s="22" t="s">
        <v>1320</v>
      </c>
      <c r="B380" t="s">
        <v>1321</v>
      </c>
      <c r="C380" t="s">
        <v>1322</v>
      </c>
      <c r="D380" t="s">
        <v>200</v>
      </c>
      <c r="E380" s="22" t="s">
        <v>201</v>
      </c>
      <c r="F380" t="s">
        <v>560</v>
      </c>
      <c r="G380" s="22" t="s">
        <v>24</v>
      </c>
      <c r="H380" s="22">
        <f t="shared" si="20"/>
        <v>2</v>
      </c>
      <c r="I380" t="s">
        <v>41</v>
      </c>
      <c r="J380" s="22" t="s">
        <v>106</v>
      </c>
      <c r="K380" t="s">
        <v>156</v>
      </c>
      <c r="L380" t="s">
        <v>99</v>
      </c>
      <c r="M380" s="28">
        <v>45926</v>
      </c>
      <c r="N380" s="22">
        <v>27</v>
      </c>
      <c r="O380" s="22" t="str">
        <f>IF(COUNTIF(Exits_Attrition!$A$2:$A$65,A380)&gt;0,"Exited","Active")</f>
        <v>Active</v>
      </c>
      <c r="P380" s="28" t="str">
        <f>IFERROR(INDEX(Exits_Attrition!$H$2:$H$65,MATCH(A380,Exits_Attrition!$A$2:$A$65,0)),"")</f>
        <v/>
      </c>
      <c r="Q380" s="24">
        <f t="shared" si="21"/>
        <v>1</v>
      </c>
      <c r="R380" s="22" t="str">
        <f t="shared" si="22"/>
        <v>1-3 Yrs</v>
      </c>
      <c r="S380" s="22">
        <f t="shared" si="23"/>
        <v>0</v>
      </c>
    </row>
    <row r="381" spans="1:19" x14ac:dyDescent="0.3">
      <c r="A381" s="22" t="s">
        <v>1323</v>
      </c>
      <c r="B381" t="s">
        <v>1324</v>
      </c>
      <c r="C381" t="s">
        <v>1325</v>
      </c>
      <c r="D381" t="s">
        <v>433</v>
      </c>
      <c r="E381" s="22" t="s">
        <v>434</v>
      </c>
      <c r="F381" t="s">
        <v>947</v>
      </c>
      <c r="G381" s="22" t="s">
        <v>22</v>
      </c>
      <c r="H381" s="22">
        <f t="shared" si="20"/>
        <v>1</v>
      </c>
      <c r="I381" t="s">
        <v>45</v>
      </c>
      <c r="J381" s="22" t="s">
        <v>106</v>
      </c>
      <c r="K381" t="s">
        <v>213</v>
      </c>
      <c r="L381" t="s">
        <v>99</v>
      </c>
      <c r="M381" s="28">
        <v>45931</v>
      </c>
      <c r="N381" s="22">
        <v>28</v>
      </c>
      <c r="O381" s="22" t="str">
        <f>IF(COUNTIF(Exits_Attrition!$A$2:$A$65,A381)&gt;0,"Exited","Active")</f>
        <v>Active</v>
      </c>
      <c r="P381" s="28" t="str">
        <f>IFERROR(INDEX(Exits_Attrition!$H$2:$H$65,MATCH(A381,Exits_Attrition!$A$2:$A$65,0)),"")</f>
        <v/>
      </c>
      <c r="Q381" s="24">
        <f t="shared" si="21"/>
        <v>1</v>
      </c>
      <c r="R381" s="22" t="str">
        <f t="shared" si="22"/>
        <v>1-3 Yrs</v>
      </c>
      <c r="S381" s="22">
        <f t="shared" si="23"/>
        <v>0</v>
      </c>
    </row>
    <row r="382" spans="1:19" x14ac:dyDescent="0.3">
      <c r="A382" s="22" t="s">
        <v>1326</v>
      </c>
      <c r="B382" t="s">
        <v>1327</v>
      </c>
      <c r="C382" t="s">
        <v>1328</v>
      </c>
      <c r="D382" t="s">
        <v>185</v>
      </c>
      <c r="E382" s="22" t="s">
        <v>184</v>
      </c>
      <c r="F382" t="s">
        <v>625</v>
      </c>
      <c r="G382" s="22" t="s">
        <v>24</v>
      </c>
      <c r="H382" s="22">
        <f t="shared" si="20"/>
        <v>2</v>
      </c>
      <c r="I382" t="s">
        <v>44</v>
      </c>
      <c r="J382" s="22" t="s">
        <v>106</v>
      </c>
      <c r="K382" t="s">
        <v>156</v>
      </c>
      <c r="L382" t="s">
        <v>99</v>
      </c>
      <c r="M382" s="28">
        <v>45932</v>
      </c>
      <c r="N382" s="22">
        <v>27</v>
      </c>
      <c r="O382" s="22" t="str">
        <f>IF(COUNTIF(Exits_Attrition!$A$2:$A$65,A382)&gt;0,"Exited","Active")</f>
        <v>Active</v>
      </c>
      <c r="P382" s="28" t="str">
        <f>IFERROR(INDEX(Exits_Attrition!$H$2:$H$65,MATCH(A382,Exits_Attrition!$A$2:$A$65,0)),"")</f>
        <v/>
      </c>
      <c r="Q382" s="24">
        <f t="shared" si="21"/>
        <v>1</v>
      </c>
      <c r="R382" s="22" t="str">
        <f t="shared" si="22"/>
        <v>1-3 Yrs</v>
      </c>
      <c r="S382" s="22">
        <f t="shared" si="23"/>
        <v>0</v>
      </c>
    </row>
    <row r="383" spans="1:19" x14ac:dyDescent="0.3">
      <c r="A383" s="22" t="s">
        <v>1329</v>
      </c>
      <c r="B383" t="s">
        <v>1330</v>
      </c>
      <c r="C383" t="s">
        <v>1331</v>
      </c>
      <c r="D383" t="s">
        <v>338</v>
      </c>
      <c r="E383" s="22" t="s">
        <v>339</v>
      </c>
      <c r="F383" t="s">
        <v>196</v>
      </c>
      <c r="G383" s="22" t="s">
        <v>28</v>
      </c>
      <c r="H383" s="22">
        <f t="shared" si="20"/>
        <v>4</v>
      </c>
      <c r="I383" t="s">
        <v>42</v>
      </c>
      <c r="J383" s="22" t="s">
        <v>97</v>
      </c>
      <c r="K383" t="s">
        <v>98</v>
      </c>
      <c r="L383" t="s">
        <v>99</v>
      </c>
      <c r="M383" s="28">
        <v>45933</v>
      </c>
      <c r="N383" s="22">
        <v>34</v>
      </c>
      <c r="O383" s="22" t="str">
        <f>IF(COUNTIF(Exits_Attrition!$A$2:$A$65,A383)&gt;0,"Exited","Active")</f>
        <v>Active</v>
      </c>
      <c r="P383" s="28" t="str">
        <f>IFERROR(INDEX(Exits_Attrition!$H$2:$H$65,MATCH(A383,Exits_Attrition!$A$2:$A$65,0)),"")</f>
        <v/>
      </c>
      <c r="Q383" s="24">
        <f t="shared" si="21"/>
        <v>1</v>
      </c>
      <c r="R383" s="22" t="str">
        <f t="shared" si="22"/>
        <v>1-3 Yrs</v>
      </c>
      <c r="S383" s="22">
        <f t="shared" si="23"/>
        <v>0</v>
      </c>
    </row>
    <row r="384" spans="1:19" x14ac:dyDescent="0.3">
      <c r="A384" s="22" t="s">
        <v>1332</v>
      </c>
      <c r="B384" t="s">
        <v>1333</v>
      </c>
      <c r="C384" t="s">
        <v>1334</v>
      </c>
      <c r="D384" t="s">
        <v>338</v>
      </c>
      <c r="E384" s="22" t="s">
        <v>339</v>
      </c>
      <c r="F384" t="s">
        <v>1062</v>
      </c>
      <c r="G384" s="22" t="s">
        <v>22</v>
      </c>
      <c r="H384" s="22">
        <f t="shared" si="20"/>
        <v>1</v>
      </c>
      <c r="I384" t="s">
        <v>42</v>
      </c>
      <c r="J384" s="22" t="s">
        <v>97</v>
      </c>
      <c r="K384" t="s">
        <v>124</v>
      </c>
      <c r="L384" t="s">
        <v>99</v>
      </c>
      <c r="M384" s="28">
        <v>45941</v>
      </c>
      <c r="N384" s="22">
        <v>24</v>
      </c>
      <c r="O384" s="22" t="str">
        <f>IF(COUNTIF(Exits_Attrition!$A$2:$A$65,A384)&gt;0,"Exited","Active")</f>
        <v>Exited</v>
      </c>
      <c r="P384" s="28">
        <f>IFERROR(INDEX(Exits_Attrition!$H$2:$H$65,MATCH(A384,Exits_Attrition!$A$2:$A$65,0)),"")</f>
        <v>46292</v>
      </c>
      <c r="Q384" s="24">
        <f t="shared" si="21"/>
        <v>1</v>
      </c>
      <c r="R384" s="22" t="str">
        <f t="shared" si="22"/>
        <v>1-3 Yrs</v>
      </c>
      <c r="S384" s="22">
        <f t="shared" si="23"/>
        <v>0</v>
      </c>
    </row>
    <row r="385" spans="1:19" x14ac:dyDescent="0.3">
      <c r="A385" s="22" t="s">
        <v>1335</v>
      </c>
      <c r="B385" t="s">
        <v>1336</v>
      </c>
      <c r="C385" t="s">
        <v>1337</v>
      </c>
      <c r="D385" t="s">
        <v>228</v>
      </c>
      <c r="E385" s="22" t="s">
        <v>227</v>
      </c>
      <c r="F385" t="s">
        <v>576</v>
      </c>
      <c r="G385" s="22" t="s">
        <v>24</v>
      </c>
      <c r="H385" s="22">
        <f t="shared" si="20"/>
        <v>2</v>
      </c>
      <c r="I385" t="s">
        <v>42</v>
      </c>
      <c r="J385" s="22" t="s">
        <v>97</v>
      </c>
      <c r="K385" t="s">
        <v>124</v>
      </c>
      <c r="L385" t="s">
        <v>99</v>
      </c>
      <c r="M385" s="28">
        <v>45942</v>
      </c>
      <c r="N385" s="22">
        <v>27</v>
      </c>
      <c r="O385" s="22" t="str">
        <f>IF(COUNTIF(Exits_Attrition!$A$2:$A$65,A385)&gt;0,"Exited","Active")</f>
        <v>Active</v>
      </c>
      <c r="P385" s="28" t="str">
        <f>IFERROR(INDEX(Exits_Attrition!$H$2:$H$65,MATCH(A385,Exits_Attrition!$A$2:$A$65,0)),"")</f>
        <v/>
      </c>
      <c r="Q385" s="24">
        <f t="shared" si="21"/>
        <v>1</v>
      </c>
      <c r="R385" s="22" t="str">
        <f t="shared" si="22"/>
        <v>1-3 Yrs</v>
      </c>
      <c r="S385" s="22">
        <f t="shared" si="23"/>
        <v>0</v>
      </c>
    </row>
    <row r="386" spans="1:19" x14ac:dyDescent="0.3">
      <c r="A386" s="22" t="s">
        <v>1338</v>
      </c>
      <c r="B386" t="s">
        <v>1339</v>
      </c>
      <c r="C386" t="s">
        <v>1340</v>
      </c>
      <c r="D386" t="s">
        <v>158</v>
      </c>
      <c r="E386" s="22" t="s">
        <v>157</v>
      </c>
      <c r="F386" t="s">
        <v>686</v>
      </c>
      <c r="G386" s="22" t="s">
        <v>24</v>
      </c>
      <c r="H386" s="22">
        <f t="shared" ref="H386:H449" si="24">VALUE(MID(G386,2,1))</f>
        <v>2</v>
      </c>
      <c r="I386" t="s">
        <v>48</v>
      </c>
      <c r="J386" s="22" t="s">
        <v>106</v>
      </c>
      <c r="K386" t="s">
        <v>213</v>
      </c>
      <c r="L386" t="s">
        <v>99</v>
      </c>
      <c r="M386" s="28">
        <v>45943</v>
      </c>
      <c r="N386" s="22">
        <v>25</v>
      </c>
      <c r="O386" s="22" t="str">
        <f>IF(COUNTIF(Exits_Attrition!$A$2:$A$65,A386)&gt;0,"Exited","Active")</f>
        <v>Active</v>
      </c>
      <c r="P386" s="28" t="str">
        <f>IFERROR(INDEX(Exits_Attrition!$H$2:$H$65,MATCH(A386,Exits_Attrition!$A$2:$A$65,0)),"")</f>
        <v/>
      </c>
      <c r="Q386" s="24">
        <f t="shared" ref="Q386:Q449" si="25">ROUND((IF(P386="",AsOf,P386)-M386)/365.25,1)</f>
        <v>1</v>
      </c>
      <c r="R386" s="22" t="str">
        <f t="shared" ref="R386:R449" si="26">IF(Q386&lt;1,"Under 1 Yr",IF(Q386&lt;3,"1-3 Yrs",IF(Q386&lt;5,"3-5 Yrs","5+ Yrs")))</f>
        <v>1-3 Yrs</v>
      </c>
      <c r="S386" s="22">
        <f t="shared" ref="S386:S449" si="27">COUNTIF($E$2:$E$501,A386)</f>
        <v>0</v>
      </c>
    </row>
    <row r="387" spans="1:19" x14ac:dyDescent="0.3">
      <c r="A387" s="22" t="s">
        <v>1341</v>
      </c>
      <c r="B387" t="s">
        <v>1342</v>
      </c>
      <c r="C387" t="s">
        <v>1343</v>
      </c>
      <c r="D387" t="s">
        <v>158</v>
      </c>
      <c r="E387" s="22" t="s">
        <v>157</v>
      </c>
      <c r="F387" t="s">
        <v>1130</v>
      </c>
      <c r="G387" s="22" t="s">
        <v>22</v>
      </c>
      <c r="H387" s="22">
        <f t="shared" si="24"/>
        <v>1</v>
      </c>
      <c r="I387" t="s">
        <v>48</v>
      </c>
      <c r="J387" s="22" t="s">
        <v>106</v>
      </c>
      <c r="K387" t="s">
        <v>213</v>
      </c>
      <c r="L387" t="s">
        <v>99</v>
      </c>
      <c r="M387" s="28">
        <v>45948</v>
      </c>
      <c r="N387" s="22">
        <v>23</v>
      </c>
      <c r="O387" s="22" t="str">
        <f>IF(COUNTIF(Exits_Attrition!$A$2:$A$65,A387)&gt;0,"Exited","Active")</f>
        <v>Active</v>
      </c>
      <c r="P387" s="28" t="str">
        <f>IFERROR(INDEX(Exits_Attrition!$H$2:$H$65,MATCH(A387,Exits_Attrition!$A$2:$A$65,0)),"")</f>
        <v/>
      </c>
      <c r="Q387" s="24">
        <f t="shared" si="25"/>
        <v>1</v>
      </c>
      <c r="R387" s="22" t="str">
        <f t="shared" si="26"/>
        <v>1-3 Yrs</v>
      </c>
      <c r="S387" s="22">
        <f t="shared" si="27"/>
        <v>0</v>
      </c>
    </row>
    <row r="388" spans="1:19" x14ac:dyDescent="0.3">
      <c r="A388" s="22" t="s">
        <v>1344</v>
      </c>
      <c r="B388" t="s">
        <v>1345</v>
      </c>
      <c r="C388" t="s">
        <v>1346</v>
      </c>
      <c r="D388" t="s">
        <v>128</v>
      </c>
      <c r="E388" s="22" t="s">
        <v>129</v>
      </c>
      <c r="F388" t="s">
        <v>898</v>
      </c>
      <c r="G388" s="22" t="s">
        <v>22</v>
      </c>
      <c r="H388" s="22">
        <f t="shared" si="24"/>
        <v>1</v>
      </c>
      <c r="I388" t="s">
        <v>44</v>
      </c>
      <c r="J388" s="22" t="s">
        <v>106</v>
      </c>
      <c r="K388" t="s">
        <v>124</v>
      </c>
      <c r="L388" t="s">
        <v>99</v>
      </c>
      <c r="M388" s="28">
        <v>45952</v>
      </c>
      <c r="N388" s="22">
        <v>28</v>
      </c>
      <c r="O388" s="22" t="str">
        <f>IF(COUNTIF(Exits_Attrition!$A$2:$A$65,A388)&gt;0,"Exited","Active")</f>
        <v>Active</v>
      </c>
      <c r="P388" s="28" t="str">
        <f>IFERROR(INDEX(Exits_Attrition!$H$2:$H$65,MATCH(A388,Exits_Attrition!$A$2:$A$65,0)),"")</f>
        <v/>
      </c>
      <c r="Q388" s="24">
        <f t="shared" si="25"/>
        <v>0.9</v>
      </c>
      <c r="R388" s="22" t="str">
        <f t="shared" si="26"/>
        <v>Under 1 Yr</v>
      </c>
      <c r="S388" s="22">
        <f t="shared" si="27"/>
        <v>0</v>
      </c>
    </row>
    <row r="389" spans="1:19" x14ac:dyDescent="0.3">
      <c r="A389" s="22" t="s">
        <v>1347</v>
      </c>
      <c r="B389" t="s">
        <v>1348</v>
      </c>
      <c r="C389" t="s">
        <v>1349</v>
      </c>
      <c r="D389" t="s">
        <v>304</v>
      </c>
      <c r="E389" s="22" t="s">
        <v>303</v>
      </c>
      <c r="F389" t="s">
        <v>569</v>
      </c>
      <c r="G389" s="22" t="s">
        <v>24</v>
      </c>
      <c r="H389" s="22">
        <f t="shared" si="24"/>
        <v>2</v>
      </c>
      <c r="I389" t="s">
        <v>39</v>
      </c>
      <c r="J389" s="22" t="s">
        <v>97</v>
      </c>
      <c r="K389" t="s">
        <v>98</v>
      </c>
      <c r="L389" t="s">
        <v>99</v>
      </c>
      <c r="M389" s="28">
        <v>45953</v>
      </c>
      <c r="N389" s="22">
        <v>31</v>
      </c>
      <c r="O389" s="22" t="str">
        <f>IF(COUNTIF(Exits_Attrition!$A$2:$A$65,A389)&gt;0,"Exited","Active")</f>
        <v>Active</v>
      </c>
      <c r="P389" s="28" t="str">
        <f>IFERROR(INDEX(Exits_Attrition!$H$2:$H$65,MATCH(A389,Exits_Attrition!$A$2:$A$65,0)),"")</f>
        <v/>
      </c>
      <c r="Q389" s="24">
        <f t="shared" si="25"/>
        <v>0.9</v>
      </c>
      <c r="R389" s="22" t="str">
        <f t="shared" si="26"/>
        <v>Under 1 Yr</v>
      </c>
      <c r="S389" s="22">
        <f t="shared" si="27"/>
        <v>0</v>
      </c>
    </row>
    <row r="390" spans="1:19" x14ac:dyDescent="0.3">
      <c r="A390" s="22" t="s">
        <v>1350</v>
      </c>
      <c r="B390" t="s">
        <v>1351</v>
      </c>
      <c r="C390" t="s">
        <v>1352</v>
      </c>
      <c r="D390" t="s">
        <v>242</v>
      </c>
      <c r="E390" s="22" t="s">
        <v>243</v>
      </c>
      <c r="F390" t="s">
        <v>244</v>
      </c>
      <c r="G390" s="22" t="s">
        <v>26</v>
      </c>
      <c r="H390" s="22">
        <f t="shared" si="24"/>
        <v>3</v>
      </c>
      <c r="I390" t="s">
        <v>39</v>
      </c>
      <c r="J390" s="22" t="s">
        <v>97</v>
      </c>
      <c r="K390" t="s">
        <v>98</v>
      </c>
      <c r="L390" t="s">
        <v>99</v>
      </c>
      <c r="M390" s="28">
        <v>45954</v>
      </c>
      <c r="N390" s="22">
        <v>27</v>
      </c>
      <c r="O390" s="22" t="str">
        <f>IF(COUNTIF(Exits_Attrition!$A$2:$A$65,A390)&gt;0,"Exited","Active")</f>
        <v>Active</v>
      </c>
      <c r="P390" s="28" t="str">
        <f>IFERROR(INDEX(Exits_Attrition!$H$2:$H$65,MATCH(A390,Exits_Attrition!$A$2:$A$65,0)),"")</f>
        <v/>
      </c>
      <c r="Q390" s="24">
        <f t="shared" si="25"/>
        <v>0.9</v>
      </c>
      <c r="R390" s="22" t="str">
        <f t="shared" si="26"/>
        <v>Under 1 Yr</v>
      </c>
      <c r="S390" s="22">
        <f t="shared" si="27"/>
        <v>0</v>
      </c>
    </row>
    <row r="391" spans="1:19" x14ac:dyDescent="0.3">
      <c r="A391" s="22" t="s">
        <v>1353</v>
      </c>
      <c r="B391" t="s">
        <v>1354</v>
      </c>
      <c r="C391" t="s">
        <v>1355</v>
      </c>
      <c r="D391" t="s">
        <v>136</v>
      </c>
      <c r="E391" s="22" t="s">
        <v>135</v>
      </c>
      <c r="F391" t="s">
        <v>219</v>
      </c>
      <c r="G391" s="22" t="s">
        <v>26</v>
      </c>
      <c r="H391" s="22">
        <f t="shared" si="24"/>
        <v>3</v>
      </c>
      <c r="I391" t="s">
        <v>40</v>
      </c>
      <c r="J391" s="22" t="s">
        <v>106</v>
      </c>
      <c r="K391" t="s">
        <v>156</v>
      </c>
      <c r="L391" t="s">
        <v>99</v>
      </c>
      <c r="M391" s="28">
        <v>45954</v>
      </c>
      <c r="N391" s="22">
        <v>28</v>
      </c>
      <c r="O391" s="22" t="str">
        <f>IF(COUNTIF(Exits_Attrition!$A$2:$A$65,A391)&gt;0,"Exited","Active")</f>
        <v>Active</v>
      </c>
      <c r="P391" s="28" t="str">
        <f>IFERROR(INDEX(Exits_Attrition!$H$2:$H$65,MATCH(A391,Exits_Attrition!$A$2:$A$65,0)),"")</f>
        <v/>
      </c>
      <c r="Q391" s="24">
        <f t="shared" si="25"/>
        <v>0.9</v>
      </c>
      <c r="R391" s="22" t="str">
        <f t="shared" si="26"/>
        <v>Under 1 Yr</v>
      </c>
      <c r="S391" s="22">
        <f t="shared" si="27"/>
        <v>0</v>
      </c>
    </row>
    <row r="392" spans="1:19" x14ac:dyDescent="0.3">
      <c r="A392" s="22" t="s">
        <v>1356</v>
      </c>
      <c r="B392" t="s">
        <v>1357</v>
      </c>
      <c r="C392" t="s">
        <v>1358</v>
      </c>
      <c r="D392" t="s">
        <v>433</v>
      </c>
      <c r="E392" s="22" t="s">
        <v>434</v>
      </c>
      <c r="F392" t="s">
        <v>749</v>
      </c>
      <c r="G392" s="22" t="s">
        <v>24</v>
      </c>
      <c r="H392" s="22">
        <f t="shared" si="24"/>
        <v>2</v>
      </c>
      <c r="I392" t="s">
        <v>45</v>
      </c>
      <c r="J392" s="22" t="s">
        <v>106</v>
      </c>
      <c r="K392" t="s">
        <v>98</v>
      </c>
      <c r="L392" t="s">
        <v>220</v>
      </c>
      <c r="M392" s="28">
        <v>45955</v>
      </c>
      <c r="N392" s="22">
        <v>25</v>
      </c>
      <c r="O392" s="22" t="str">
        <f>IF(COUNTIF(Exits_Attrition!$A$2:$A$65,A392)&gt;0,"Exited","Active")</f>
        <v>Exited</v>
      </c>
      <c r="P392" s="28">
        <f>IFERROR(INDEX(Exits_Attrition!$H$2:$H$65,MATCH(A392,Exits_Attrition!$A$2:$A$65,0)),"")</f>
        <v>46147</v>
      </c>
      <c r="Q392" s="24">
        <f t="shared" si="25"/>
        <v>0.5</v>
      </c>
      <c r="R392" s="22" t="str">
        <f t="shared" si="26"/>
        <v>Under 1 Yr</v>
      </c>
      <c r="S392" s="22">
        <f t="shared" si="27"/>
        <v>0</v>
      </c>
    </row>
    <row r="393" spans="1:19" x14ac:dyDescent="0.3">
      <c r="A393" s="22" t="s">
        <v>1359</v>
      </c>
      <c r="B393" t="s">
        <v>1360</v>
      </c>
      <c r="C393" t="s">
        <v>1361</v>
      </c>
      <c r="D393" t="s">
        <v>684</v>
      </c>
      <c r="E393" s="22" t="s">
        <v>685</v>
      </c>
      <c r="F393" t="s">
        <v>1130</v>
      </c>
      <c r="G393" s="22" t="s">
        <v>22</v>
      </c>
      <c r="H393" s="22">
        <f t="shared" si="24"/>
        <v>1</v>
      </c>
      <c r="I393" t="s">
        <v>48</v>
      </c>
      <c r="J393" s="22" t="s">
        <v>97</v>
      </c>
      <c r="K393" t="s">
        <v>213</v>
      </c>
      <c r="L393" t="s">
        <v>99</v>
      </c>
      <c r="M393" s="28">
        <v>45958</v>
      </c>
      <c r="N393" s="22">
        <v>29</v>
      </c>
      <c r="O393" s="22" t="str">
        <f>IF(COUNTIF(Exits_Attrition!$A$2:$A$65,A393)&gt;0,"Exited","Active")</f>
        <v>Active</v>
      </c>
      <c r="P393" s="28" t="str">
        <f>IFERROR(INDEX(Exits_Attrition!$H$2:$H$65,MATCH(A393,Exits_Attrition!$A$2:$A$65,0)),"")</f>
        <v/>
      </c>
      <c r="Q393" s="24">
        <f t="shared" si="25"/>
        <v>0.9</v>
      </c>
      <c r="R393" s="22" t="str">
        <f t="shared" si="26"/>
        <v>Under 1 Yr</v>
      </c>
      <c r="S393" s="22">
        <f t="shared" si="27"/>
        <v>0</v>
      </c>
    </row>
    <row r="394" spans="1:19" x14ac:dyDescent="0.3">
      <c r="A394" s="22" t="s">
        <v>1362</v>
      </c>
      <c r="B394" t="s">
        <v>1363</v>
      </c>
      <c r="C394" t="s">
        <v>1364</v>
      </c>
      <c r="D394" t="s">
        <v>285</v>
      </c>
      <c r="E394" s="22" t="s">
        <v>286</v>
      </c>
      <c r="F394" t="s">
        <v>287</v>
      </c>
      <c r="G394" s="22" t="s">
        <v>28</v>
      </c>
      <c r="H394" s="22">
        <f t="shared" si="24"/>
        <v>4</v>
      </c>
      <c r="I394" t="s">
        <v>43</v>
      </c>
      <c r="J394" s="22" t="s">
        <v>106</v>
      </c>
      <c r="K394" t="s">
        <v>107</v>
      </c>
      <c r="L394" t="s">
        <v>99</v>
      </c>
      <c r="M394" s="28">
        <v>45960</v>
      </c>
      <c r="N394" s="22">
        <v>35</v>
      </c>
      <c r="O394" s="22" t="str">
        <f>IF(COUNTIF(Exits_Attrition!$A$2:$A$65,A394)&gt;0,"Exited","Active")</f>
        <v>Active</v>
      </c>
      <c r="P394" s="28" t="str">
        <f>IFERROR(INDEX(Exits_Attrition!$H$2:$H$65,MATCH(A394,Exits_Attrition!$A$2:$A$65,0)),"")</f>
        <v/>
      </c>
      <c r="Q394" s="24">
        <f t="shared" si="25"/>
        <v>0.9</v>
      </c>
      <c r="R394" s="22" t="str">
        <f t="shared" si="26"/>
        <v>Under 1 Yr</v>
      </c>
      <c r="S394" s="22">
        <f t="shared" si="27"/>
        <v>0</v>
      </c>
    </row>
    <row r="395" spans="1:19" x14ac:dyDescent="0.3">
      <c r="A395" s="22" t="s">
        <v>1365</v>
      </c>
      <c r="B395" t="s">
        <v>1366</v>
      </c>
      <c r="C395" t="s">
        <v>1367</v>
      </c>
      <c r="D395" t="s">
        <v>116</v>
      </c>
      <c r="E395" s="22" t="s">
        <v>115</v>
      </c>
      <c r="F395" t="s">
        <v>911</v>
      </c>
      <c r="G395" s="22" t="s">
        <v>22</v>
      </c>
      <c r="H395" s="22">
        <f t="shared" si="24"/>
        <v>1</v>
      </c>
      <c r="I395" t="s">
        <v>39</v>
      </c>
      <c r="J395" s="22" t="s">
        <v>106</v>
      </c>
      <c r="K395" t="s">
        <v>213</v>
      </c>
      <c r="L395" t="s">
        <v>99</v>
      </c>
      <c r="M395" s="28">
        <v>45972</v>
      </c>
      <c r="N395" s="22">
        <v>28</v>
      </c>
      <c r="O395" s="22" t="str">
        <f>IF(COUNTIF(Exits_Attrition!$A$2:$A$65,A395)&gt;0,"Exited","Active")</f>
        <v>Exited</v>
      </c>
      <c r="P395" s="28">
        <f>IFERROR(INDEX(Exits_Attrition!$H$2:$H$65,MATCH(A395,Exits_Attrition!$A$2:$A$65,0)),"")</f>
        <v>46279</v>
      </c>
      <c r="Q395" s="24">
        <f t="shared" si="25"/>
        <v>0.8</v>
      </c>
      <c r="R395" s="22" t="str">
        <f t="shared" si="26"/>
        <v>Under 1 Yr</v>
      </c>
      <c r="S395" s="22">
        <f t="shared" si="27"/>
        <v>0</v>
      </c>
    </row>
    <row r="396" spans="1:19" x14ac:dyDescent="0.3">
      <c r="A396" s="22" t="s">
        <v>1368</v>
      </c>
      <c r="B396" t="s">
        <v>1369</v>
      </c>
      <c r="C396" t="s">
        <v>1370</v>
      </c>
      <c r="D396" t="s">
        <v>119</v>
      </c>
      <c r="E396" s="22" t="s">
        <v>118</v>
      </c>
      <c r="F396" t="s">
        <v>550</v>
      </c>
      <c r="G396" s="22" t="s">
        <v>24</v>
      </c>
      <c r="H396" s="22">
        <f t="shared" si="24"/>
        <v>2</v>
      </c>
      <c r="I396" t="s">
        <v>40</v>
      </c>
      <c r="J396" s="22" t="s">
        <v>106</v>
      </c>
      <c r="K396" t="s">
        <v>156</v>
      </c>
      <c r="L396" t="s">
        <v>99</v>
      </c>
      <c r="M396" s="28">
        <v>45974</v>
      </c>
      <c r="N396" s="22">
        <v>27</v>
      </c>
      <c r="O396" s="22" t="str">
        <f>IF(COUNTIF(Exits_Attrition!$A$2:$A$65,A396)&gt;0,"Exited","Active")</f>
        <v>Active</v>
      </c>
      <c r="P396" s="28" t="str">
        <f>IFERROR(INDEX(Exits_Attrition!$H$2:$H$65,MATCH(A396,Exits_Attrition!$A$2:$A$65,0)),"")</f>
        <v/>
      </c>
      <c r="Q396" s="24">
        <f t="shared" si="25"/>
        <v>0.9</v>
      </c>
      <c r="R396" s="22" t="str">
        <f t="shared" si="26"/>
        <v>Under 1 Yr</v>
      </c>
      <c r="S396" s="22">
        <f t="shared" si="27"/>
        <v>0</v>
      </c>
    </row>
    <row r="397" spans="1:19" x14ac:dyDescent="0.3">
      <c r="A397" s="22" t="s">
        <v>1371</v>
      </c>
      <c r="B397" t="s">
        <v>1372</v>
      </c>
      <c r="C397" t="s">
        <v>1373</v>
      </c>
      <c r="D397" t="s">
        <v>185</v>
      </c>
      <c r="E397" s="22" t="s">
        <v>184</v>
      </c>
      <c r="F397" t="s">
        <v>263</v>
      </c>
      <c r="G397" s="22" t="s">
        <v>26</v>
      </c>
      <c r="H397" s="22">
        <f t="shared" si="24"/>
        <v>3</v>
      </c>
      <c r="I397" t="s">
        <v>44</v>
      </c>
      <c r="J397" s="22" t="s">
        <v>106</v>
      </c>
      <c r="K397" t="s">
        <v>124</v>
      </c>
      <c r="L397" t="s">
        <v>99</v>
      </c>
      <c r="M397" s="28">
        <v>45975</v>
      </c>
      <c r="N397" s="22">
        <v>27</v>
      </c>
      <c r="O397" s="22" t="str">
        <f>IF(COUNTIF(Exits_Attrition!$A$2:$A$65,A397)&gt;0,"Exited","Active")</f>
        <v>Active</v>
      </c>
      <c r="P397" s="28" t="str">
        <f>IFERROR(INDEX(Exits_Attrition!$H$2:$H$65,MATCH(A397,Exits_Attrition!$A$2:$A$65,0)),"")</f>
        <v/>
      </c>
      <c r="Q397" s="24">
        <f t="shared" si="25"/>
        <v>0.9</v>
      </c>
      <c r="R397" s="22" t="str">
        <f t="shared" si="26"/>
        <v>Under 1 Yr</v>
      </c>
      <c r="S397" s="22">
        <f t="shared" si="27"/>
        <v>0</v>
      </c>
    </row>
    <row r="398" spans="1:19" x14ac:dyDescent="0.3">
      <c r="A398" s="22" t="s">
        <v>1374</v>
      </c>
      <c r="B398" t="s">
        <v>1375</v>
      </c>
      <c r="C398" t="s">
        <v>1376</v>
      </c>
      <c r="D398" t="s">
        <v>513</v>
      </c>
      <c r="E398" s="22" t="s">
        <v>514</v>
      </c>
      <c r="F398" t="s">
        <v>408</v>
      </c>
      <c r="G398" s="22" t="s">
        <v>26</v>
      </c>
      <c r="H398" s="22">
        <f t="shared" si="24"/>
        <v>3</v>
      </c>
      <c r="I398" t="s">
        <v>43</v>
      </c>
      <c r="J398" s="22" t="s">
        <v>97</v>
      </c>
      <c r="K398" t="s">
        <v>98</v>
      </c>
      <c r="L398" t="s">
        <v>99</v>
      </c>
      <c r="M398" s="28">
        <v>45982</v>
      </c>
      <c r="N398" s="22">
        <v>32</v>
      </c>
      <c r="O398" s="22" t="str">
        <f>IF(COUNTIF(Exits_Attrition!$A$2:$A$65,A398)&gt;0,"Exited","Active")</f>
        <v>Active</v>
      </c>
      <c r="P398" s="28" t="str">
        <f>IFERROR(INDEX(Exits_Attrition!$H$2:$H$65,MATCH(A398,Exits_Attrition!$A$2:$A$65,0)),"")</f>
        <v/>
      </c>
      <c r="Q398" s="24">
        <f t="shared" si="25"/>
        <v>0.9</v>
      </c>
      <c r="R398" s="22" t="str">
        <f t="shared" si="26"/>
        <v>Under 1 Yr</v>
      </c>
      <c r="S398" s="22">
        <f t="shared" si="27"/>
        <v>0</v>
      </c>
    </row>
    <row r="399" spans="1:19" x14ac:dyDescent="0.3">
      <c r="A399" s="22" t="s">
        <v>1377</v>
      </c>
      <c r="B399" t="s">
        <v>1378</v>
      </c>
      <c r="C399" t="s">
        <v>1379</v>
      </c>
      <c r="D399" t="s">
        <v>200</v>
      </c>
      <c r="E399" s="22" t="s">
        <v>201</v>
      </c>
      <c r="F399" t="s">
        <v>560</v>
      </c>
      <c r="G399" s="22" t="s">
        <v>24</v>
      </c>
      <c r="H399" s="22">
        <f t="shared" si="24"/>
        <v>2</v>
      </c>
      <c r="I399" t="s">
        <v>41</v>
      </c>
      <c r="J399" s="22" t="s">
        <v>97</v>
      </c>
      <c r="K399" t="s">
        <v>213</v>
      </c>
      <c r="L399" t="s">
        <v>99</v>
      </c>
      <c r="M399" s="28">
        <v>45983</v>
      </c>
      <c r="N399" s="22">
        <v>27</v>
      </c>
      <c r="O399" s="22" t="str">
        <f>IF(COUNTIF(Exits_Attrition!$A$2:$A$65,A399)&gt;0,"Exited","Active")</f>
        <v>Active</v>
      </c>
      <c r="P399" s="28" t="str">
        <f>IFERROR(INDEX(Exits_Attrition!$H$2:$H$65,MATCH(A399,Exits_Attrition!$A$2:$A$65,0)),"")</f>
        <v/>
      </c>
      <c r="Q399" s="24">
        <f t="shared" si="25"/>
        <v>0.9</v>
      </c>
      <c r="R399" s="22" t="str">
        <f t="shared" si="26"/>
        <v>Under 1 Yr</v>
      </c>
      <c r="S399" s="22">
        <f t="shared" si="27"/>
        <v>0</v>
      </c>
    </row>
    <row r="400" spans="1:19" x14ac:dyDescent="0.3">
      <c r="A400" s="22" t="s">
        <v>1380</v>
      </c>
      <c r="B400" t="s">
        <v>1381</v>
      </c>
      <c r="C400" t="s">
        <v>1382</v>
      </c>
      <c r="D400" t="s">
        <v>158</v>
      </c>
      <c r="E400" s="22" t="s">
        <v>157</v>
      </c>
      <c r="F400" t="s">
        <v>915</v>
      </c>
      <c r="G400" s="22" t="s">
        <v>28</v>
      </c>
      <c r="H400" s="22">
        <f t="shared" si="24"/>
        <v>4</v>
      </c>
      <c r="I400" t="s">
        <v>48</v>
      </c>
      <c r="J400" s="22" t="s">
        <v>106</v>
      </c>
      <c r="K400" t="s">
        <v>213</v>
      </c>
      <c r="L400" t="s">
        <v>99</v>
      </c>
      <c r="M400" s="28">
        <v>45983</v>
      </c>
      <c r="N400" s="22">
        <v>33</v>
      </c>
      <c r="O400" s="22" t="str">
        <f>IF(COUNTIF(Exits_Attrition!$A$2:$A$65,A400)&gt;0,"Exited","Active")</f>
        <v>Active</v>
      </c>
      <c r="P400" s="28" t="str">
        <f>IFERROR(INDEX(Exits_Attrition!$H$2:$H$65,MATCH(A400,Exits_Attrition!$A$2:$A$65,0)),"")</f>
        <v/>
      </c>
      <c r="Q400" s="24">
        <f t="shared" si="25"/>
        <v>0.9</v>
      </c>
      <c r="R400" s="22" t="str">
        <f t="shared" si="26"/>
        <v>Under 1 Yr</v>
      </c>
      <c r="S400" s="22">
        <f t="shared" si="27"/>
        <v>0</v>
      </c>
    </row>
    <row r="401" spans="1:19" x14ac:dyDescent="0.3">
      <c r="A401" s="22" t="s">
        <v>1383</v>
      </c>
      <c r="B401" t="s">
        <v>1384</v>
      </c>
      <c r="C401" t="s">
        <v>1385</v>
      </c>
      <c r="D401" t="s">
        <v>173</v>
      </c>
      <c r="E401" s="22" t="s">
        <v>172</v>
      </c>
      <c r="F401" t="s">
        <v>560</v>
      </c>
      <c r="G401" s="22" t="s">
        <v>24</v>
      </c>
      <c r="H401" s="22">
        <f t="shared" si="24"/>
        <v>2</v>
      </c>
      <c r="I401" t="s">
        <v>41</v>
      </c>
      <c r="J401" s="22" t="s">
        <v>106</v>
      </c>
      <c r="K401" t="s">
        <v>156</v>
      </c>
      <c r="L401" t="s">
        <v>99</v>
      </c>
      <c r="M401" s="28">
        <v>45986</v>
      </c>
      <c r="N401" s="22">
        <v>30</v>
      </c>
      <c r="O401" s="22" t="str">
        <f>IF(COUNTIF(Exits_Attrition!$A$2:$A$65,A401)&gt;0,"Exited","Active")</f>
        <v>Active</v>
      </c>
      <c r="P401" s="28" t="str">
        <f>IFERROR(INDEX(Exits_Attrition!$H$2:$H$65,MATCH(A401,Exits_Attrition!$A$2:$A$65,0)),"")</f>
        <v/>
      </c>
      <c r="Q401" s="24">
        <f t="shared" si="25"/>
        <v>0.8</v>
      </c>
      <c r="R401" s="22" t="str">
        <f t="shared" si="26"/>
        <v>Under 1 Yr</v>
      </c>
      <c r="S401" s="22">
        <f t="shared" si="27"/>
        <v>0</v>
      </c>
    </row>
    <row r="402" spans="1:19" x14ac:dyDescent="0.3">
      <c r="A402" s="22" t="s">
        <v>1386</v>
      </c>
      <c r="B402" t="s">
        <v>1387</v>
      </c>
      <c r="C402" t="s">
        <v>1388</v>
      </c>
      <c r="D402" t="s">
        <v>400</v>
      </c>
      <c r="E402" s="22" t="s">
        <v>401</v>
      </c>
      <c r="F402" t="s">
        <v>911</v>
      </c>
      <c r="G402" s="22" t="s">
        <v>22</v>
      </c>
      <c r="H402" s="22">
        <f t="shared" si="24"/>
        <v>1</v>
      </c>
      <c r="I402" t="s">
        <v>39</v>
      </c>
      <c r="J402" s="22" t="s">
        <v>97</v>
      </c>
      <c r="K402" t="s">
        <v>156</v>
      </c>
      <c r="L402" t="s">
        <v>99</v>
      </c>
      <c r="M402" s="28">
        <v>45994</v>
      </c>
      <c r="N402" s="22">
        <v>25</v>
      </c>
      <c r="O402" s="22" t="str">
        <f>IF(COUNTIF(Exits_Attrition!$A$2:$A$65,A402)&gt;0,"Exited","Active")</f>
        <v>Active</v>
      </c>
      <c r="P402" s="28" t="str">
        <f>IFERROR(INDEX(Exits_Attrition!$H$2:$H$65,MATCH(A402,Exits_Attrition!$A$2:$A$65,0)),"")</f>
        <v/>
      </c>
      <c r="Q402" s="24">
        <f t="shared" si="25"/>
        <v>0.8</v>
      </c>
      <c r="R402" s="22" t="str">
        <f t="shared" si="26"/>
        <v>Under 1 Yr</v>
      </c>
      <c r="S402" s="22">
        <f t="shared" si="27"/>
        <v>0</v>
      </c>
    </row>
    <row r="403" spans="1:19" x14ac:dyDescent="0.3">
      <c r="A403" s="22" t="s">
        <v>1389</v>
      </c>
      <c r="B403" t="s">
        <v>1390</v>
      </c>
      <c r="C403" t="s">
        <v>1391</v>
      </c>
      <c r="D403" t="s">
        <v>483</v>
      </c>
      <c r="E403" s="22" t="s">
        <v>484</v>
      </c>
      <c r="F403" t="s">
        <v>894</v>
      </c>
      <c r="G403" s="22" t="s">
        <v>22</v>
      </c>
      <c r="H403" s="22">
        <f t="shared" si="24"/>
        <v>1</v>
      </c>
      <c r="I403" t="s">
        <v>43</v>
      </c>
      <c r="J403" s="22" t="s">
        <v>106</v>
      </c>
      <c r="K403" t="s">
        <v>98</v>
      </c>
      <c r="L403" t="s">
        <v>99</v>
      </c>
      <c r="M403" s="28">
        <v>45997</v>
      </c>
      <c r="N403" s="22">
        <v>28</v>
      </c>
      <c r="O403" s="22" t="str">
        <f>IF(COUNTIF(Exits_Attrition!$A$2:$A$65,A403)&gt;0,"Exited","Active")</f>
        <v>Active</v>
      </c>
      <c r="P403" s="28" t="str">
        <f>IFERROR(INDEX(Exits_Attrition!$H$2:$H$65,MATCH(A403,Exits_Attrition!$A$2:$A$65,0)),"")</f>
        <v/>
      </c>
      <c r="Q403" s="24">
        <f t="shared" si="25"/>
        <v>0.8</v>
      </c>
      <c r="R403" s="22" t="str">
        <f t="shared" si="26"/>
        <v>Under 1 Yr</v>
      </c>
      <c r="S403" s="22">
        <f t="shared" si="27"/>
        <v>0</v>
      </c>
    </row>
    <row r="404" spans="1:19" x14ac:dyDescent="0.3">
      <c r="A404" s="22" t="s">
        <v>1392</v>
      </c>
      <c r="B404" t="s">
        <v>1393</v>
      </c>
      <c r="C404" t="s">
        <v>1394</v>
      </c>
      <c r="D404" t="s">
        <v>236</v>
      </c>
      <c r="E404" s="22" t="s">
        <v>237</v>
      </c>
      <c r="F404" t="s">
        <v>576</v>
      </c>
      <c r="G404" s="22" t="s">
        <v>24</v>
      </c>
      <c r="H404" s="22">
        <f t="shared" si="24"/>
        <v>2</v>
      </c>
      <c r="I404" t="s">
        <v>42</v>
      </c>
      <c r="J404" s="22" t="s">
        <v>106</v>
      </c>
      <c r="K404" t="s">
        <v>124</v>
      </c>
      <c r="L404" t="s">
        <v>99</v>
      </c>
      <c r="M404" s="28">
        <v>46006</v>
      </c>
      <c r="N404" s="22">
        <v>29</v>
      </c>
      <c r="O404" s="22" t="str">
        <f>IF(COUNTIF(Exits_Attrition!$A$2:$A$65,A404)&gt;0,"Exited","Active")</f>
        <v>Exited</v>
      </c>
      <c r="P404" s="28">
        <f>IFERROR(INDEX(Exits_Attrition!$H$2:$H$65,MATCH(A404,Exits_Attrition!$A$2:$A$65,0)),"")</f>
        <v>46136</v>
      </c>
      <c r="Q404" s="24">
        <f t="shared" si="25"/>
        <v>0.4</v>
      </c>
      <c r="R404" s="22" t="str">
        <f t="shared" si="26"/>
        <v>Under 1 Yr</v>
      </c>
      <c r="S404" s="22">
        <f t="shared" si="27"/>
        <v>0</v>
      </c>
    </row>
    <row r="405" spans="1:19" x14ac:dyDescent="0.3">
      <c r="A405" s="22" t="s">
        <v>1395</v>
      </c>
      <c r="B405" t="s">
        <v>1396</v>
      </c>
      <c r="C405" t="s">
        <v>1397</v>
      </c>
      <c r="D405" t="s">
        <v>153</v>
      </c>
      <c r="E405" s="22" t="s">
        <v>154</v>
      </c>
      <c r="F405" t="s">
        <v>902</v>
      </c>
      <c r="G405" s="22" t="s">
        <v>22</v>
      </c>
      <c r="H405" s="22">
        <f t="shared" si="24"/>
        <v>1</v>
      </c>
      <c r="I405" t="s">
        <v>40</v>
      </c>
      <c r="J405" s="22" t="s">
        <v>97</v>
      </c>
      <c r="K405" t="s">
        <v>213</v>
      </c>
      <c r="L405" t="s">
        <v>99</v>
      </c>
      <c r="M405" s="28">
        <v>46008</v>
      </c>
      <c r="N405" s="22">
        <v>25</v>
      </c>
      <c r="O405" s="22" t="str">
        <f>IF(COUNTIF(Exits_Attrition!$A$2:$A$65,A405)&gt;0,"Exited","Active")</f>
        <v>Active</v>
      </c>
      <c r="P405" s="28" t="str">
        <f>IFERROR(INDEX(Exits_Attrition!$H$2:$H$65,MATCH(A405,Exits_Attrition!$A$2:$A$65,0)),"")</f>
        <v/>
      </c>
      <c r="Q405" s="24">
        <f t="shared" si="25"/>
        <v>0.8</v>
      </c>
      <c r="R405" s="22" t="str">
        <f t="shared" si="26"/>
        <v>Under 1 Yr</v>
      </c>
      <c r="S405" s="22">
        <f t="shared" si="27"/>
        <v>0</v>
      </c>
    </row>
    <row r="406" spans="1:19" x14ac:dyDescent="0.3">
      <c r="A406" s="22" t="s">
        <v>1398</v>
      </c>
      <c r="B406" t="s">
        <v>1399</v>
      </c>
      <c r="C406" t="s">
        <v>1400</v>
      </c>
      <c r="D406" t="s">
        <v>109</v>
      </c>
      <c r="E406" s="22" t="s">
        <v>108</v>
      </c>
      <c r="F406" t="s">
        <v>936</v>
      </c>
      <c r="G406" s="22" t="s">
        <v>22</v>
      </c>
      <c r="H406" s="22">
        <f t="shared" si="24"/>
        <v>1</v>
      </c>
      <c r="I406" t="s">
        <v>47</v>
      </c>
      <c r="J406" s="22" t="s">
        <v>97</v>
      </c>
      <c r="K406" t="s">
        <v>107</v>
      </c>
      <c r="L406" t="s">
        <v>220</v>
      </c>
      <c r="M406" s="28">
        <v>46009</v>
      </c>
      <c r="N406" s="22">
        <v>23</v>
      </c>
      <c r="O406" s="22" t="str">
        <f>IF(COUNTIF(Exits_Attrition!$A$2:$A$65,A406)&gt;0,"Exited","Active")</f>
        <v>Active</v>
      </c>
      <c r="P406" s="28" t="str">
        <f>IFERROR(INDEX(Exits_Attrition!$H$2:$H$65,MATCH(A406,Exits_Attrition!$A$2:$A$65,0)),"")</f>
        <v/>
      </c>
      <c r="Q406" s="24">
        <f t="shared" si="25"/>
        <v>0.8</v>
      </c>
      <c r="R406" s="22" t="str">
        <f t="shared" si="26"/>
        <v>Under 1 Yr</v>
      </c>
      <c r="S406" s="22">
        <f t="shared" si="27"/>
        <v>0</v>
      </c>
    </row>
    <row r="407" spans="1:19" x14ac:dyDescent="0.3">
      <c r="A407" s="22" t="s">
        <v>1401</v>
      </c>
      <c r="B407" t="s">
        <v>1402</v>
      </c>
      <c r="C407" t="s">
        <v>1403</v>
      </c>
      <c r="D407" t="s">
        <v>136</v>
      </c>
      <c r="E407" s="22" t="s">
        <v>135</v>
      </c>
      <c r="F407" t="s">
        <v>550</v>
      </c>
      <c r="G407" s="22" t="s">
        <v>24</v>
      </c>
      <c r="H407" s="22">
        <f t="shared" si="24"/>
        <v>2</v>
      </c>
      <c r="I407" t="s">
        <v>40</v>
      </c>
      <c r="J407" s="22" t="s">
        <v>106</v>
      </c>
      <c r="K407" t="s">
        <v>156</v>
      </c>
      <c r="L407" t="s">
        <v>99</v>
      </c>
      <c r="M407" s="28">
        <v>46014</v>
      </c>
      <c r="N407" s="22">
        <v>28</v>
      </c>
      <c r="O407" s="22" t="str">
        <f>IF(COUNTIF(Exits_Attrition!$A$2:$A$65,A407)&gt;0,"Exited","Active")</f>
        <v>Exited</v>
      </c>
      <c r="P407" s="28">
        <f>IFERROR(INDEX(Exits_Attrition!$H$2:$H$65,MATCH(A407,Exits_Attrition!$A$2:$A$65,0)),"")</f>
        <v>46251</v>
      </c>
      <c r="Q407" s="24">
        <f t="shared" si="25"/>
        <v>0.6</v>
      </c>
      <c r="R407" s="22" t="str">
        <f t="shared" si="26"/>
        <v>Under 1 Yr</v>
      </c>
      <c r="S407" s="22">
        <f t="shared" si="27"/>
        <v>0</v>
      </c>
    </row>
    <row r="408" spans="1:19" x14ac:dyDescent="0.3">
      <c r="A408" s="22" t="s">
        <v>823</v>
      </c>
      <c r="B408" t="s">
        <v>822</v>
      </c>
      <c r="C408" t="s">
        <v>1404</v>
      </c>
      <c r="D408" t="s">
        <v>642</v>
      </c>
      <c r="E408" s="22" t="s">
        <v>643</v>
      </c>
      <c r="F408" t="s">
        <v>177</v>
      </c>
      <c r="G408" s="22" t="s">
        <v>30</v>
      </c>
      <c r="H408" s="22">
        <f t="shared" si="24"/>
        <v>5</v>
      </c>
      <c r="I408" t="s">
        <v>41</v>
      </c>
      <c r="J408" s="22" t="s">
        <v>106</v>
      </c>
      <c r="K408" t="s">
        <v>156</v>
      </c>
      <c r="L408" t="s">
        <v>99</v>
      </c>
      <c r="M408" s="28">
        <v>46017</v>
      </c>
      <c r="N408" s="22">
        <v>33</v>
      </c>
      <c r="O408" s="22" t="str">
        <f>IF(COUNTIF(Exits_Attrition!$A$2:$A$65,A408)&gt;0,"Exited","Active")</f>
        <v>Active</v>
      </c>
      <c r="P408" s="28" t="str">
        <f>IFERROR(INDEX(Exits_Attrition!$H$2:$H$65,MATCH(A408,Exits_Attrition!$A$2:$A$65,0)),"")</f>
        <v/>
      </c>
      <c r="Q408" s="24">
        <f t="shared" si="25"/>
        <v>0.8</v>
      </c>
      <c r="R408" s="22" t="str">
        <f t="shared" si="26"/>
        <v>Under 1 Yr</v>
      </c>
      <c r="S408" s="22">
        <f t="shared" si="27"/>
        <v>3</v>
      </c>
    </row>
    <row r="409" spans="1:19" x14ac:dyDescent="0.3">
      <c r="A409" s="22" t="s">
        <v>1405</v>
      </c>
      <c r="B409" t="s">
        <v>1406</v>
      </c>
      <c r="C409" t="s">
        <v>1407</v>
      </c>
      <c r="D409" t="s">
        <v>175</v>
      </c>
      <c r="E409" s="22" t="s">
        <v>176</v>
      </c>
      <c r="F409" t="s">
        <v>560</v>
      </c>
      <c r="G409" s="22" t="s">
        <v>24</v>
      </c>
      <c r="H409" s="22">
        <f t="shared" si="24"/>
        <v>2</v>
      </c>
      <c r="I409" t="s">
        <v>41</v>
      </c>
      <c r="J409" s="22" t="s">
        <v>97</v>
      </c>
      <c r="K409" t="s">
        <v>190</v>
      </c>
      <c r="L409" t="s">
        <v>99</v>
      </c>
      <c r="M409" s="28">
        <v>46017</v>
      </c>
      <c r="N409" s="22">
        <v>26</v>
      </c>
      <c r="O409" s="22" t="str">
        <f>IF(COUNTIF(Exits_Attrition!$A$2:$A$65,A409)&gt;0,"Exited","Active")</f>
        <v>Active</v>
      </c>
      <c r="P409" s="28" t="str">
        <f>IFERROR(INDEX(Exits_Attrition!$H$2:$H$65,MATCH(A409,Exits_Attrition!$A$2:$A$65,0)),"")</f>
        <v/>
      </c>
      <c r="Q409" s="24">
        <f t="shared" si="25"/>
        <v>0.8</v>
      </c>
      <c r="R409" s="22" t="str">
        <f t="shared" si="26"/>
        <v>Under 1 Yr</v>
      </c>
      <c r="S409" s="22">
        <f t="shared" si="27"/>
        <v>0</v>
      </c>
    </row>
    <row r="410" spans="1:19" x14ac:dyDescent="0.3">
      <c r="A410" s="22" t="s">
        <v>1408</v>
      </c>
      <c r="B410" t="s">
        <v>1409</v>
      </c>
      <c r="C410" t="s">
        <v>1410</v>
      </c>
      <c r="D410" t="s">
        <v>136</v>
      </c>
      <c r="E410" s="22" t="s">
        <v>135</v>
      </c>
      <c r="F410" t="s">
        <v>550</v>
      </c>
      <c r="G410" s="22" t="s">
        <v>24</v>
      </c>
      <c r="H410" s="22">
        <f t="shared" si="24"/>
        <v>2</v>
      </c>
      <c r="I410" t="s">
        <v>40</v>
      </c>
      <c r="J410" s="22" t="s">
        <v>97</v>
      </c>
      <c r="K410" t="s">
        <v>156</v>
      </c>
      <c r="L410" t="s">
        <v>99</v>
      </c>
      <c r="M410" s="28">
        <v>46018</v>
      </c>
      <c r="N410" s="22">
        <v>29</v>
      </c>
      <c r="O410" s="22" t="str">
        <f>IF(COUNTIF(Exits_Attrition!$A$2:$A$65,A410)&gt;0,"Exited","Active")</f>
        <v>Active</v>
      </c>
      <c r="P410" s="28" t="str">
        <f>IFERROR(INDEX(Exits_Attrition!$H$2:$H$65,MATCH(A410,Exits_Attrition!$A$2:$A$65,0)),"")</f>
        <v/>
      </c>
      <c r="Q410" s="24">
        <f t="shared" si="25"/>
        <v>0.8</v>
      </c>
      <c r="R410" s="22" t="str">
        <f t="shared" si="26"/>
        <v>Under 1 Yr</v>
      </c>
      <c r="S410" s="22">
        <f t="shared" si="27"/>
        <v>0</v>
      </c>
    </row>
    <row r="411" spans="1:19" x14ac:dyDescent="0.3">
      <c r="A411" s="22" t="s">
        <v>258</v>
      </c>
      <c r="B411" t="s">
        <v>257</v>
      </c>
      <c r="C411" t="s">
        <v>1411</v>
      </c>
      <c r="D411" t="s">
        <v>294</v>
      </c>
      <c r="E411" s="22" t="s">
        <v>293</v>
      </c>
      <c r="F411" t="s">
        <v>986</v>
      </c>
      <c r="G411" s="22" t="s">
        <v>30</v>
      </c>
      <c r="H411" s="22">
        <f t="shared" si="24"/>
        <v>5</v>
      </c>
      <c r="I411" t="s">
        <v>46</v>
      </c>
      <c r="J411" s="22" t="s">
        <v>106</v>
      </c>
      <c r="K411" t="s">
        <v>98</v>
      </c>
      <c r="L411" t="s">
        <v>99</v>
      </c>
      <c r="M411" s="28">
        <v>46019</v>
      </c>
      <c r="N411" s="22">
        <v>31</v>
      </c>
      <c r="O411" s="22" t="str">
        <f>IF(COUNTIF(Exits_Attrition!$A$2:$A$65,A411)&gt;0,"Exited","Active")</f>
        <v>Active</v>
      </c>
      <c r="P411" s="28" t="str">
        <f>IFERROR(INDEX(Exits_Attrition!$H$2:$H$65,MATCH(A411,Exits_Attrition!$A$2:$A$65,0)),"")</f>
        <v/>
      </c>
      <c r="Q411" s="24">
        <f t="shared" si="25"/>
        <v>0.8</v>
      </c>
      <c r="R411" s="22" t="str">
        <f t="shared" si="26"/>
        <v>Under 1 Yr</v>
      </c>
      <c r="S411" s="22">
        <f t="shared" si="27"/>
        <v>9</v>
      </c>
    </row>
    <row r="412" spans="1:19" x14ac:dyDescent="0.3">
      <c r="A412" s="22" t="s">
        <v>1412</v>
      </c>
      <c r="B412" t="s">
        <v>1413</v>
      </c>
      <c r="C412" t="s">
        <v>1414</v>
      </c>
      <c r="D412" t="s">
        <v>361</v>
      </c>
      <c r="E412" s="22" t="s">
        <v>362</v>
      </c>
      <c r="F412" t="s">
        <v>569</v>
      </c>
      <c r="G412" s="22" t="s">
        <v>24</v>
      </c>
      <c r="H412" s="22">
        <f t="shared" si="24"/>
        <v>2</v>
      </c>
      <c r="I412" t="s">
        <v>39</v>
      </c>
      <c r="J412" s="22" t="s">
        <v>106</v>
      </c>
      <c r="K412" t="s">
        <v>98</v>
      </c>
      <c r="L412" t="s">
        <v>99</v>
      </c>
      <c r="M412" s="28">
        <v>46024</v>
      </c>
      <c r="N412" s="22">
        <v>27</v>
      </c>
      <c r="O412" s="22" t="str">
        <f>IF(COUNTIF(Exits_Attrition!$A$2:$A$65,A412)&gt;0,"Exited","Active")</f>
        <v>Active</v>
      </c>
      <c r="P412" s="28" t="str">
        <f>IFERROR(INDEX(Exits_Attrition!$H$2:$H$65,MATCH(A412,Exits_Attrition!$A$2:$A$65,0)),"")</f>
        <v/>
      </c>
      <c r="Q412" s="24">
        <f t="shared" si="25"/>
        <v>0.7</v>
      </c>
      <c r="R412" s="22" t="str">
        <f t="shared" si="26"/>
        <v>Under 1 Yr</v>
      </c>
      <c r="S412" s="22">
        <f t="shared" si="27"/>
        <v>0</v>
      </c>
    </row>
    <row r="413" spans="1:19" x14ac:dyDescent="0.3">
      <c r="A413" s="22" t="s">
        <v>1415</v>
      </c>
      <c r="B413" t="s">
        <v>1416</v>
      </c>
      <c r="C413" t="s">
        <v>1417</v>
      </c>
      <c r="D413" t="s">
        <v>185</v>
      </c>
      <c r="E413" s="22" t="s">
        <v>184</v>
      </c>
      <c r="F413" t="s">
        <v>898</v>
      </c>
      <c r="G413" s="22" t="s">
        <v>22</v>
      </c>
      <c r="H413" s="22">
        <f t="shared" si="24"/>
        <v>1</v>
      </c>
      <c r="I413" t="s">
        <v>44</v>
      </c>
      <c r="J413" s="22" t="s">
        <v>97</v>
      </c>
      <c r="K413" t="s">
        <v>124</v>
      </c>
      <c r="L413" t="s">
        <v>99</v>
      </c>
      <c r="M413" s="28">
        <v>46028</v>
      </c>
      <c r="N413" s="22">
        <v>28</v>
      </c>
      <c r="O413" s="22" t="str">
        <f>IF(COUNTIF(Exits_Attrition!$A$2:$A$65,A413)&gt;0,"Exited","Active")</f>
        <v>Active</v>
      </c>
      <c r="P413" s="28" t="str">
        <f>IFERROR(INDEX(Exits_Attrition!$H$2:$H$65,MATCH(A413,Exits_Attrition!$A$2:$A$65,0)),"")</f>
        <v/>
      </c>
      <c r="Q413" s="24">
        <f t="shared" si="25"/>
        <v>0.7</v>
      </c>
      <c r="R413" s="22" t="str">
        <f t="shared" si="26"/>
        <v>Under 1 Yr</v>
      </c>
      <c r="S413" s="22">
        <f t="shared" si="27"/>
        <v>0</v>
      </c>
    </row>
    <row r="414" spans="1:19" x14ac:dyDescent="0.3">
      <c r="A414" s="22" t="s">
        <v>1418</v>
      </c>
      <c r="B414" t="s">
        <v>1419</v>
      </c>
      <c r="C414" t="s">
        <v>1420</v>
      </c>
      <c r="D414" t="s">
        <v>185</v>
      </c>
      <c r="E414" s="22" t="s">
        <v>184</v>
      </c>
      <c r="F414" t="s">
        <v>625</v>
      </c>
      <c r="G414" s="22" t="s">
        <v>24</v>
      </c>
      <c r="H414" s="22">
        <f t="shared" si="24"/>
        <v>2</v>
      </c>
      <c r="I414" t="s">
        <v>44</v>
      </c>
      <c r="J414" s="22" t="s">
        <v>106</v>
      </c>
      <c r="K414" t="s">
        <v>124</v>
      </c>
      <c r="L414" t="s">
        <v>99</v>
      </c>
      <c r="M414" s="28">
        <v>46032</v>
      </c>
      <c r="N414" s="22">
        <v>25</v>
      </c>
      <c r="O414" s="22" t="str">
        <f>IF(COUNTIF(Exits_Attrition!$A$2:$A$65,A414)&gt;0,"Exited","Active")</f>
        <v>Active</v>
      </c>
      <c r="P414" s="28" t="str">
        <f>IFERROR(INDEX(Exits_Attrition!$H$2:$H$65,MATCH(A414,Exits_Attrition!$A$2:$A$65,0)),"")</f>
        <v/>
      </c>
      <c r="Q414" s="24">
        <f t="shared" si="25"/>
        <v>0.7</v>
      </c>
      <c r="R414" s="22" t="str">
        <f t="shared" si="26"/>
        <v>Under 1 Yr</v>
      </c>
      <c r="S414" s="22">
        <f t="shared" si="27"/>
        <v>0</v>
      </c>
    </row>
    <row r="415" spans="1:19" x14ac:dyDescent="0.3">
      <c r="A415" s="22" t="s">
        <v>1421</v>
      </c>
      <c r="B415" t="s">
        <v>1422</v>
      </c>
      <c r="C415" t="s">
        <v>1423</v>
      </c>
      <c r="D415" t="s">
        <v>726</v>
      </c>
      <c r="E415" s="22" t="s">
        <v>727</v>
      </c>
      <c r="F415" t="s">
        <v>890</v>
      </c>
      <c r="G415" s="22" t="s">
        <v>22</v>
      </c>
      <c r="H415" s="22">
        <f t="shared" si="24"/>
        <v>1</v>
      </c>
      <c r="I415" t="s">
        <v>41</v>
      </c>
      <c r="J415" s="22" t="s">
        <v>97</v>
      </c>
      <c r="K415" t="s">
        <v>156</v>
      </c>
      <c r="L415" t="s">
        <v>99</v>
      </c>
      <c r="M415" s="28">
        <v>46039</v>
      </c>
      <c r="N415" s="22">
        <v>27</v>
      </c>
      <c r="O415" s="22" t="str">
        <f>IF(COUNTIF(Exits_Attrition!$A$2:$A$65,A415)&gt;0,"Exited","Active")</f>
        <v>Active</v>
      </c>
      <c r="P415" s="28" t="str">
        <f>IFERROR(INDEX(Exits_Attrition!$H$2:$H$65,MATCH(A415,Exits_Attrition!$A$2:$A$65,0)),"")</f>
        <v/>
      </c>
      <c r="Q415" s="24">
        <f t="shared" si="25"/>
        <v>0.7</v>
      </c>
      <c r="R415" s="22" t="str">
        <f t="shared" si="26"/>
        <v>Under 1 Yr</v>
      </c>
      <c r="S415" s="22">
        <f t="shared" si="27"/>
        <v>0</v>
      </c>
    </row>
    <row r="416" spans="1:19" x14ac:dyDescent="0.3">
      <c r="A416" s="22" t="s">
        <v>1424</v>
      </c>
      <c r="B416" t="s">
        <v>1425</v>
      </c>
      <c r="C416" t="s">
        <v>1426</v>
      </c>
      <c r="D416" t="s">
        <v>349</v>
      </c>
      <c r="E416" s="22" t="s">
        <v>350</v>
      </c>
      <c r="F416" t="s">
        <v>244</v>
      </c>
      <c r="G416" s="22" t="s">
        <v>26</v>
      </c>
      <c r="H416" s="22">
        <f t="shared" si="24"/>
        <v>3</v>
      </c>
      <c r="I416" t="s">
        <v>39</v>
      </c>
      <c r="J416" s="22" t="s">
        <v>106</v>
      </c>
      <c r="K416" t="s">
        <v>213</v>
      </c>
      <c r="L416" t="s">
        <v>99</v>
      </c>
      <c r="M416" s="28">
        <v>46041</v>
      </c>
      <c r="N416" s="22">
        <v>28</v>
      </c>
      <c r="O416" s="22" t="str">
        <f>IF(COUNTIF(Exits_Attrition!$A$2:$A$65,A416)&gt;0,"Exited","Active")</f>
        <v>Active</v>
      </c>
      <c r="P416" s="28" t="str">
        <f>IFERROR(INDEX(Exits_Attrition!$H$2:$H$65,MATCH(A416,Exits_Attrition!$A$2:$A$65,0)),"")</f>
        <v/>
      </c>
      <c r="Q416" s="24">
        <f t="shared" si="25"/>
        <v>0.7</v>
      </c>
      <c r="R416" s="22" t="str">
        <f t="shared" si="26"/>
        <v>Under 1 Yr</v>
      </c>
      <c r="S416" s="22">
        <f t="shared" si="27"/>
        <v>0</v>
      </c>
    </row>
    <row r="417" spans="1:19" x14ac:dyDescent="0.3">
      <c r="A417" s="22" t="s">
        <v>1427</v>
      </c>
      <c r="B417" t="s">
        <v>1428</v>
      </c>
      <c r="C417" t="s">
        <v>1429</v>
      </c>
      <c r="D417" t="s">
        <v>228</v>
      </c>
      <c r="E417" s="22" t="s">
        <v>227</v>
      </c>
      <c r="F417" t="s">
        <v>1062</v>
      </c>
      <c r="G417" s="22" t="s">
        <v>22</v>
      </c>
      <c r="H417" s="22">
        <f t="shared" si="24"/>
        <v>1</v>
      </c>
      <c r="I417" t="s">
        <v>42</v>
      </c>
      <c r="J417" s="22" t="s">
        <v>106</v>
      </c>
      <c r="K417" t="s">
        <v>124</v>
      </c>
      <c r="L417" t="s">
        <v>220</v>
      </c>
      <c r="M417" s="28">
        <v>46045</v>
      </c>
      <c r="N417" s="22">
        <v>26</v>
      </c>
      <c r="O417" s="22" t="str">
        <f>IF(COUNTIF(Exits_Attrition!$A$2:$A$65,A417)&gt;0,"Exited","Active")</f>
        <v>Active</v>
      </c>
      <c r="P417" s="28" t="str">
        <f>IFERROR(INDEX(Exits_Attrition!$H$2:$H$65,MATCH(A417,Exits_Attrition!$A$2:$A$65,0)),"")</f>
        <v/>
      </c>
      <c r="Q417" s="24">
        <f t="shared" si="25"/>
        <v>0.7</v>
      </c>
      <c r="R417" s="22" t="str">
        <f t="shared" si="26"/>
        <v>Under 1 Yr</v>
      </c>
      <c r="S417" s="22">
        <f t="shared" si="27"/>
        <v>0</v>
      </c>
    </row>
    <row r="418" spans="1:19" x14ac:dyDescent="0.3">
      <c r="A418" s="22" t="s">
        <v>1430</v>
      </c>
      <c r="B418" t="s">
        <v>1431</v>
      </c>
      <c r="C418" t="s">
        <v>1432</v>
      </c>
      <c r="D418" t="s">
        <v>242</v>
      </c>
      <c r="E418" s="22" t="s">
        <v>243</v>
      </c>
      <c r="F418" t="s">
        <v>911</v>
      </c>
      <c r="G418" s="22" t="s">
        <v>22</v>
      </c>
      <c r="H418" s="22">
        <f t="shared" si="24"/>
        <v>1</v>
      </c>
      <c r="I418" t="s">
        <v>39</v>
      </c>
      <c r="J418" s="22" t="s">
        <v>106</v>
      </c>
      <c r="K418" t="s">
        <v>107</v>
      </c>
      <c r="L418" t="s">
        <v>99</v>
      </c>
      <c r="M418" s="28">
        <v>46048</v>
      </c>
      <c r="N418" s="22">
        <v>23</v>
      </c>
      <c r="O418" s="22" t="str">
        <f>IF(COUNTIF(Exits_Attrition!$A$2:$A$65,A418)&gt;0,"Exited","Active")</f>
        <v>Active</v>
      </c>
      <c r="P418" s="28" t="str">
        <f>IFERROR(INDEX(Exits_Attrition!$H$2:$H$65,MATCH(A418,Exits_Attrition!$A$2:$A$65,0)),"")</f>
        <v/>
      </c>
      <c r="Q418" s="24">
        <f t="shared" si="25"/>
        <v>0.7</v>
      </c>
      <c r="R418" s="22" t="str">
        <f t="shared" si="26"/>
        <v>Under 1 Yr</v>
      </c>
      <c r="S418" s="22">
        <f t="shared" si="27"/>
        <v>0</v>
      </c>
    </row>
    <row r="419" spans="1:19" x14ac:dyDescent="0.3">
      <c r="A419" s="22" t="s">
        <v>1433</v>
      </c>
      <c r="B419" t="s">
        <v>1434</v>
      </c>
      <c r="C419" t="s">
        <v>1435</v>
      </c>
      <c r="D419" t="s">
        <v>217</v>
      </c>
      <c r="E419" s="22" t="s">
        <v>218</v>
      </c>
      <c r="F419" t="s">
        <v>219</v>
      </c>
      <c r="G419" s="22" t="s">
        <v>26</v>
      </c>
      <c r="H419" s="22">
        <f t="shared" si="24"/>
        <v>3</v>
      </c>
      <c r="I419" t="s">
        <v>40</v>
      </c>
      <c r="J419" s="22" t="s">
        <v>106</v>
      </c>
      <c r="K419" t="s">
        <v>190</v>
      </c>
      <c r="L419" t="s">
        <v>99</v>
      </c>
      <c r="M419" s="28">
        <v>46055</v>
      </c>
      <c r="N419" s="22">
        <v>30</v>
      </c>
      <c r="O419" s="22" t="str">
        <f>IF(COUNTIF(Exits_Attrition!$A$2:$A$65,A419)&gt;0,"Exited","Active")</f>
        <v>Exited</v>
      </c>
      <c r="P419" s="28">
        <f>IFERROR(INDEX(Exits_Attrition!$H$2:$H$65,MATCH(A419,Exits_Attrition!$A$2:$A$65,0)),"")</f>
        <v>46236</v>
      </c>
      <c r="Q419" s="24">
        <f t="shared" si="25"/>
        <v>0.5</v>
      </c>
      <c r="R419" s="22" t="str">
        <f t="shared" si="26"/>
        <v>Under 1 Yr</v>
      </c>
      <c r="S419" s="22">
        <f t="shared" si="27"/>
        <v>0</v>
      </c>
    </row>
    <row r="420" spans="1:19" x14ac:dyDescent="0.3">
      <c r="A420" s="22" t="s">
        <v>1436</v>
      </c>
      <c r="B420" t="s">
        <v>1437</v>
      </c>
      <c r="C420" t="s">
        <v>1438</v>
      </c>
      <c r="D420" t="s">
        <v>338</v>
      </c>
      <c r="E420" s="22" t="s">
        <v>339</v>
      </c>
      <c r="F420" t="s">
        <v>1062</v>
      </c>
      <c r="G420" s="22" t="s">
        <v>22</v>
      </c>
      <c r="H420" s="22">
        <f t="shared" si="24"/>
        <v>1</v>
      </c>
      <c r="I420" t="s">
        <v>42</v>
      </c>
      <c r="J420" s="22" t="s">
        <v>106</v>
      </c>
      <c r="K420" t="s">
        <v>124</v>
      </c>
      <c r="L420" t="s">
        <v>99</v>
      </c>
      <c r="M420" s="28">
        <v>46063</v>
      </c>
      <c r="N420" s="22">
        <v>25</v>
      </c>
      <c r="O420" s="22" t="str">
        <f>IF(COUNTIF(Exits_Attrition!$A$2:$A$65,A420)&gt;0,"Exited","Active")</f>
        <v>Exited</v>
      </c>
      <c r="P420" s="28">
        <f>IFERROR(INDEX(Exits_Attrition!$H$2:$H$65,MATCH(A420,Exits_Attrition!$A$2:$A$65,0)),"")</f>
        <v>46195</v>
      </c>
      <c r="Q420" s="24">
        <f t="shared" si="25"/>
        <v>0.4</v>
      </c>
      <c r="R420" s="22" t="str">
        <f t="shared" si="26"/>
        <v>Under 1 Yr</v>
      </c>
      <c r="S420" s="22">
        <f t="shared" si="27"/>
        <v>0</v>
      </c>
    </row>
    <row r="421" spans="1:19" x14ac:dyDescent="0.3">
      <c r="A421" s="22" t="s">
        <v>1439</v>
      </c>
      <c r="B421" t="s">
        <v>1440</v>
      </c>
      <c r="C421" t="s">
        <v>1441</v>
      </c>
      <c r="D421" t="s">
        <v>204</v>
      </c>
      <c r="E421" s="22" t="s">
        <v>203</v>
      </c>
      <c r="F421" t="s">
        <v>749</v>
      </c>
      <c r="G421" s="22" t="s">
        <v>24</v>
      </c>
      <c r="H421" s="22">
        <f t="shared" si="24"/>
        <v>2</v>
      </c>
      <c r="I421" t="s">
        <v>45</v>
      </c>
      <c r="J421" s="22" t="s">
        <v>106</v>
      </c>
      <c r="K421" t="s">
        <v>98</v>
      </c>
      <c r="L421" t="s">
        <v>99</v>
      </c>
      <c r="M421" s="28">
        <v>46064</v>
      </c>
      <c r="N421" s="22">
        <v>28</v>
      </c>
      <c r="O421" s="22" t="str">
        <f>IF(COUNTIF(Exits_Attrition!$A$2:$A$65,A421)&gt;0,"Exited","Active")</f>
        <v>Exited</v>
      </c>
      <c r="P421" s="28">
        <f>IFERROR(INDEX(Exits_Attrition!$H$2:$H$65,MATCH(A421,Exits_Attrition!$A$2:$A$65,0)),"")</f>
        <v>46220</v>
      </c>
      <c r="Q421" s="24">
        <f t="shared" si="25"/>
        <v>0.4</v>
      </c>
      <c r="R421" s="22" t="str">
        <f t="shared" si="26"/>
        <v>Under 1 Yr</v>
      </c>
      <c r="S421" s="22">
        <f t="shared" si="27"/>
        <v>0</v>
      </c>
    </row>
    <row r="422" spans="1:19" x14ac:dyDescent="0.3">
      <c r="A422" s="22" t="s">
        <v>1442</v>
      </c>
      <c r="B422" t="s">
        <v>1443</v>
      </c>
      <c r="C422" t="s">
        <v>1444</v>
      </c>
      <c r="D422" t="s">
        <v>153</v>
      </c>
      <c r="E422" s="22" t="s">
        <v>154</v>
      </c>
      <c r="F422" t="s">
        <v>219</v>
      </c>
      <c r="G422" s="22" t="s">
        <v>26</v>
      </c>
      <c r="H422" s="22">
        <f t="shared" si="24"/>
        <v>3</v>
      </c>
      <c r="I422" t="s">
        <v>40</v>
      </c>
      <c r="J422" s="22" t="s">
        <v>106</v>
      </c>
      <c r="K422" t="s">
        <v>156</v>
      </c>
      <c r="L422" t="s">
        <v>99</v>
      </c>
      <c r="M422" s="28">
        <v>46066</v>
      </c>
      <c r="N422" s="22">
        <v>33</v>
      </c>
      <c r="O422" s="22" t="str">
        <f>IF(COUNTIF(Exits_Attrition!$A$2:$A$65,A422)&gt;0,"Exited","Active")</f>
        <v>Active</v>
      </c>
      <c r="P422" s="28" t="str">
        <f>IFERROR(INDEX(Exits_Attrition!$H$2:$H$65,MATCH(A422,Exits_Attrition!$A$2:$A$65,0)),"")</f>
        <v/>
      </c>
      <c r="Q422" s="24">
        <f t="shared" si="25"/>
        <v>0.6</v>
      </c>
      <c r="R422" s="22" t="str">
        <f t="shared" si="26"/>
        <v>Under 1 Yr</v>
      </c>
      <c r="S422" s="22">
        <f t="shared" si="27"/>
        <v>0</v>
      </c>
    </row>
    <row r="423" spans="1:19" x14ac:dyDescent="0.3">
      <c r="A423" s="22" t="s">
        <v>1445</v>
      </c>
      <c r="B423" t="s">
        <v>1446</v>
      </c>
      <c r="C423" t="s">
        <v>1447</v>
      </c>
      <c r="D423" t="s">
        <v>228</v>
      </c>
      <c r="E423" s="22" t="s">
        <v>227</v>
      </c>
      <c r="F423" t="s">
        <v>576</v>
      </c>
      <c r="G423" s="22" t="s">
        <v>24</v>
      </c>
      <c r="H423" s="22">
        <f t="shared" si="24"/>
        <v>2</v>
      </c>
      <c r="I423" t="s">
        <v>42</v>
      </c>
      <c r="J423" s="22" t="s">
        <v>106</v>
      </c>
      <c r="K423" t="s">
        <v>124</v>
      </c>
      <c r="L423" t="s">
        <v>99</v>
      </c>
      <c r="M423" s="28">
        <v>46074</v>
      </c>
      <c r="N423" s="22">
        <v>31</v>
      </c>
      <c r="O423" s="22" t="str">
        <f>IF(COUNTIF(Exits_Attrition!$A$2:$A$65,A423)&gt;0,"Exited","Active")</f>
        <v>Active</v>
      </c>
      <c r="P423" s="28" t="str">
        <f>IFERROR(INDEX(Exits_Attrition!$H$2:$H$65,MATCH(A423,Exits_Attrition!$A$2:$A$65,0)),"")</f>
        <v/>
      </c>
      <c r="Q423" s="24">
        <f t="shared" si="25"/>
        <v>0.6</v>
      </c>
      <c r="R423" s="22" t="str">
        <f t="shared" si="26"/>
        <v>Under 1 Yr</v>
      </c>
      <c r="S423" s="22">
        <f t="shared" si="27"/>
        <v>0</v>
      </c>
    </row>
    <row r="424" spans="1:19" x14ac:dyDescent="0.3">
      <c r="A424" s="22" t="s">
        <v>1448</v>
      </c>
      <c r="B424" t="s">
        <v>1449</v>
      </c>
      <c r="C424" t="s">
        <v>1450</v>
      </c>
      <c r="D424" t="s">
        <v>483</v>
      </c>
      <c r="E424" s="22" t="s">
        <v>484</v>
      </c>
      <c r="F424" t="s">
        <v>287</v>
      </c>
      <c r="G424" s="22" t="s">
        <v>28</v>
      </c>
      <c r="H424" s="22">
        <f t="shared" si="24"/>
        <v>4</v>
      </c>
      <c r="I424" t="s">
        <v>43</v>
      </c>
      <c r="J424" s="22" t="s">
        <v>97</v>
      </c>
      <c r="K424" t="s">
        <v>98</v>
      </c>
      <c r="L424" t="s">
        <v>99</v>
      </c>
      <c r="M424" s="28">
        <v>46075</v>
      </c>
      <c r="N424" s="22">
        <v>31</v>
      </c>
      <c r="O424" s="22" t="str">
        <f>IF(COUNTIF(Exits_Attrition!$A$2:$A$65,A424)&gt;0,"Exited","Active")</f>
        <v>Active</v>
      </c>
      <c r="P424" s="28" t="str">
        <f>IFERROR(INDEX(Exits_Attrition!$H$2:$H$65,MATCH(A424,Exits_Attrition!$A$2:$A$65,0)),"")</f>
        <v/>
      </c>
      <c r="Q424" s="24">
        <f t="shared" si="25"/>
        <v>0.6</v>
      </c>
      <c r="R424" s="22" t="str">
        <f t="shared" si="26"/>
        <v>Under 1 Yr</v>
      </c>
      <c r="S424" s="22">
        <f t="shared" si="27"/>
        <v>0</v>
      </c>
    </row>
    <row r="425" spans="1:19" x14ac:dyDescent="0.3">
      <c r="A425" s="22" t="s">
        <v>1451</v>
      </c>
      <c r="B425" t="s">
        <v>1452</v>
      </c>
      <c r="C425" t="s">
        <v>1453</v>
      </c>
      <c r="D425" t="s">
        <v>101</v>
      </c>
      <c r="E425" s="22" t="s">
        <v>100</v>
      </c>
      <c r="F425" t="s">
        <v>569</v>
      </c>
      <c r="G425" s="22" t="s">
        <v>24</v>
      </c>
      <c r="H425" s="22">
        <f t="shared" si="24"/>
        <v>2</v>
      </c>
      <c r="I425" t="s">
        <v>39</v>
      </c>
      <c r="J425" s="22" t="s">
        <v>106</v>
      </c>
      <c r="K425" t="s">
        <v>98</v>
      </c>
      <c r="L425" t="s">
        <v>99</v>
      </c>
      <c r="M425" s="28">
        <v>46076</v>
      </c>
      <c r="N425" s="22">
        <v>29</v>
      </c>
      <c r="O425" s="22" t="str">
        <f>IF(COUNTIF(Exits_Attrition!$A$2:$A$65,A425)&gt;0,"Exited","Active")</f>
        <v>Active</v>
      </c>
      <c r="P425" s="28" t="str">
        <f>IFERROR(INDEX(Exits_Attrition!$H$2:$H$65,MATCH(A425,Exits_Attrition!$A$2:$A$65,0)),"")</f>
        <v/>
      </c>
      <c r="Q425" s="24">
        <f t="shared" si="25"/>
        <v>0.6</v>
      </c>
      <c r="R425" s="22" t="str">
        <f t="shared" si="26"/>
        <v>Under 1 Yr</v>
      </c>
      <c r="S425" s="22">
        <f t="shared" si="27"/>
        <v>0</v>
      </c>
    </row>
    <row r="426" spans="1:19" x14ac:dyDescent="0.3">
      <c r="A426" s="22" t="s">
        <v>1454</v>
      </c>
      <c r="B426" t="s">
        <v>1455</v>
      </c>
      <c r="C426" t="s">
        <v>1456</v>
      </c>
      <c r="D426" t="s">
        <v>501</v>
      </c>
      <c r="E426" s="22" t="s">
        <v>502</v>
      </c>
      <c r="F426" t="s">
        <v>671</v>
      </c>
      <c r="G426" s="22" t="s">
        <v>24</v>
      </c>
      <c r="H426" s="22">
        <f t="shared" si="24"/>
        <v>2</v>
      </c>
      <c r="I426" t="s">
        <v>46</v>
      </c>
      <c r="J426" s="22" t="s">
        <v>97</v>
      </c>
      <c r="K426" t="s">
        <v>98</v>
      </c>
      <c r="L426" t="s">
        <v>99</v>
      </c>
      <c r="M426" s="28">
        <v>46082</v>
      </c>
      <c r="N426" s="22">
        <v>27</v>
      </c>
      <c r="O426" s="22" t="str">
        <f>IF(COUNTIF(Exits_Attrition!$A$2:$A$65,A426)&gt;0,"Exited","Active")</f>
        <v>Active</v>
      </c>
      <c r="P426" s="28" t="str">
        <f>IFERROR(INDEX(Exits_Attrition!$H$2:$H$65,MATCH(A426,Exits_Attrition!$A$2:$A$65,0)),"")</f>
        <v/>
      </c>
      <c r="Q426" s="24">
        <f t="shared" si="25"/>
        <v>0.6</v>
      </c>
      <c r="R426" s="22" t="str">
        <f t="shared" si="26"/>
        <v>Under 1 Yr</v>
      </c>
      <c r="S426" s="22">
        <f t="shared" si="27"/>
        <v>0</v>
      </c>
    </row>
    <row r="427" spans="1:19" x14ac:dyDescent="0.3">
      <c r="A427" s="22" t="s">
        <v>1457</v>
      </c>
      <c r="B427" t="s">
        <v>1458</v>
      </c>
      <c r="C427" t="s">
        <v>1459</v>
      </c>
      <c r="D427" t="s">
        <v>291</v>
      </c>
      <c r="E427" s="22" t="s">
        <v>292</v>
      </c>
      <c r="F427" t="s">
        <v>890</v>
      </c>
      <c r="G427" s="22" t="s">
        <v>22</v>
      </c>
      <c r="H427" s="22">
        <f t="shared" si="24"/>
        <v>1</v>
      </c>
      <c r="I427" t="s">
        <v>41</v>
      </c>
      <c r="J427" s="22" t="s">
        <v>106</v>
      </c>
      <c r="K427" t="s">
        <v>107</v>
      </c>
      <c r="L427" t="s">
        <v>99</v>
      </c>
      <c r="M427" s="28">
        <v>46085</v>
      </c>
      <c r="N427" s="22">
        <v>27</v>
      </c>
      <c r="O427" s="22" t="str">
        <f>IF(COUNTIF(Exits_Attrition!$A$2:$A$65,A427)&gt;0,"Exited","Active")</f>
        <v>Active</v>
      </c>
      <c r="P427" s="28" t="str">
        <f>IFERROR(INDEX(Exits_Attrition!$H$2:$H$65,MATCH(A427,Exits_Attrition!$A$2:$A$65,0)),"")</f>
        <v/>
      </c>
      <c r="Q427" s="24">
        <f t="shared" si="25"/>
        <v>0.6</v>
      </c>
      <c r="R427" s="22" t="str">
        <f t="shared" si="26"/>
        <v>Under 1 Yr</v>
      </c>
      <c r="S427" s="22">
        <f t="shared" si="27"/>
        <v>0</v>
      </c>
    </row>
    <row r="428" spans="1:19" x14ac:dyDescent="0.3">
      <c r="A428" s="22" t="s">
        <v>1460</v>
      </c>
      <c r="B428" t="s">
        <v>1461</v>
      </c>
      <c r="C428" t="s">
        <v>1462</v>
      </c>
      <c r="D428" t="s">
        <v>726</v>
      </c>
      <c r="E428" s="22" t="s">
        <v>727</v>
      </c>
      <c r="F428" t="s">
        <v>560</v>
      </c>
      <c r="G428" s="22" t="s">
        <v>24</v>
      </c>
      <c r="H428" s="22">
        <f t="shared" si="24"/>
        <v>2</v>
      </c>
      <c r="I428" t="s">
        <v>41</v>
      </c>
      <c r="J428" s="22" t="s">
        <v>97</v>
      </c>
      <c r="K428" t="s">
        <v>107</v>
      </c>
      <c r="L428" t="s">
        <v>99</v>
      </c>
      <c r="M428" s="28">
        <v>46087</v>
      </c>
      <c r="N428" s="22">
        <v>28</v>
      </c>
      <c r="O428" s="22" t="str">
        <f>IF(COUNTIF(Exits_Attrition!$A$2:$A$65,A428)&gt;0,"Exited","Active")</f>
        <v>Active</v>
      </c>
      <c r="P428" s="28" t="str">
        <f>IFERROR(INDEX(Exits_Attrition!$H$2:$H$65,MATCH(A428,Exits_Attrition!$A$2:$A$65,0)),"")</f>
        <v/>
      </c>
      <c r="Q428" s="24">
        <f t="shared" si="25"/>
        <v>0.6</v>
      </c>
      <c r="R428" s="22" t="str">
        <f t="shared" si="26"/>
        <v>Under 1 Yr</v>
      </c>
      <c r="S428" s="22">
        <f t="shared" si="27"/>
        <v>0</v>
      </c>
    </row>
    <row r="429" spans="1:19" x14ac:dyDescent="0.3">
      <c r="A429" s="22" t="s">
        <v>1463</v>
      </c>
      <c r="B429" t="s">
        <v>1464</v>
      </c>
      <c r="C429" t="s">
        <v>1465</v>
      </c>
      <c r="D429" t="s">
        <v>116</v>
      </c>
      <c r="E429" s="22" t="s">
        <v>115</v>
      </c>
      <c r="F429" t="s">
        <v>911</v>
      </c>
      <c r="G429" s="22" t="s">
        <v>22</v>
      </c>
      <c r="H429" s="22">
        <f t="shared" si="24"/>
        <v>1</v>
      </c>
      <c r="I429" t="s">
        <v>39</v>
      </c>
      <c r="J429" s="22" t="s">
        <v>97</v>
      </c>
      <c r="K429" t="s">
        <v>98</v>
      </c>
      <c r="L429" t="s">
        <v>99</v>
      </c>
      <c r="M429" s="28">
        <v>46090</v>
      </c>
      <c r="N429" s="22">
        <v>29</v>
      </c>
      <c r="O429" s="22" t="str">
        <f>IF(COUNTIF(Exits_Attrition!$A$2:$A$65,A429)&gt;0,"Exited","Active")</f>
        <v>Active</v>
      </c>
      <c r="P429" s="28" t="str">
        <f>IFERROR(INDEX(Exits_Attrition!$H$2:$H$65,MATCH(A429,Exits_Attrition!$A$2:$A$65,0)),"")</f>
        <v/>
      </c>
      <c r="Q429" s="24">
        <f t="shared" si="25"/>
        <v>0.6</v>
      </c>
      <c r="R429" s="22" t="str">
        <f t="shared" si="26"/>
        <v>Under 1 Yr</v>
      </c>
      <c r="S429" s="22">
        <f t="shared" si="27"/>
        <v>0</v>
      </c>
    </row>
    <row r="430" spans="1:19" x14ac:dyDescent="0.3">
      <c r="A430" s="22" t="s">
        <v>148</v>
      </c>
      <c r="B430" t="s">
        <v>147</v>
      </c>
      <c r="C430" t="s">
        <v>1466</v>
      </c>
      <c r="D430" t="s">
        <v>94</v>
      </c>
      <c r="E430" s="22" t="s">
        <v>95</v>
      </c>
      <c r="F430" t="s">
        <v>1467</v>
      </c>
      <c r="G430" s="22" t="s">
        <v>34</v>
      </c>
      <c r="H430" s="22">
        <f t="shared" si="24"/>
        <v>7</v>
      </c>
      <c r="I430" t="s">
        <v>43</v>
      </c>
      <c r="J430" s="22" t="s">
        <v>106</v>
      </c>
      <c r="K430" t="s">
        <v>98</v>
      </c>
      <c r="L430" t="s">
        <v>99</v>
      </c>
      <c r="M430" s="28">
        <v>46093</v>
      </c>
      <c r="N430" s="22">
        <v>38</v>
      </c>
      <c r="O430" s="22" t="str">
        <f>IF(COUNTIF(Exits_Attrition!$A$2:$A$65,A430)&gt;0,"Exited","Active")</f>
        <v>Active</v>
      </c>
      <c r="P430" s="28" t="str">
        <f>IFERROR(INDEX(Exits_Attrition!$H$2:$H$65,MATCH(A430,Exits_Attrition!$A$2:$A$65,0)),"")</f>
        <v/>
      </c>
      <c r="Q430" s="24">
        <f t="shared" si="25"/>
        <v>0.6</v>
      </c>
      <c r="R430" s="22" t="str">
        <f t="shared" si="26"/>
        <v>Under 1 Yr</v>
      </c>
      <c r="S430" s="22">
        <f t="shared" si="27"/>
        <v>1</v>
      </c>
    </row>
    <row r="431" spans="1:19" x14ac:dyDescent="0.3">
      <c r="A431" s="22" t="s">
        <v>1468</v>
      </c>
      <c r="B431" t="s">
        <v>1469</v>
      </c>
      <c r="C431" t="s">
        <v>1470</v>
      </c>
      <c r="D431" t="s">
        <v>224</v>
      </c>
      <c r="E431" s="22" t="s">
        <v>225</v>
      </c>
      <c r="F431" t="s">
        <v>936</v>
      </c>
      <c r="G431" s="22" t="s">
        <v>22</v>
      </c>
      <c r="H431" s="22">
        <f t="shared" si="24"/>
        <v>1</v>
      </c>
      <c r="I431" t="s">
        <v>47</v>
      </c>
      <c r="J431" s="22" t="s">
        <v>97</v>
      </c>
      <c r="K431" t="s">
        <v>98</v>
      </c>
      <c r="L431" t="s">
        <v>220</v>
      </c>
      <c r="M431" s="28">
        <v>46095</v>
      </c>
      <c r="N431" s="22">
        <v>28</v>
      </c>
      <c r="O431" s="22" t="str">
        <f>IF(COUNTIF(Exits_Attrition!$A$2:$A$65,A431)&gt;0,"Exited","Active")</f>
        <v>Active</v>
      </c>
      <c r="P431" s="28" t="str">
        <f>IFERROR(INDEX(Exits_Attrition!$H$2:$H$65,MATCH(A431,Exits_Attrition!$A$2:$A$65,0)),"")</f>
        <v/>
      </c>
      <c r="Q431" s="24">
        <f t="shared" si="25"/>
        <v>0.5</v>
      </c>
      <c r="R431" s="22" t="str">
        <f t="shared" si="26"/>
        <v>Under 1 Yr</v>
      </c>
      <c r="S431" s="22">
        <f t="shared" si="27"/>
        <v>0</v>
      </c>
    </row>
    <row r="432" spans="1:19" x14ac:dyDescent="0.3">
      <c r="A432" s="22" t="s">
        <v>1471</v>
      </c>
      <c r="B432" t="s">
        <v>1472</v>
      </c>
      <c r="C432" t="s">
        <v>1473</v>
      </c>
      <c r="D432" t="s">
        <v>113</v>
      </c>
      <c r="E432" s="22" t="s">
        <v>112</v>
      </c>
      <c r="F432" t="s">
        <v>244</v>
      </c>
      <c r="G432" s="22" t="s">
        <v>26</v>
      </c>
      <c r="H432" s="22">
        <f t="shared" si="24"/>
        <v>3</v>
      </c>
      <c r="I432" t="s">
        <v>39</v>
      </c>
      <c r="J432" s="22" t="s">
        <v>97</v>
      </c>
      <c r="K432" t="s">
        <v>98</v>
      </c>
      <c r="L432" t="s">
        <v>99</v>
      </c>
      <c r="M432" s="28">
        <v>46098</v>
      </c>
      <c r="N432" s="22">
        <v>28</v>
      </c>
      <c r="O432" s="22" t="str">
        <f>IF(COUNTIF(Exits_Attrition!$A$2:$A$65,A432)&gt;0,"Exited","Active")</f>
        <v>Active</v>
      </c>
      <c r="P432" s="28" t="str">
        <f>IFERROR(INDEX(Exits_Attrition!$H$2:$H$65,MATCH(A432,Exits_Attrition!$A$2:$A$65,0)),"")</f>
        <v/>
      </c>
      <c r="Q432" s="24">
        <f t="shared" si="25"/>
        <v>0.5</v>
      </c>
      <c r="R432" s="22" t="str">
        <f t="shared" si="26"/>
        <v>Under 1 Yr</v>
      </c>
      <c r="S432" s="22">
        <f t="shared" si="27"/>
        <v>0</v>
      </c>
    </row>
    <row r="433" spans="1:19" x14ac:dyDescent="0.3">
      <c r="A433" s="22" t="s">
        <v>1474</v>
      </c>
      <c r="B433" t="s">
        <v>1475</v>
      </c>
      <c r="C433" t="s">
        <v>1476</v>
      </c>
      <c r="D433" t="s">
        <v>153</v>
      </c>
      <c r="E433" s="22" t="s">
        <v>154</v>
      </c>
      <c r="F433" t="s">
        <v>902</v>
      </c>
      <c r="G433" s="22" t="s">
        <v>22</v>
      </c>
      <c r="H433" s="22">
        <f t="shared" si="24"/>
        <v>1</v>
      </c>
      <c r="I433" t="s">
        <v>40</v>
      </c>
      <c r="J433" s="22" t="s">
        <v>97</v>
      </c>
      <c r="K433" t="s">
        <v>107</v>
      </c>
      <c r="L433" t="s">
        <v>220</v>
      </c>
      <c r="M433" s="28">
        <v>46102</v>
      </c>
      <c r="N433" s="22">
        <v>29</v>
      </c>
      <c r="O433" s="22" t="str">
        <f>IF(COUNTIF(Exits_Attrition!$A$2:$A$65,A433)&gt;0,"Exited","Active")</f>
        <v>Exited</v>
      </c>
      <c r="P433" s="28">
        <f>IFERROR(INDEX(Exits_Attrition!$H$2:$H$65,MATCH(A433,Exits_Attrition!$A$2:$A$65,0)),"")</f>
        <v>46264</v>
      </c>
      <c r="Q433" s="24">
        <f t="shared" si="25"/>
        <v>0.4</v>
      </c>
      <c r="R433" s="22" t="str">
        <f t="shared" si="26"/>
        <v>Under 1 Yr</v>
      </c>
      <c r="S433" s="22">
        <f t="shared" si="27"/>
        <v>0</v>
      </c>
    </row>
    <row r="434" spans="1:19" x14ac:dyDescent="0.3">
      <c r="A434" s="22" t="s">
        <v>1477</v>
      </c>
      <c r="B434" t="s">
        <v>1478</v>
      </c>
      <c r="C434" t="s">
        <v>1479</v>
      </c>
      <c r="D434" t="s">
        <v>228</v>
      </c>
      <c r="E434" s="22" t="s">
        <v>227</v>
      </c>
      <c r="F434" t="s">
        <v>238</v>
      </c>
      <c r="G434" s="22" t="s">
        <v>26</v>
      </c>
      <c r="H434" s="22">
        <f t="shared" si="24"/>
        <v>3</v>
      </c>
      <c r="I434" t="s">
        <v>42</v>
      </c>
      <c r="J434" s="22" t="s">
        <v>97</v>
      </c>
      <c r="K434" t="s">
        <v>124</v>
      </c>
      <c r="L434" t="s">
        <v>99</v>
      </c>
      <c r="M434" s="28">
        <v>46103</v>
      </c>
      <c r="N434" s="22">
        <v>27</v>
      </c>
      <c r="O434" s="22" t="str">
        <f>IF(COUNTIF(Exits_Attrition!$A$2:$A$65,A434)&gt;0,"Exited","Active")</f>
        <v>Active</v>
      </c>
      <c r="P434" s="28" t="str">
        <f>IFERROR(INDEX(Exits_Attrition!$H$2:$H$65,MATCH(A434,Exits_Attrition!$A$2:$A$65,0)),"")</f>
        <v/>
      </c>
      <c r="Q434" s="24">
        <f t="shared" si="25"/>
        <v>0.5</v>
      </c>
      <c r="R434" s="22" t="str">
        <f t="shared" si="26"/>
        <v>Under 1 Yr</v>
      </c>
      <c r="S434" s="22">
        <f t="shared" si="27"/>
        <v>0</v>
      </c>
    </row>
    <row r="435" spans="1:19" x14ac:dyDescent="0.3">
      <c r="A435" s="22" t="s">
        <v>1480</v>
      </c>
      <c r="B435" t="s">
        <v>1481</v>
      </c>
      <c r="C435" t="s">
        <v>1482</v>
      </c>
      <c r="D435" t="s">
        <v>285</v>
      </c>
      <c r="E435" s="22" t="s">
        <v>286</v>
      </c>
      <c r="F435" t="s">
        <v>408</v>
      </c>
      <c r="G435" s="22" t="s">
        <v>26</v>
      </c>
      <c r="H435" s="22">
        <f t="shared" si="24"/>
        <v>3</v>
      </c>
      <c r="I435" t="s">
        <v>43</v>
      </c>
      <c r="J435" s="22" t="s">
        <v>97</v>
      </c>
      <c r="K435" t="s">
        <v>98</v>
      </c>
      <c r="L435" t="s">
        <v>99</v>
      </c>
      <c r="M435" s="28">
        <v>46104</v>
      </c>
      <c r="N435" s="22">
        <v>29</v>
      </c>
      <c r="O435" s="22" t="str">
        <f>IF(COUNTIF(Exits_Attrition!$A$2:$A$65,A435)&gt;0,"Exited","Active")</f>
        <v>Active</v>
      </c>
      <c r="P435" s="28" t="str">
        <f>IFERROR(INDEX(Exits_Attrition!$H$2:$H$65,MATCH(A435,Exits_Attrition!$A$2:$A$65,0)),"")</f>
        <v/>
      </c>
      <c r="Q435" s="24">
        <f t="shared" si="25"/>
        <v>0.5</v>
      </c>
      <c r="R435" s="22" t="str">
        <f t="shared" si="26"/>
        <v>Under 1 Yr</v>
      </c>
      <c r="S435" s="22">
        <f t="shared" si="27"/>
        <v>0</v>
      </c>
    </row>
    <row r="436" spans="1:19" x14ac:dyDescent="0.3">
      <c r="A436" s="22" t="s">
        <v>1483</v>
      </c>
      <c r="B436" t="s">
        <v>1484</v>
      </c>
      <c r="C436" t="s">
        <v>1485</v>
      </c>
      <c r="D436" t="s">
        <v>119</v>
      </c>
      <c r="E436" s="22" t="s">
        <v>118</v>
      </c>
      <c r="F436" t="s">
        <v>550</v>
      </c>
      <c r="G436" s="22" t="s">
        <v>24</v>
      </c>
      <c r="H436" s="22">
        <f t="shared" si="24"/>
        <v>2</v>
      </c>
      <c r="I436" t="s">
        <v>40</v>
      </c>
      <c r="J436" s="22" t="s">
        <v>106</v>
      </c>
      <c r="K436" t="s">
        <v>156</v>
      </c>
      <c r="L436" t="s">
        <v>99</v>
      </c>
      <c r="M436" s="28">
        <v>46108</v>
      </c>
      <c r="N436" s="22">
        <v>29</v>
      </c>
      <c r="O436" s="22" t="str">
        <f>IF(COUNTIF(Exits_Attrition!$A$2:$A$65,A436)&gt;0,"Exited","Active")</f>
        <v>Active</v>
      </c>
      <c r="P436" s="28" t="str">
        <f>IFERROR(INDEX(Exits_Attrition!$H$2:$H$65,MATCH(A436,Exits_Attrition!$A$2:$A$65,0)),"")</f>
        <v/>
      </c>
      <c r="Q436" s="24">
        <f t="shared" si="25"/>
        <v>0.5</v>
      </c>
      <c r="R436" s="22" t="str">
        <f t="shared" si="26"/>
        <v>Under 1 Yr</v>
      </c>
      <c r="S436" s="22">
        <f t="shared" si="27"/>
        <v>0</v>
      </c>
    </row>
    <row r="437" spans="1:19" x14ac:dyDescent="0.3">
      <c r="A437" s="22" t="s">
        <v>1486</v>
      </c>
      <c r="B437" t="s">
        <v>1487</v>
      </c>
      <c r="C437" t="s">
        <v>1488</v>
      </c>
      <c r="D437" t="s">
        <v>415</v>
      </c>
      <c r="E437" s="22" t="s">
        <v>416</v>
      </c>
      <c r="F437" t="s">
        <v>902</v>
      </c>
      <c r="G437" s="22" t="s">
        <v>22</v>
      </c>
      <c r="H437" s="22">
        <f t="shared" si="24"/>
        <v>1</v>
      </c>
      <c r="I437" t="s">
        <v>40</v>
      </c>
      <c r="J437" s="22" t="s">
        <v>97</v>
      </c>
      <c r="K437" t="s">
        <v>156</v>
      </c>
      <c r="L437" t="s">
        <v>99</v>
      </c>
      <c r="M437" s="28">
        <v>46108</v>
      </c>
      <c r="N437" s="22">
        <v>23</v>
      </c>
      <c r="O437" s="22" t="str">
        <f>IF(COUNTIF(Exits_Attrition!$A$2:$A$65,A437)&gt;0,"Exited","Active")</f>
        <v>Exited</v>
      </c>
      <c r="P437" s="28">
        <f>IFERROR(INDEX(Exits_Attrition!$H$2:$H$65,MATCH(A437,Exits_Attrition!$A$2:$A$65,0)),"")</f>
        <v>46264</v>
      </c>
      <c r="Q437" s="24">
        <f t="shared" si="25"/>
        <v>0.4</v>
      </c>
      <c r="R437" s="22" t="str">
        <f t="shared" si="26"/>
        <v>Under 1 Yr</v>
      </c>
      <c r="S437" s="22">
        <f t="shared" si="27"/>
        <v>0</v>
      </c>
    </row>
    <row r="438" spans="1:19" x14ac:dyDescent="0.3">
      <c r="A438" s="22" t="s">
        <v>1489</v>
      </c>
      <c r="B438" t="s">
        <v>1490</v>
      </c>
      <c r="C438" t="s">
        <v>1491</v>
      </c>
      <c r="D438" t="s">
        <v>513</v>
      </c>
      <c r="E438" s="22" t="s">
        <v>514</v>
      </c>
      <c r="F438" t="s">
        <v>408</v>
      </c>
      <c r="G438" s="22" t="s">
        <v>26</v>
      </c>
      <c r="H438" s="22">
        <f t="shared" si="24"/>
        <v>3</v>
      </c>
      <c r="I438" t="s">
        <v>43</v>
      </c>
      <c r="J438" s="22" t="s">
        <v>106</v>
      </c>
      <c r="K438" t="s">
        <v>98</v>
      </c>
      <c r="L438" t="s">
        <v>99</v>
      </c>
      <c r="M438" s="28">
        <v>46109</v>
      </c>
      <c r="N438" s="22">
        <v>28</v>
      </c>
      <c r="O438" s="22" t="str">
        <f>IF(COUNTIF(Exits_Attrition!$A$2:$A$65,A438)&gt;0,"Exited","Active")</f>
        <v>Active</v>
      </c>
      <c r="P438" s="28" t="str">
        <f>IFERROR(INDEX(Exits_Attrition!$H$2:$H$65,MATCH(A438,Exits_Attrition!$A$2:$A$65,0)),"")</f>
        <v/>
      </c>
      <c r="Q438" s="24">
        <f t="shared" si="25"/>
        <v>0.5</v>
      </c>
      <c r="R438" s="22" t="str">
        <f t="shared" si="26"/>
        <v>Under 1 Yr</v>
      </c>
      <c r="S438" s="22">
        <f t="shared" si="27"/>
        <v>0</v>
      </c>
    </row>
    <row r="439" spans="1:19" x14ac:dyDescent="0.3">
      <c r="A439" s="22" t="s">
        <v>1492</v>
      </c>
      <c r="B439" t="s">
        <v>1493</v>
      </c>
      <c r="C439" t="s">
        <v>1494</v>
      </c>
      <c r="D439" t="s">
        <v>116</v>
      </c>
      <c r="E439" s="22" t="s">
        <v>115</v>
      </c>
      <c r="F439" t="s">
        <v>911</v>
      </c>
      <c r="G439" s="22" t="s">
        <v>22</v>
      </c>
      <c r="H439" s="22">
        <f t="shared" si="24"/>
        <v>1</v>
      </c>
      <c r="I439" t="s">
        <v>39</v>
      </c>
      <c r="J439" s="22" t="s">
        <v>106</v>
      </c>
      <c r="K439" t="s">
        <v>98</v>
      </c>
      <c r="L439" t="s">
        <v>99</v>
      </c>
      <c r="M439" s="28">
        <v>46111</v>
      </c>
      <c r="N439" s="22">
        <v>26</v>
      </c>
      <c r="O439" s="22" t="str">
        <f>IF(COUNTIF(Exits_Attrition!$A$2:$A$65,A439)&gt;0,"Exited","Active")</f>
        <v>Active</v>
      </c>
      <c r="P439" s="28" t="str">
        <f>IFERROR(INDEX(Exits_Attrition!$H$2:$H$65,MATCH(A439,Exits_Attrition!$A$2:$A$65,0)),"")</f>
        <v/>
      </c>
      <c r="Q439" s="24">
        <f t="shared" si="25"/>
        <v>0.5</v>
      </c>
      <c r="R439" s="22" t="str">
        <f t="shared" si="26"/>
        <v>Under 1 Yr</v>
      </c>
      <c r="S439" s="22">
        <f t="shared" si="27"/>
        <v>0</v>
      </c>
    </row>
    <row r="440" spans="1:19" x14ac:dyDescent="0.3">
      <c r="A440" s="22" t="s">
        <v>1495</v>
      </c>
      <c r="B440" t="s">
        <v>1496</v>
      </c>
      <c r="C440" t="s">
        <v>1497</v>
      </c>
      <c r="D440" t="s">
        <v>501</v>
      </c>
      <c r="E440" s="22" t="s">
        <v>502</v>
      </c>
      <c r="F440" t="s">
        <v>943</v>
      </c>
      <c r="G440" s="22" t="s">
        <v>22</v>
      </c>
      <c r="H440" s="22">
        <f t="shared" si="24"/>
        <v>1</v>
      </c>
      <c r="I440" t="s">
        <v>46</v>
      </c>
      <c r="J440" s="22" t="s">
        <v>97</v>
      </c>
      <c r="K440" t="s">
        <v>98</v>
      </c>
      <c r="L440" t="s">
        <v>99</v>
      </c>
      <c r="M440" s="28">
        <v>46113</v>
      </c>
      <c r="N440" s="22">
        <v>24</v>
      </c>
      <c r="O440" s="22" t="str">
        <f>IF(COUNTIF(Exits_Attrition!$A$2:$A$65,A440)&gt;0,"Exited","Active")</f>
        <v>Active</v>
      </c>
      <c r="P440" s="28" t="str">
        <f>IFERROR(INDEX(Exits_Attrition!$H$2:$H$65,MATCH(A440,Exits_Attrition!$A$2:$A$65,0)),"")</f>
        <v/>
      </c>
      <c r="Q440" s="24">
        <f t="shared" si="25"/>
        <v>0.5</v>
      </c>
      <c r="R440" s="22" t="str">
        <f t="shared" si="26"/>
        <v>Under 1 Yr</v>
      </c>
      <c r="S440" s="22">
        <f t="shared" si="27"/>
        <v>0</v>
      </c>
    </row>
    <row r="441" spans="1:19" x14ac:dyDescent="0.3">
      <c r="A441" s="22" t="s">
        <v>1498</v>
      </c>
      <c r="B441" t="s">
        <v>1499</v>
      </c>
      <c r="C441" t="s">
        <v>1500</v>
      </c>
      <c r="D441" t="s">
        <v>291</v>
      </c>
      <c r="E441" s="22" t="s">
        <v>292</v>
      </c>
      <c r="F441" t="s">
        <v>890</v>
      </c>
      <c r="G441" s="22" t="s">
        <v>22</v>
      </c>
      <c r="H441" s="22">
        <f t="shared" si="24"/>
        <v>1</v>
      </c>
      <c r="I441" t="s">
        <v>41</v>
      </c>
      <c r="J441" s="22" t="s">
        <v>106</v>
      </c>
      <c r="K441" t="s">
        <v>156</v>
      </c>
      <c r="L441" t="s">
        <v>99</v>
      </c>
      <c r="M441" s="28">
        <v>46117</v>
      </c>
      <c r="N441" s="22">
        <v>26</v>
      </c>
      <c r="O441" s="22" t="str">
        <f>IF(COUNTIF(Exits_Attrition!$A$2:$A$65,A441)&gt;0,"Exited","Active")</f>
        <v>Active</v>
      </c>
      <c r="P441" s="28" t="str">
        <f>IFERROR(INDEX(Exits_Attrition!$H$2:$H$65,MATCH(A441,Exits_Attrition!$A$2:$A$65,0)),"")</f>
        <v/>
      </c>
      <c r="Q441" s="24">
        <f t="shared" si="25"/>
        <v>0.5</v>
      </c>
      <c r="R441" s="22" t="str">
        <f t="shared" si="26"/>
        <v>Under 1 Yr</v>
      </c>
      <c r="S441" s="22">
        <f t="shared" si="27"/>
        <v>0</v>
      </c>
    </row>
    <row r="442" spans="1:19" x14ac:dyDescent="0.3">
      <c r="A442" s="22" t="s">
        <v>1501</v>
      </c>
      <c r="B442" t="s">
        <v>1502</v>
      </c>
      <c r="C442" t="s">
        <v>1503</v>
      </c>
      <c r="D442" t="s">
        <v>483</v>
      </c>
      <c r="E442" s="22" t="s">
        <v>484</v>
      </c>
      <c r="F442" t="s">
        <v>545</v>
      </c>
      <c r="G442" s="22" t="s">
        <v>24</v>
      </c>
      <c r="H442" s="22">
        <f t="shared" si="24"/>
        <v>2</v>
      </c>
      <c r="I442" t="s">
        <v>43</v>
      </c>
      <c r="J442" s="22" t="s">
        <v>97</v>
      </c>
      <c r="K442" t="s">
        <v>98</v>
      </c>
      <c r="L442" t="s">
        <v>99</v>
      </c>
      <c r="M442" s="28">
        <v>46117</v>
      </c>
      <c r="N442" s="22">
        <v>31</v>
      </c>
      <c r="O442" s="22" t="str">
        <f>IF(COUNTIF(Exits_Attrition!$A$2:$A$65,A442)&gt;0,"Exited","Active")</f>
        <v>Active</v>
      </c>
      <c r="P442" s="28" t="str">
        <f>IFERROR(INDEX(Exits_Attrition!$H$2:$H$65,MATCH(A442,Exits_Attrition!$A$2:$A$65,0)),"")</f>
        <v/>
      </c>
      <c r="Q442" s="24">
        <f t="shared" si="25"/>
        <v>0.5</v>
      </c>
      <c r="R442" s="22" t="str">
        <f t="shared" si="26"/>
        <v>Under 1 Yr</v>
      </c>
      <c r="S442" s="22">
        <f t="shared" si="27"/>
        <v>0</v>
      </c>
    </row>
    <row r="443" spans="1:19" x14ac:dyDescent="0.3">
      <c r="A443" s="22" t="s">
        <v>1504</v>
      </c>
      <c r="B443" t="s">
        <v>1505</v>
      </c>
      <c r="C443" t="s">
        <v>1506</v>
      </c>
      <c r="D443" t="s">
        <v>304</v>
      </c>
      <c r="E443" s="22" t="s">
        <v>303</v>
      </c>
      <c r="F443" t="s">
        <v>569</v>
      </c>
      <c r="G443" s="22" t="s">
        <v>24</v>
      </c>
      <c r="H443" s="22">
        <f t="shared" si="24"/>
        <v>2</v>
      </c>
      <c r="I443" t="s">
        <v>39</v>
      </c>
      <c r="J443" s="22" t="s">
        <v>97</v>
      </c>
      <c r="K443" t="s">
        <v>98</v>
      </c>
      <c r="L443" t="s">
        <v>99</v>
      </c>
      <c r="M443" s="28">
        <v>46118</v>
      </c>
      <c r="N443" s="22">
        <v>26</v>
      </c>
      <c r="O443" s="22" t="str">
        <f>IF(COUNTIF(Exits_Attrition!$A$2:$A$65,A443)&gt;0,"Exited","Active")</f>
        <v>Active</v>
      </c>
      <c r="P443" s="28" t="str">
        <f>IFERROR(INDEX(Exits_Attrition!$H$2:$H$65,MATCH(A443,Exits_Attrition!$A$2:$A$65,0)),"")</f>
        <v/>
      </c>
      <c r="Q443" s="24">
        <f t="shared" si="25"/>
        <v>0.5</v>
      </c>
      <c r="R443" s="22" t="str">
        <f t="shared" si="26"/>
        <v>Under 1 Yr</v>
      </c>
      <c r="S443" s="22">
        <f t="shared" si="27"/>
        <v>0</v>
      </c>
    </row>
    <row r="444" spans="1:19" x14ac:dyDescent="0.3">
      <c r="A444" s="22" t="s">
        <v>1507</v>
      </c>
      <c r="B444" t="s">
        <v>1508</v>
      </c>
      <c r="C444" t="s">
        <v>1509</v>
      </c>
      <c r="D444" t="s">
        <v>113</v>
      </c>
      <c r="E444" s="22" t="s">
        <v>112</v>
      </c>
      <c r="F444" t="s">
        <v>911</v>
      </c>
      <c r="G444" s="22" t="s">
        <v>22</v>
      </c>
      <c r="H444" s="22">
        <f t="shared" si="24"/>
        <v>1</v>
      </c>
      <c r="I444" t="s">
        <v>39</v>
      </c>
      <c r="J444" s="22" t="s">
        <v>106</v>
      </c>
      <c r="K444" t="s">
        <v>156</v>
      </c>
      <c r="L444" t="s">
        <v>220</v>
      </c>
      <c r="M444" s="28">
        <v>46118</v>
      </c>
      <c r="N444" s="22">
        <v>23</v>
      </c>
      <c r="O444" s="22" t="str">
        <f>IF(COUNTIF(Exits_Attrition!$A$2:$A$65,A444)&gt;0,"Exited","Active")</f>
        <v>Exited</v>
      </c>
      <c r="P444" s="28">
        <f>IFERROR(INDEX(Exits_Attrition!$H$2:$H$65,MATCH(A444,Exits_Attrition!$A$2:$A$65,0)),"")</f>
        <v>46266</v>
      </c>
      <c r="Q444" s="24">
        <f t="shared" si="25"/>
        <v>0.4</v>
      </c>
      <c r="R444" s="22" t="str">
        <f t="shared" si="26"/>
        <v>Under 1 Yr</v>
      </c>
      <c r="S444" s="22">
        <f t="shared" si="27"/>
        <v>0</v>
      </c>
    </row>
    <row r="445" spans="1:19" x14ac:dyDescent="0.3">
      <c r="A445" s="22" t="s">
        <v>350</v>
      </c>
      <c r="B445" t="s">
        <v>349</v>
      </c>
      <c r="C445" t="s">
        <v>1510</v>
      </c>
      <c r="D445" t="s">
        <v>103</v>
      </c>
      <c r="E445" s="22" t="s">
        <v>104</v>
      </c>
      <c r="F445" t="s">
        <v>105</v>
      </c>
      <c r="G445" s="22" t="s">
        <v>30</v>
      </c>
      <c r="H445" s="22">
        <f t="shared" si="24"/>
        <v>5</v>
      </c>
      <c r="I445" t="s">
        <v>39</v>
      </c>
      <c r="J445" s="22" t="s">
        <v>106</v>
      </c>
      <c r="K445" t="s">
        <v>107</v>
      </c>
      <c r="L445" t="s">
        <v>99</v>
      </c>
      <c r="M445" s="28">
        <v>46120</v>
      </c>
      <c r="N445" s="22">
        <v>33</v>
      </c>
      <c r="O445" s="22" t="str">
        <f>IF(COUNTIF(Exits_Attrition!$A$2:$A$65,A445)&gt;0,"Exited","Active")</f>
        <v>Active</v>
      </c>
      <c r="P445" s="28" t="str">
        <f>IFERROR(INDEX(Exits_Attrition!$H$2:$H$65,MATCH(A445,Exits_Attrition!$A$2:$A$65,0)),"")</f>
        <v/>
      </c>
      <c r="Q445" s="24">
        <f t="shared" si="25"/>
        <v>0.5</v>
      </c>
      <c r="R445" s="22" t="str">
        <f t="shared" si="26"/>
        <v>Under 1 Yr</v>
      </c>
      <c r="S445" s="22">
        <f t="shared" si="27"/>
        <v>8</v>
      </c>
    </row>
    <row r="446" spans="1:19" x14ac:dyDescent="0.3">
      <c r="A446" s="22" t="s">
        <v>1511</v>
      </c>
      <c r="B446" t="s">
        <v>1512</v>
      </c>
      <c r="C446" t="s">
        <v>1513</v>
      </c>
      <c r="D446" t="s">
        <v>173</v>
      </c>
      <c r="E446" s="22" t="s">
        <v>172</v>
      </c>
      <c r="F446" t="s">
        <v>560</v>
      </c>
      <c r="G446" s="22" t="s">
        <v>24</v>
      </c>
      <c r="H446" s="22">
        <f t="shared" si="24"/>
        <v>2</v>
      </c>
      <c r="I446" t="s">
        <v>41</v>
      </c>
      <c r="J446" s="22" t="s">
        <v>97</v>
      </c>
      <c r="K446" t="s">
        <v>156</v>
      </c>
      <c r="L446" t="s">
        <v>99</v>
      </c>
      <c r="M446" s="28">
        <v>46123</v>
      </c>
      <c r="N446" s="22">
        <v>25</v>
      </c>
      <c r="O446" s="22" t="str">
        <f>IF(COUNTIF(Exits_Attrition!$A$2:$A$65,A446)&gt;0,"Exited","Active")</f>
        <v>Exited</v>
      </c>
      <c r="P446" s="28">
        <f>IFERROR(INDEX(Exits_Attrition!$H$2:$H$65,MATCH(A446,Exits_Attrition!$A$2:$A$65,0)),"")</f>
        <v>46233</v>
      </c>
      <c r="Q446" s="24">
        <f t="shared" si="25"/>
        <v>0.3</v>
      </c>
      <c r="R446" s="22" t="str">
        <f t="shared" si="26"/>
        <v>Under 1 Yr</v>
      </c>
      <c r="S446" s="22">
        <f t="shared" si="27"/>
        <v>0</v>
      </c>
    </row>
    <row r="447" spans="1:19" x14ac:dyDescent="0.3">
      <c r="A447" s="22" t="s">
        <v>292</v>
      </c>
      <c r="B447" t="s">
        <v>291</v>
      </c>
      <c r="C447" t="s">
        <v>1514</v>
      </c>
      <c r="D447" t="s">
        <v>642</v>
      </c>
      <c r="E447" s="22" t="s">
        <v>643</v>
      </c>
      <c r="F447" t="s">
        <v>177</v>
      </c>
      <c r="G447" s="22" t="s">
        <v>30</v>
      </c>
      <c r="H447" s="22">
        <f t="shared" si="24"/>
        <v>5</v>
      </c>
      <c r="I447" t="s">
        <v>41</v>
      </c>
      <c r="J447" s="22" t="s">
        <v>97</v>
      </c>
      <c r="K447" t="s">
        <v>156</v>
      </c>
      <c r="L447" t="s">
        <v>99</v>
      </c>
      <c r="M447" s="28">
        <v>46124</v>
      </c>
      <c r="N447" s="22">
        <v>36</v>
      </c>
      <c r="O447" s="22" t="str">
        <f>IF(COUNTIF(Exits_Attrition!$A$2:$A$65,A447)&gt;0,"Exited","Active")</f>
        <v>Active</v>
      </c>
      <c r="P447" s="28" t="str">
        <f>IFERROR(INDEX(Exits_Attrition!$H$2:$H$65,MATCH(A447,Exits_Attrition!$A$2:$A$65,0)),"")</f>
        <v/>
      </c>
      <c r="Q447" s="24">
        <f t="shared" si="25"/>
        <v>0.5</v>
      </c>
      <c r="R447" s="22" t="str">
        <f t="shared" si="26"/>
        <v>Under 1 Yr</v>
      </c>
      <c r="S447" s="22">
        <f t="shared" si="27"/>
        <v>11</v>
      </c>
    </row>
    <row r="448" spans="1:19" x14ac:dyDescent="0.3">
      <c r="A448" s="22" t="s">
        <v>1515</v>
      </c>
      <c r="B448" t="s">
        <v>1516</v>
      </c>
      <c r="C448" t="s">
        <v>1517</v>
      </c>
      <c r="D448" t="s">
        <v>383</v>
      </c>
      <c r="E448" s="22" t="s">
        <v>384</v>
      </c>
      <c r="F448" t="s">
        <v>155</v>
      </c>
      <c r="G448" s="22" t="s">
        <v>28</v>
      </c>
      <c r="H448" s="22">
        <f t="shared" si="24"/>
        <v>4</v>
      </c>
      <c r="I448" t="s">
        <v>40</v>
      </c>
      <c r="J448" s="22" t="s">
        <v>97</v>
      </c>
      <c r="K448" t="s">
        <v>156</v>
      </c>
      <c r="L448" t="s">
        <v>99</v>
      </c>
      <c r="M448" s="28">
        <v>46128</v>
      </c>
      <c r="N448" s="22">
        <v>30</v>
      </c>
      <c r="O448" s="22" t="str">
        <f>IF(COUNTIF(Exits_Attrition!$A$2:$A$65,A448)&gt;0,"Exited","Active")</f>
        <v>Active</v>
      </c>
      <c r="P448" s="28" t="str">
        <f>IFERROR(INDEX(Exits_Attrition!$H$2:$H$65,MATCH(A448,Exits_Attrition!$A$2:$A$65,0)),"")</f>
        <v/>
      </c>
      <c r="Q448" s="24">
        <f t="shared" si="25"/>
        <v>0.5</v>
      </c>
      <c r="R448" s="22" t="str">
        <f t="shared" si="26"/>
        <v>Under 1 Yr</v>
      </c>
      <c r="S448" s="22">
        <f t="shared" si="27"/>
        <v>0</v>
      </c>
    </row>
    <row r="449" spans="1:19" x14ac:dyDescent="0.3">
      <c r="A449" s="22" t="s">
        <v>1518</v>
      </c>
      <c r="B449" t="s">
        <v>1519</v>
      </c>
      <c r="C449" t="s">
        <v>1520</v>
      </c>
      <c r="D449" t="s">
        <v>228</v>
      </c>
      <c r="E449" s="22" t="s">
        <v>227</v>
      </c>
      <c r="F449" t="s">
        <v>576</v>
      </c>
      <c r="G449" s="22" t="s">
        <v>24</v>
      </c>
      <c r="H449" s="22">
        <f t="shared" si="24"/>
        <v>2</v>
      </c>
      <c r="I449" t="s">
        <v>42</v>
      </c>
      <c r="J449" s="22" t="s">
        <v>97</v>
      </c>
      <c r="K449" t="s">
        <v>213</v>
      </c>
      <c r="L449" t="s">
        <v>99</v>
      </c>
      <c r="M449" s="28">
        <v>46133</v>
      </c>
      <c r="N449" s="22">
        <v>27</v>
      </c>
      <c r="O449" s="22" t="str">
        <f>IF(COUNTIF(Exits_Attrition!$A$2:$A$65,A449)&gt;0,"Exited","Active")</f>
        <v>Active</v>
      </c>
      <c r="P449" s="28" t="str">
        <f>IFERROR(INDEX(Exits_Attrition!$H$2:$H$65,MATCH(A449,Exits_Attrition!$A$2:$A$65,0)),"")</f>
        <v/>
      </c>
      <c r="Q449" s="24">
        <f t="shared" si="25"/>
        <v>0.4</v>
      </c>
      <c r="R449" s="22" t="str">
        <f t="shared" si="26"/>
        <v>Under 1 Yr</v>
      </c>
      <c r="S449" s="22">
        <f t="shared" si="27"/>
        <v>0</v>
      </c>
    </row>
    <row r="450" spans="1:19" x14ac:dyDescent="0.3">
      <c r="A450" s="22" t="s">
        <v>1521</v>
      </c>
      <c r="B450" t="s">
        <v>1522</v>
      </c>
      <c r="C450" t="s">
        <v>1523</v>
      </c>
      <c r="D450" t="s">
        <v>304</v>
      </c>
      <c r="E450" s="22" t="s">
        <v>303</v>
      </c>
      <c r="F450" t="s">
        <v>911</v>
      </c>
      <c r="G450" s="22" t="s">
        <v>22</v>
      </c>
      <c r="H450" s="22">
        <f t="shared" ref="H450:H501" si="28">VALUE(MID(G450,2,1))</f>
        <v>1</v>
      </c>
      <c r="I450" t="s">
        <v>39</v>
      </c>
      <c r="J450" s="22" t="s">
        <v>97</v>
      </c>
      <c r="K450" t="s">
        <v>124</v>
      </c>
      <c r="L450" t="s">
        <v>99</v>
      </c>
      <c r="M450" s="28">
        <v>46134</v>
      </c>
      <c r="N450" s="22">
        <v>27</v>
      </c>
      <c r="O450" s="22" t="str">
        <f>IF(COUNTIF(Exits_Attrition!$A$2:$A$65,A450)&gt;0,"Exited","Active")</f>
        <v>Exited</v>
      </c>
      <c r="P450" s="28">
        <f>IFERROR(INDEX(Exits_Attrition!$H$2:$H$65,MATCH(A450,Exits_Attrition!$A$2:$A$65,0)),"")</f>
        <v>46246</v>
      </c>
      <c r="Q450" s="24">
        <f t="shared" ref="Q450:Q501" si="29">ROUND((IF(P450="",AsOf,P450)-M450)/365.25,1)</f>
        <v>0.3</v>
      </c>
      <c r="R450" s="22" t="str">
        <f t="shared" ref="R450:R501" si="30">IF(Q450&lt;1,"Under 1 Yr",IF(Q450&lt;3,"1-3 Yrs",IF(Q450&lt;5,"3-5 Yrs","5+ Yrs")))</f>
        <v>Under 1 Yr</v>
      </c>
      <c r="S450" s="22">
        <f t="shared" ref="S450:S501" si="31">COUNTIF($E$2:$E$501,A450)</f>
        <v>0</v>
      </c>
    </row>
    <row r="451" spans="1:19" x14ac:dyDescent="0.3">
      <c r="A451" s="22" t="s">
        <v>1524</v>
      </c>
      <c r="B451" t="s">
        <v>1525</v>
      </c>
      <c r="C451" t="s">
        <v>1526</v>
      </c>
      <c r="D451" t="s">
        <v>200</v>
      </c>
      <c r="E451" s="22" t="s">
        <v>201</v>
      </c>
      <c r="F451" t="s">
        <v>890</v>
      </c>
      <c r="G451" s="22" t="s">
        <v>22</v>
      </c>
      <c r="H451" s="22">
        <f t="shared" si="28"/>
        <v>1</v>
      </c>
      <c r="I451" t="s">
        <v>41</v>
      </c>
      <c r="J451" s="22" t="s">
        <v>106</v>
      </c>
      <c r="K451" t="s">
        <v>190</v>
      </c>
      <c r="L451" t="s">
        <v>99</v>
      </c>
      <c r="M451" s="28">
        <v>46137</v>
      </c>
      <c r="N451" s="22">
        <v>25</v>
      </c>
      <c r="O451" s="22" t="str">
        <f>IF(COUNTIF(Exits_Attrition!$A$2:$A$65,A451)&gt;0,"Exited","Active")</f>
        <v>Active</v>
      </c>
      <c r="P451" s="28" t="str">
        <f>IFERROR(INDEX(Exits_Attrition!$H$2:$H$65,MATCH(A451,Exits_Attrition!$A$2:$A$65,0)),"")</f>
        <v/>
      </c>
      <c r="Q451" s="24">
        <f t="shared" si="29"/>
        <v>0.4</v>
      </c>
      <c r="R451" s="22" t="str">
        <f t="shared" si="30"/>
        <v>Under 1 Yr</v>
      </c>
      <c r="S451" s="22">
        <f t="shared" si="31"/>
        <v>0</v>
      </c>
    </row>
    <row r="452" spans="1:19" x14ac:dyDescent="0.3">
      <c r="A452" s="22" t="s">
        <v>1527</v>
      </c>
      <c r="B452" t="s">
        <v>1528</v>
      </c>
      <c r="C452" t="s">
        <v>1529</v>
      </c>
      <c r="D452" t="s">
        <v>200</v>
      </c>
      <c r="E452" s="22" t="s">
        <v>201</v>
      </c>
      <c r="F452" t="s">
        <v>890</v>
      </c>
      <c r="G452" s="22" t="s">
        <v>22</v>
      </c>
      <c r="H452" s="22">
        <f t="shared" si="28"/>
        <v>1</v>
      </c>
      <c r="I452" t="s">
        <v>41</v>
      </c>
      <c r="J452" s="22" t="s">
        <v>97</v>
      </c>
      <c r="K452" t="s">
        <v>98</v>
      </c>
      <c r="L452" t="s">
        <v>220</v>
      </c>
      <c r="M452" s="28">
        <v>46139</v>
      </c>
      <c r="N452" s="22">
        <v>28</v>
      </c>
      <c r="O452" s="22" t="str">
        <f>IF(COUNTIF(Exits_Attrition!$A$2:$A$65,A452)&gt;0,"Exited","Active")</f>
        <v>Active</v>
      </c>
      <c r="P452" s="28" t="str">
        <f>IFERROR(INDEX(Exits_Attrition!$H$2:$H$65,MATCH(A452,Exits_Attrition!$A$2:$A$65,0)),"")</f>
        <v/>
      </c>
      <c r="Q452" s="24">
        <f t="shared" si="29"/>
        <v>0.4</v>
      </c>
      <c r="R452" s="22" t="str">
        <f t="shared" si="30"/>
        <v>Under 1 Yr</v>
      </c>
      <c r="S452" s="22">
        <f t="shared" si="31"/>
        <v>0</v>
      </c>
    </row>
    <row r="453" spans="1:19" x14ac:dyDescent="0.3">
      <c r="A453" s="22" t="s">
        <v>1530</v>
      </c>
      <c r="B453" t="s">
        <v>1531</v>
      </c>
      <c r="C453" t="s">
        <v>1532</v>
      </c>
      <c r="D453" t="s">
        <v>160</v>
      </c>
      <c r="E453" s="22" t="s">
        <v>161</v>
      </c>
      <c r="F453" t="s">
        <v>1130</v>
      </c>
      <c r="G453" s="22" t="s">
        <v>22</v>
      </c>
      <c r="H453" s="22">
        <f t="shared" si="28"/>
        <v>1</v>
      </c>
      <c r="I453" t="s">
        <v>48</v>
      </c>
      <c r="J453" s="22" t="s">
        <v>106</v>
      </c>
      <c r="K453" t="s">
        <v>213</v>
      </c>
      <c r="L453" t="s">
        <v>99</v>
      </c>
      <c r="M453" s="28">
        <v>46139</v>
      </c>
      <c r="N453" s="22">
        <v>27</v>
      </c>
      <c r="O453" s="22" t="str">
        <f>IF(COUNTIF(Exits_Attrition!$A$2:$A$65,A453)&gt;0,"Exited","Active")</f>
        <v>Exited</v>
      </c>
      <c r="P453" s="28">
        <f>IFERROR(INDEX(Exits_Attrition!$H$2:$H$65,MATCH(A453,Exits_Attrition!$A$2:$A$65,0)),"")</f>
        <v>46235</v>
      </c>
      <c r="Q453" s="24">
        <f t="shared" si="29"/>
        <v>0.3</v>
      </c>
      <c r="R453" s="22" t="str">
        <f t="shared" si="30"/>
        <v>Under 1 Yr</v>
      </c>
      <c r="S453" s="22">
        <f t="shared" si="31"/>
        <v>0</v>
      </c>
    </row>
    <row r="454" spans="1:19" x14ac:dyDescent="0.3">
      <c r="A454" s="22" t="s">
        <v>1533</v>
      </c>
      <c r="B454" t="s">
        <v>1534</v>
      </c>
      <c r="C454" t="s">
        <v>1535</v>
      </c>
      <c r="D454" t="s">
        <v>204</v>
      </c>
      <c r="E454" s="22" t="s">
        <v>203</v>
      </c>
      <c r="F454" t="s">
        <v>476</v>
      </c>
      <c r="G454" s="22" t="s">
        <v>28</v>
      </c>
      <c r="H454" s="22">
        <f t="shared" si="28"/>
        <v>4</v>
      </c>
      <c r="I454" t="s">
        <v>45</v>
      </c>
      <c r="J454" s="22" t="s">
        <v>97</v>
      </c>
      <c r="K454" t="s">
        <v>98</v>
      </c>
      <c r="L454" t="s">
        <v>99</v>
      </c>
      <c r="M454" s="28">
        <v>46140</v>
      </c>
      <c r="N454" s="22">
        <v>29</v>
      </c>
      <c r="O454" s="22" t="str">
        <f>IF(COUNTIF(Exits_Attrition!$A$2:$A$65,A454)&gt;0,"Exited","Active")</f>
        <v>Active</v>
      </c>
      <c r="P454" s="28" t="str">
        <f>IFERROR(INDEX(Exits_Attrition!$H$2:$H$65,MATCH(A454,Exits_Attrition!$A$2:$A$65,0)),"")</f>
        <v/>
      </c>
      <c r="Q454" s="24">
        <f t="shared" si="29"/>
        <v>0.4</v>
      </c>
      <c r="R454" s="22" t="str">
        <f t="shared" si="30"/>
        <v>Under 1 Yr</v>
      </c>
      <c r="S454" s="22">
        <f t="shared" si="31"/>
        <v>0</v>
      </c>
    </row>
    <row r="455" spans="1:19" x14ac:dyDescent="0.3">
      <c r="A455" s="22" t="s">
        <v>1536</v>
      </c>
      <c r="B455" t="s">
        <v>1537</v>
      </c>
      <c r="C455" t="s">
        <v>1538</v>
      </c>
      <c r="D455" t="s">
        <v>313</v>
      </c>
      <c r="E455" s="22" t="s">
        <v>314</v>
      </c>
      <c r="F455" t="s">
        <v>911</v>
      </c>
      <c r="G455" s="22" t="s">
        <v>22</v>
      </c>
      <c r="H455" s="22">
        <f t="shared" si="28"/>
        <v>1</v>
      </c>
      <c r="I455" t="s">
        <v>39</v>
      </c>
      <c r="J455" s="22" t="s">
        <v>106</v>
      </c>
      <c r="K455" t="s">
        <v>98</v>
      </c>
      <c r="L455" t="s">
        <v>99</v>
      </c>
      <c r="M455" s="28">
        <v>46146</v>
      </c>
      <c r="N455" s="22">
        <v>27</v>
      </c>
      <c r="O455" s="22" t="str">
        <f>IF(COUNTIF(Exits_Attrition!$A$2:$A$65,A455)&gt;0,"Exited","Active")</f>
        <v>Active</v>
      </c>
      <c r="P455" s="28" t="str">
        <f>IFERROR(INDEX(Exits_Attrition!$H$2:$H$65,MATCH(A455,Exits_Attrition!$A$2:$A$65,0)),"")</f>
        <v/>
      </c>
      <c r="Q455" s="24">
        <f t="shared" si="29"/>
        <v>0.4</v>
      </c>
      <c r="R455" s="22" t="str">
        <f t="shared" si="30"/>
        <v>Under 1 Yr</v>
      </c>
      <c r="S455" s="22">
        <f t="shared" si="31"/>
        <v>0</v>
      </c>
    </row>
    <row r="456" spans="1:19" x14ac:dyDescent="0.3">
      <c r="A456" s="22" t="s">
        <v>1539</v>
      </c>
      <c r="B456" t="s">
        <v>1540</v>
      </c>
      <c r="C456" t="s">
        <v>1541</v>
      </c>
      <c r="D456" t="s">
        <v>726</v>
      </c>
      <c r="E456" s="22" t="s">
        <v>727</v>
      </c>
      <c r="F456" t="s">
        <v>202</v>
      </c>
      <c r="G456" s="22" t="s">
        <v>28</v>
      </c>
      <c r="H456" s="22">
        <f t="shared" si="28"/>
        <v>4</v>
      </c>
      <c r="I456" t="s">
        <v>41</v>
      </c>
      <c r="J456" s="22" t="s">
        <v>106</v>
      </c>
      <c r="K456" t="s">
        <v>156</v>
      </c>
      <c r="L456" t="s">
        <v>99</v>
      </c>
      <c r="M456" s="28">
        <v>46147</v>
      </c>
      <c r="N456" s="22">
        <v>30</v>
      </c>
      <c r="O456" s="22" t="str">
        <f>IF(COUNTIF(Exits_Attrition!$A$2:$A$65,A456)&gt;0,"Exited","Active")</f>
        <v>Active</v>
      </c>
      <c r="P456" s="28" t="str">
        <f>IFERROR(INDEX(Exits_Attrition!$H$2:$H$65,MATCH(A456,Exits_Attrition!$A$2:$A$65,0)),"")</f>
        <v/>
      </c>
      <c r="Q456" s="24">
        <f t="shared" si="29"/>
        <v>0.4</v>
      </c>
      <c r="R456" s="22" t="str">
        <f t="shared" si="30"/>
        <v>Under 1 Yr</v>
      </c>
      <c r="S456" s="22">
        <f t="shared" si="31"/>
        <v>0</v>
      </c>
    </row>
    <row r="457" spans="1:19" x14ac:dyDescent="0.3">
      <c r="A457" s="22" t="s">
        <v>1542</v>
      </c>
      <c r="B457" t="s">
        <v>1543</v>
      </c>
      <c r="C457" t="s">
        <v>1544</v>
      </c>
      <c r="D457" t="s">
        <v>684</v>
      </c>
      <c r="E457" s="22" t="s">
        <v>685</v>
      </c>
      <c r="F457" t="s">
        <v>915</v>
      </c>
      <c r="G457" s="22" t="s">
        <v>28</v>
      </c>
      <c r="H457" s="22">
        <f t="shared" si="28"/>
        <v>4</v>
      </c>
      <c r="I457" t="s">
        <v>48</v>
      </c>
      <c r="J457" s="22" t="s">
        <v>97</v>
      </c>
      <c r="K457" t="s">
        <v>213</v>
      </c>
      <c r="L457" t="s">
        <v>99</v>
      </c>
      <c r="M457" s="28">
        <v>46151</v>
      </c>
      <c r="N457" s="22">
        <v>29</v>
      </c>
      <c r="O457" s="22" t="str">
        <f>IF(COUNTIF(Exits_Attrition!$A$2:$A$65,A457)&gt;0,"Exited","Active")</f>
        <v>Active</v>
      </c>
      <c r="P457" s="28" t="str">
        <f>IFERROR(INDEX(Exits_Attrition!$H$2:$H$65,MATCH(A457,Exits_Attrition!$A$2:$A$65,0)),"")</f>
        <v/>
      </c>
      <c r="Q457" s="24">
        <f t="shared" si="29"/>
        <v>0.4</v>
      </c>
      <c r="R457" s="22" t="str">
        <f t="shared" si="30"/>
        <v>Under 1 Yr</v>
      </c>
      <c r="S457" s="22">
        <f t="shared" si="31"/>
        <v>0</v>
      </c>
    </row>
    <row r="458" spans="1:19" x14ac:dyDescent="0.3">
      <c r="A458" s="22" t="s">
        <v>1545</v>
      </c>
      <c r="B458" t="s">
        <v>1546</v>
      </c>
      <c r="C458" t="s">
        <v>1547</v>
      </c>
      <c r="D458" t="s">
        <v>291</v>
      </c>
      <c r="E458" s="22" t="s">
        <v>292</v>
      </c>
      <c r="F458" t="s">
        <v>890</v>
      </c>
      <c r="G458" s="22" t="s">
        <v>22</v>
      </c>
      <c r="H458" s="22">
        <f t="shared" si="28"/>
        <v>1</v>
      </c>
      <c r="I458" t="s">
        <v>41</v>
      </c>
      <c r="J458" s="22" t="s">
        <v>106</v>
      </c>
      <c r="K458" t="s">
        <v>124</v>
      </c>
      <c r="L458" t="s">
        <v>99</v>
      </c>
      <c r="M458" s="28">
        <v>46154</v>
      </c>
      <c r="N458" s="22">
        <v>25</v>
      </c>
      <c r="O458" s="22" t="str">
        <f>IF(COUNTIF(Exits_Attrition!$A$2:$A$65,A458)&gt;0,"Exited","Active")</f>
        <v>Active</v>
      </c>
      <c r="P458" s="28" t="str">
        <f>IFERROR(INDEX(Exits_Attrition!$H$2:$H$65,MATCH(A458,Exits_Attrition!$A$2:$A$65,0)),"")</f>
        <v/>
      </c>
      <c r="Q458" s="24">
        <f t="shared" si="29"/>
        <v>0.4</v>
      </c>
      <c r="R458" s="22" t="str">
        <f t="shared" si="30"/>
        <v>Under 1 Yr</v>
      </c>
      <c r="S458" s="22">
        <f t="shared" si="31"/>
        <v>0</v>
      </c>
    </row>
    <row r="459" spans="1:19" x14ac:dyDescent="0.3">
      <c r="A459" s="22" t="s">
        <v>339</v>
      </c>
      <c r="B459" t="s">
        <v>338</v>
      </c>
      <c r="C459" t="s">
        <v>1548</v>
      </c>
      <c r="D459" t="s">
        <v>230</v>
      </c>
      <c r="E459" s="22" t="s">
        <v>231</v>
      </c>
      <c r="F459" t="s">
        <v>232</v>
      </c>
      <c r="G459" s="22" t="s">
        <v>30</v>
      </c>
      <c r="H459" s="22">
        <f t="shared" si="28"/>
        <v>5</v>
      </c>
      <c r="I459" t="s">
        <v>42</v>
      </c>
      <c r="J459" s="22" t="s">
        <v>97</v>
      </c>
      <c r="K459" t="s">
        <v>124</v>
      </c>
      <c r="L459" t="s">
        <v>99</v>
      </c>
      <c r="M459" s="28">
        <v>46155</v>
      </c>
      <c r="N459" s="22">
        <v>34</v>
      </c>
      <c r="O459" s="22" t="str">
        <f>IF(COUNTIF(Exits_Attrition!$A$2:$A$65,A459)&gt;0,"Exited","Active")</f>
        <v>Active</v>
      </c>
      <c r="P459" s="28" t="str">
        <f>IFERROR(INDEX(Exits_Attrition!$H$2:$H$65,MATCH(A459,Exits_Attrition!$A$2:$A$65,0)),"")</f>
        <v/>
      </c>
      <c r="Q459" s="24">
        <f t="shared" si="29"/>
        <v>0.4</v>
      </c>
      <c r="R459" s="22" t="str">
        <f t="shared" si="30"/>
        <v>Under 1 Yr</v>
      </c>
      <c r="S459" s="22">
        <f t="shared" si="31"/>
        <v>14</v>
      </c>
    </row>
    <row r="460" spans="1:19" x14ac:dyDescent="0.3">
      <c r="A460" s="22" t="s">
        <v>1549</v>
      </c>
      <c r="B460" t="s">
        <v>1550</v>
      </c>
      <c r="C460" t="s">
        <v>1551</v>
      </c>
      <c r="D460" t="s">
        <v>204</v>
      </c>
      <c r="E460" s="22" t="s">
        <v>203</v>
      </c>
      <c r="F460" t="s">
        <v>947</v>
      </c>
      <c r="G460" s="22" t="s">
        <v>22</v>
      </c>
      <c r="H460" s="22">
        <f t="shared" si="28"/>
        <v>1</v>
      </c>
      <c r="I460" t="s">
        <v>45</v>
      </c>
      <c r="J460" s="22" t="s">
        <v>97</v>
      </c>
      <c r="K460" t="s">
        <v>98</v>
      </c>
      <c r="L460" t="s">
        <v>99</v>
      </c>
      <c r="M460" s="28">
        <v>46157</v>
      </c>
      <c r="N460" s="22">
        <v>27</v>
      </c>
      <c r="O460" s="22" t="str">
        <f>IF(COUNTIF(Exits_Attrition!$A$2:$A$65,A460)&gt;0,"Exited","Active")</f>
        <v>Active</v>
      </c>
      <c r="P460" s="28" t="str">
        <f>IFERROR(INDEX(Exits_Attrition!$H$2:$H$65,MATCH(A460,Exits_Attrition!$A$2:$A$65,0)),"")</f>
        <v/>
      </c>
      <c r="Q460" s="24">
        <f t="shared" si="29"/>
        <v>0.4</v>
      </c>
      <c r="R460" s="22" t="str">
        <f t="shared" si="30"/>
        <v>Under 1 Yr</v>
      </c>
      <c r="S460" s="22">
        <f t="shared" si="31"/>
        <v>0</v>
      </c>
    </row>
    <row r="461" spans="1:19" x14ac:dyDescent="0.3">
      <c r="A461" s="22" t="s">
        <v>1552</v>
      </c>
      <c r="B461" t="s">
        <v>1553</v>
      </c>
      <c r="C461" t="s">
        <v>1554</v>
      </c>
      <c r="D461" t="s">
        <v>166</v>
      </c>
      <c r="E461" s="22" t="s">
        <v>167</v>
      </c>
      <c r="F461" t="s">
        <v>936</v>
      </c>
      <c r="G461" s="22" t="s">
        <v>22</v>
      </c>
      <c r="H461" s="22">
        <f t="shared" si="28"/>
        <v>1</v>
      </c>
      <c r="I461" t="s">
        <v>47</v>
      </c>
      <c r="J461" s="22" t="s">
        <v>97</v>
      </c>
      <c r="K461" t="s">
        <v>98</v>
      </c>
      <c r="L461" t="s">
        <v>99</v>
      </c>
      <c r="M461" s="28">
        <v>46168</v>
      </c>
      <c r="N461" s="22">
        <v>28</v>
      </c>
      <c r="O461" s="22" t="str">
        <f>IF(COUNTIF(Exits_Attrition!$A$2:$A$65,A461)&gt;0,"Exited","Active")</f>
        <v>Active</v>
      </c>
      <c r="P461" s="28" t="str">
        <f>IFERROR(INDEX(Exits_Attrition!$H$2:$H$65,MATCH(A461,Exits_Attrition!$A$2:$A$65,0)),"")</f>
        <v/>
      </c>
      <c r="Q461" s="24">
        <f t="shared" si="29"/>
        <v>0.3</v>
      </c>
      <c r="R461" s="22" t="str">
        <f t="shared" si="30"/>
        <v>Under 1 Yr</v>
      </c>
      <c r="S461" s="22">
        <f t="shared" si="31"/>
        <v>0</v>
      </c>
    </row>
    <row r="462" spans="1:19" x14ac:dyDescent="0.3">
      <c r="A462" s="22" t="s">
        <v>1555</v>
      </c>
      <c r="B462" t="s">
        <v>1556</v>
      </c>
      <c r="C462" t="s">
        <v>1557</v>
      </c>
      <c r="D462" t="s">
        <v>119</v>
      </c>
      <c r="E462" s="22" t="s">
        <v>118</v>
      </c>
      <c r="F462" t="s">
        <v>902</v>
      </c>
      <c r="G462" s="22" t="s">
        <v>22</v>
      </c>
      <c r="H462" s="22">
        <f t="shared" si="28"/>
        <v>1</v>
      </c>
      <c r="I462" t="s">
        <v>40</v>
      </c>
      <c r="J462" s="22" t="s">
        <v>97</v>
      </c>
      <c r="K462" t="s">
        <v>190</v>
      </c>
      <c r="L462" t="s">
        <v>99</v>
      </c>
      <c r="M462" s="28">
        <v>46172</v>
      </c>
      <c r="N462" s="22">
        <v>27</v>
      </c>
      <c r="O462" s="22" t="str">
        <f>IF(COUNTIF(Exits_Attrition!$A$2:$A$65,A462)&gt;0,"Exited","Active")</f>
        <v>Active</v>
      </c>
      <c r="P462" s="28" t="str">
        <f>IFERROR(INDEX(Exits_Attrition!$H$2:$H$65,MATCH(A462,Exits_Attrition!$A$2:$A$65,0)),"")</f>
        <v/>
      </c>
      <c r="Q462" s="24">
        <f t="shared" si="29"/>
        <v>0.3</v>
      </c>
      <c r="R462" s="22" t="str">
        <f t="shared" si="30"/>
        <v>Under 1 Yr</v>
      </c>
      <c r="S462" s="22">
        <f t="shared" si="31"/>
        <v>0</v>
      </c>
    </row>
    <row r="463" spans="1:19" x14ac:dyDescent="0.3">
      <c r="A463" s="22" t="s">
        <v>1558</v>
      </c>
      <c r="B463" t="s">
        <v>1559</v>
      </c>
      <c r="C463" t="s">
        <v>1560</v>
      </c>
      <c r="D463" t="s">
        <v>415</v>
      </c>
      <c r="E463" s="22" t="s">
        <v>416</v>
      </c>
      <c r="F463" t="s">
        <v>550</v>
      </c>
      <c r="G463" s="22" t="s">
        <v>24</v>
      </c>
      <c r="H463" s="22">
        <f t="shared" si="28"/>
        <v>2</v>
      </c>
      <c r="I463" t="s">
        <v>40</v>
      </c>
      <c r="J463" s="22" t="s">
        <v>106</v>
      </c>
      <c r="K463" t="s">
        <v>156</v>
      </c>
      <c r="L463" t="s">
        <v>99</v>
      </c>
      <c r="M463" s="28">
        <v>46177</v>
      </c>
      <c r="N463" s="22">
        <v>25</v>
      </c>
      <c r="O463" s="22" t="str">
        <f>IF(COUNTIF(Exits_Attrition!$A$2:$A$65,A463)&gt;0,"Exited","Active")</f>
        <v>Active</v>
      </c>
      <c r="P463" s="28" t="str">
        <f>IFERROR(INDEX(Exits_Attrition!$H$2:$H$65,MATCH(A463,Exits_Attrition!$A$2:$A$65,0)),"")</f>
        <v/>
      </c>
      <c r="Q463" s="24">
        <f t="shared" si="29"/>
        <v>0.3</v>
      </c>
      <c r="R463" s="22" t="str">
        <f t="shared" si="30"/>
        <v>Under 1 Yr</v>
      </c>
      <c r="S463" s="22">
        <f t="shared" si="31"/>
        <v>0</v>
      </c>
    </row>
    <row r="464" spans="1:19" x14ac:dyDescent="0.3">
      <c r="A464" s="22" t="s">
        <v>1561</v>
      </c>
      <c r="B464" t="s">
        <v>1562</v>
      </c>
      <c r="C464" t="s">
        <v>1563</v>
      </c>
      <c r="D464" t="s">
        <v>313</v>
      </c>
      <c r="E464" s="22" t="s">
        <v>314</v>
      </c>
      <c r="F464" t="s">
        <v>183</v>
      </c>
      <c r="G464" s="22" t="s">
        <v>28</v>
      </c>
      <c r="H464" s="22">
        <f t="shared" si="28"/>
        <v>4</v>
      </c>
      <c r="I464" t="s">
        <v>39</v>
      </c>
      <c r="J464" s="22" t="s">
        <v>106</v>
      </c>
      <c r="K464" t="s">
        <v>98</v>
      </c>
      <c r="L464" t="s">
        <v>99</v>
      </c>
      <c r="M464" s="28">
        <v>46180</v>
      </c>
      <c r="N464" s="22">
        <v>32</v>
      </c>
      <c r="O464" s="22" t="str">
        <f>IF(COUNTIF(Exits_Attrition!$A$2:$A$65,A464)&gt;0,"Exited","Active")</f>
        <v>Active</v>
      </c>
      <c r="P464" s="28" t="str">
        <f>IFERROR(INDEX(Exits_Attrition!$H$2:$H$65,MATCH(A464,Exits_Attrition!$A$2:$A$65,0)),"")</f>
        <v/>
      </c>
      <c r="Q464" s="24">
        <f t="shared" si="29"/>
        <v>0.3</v>
      </c>
      <c r="R464" s="22" t="str">
        <f t="shared" si="30"/>
        <v>Under 1 Yr</v>
      </c>
      <c r="S464" s="22">
        <f t="shared" si="31"/>
        <v>0</v>
      </c>
    </row>
    <row r="465" spans="1:19" x14ac:dyDescent="0.3">
      <c r="A465" s="22" t="s">
        <v>1564</v>
      </c>
      <c r="B465" t="s">
        <v>1565</v>
      </c>
      <c r="C465" t="s">
        <v>1566</v>
      </c>
      <c r="D465" t="s">
        <v>181</v>
      </c>
      <c r="E465" s="22" t="s">
        <v>182</v>
      </c>
      <c r="F465" t="s">
        <v>569</v>
      </c>
      <c r="G465" s="22" t="s">
        <v>24</v>
      </c>
      <c r="H465" s="22">
        <f t="shared" si="28"/>
        <v>2</v>
      </c>
      <c r="I465" t="s">
        <v>39</v>
      </c>
      <c r="J465" s="22" t="s">
        <v>97</v>
      </c>
      <c r="K465" t="s">
        <v>98</v>
      </c>
      <c r="L465" t="s">
        <v>99</v>
      </c>
      <c r="M465" s="28">
        <v>46184</v>
      </c>
      <c r="N465" s="22">
        <v>25</v>
      </c>
      <c r="O465" s="22" t="str">
        <f>IF(COUNTIF(Exits_Attrition!$A$2:$A$65,A465)&gt;0,"Exited","Active")</f>
        <v>Active</v>
      </c>
      <c r="P465" s="28" t="str">
        <f>IFERROR(INDEX(Exits_Attrition!$H$2:$H$65,MATCH(A465,Exits_Attrition!$A$2:$A$65,0)),"")</f>
        <v/>
      </c>
      <c r="Q465" s="24">
        <f t="shared" si="29"/>
        <v>0.3</v>
      </c>
      <c r="R465" s="22" t="str">
        <f t="shared" si="30"/>
        <v>Under 1 Yr</v>
      </c>
      <c r="S465" s="22">
        <f t="shared" si="31"/>
        <v>0</v>
      </c>
    </row>
    <row r="466" spans="1:19" x14ac:dyDescent="0.3">
      <c r="A466" s="22" t="s">
        <v>1567</v>
      </c>
      <c r="B466" t="s">
        <v>1568</v>
      </c>
      <c r="C466" t="s">
        <v>1569</v>
      </c>
      <c r="D466" t="s">
        <v>285</v>
      </c>
      <c r="E466" s="22" t="s">
        <v>286</v>
      </c>
      <c r="F466" t="s">
        <v>894</v>
      </c>
      <c r="G466" s="22" t="s">
        <v>22</v>
      </c>
      <c r="H466" s="22">
        <f t="shared" si="28"/>
        <v>1</v>
      </c>
      <c r="I466" t="s">
        <v>43</v>
      </c>
      <c r="J466" s="22" t="s">
        <v>106</v>
      </c>
      <c r="K466" t="s">
        <v>213</v>
      </c>
      <c r="L466" t="s">
        <v>99</v>
      </c>
      <c r="M466" s="28">
        <v>46185</v>
      </c>
      <c r="N466" s="22">
        <v>29</v>
      </c>
      <c r="O466" s="22" t="str">
        <f>IF(COUNTIF(Exits_Attrition!$A$2:$A$65,A466)&gt;0,"Exited","Active")</f>
        <v>Active</v>
      </c>
      <c r="P466" s="28" t="str">
        <f>IFERROR(INDEX(Exits_Attrition!$H$2:$H$65,MATCH(A466,Exits_Attrition!$A$2:$A$65,0)),"")</f>
        <v/>
      </c>
      <c r="Q466" s="24">
        <f t="shared" si="29"/>
        <v>0.3</v>
      </c>
      <c r="R466" s="22" t="str">
        <f t="shared" si="30"/>
        <v>Under 1 Yr</v>
      </c>
      <c r="S466" s="22">
        <f t="shared" si="31"/>
        <v>0</v>
      </c>
    </row>
    <row r="467" spans="1:19" x14ac:dyDescent="0.3">
      <c r="A467" s="22" t="s">
        <v>1570</v>
      </c>
      <c r="B467" t="s">
        <v>1571</v>
      </c>
      <c r="C467" t="s">
        <v>1572</v>
      </c>
      <c r="D467" t="s">
        <v>204</v>
      </c>
      <c r="E467" s="22" t="s">
        <v>203</v>
      </c>
      <c r="F467" t="s">
        <v>749</v>
      </c>
      <c r="G467" s="22" t="s">
        <v>24</v>
      </c>
      <c r="H467" s="22">
        <f t="shared" si="28"/>
        <v>2</v>
      </c>
      <c r="I467" t="s">
        <v>45</v>
      </c>
      <c r="J467" s="22" t="s">
        <v>97</v>
      </c>
      <c r="K467" t="s">
        <v>98</v>
      </c>
      <c r="L467" t="s">
        <v>99</v>
      </c>
      <c r="M467" s="28">
        <v>46187</v>
      </c>
      <c r="N467" s="22">
        <v>27</v>
      </c>
      <c r="O467" s="22" t="str">
        <f>IF(COUNTIF(Exits_Attrition!$A$2:$A$65,A467)&gt;0,"Exited","Active")</f>
        <v>Active</v>
      </c>
      <c r="P467" s="28" t="str">
        <f>IFERROR(INDEX(Exits_Attrition!$H$2:$H$65,MATCH(A467,Exits_Attrition!$A$2:$A$65,0)),"")</f>
        <v/>
      </c>
      <c r="Q467" s="24">
        <f t="shared" si="29"/>
        <v>0.3</v>
      </c>
      <c r="R467" s="22" t="str">
        <f t="shared" si="30"/>
        <v>Under 1 Yr</v>
      </c>
      <c r="S467" s="22">
        <f t="shared" si="31"/>
        <v>0</v>
      </c>
    </row>
    <row r="468" spans="1:19" x14ac:dyDescent="0.3">
      <c r="A468" s="22" t="s">
        <v>1573</v>
      </c>
      <c r="B468" t="s">
        <v>1574</v>
      </c>
      <c r="C468" t="s">
        <v>1575</v>
      </c>
      <c r="D468" t="s">
        <v>257</v>
      </c>
      <c r="E468" s="22" t="s">
        <v>258</v>
      </c>
      <c r="F468" t="s">
        <v>671</v>
      </c>
      <c r="G468" s="22" t="s">
        <v>24</v>
      </c>
      <c r="H468" s="22">
        <f t="shared" si="28"/>
        <v>2</v>
      </c>
      <c r="I468" t="s">
        <v>46</v>
      </c>
      <c r="J468" s="22" t="s">
        <v>106</v>
      </c>
      <c r="K468" t="s">
        <v>98</v>
      </c>
      <c r="L468" t="s">
        <v>99</v>
      </c>
      <c r="M468" s="28">
        <v>46187</v>
      </c>
      <c r="N468" s="22">
        <v>27</v>
      </c>
      <c r="O468" s="22" t="str">
        <f>IF(COUNTIF(Exits_Attrition!$A$2:$A$65,A468)&gt;0,"Exited","Active")</f>
        <v>Active</v>
      </c>
      <c r="P468" s="28" t="str">
        <f>IFERROR(INDEX(Exits_Attrition!$H$2:$H$65,MATCH(A468,Exits_Attrition!$A$2:$A$65,0)),"")</f>
        <v/>
      </c>
      <c r="Q468" s="24">
        <f t="shared" si="29"/>
        <v>0.3</v>
      </c>
      <c r="R468" s="22" t="str">
        <f t="shared" si="30"/>
        <v>Under 1 Yr</v>
      </c>
      <c r="S468" s="22">
        <f t="shared" si="31"/>
        <v>0</v>
      </c>
    </row>
    <row r="469" spans="1:19" x14ac:dyDescent="0.3">
      <c r="A469" s="22" t="s">
        <v>1576</v>
      </c>
      <c r="B469" t="s">
        <v>1577</v>
      </c>
      <c r="C469" t="s">
        <v>1578</v>
      </c>
      <c r="D469" t="s">
        <v>194</v>
      </c>
      <c r="E469" s="22" t="s">
        <v>195</v>
      </c>
      <c r="F469" t="s">
        <v>1062</v>
      </c>
      <c r="G469" s="22" t="s">
        <v>22</v>
      </c>
      <c r="H469" s="22">
        <f t="shared" si="28"/>
        <v>1</v>
      </c>
      <c r="I469" t="s">
        <v>42</v>
      </c>
      <c r="J469" s="22" t="s">
        <v>97</v>
      </c>
      <c r="K469" t="s">
        <v>124</v>
      </c>
      <c r="L469" t="s">
        <v>220</v>
      </c>
      <c r="M469" s="28">
        <v>46191</v>
      </c>
      <c r="N469" s="22">
        <v>26</v>
      </c>
      <c r="O469" s="22" t="str">
        <f>IF(COUNTIF(Exits_Attrition!$A$2:$A$65,A469)&gt;0,"Exited","Active")</f>
        <v>Active</v>
      </c>
      <c r="P469" s="28" t="str">
        <f>IFERROR(INDEX(Exits_Attrition!$H$2:$H$65,MATCH(A469,Exits_Attrition!$A$2:$A$65,0)),"")</f>
        <v/>
      </c>
      <c r="Q469" s="24">
        <f t="shared" si="29"/>
        <v>0.3</v>
      </c>
      <c r="R469" s="22" t="str">
        <f t="shared" si="30"/>
        <v>Under 1 Yr</v>
      </c>
      <c r="S469" s="22">
        <f t="shared" si="31"/>
        <v>0</v>
      </c>
    </row>
    <row r="470" spans="1:19" x14ac:dyDescent="0.3">
      <c r="A470" s="22" t="s">
        <v>1579</v>
      </c>
      <c r="B470" t="s">
        <v>1580</v>
      </c>
      <c r="C470" t="s">
        <v>1581</v>
      </c>
      <c r="D470" t="s">
        <v>513</v>
      </c>
      <c r="E470" s="22" t="s">
        <v>514</v>
      </c>
      <c r="F470" t="s">
        <v>545</v>
      </c>
      <c r="G470" s="22" t="s">
        <v>24</v>
      </c>
      <c r="H470" s="22">
        <f t="shared" si="28"/>
        <v>2</v>
      </c>
      <c r="I470" t="s">
        <v>43</v>
      </c>
      <c r="J470" s="22" t="s">
        <v>106</v>
      </c>
      <c r="K470" t="s">
        <v>98</v>
      </c>
      <c r="L470" t="s">
        <v>99</v>
      </c>
      <c r="M470" s="28">
        <v>46195</v>
      </c>
      <c r="N470" s="22">
        <v>30</v>
      </c>
      <c r="O470" s="22" t="str">
        <f>IF(COUNTIF(Exits_Attrition!$A$2:$A$65,A470)&gt;0,"Exited","Active")</f>
        <v>Active</v>
      </c>
      <c r="P470" s="28" t="str">
        <f>IFERROR(INDEX(Exits_Attrition!$H$2:$H$65,MATCH(A470,Exits_Attrition!$A$2:$A$65,0)),"")</f>
        <v/>
      </c>
      <c r="Q470" s="24">
        <f t="shared" si="29"/>
        <v>0.3</v>
      </c>
      <c r="R470" s="22" t="str">
        <f t="shared" si="30"/>
        <v>Under 1 Yr</v>
      </c>
      <c r="S470" s="22">
        <f t="shared" si="31"/>
        <v>0</v>
      </c>
    </row>
    <row r="471" spans="1:19" x14ac:dyDescent="0.3">
      <c r="A471" s="22" t="s">
        <v>1582</v>
      </c>
      <c r="B471" t="s">
        <v>1583</v>
      </c>
      <c r="C471" t="s">
        <v>1584</v>
      </c>
      <c r="D471" t="s">
        <v>684</v>
      </c>
      <c r="E471" s="22" t="s">
        <v>685</v>
      </c>
      <c r="F471" t="s">
        <v>541</v>
      </c>
      <c r="G471" s="22" t="s">
        <v>26</v>
      </c>
      <c r="H471" s="22">
        <f t="shared" si="28"/>
        <v>3</v>
      </c>
      <c r="I471" t="s">
        <v>48</v>
      </c>
      <c r="J471" s="22" t="s">
        <v>106</v>
      </c>
      <c r="K471" t="s">
        <v>190</v>
      </c>
      <c r="L471" t="s">
        <v>99</v>
      </c>
      <c r="M471" s="28">
        <v>46203</v>
      </c>
      <c r="N471" s="22">
        <v>29</v>
      </c>
      <c r="O471" s="22" t="str">
        <f>IF(COUNTIF(Exits_Attrition!$A$2:$A$65,A471)&gt;0,"Exited","Active")</f>
        <v>Active</v>
      </c>
      <c r="P471" s="28" t="str">
        <f>IFERROR(INDEX(Exits_Attrition!$H$2:$H$65,MATCH(A471,Exits_Attrition!$A$2:$A$65,0)),"")</f>
        <v/>
      </c>
      <c r="Q471" s="24">
        <f t="shared" si="29"/>
        <v>0.3</v>
      </c>
      <c r="R471" s="22" t="str">
        <f t="shared" si="30"/>
        <v>Under 1 Yr</v>
      </c>
      <c r="S471" s="22">
        <f t="shared" si="31"/>
        <v>0</v>
      </c>
    </row>
    <row r="472" spans="1:19" x14ac:dyDescent="0.3">
      <c r="A472" s="22" t="s">
        <v>1585</v>
      </c>
      <c r="B472" t="s">
        <v>1586</v>
      </c>
      <c r="C472" t="s">
        <v>1587</v>
      </c>
      <c r="D472" t="s">
        <v>313</v>
      </c>
      <c r="E472" s="22" t="s">
        <v>314</v>
      </c>
      <c r="F472" t="s">
        <v>911</v>
      </c>
      <c r="G472" s="22" t="s">
        <v>22</v>
      </c>
      <c r="H472" s="22">
        <f t="shared" si="28"/>
        <v>1</v>
      </c>
      <c r="I472" t="s">
        <v>39</v>
      </c>
      <c r="J472" s="22" t="s">
        <v>97</v>
      </c>
      <c r="K472" t="s">
        <v>190</v>
      </c>
      <c r="L472" t="s">
        <v>99</v>
      </c>
      <c r="M472" s="28">
        <v>46207</v>
      </c>
      <c r="N472" s="22">
        <v>23</v>
      </c>
      <c r="O472" s="22" t="str">
        <f>IF(COUNTIF(Exits_Attrition!$A$2:$A$65,A472)&gt;0,"Exited","Active")</f>
        <v>Active</v>
      </c>
      <c r="P472" s="28" t="str">
        <f>IFERROR(INDEX(Exits_Attrition!$H$2:$H$65,MATCH(A472,Exits_Attrition!$A$2:$A$65,0)),"")</f>
        <v/>
      </c>
      <c r="Q472" s="24">
        <f t="shared" si="29"/>
        <v>0.2</v>
      </c>
      <c r="R472" s="22" t="str">
        <f t="shared" si="30"/>
        <v>Under 1 Yr</v>
      </c>
      <c r="S472" s="22">
        <f t="shared" si="31"/>
        <v>0</v>
      </c>
    </row>
    <row r="473" spans="1:19" x14ac:dyDescent="0.3">
      <c r="A473" s="22" t="s">
        <v>1588</v>
      </c>
      <c r="B473" t="s">
        <v>1589</v>
      </c>
      <c r="C473" t="s">
        <v>1590</v>
      </c>
      <c r="D473" t="s">
        <v>313</v>
      </c>
      <c r="E473" s="22" t="s">
        <v>314</v>
      </c>
      <c r="F473" t="s">
        <v>569</v>
      </c>
      <c r="G473" s="22" t="s">
        <v>24</v>
      </c>
      <c r="H473" s="22">
        <f t="shared" si="28"/>
        <v>2</v>
      </c>
      <c r="I473" t="s">
        <v>39</v>
      </c>
      <c r="J473" s="22" t="s">
        <v>97</v>
      </c>
      <c r="K473" t="s">
        <v>98</v>
      </c>
      <c r="L473" t="s">
        <v>99</v>
      </c>
      <c r="M473" s="28">
        <v>46208</v>
      </c>
      <c r="N473" s="22">
        <v>26</v>
      </c>
      <c r="O473" s="22" t="str">
        <f>IF(COUNTIF(Exits_Attrition!$A$2:$A$65,A473)&gt;0,"Exited","Active")</f>
        <v>Active</v>
      </c>
      <c r="P473" s="28" t="str">
        <f>IFERROR(INDEX(Exits_Attrition!$H$2:$H$65,MATCH(A473,Exits_Attrition!$A$2:$A$65,0)),"")</f>
        <v/>
      </c>
      <c r="Q473" s="24">
        <f t="shared" si="29"/>
        <v>0.2</v>
      </c>
      <c r="R473" s="22" t="str">
        <f t="shared" si="30"/>
        <v>Under 1 Yr</v>
      </c>
      <c r="S473" s="22">
        <f t="shared" si="31"/>
        <v>0</v>
      </c>
    </row>
    <row r="474" spans="1:19" x14ac:dyDescent="0.3">
      <c r="A474" s="22" t="s">
        <v>1591</v>
      </c>
      <c r="B474" t="s">
        <v>1592</v>
      </c>
      <c r="C474" t="s">
        <v>1593</v>
      </c>
      <c r="D474" t="s">
        <v>153</v>
      </c>
      <c r="E474" s="22" t="s">
        <v>154</v>
      </c>
      <c r="F474" t="s">
        <v>902</v>
      </c>
      <c r="G474" s="22" t="s">
        <v>22</v>
      </c>
      <c r="H474" s="22">
        <f t="shared" si="28"/>
        <v>1</v>
      </c>
      <c r="I474" t="s">
        <v>40</v>
      </c>
      <c r="J474" s="22" t="s">
        <v>97</v>
      </c>
      <c r="K474" t="s">
        <v>98</v>
      </c>
      <c r="L474" t="s">
        <v>99</v>
      </c>
      <c r="M474" s="28">
        <v>46211</v>
      </c>
      <c r="N474" s="22">
        <v>24</v>
      </c>
      <c r="O474" s="22" t="str">
        <f>IF(COUNTIF(Exits_Attrition!$A$2:$A$65,A474)&gt;0,"Exited","Active")</f>
        <v>Active</v>
      </c>
      <c r="P474" s="28" t="str">
        <f>IFERROR(INDEX(Exits_Attrition!$H$2:$H$65,MATCH(A474,Exits_Attrition!$A$2:$A$65,0)),"")</f>
        <v/>
      </c>
      <c r="Q474" s="24">
        <f t="shared" si="29"/>
        <v>0.2</v>
      </c>
      <c r="R474" s="22" t="str">
        <f t="shared" si="30"/>
        <v>Under 1 Yr</v>
      </c>
      <c r="S474" s="22">
        <f t="shared" si="31"/>
        <v>0</v>
      </c>
    </row>
    <row r="475" spans="1:19" x14ac:dyDescent="0.3">
      <c r="A475" s="22" t="s">
        <v>1594</v>
      </c>
      <c r="B475" t="s">
        <v>1595</v>
      </c>
      <c r="C475" t="s">
        <v>1596</v>
      </c>
      <c r="D475" t="s">
        <v>415</v>
      </c>
      <c r="E475" s="22" t="s">
        <v>416</v>
      </c>
      <c r="F475" t="s">
        <v>902</v>
      </c>
      <c r="G475" s="22" t="s">
        <v>22</v>
      </c>
      <c r="H475" s="22">
        <f t="shared" si="28"/>
        <v>1</v>
      </c>
      <c r="I475" t="s">
        <v>40</v>
      </c>
      <c r="J475" s="22" t="s">
        <v>97</v>
      </c>
      <c r="K475" t="s">
        <v>156</v>
      </c>
      <c r="L475" t="s">
        <v>99</v>
      </c>
      <c r="M475" s="28">
        <v>46212</v>
      </c>
      <c r="N475" s="22">
        <v>27</v>
      </c>
      <c r="O475" s="22" t="str">
        <f>IF(COUNTIF(Exits_Attrition!$A$2:$A$65,A475)&gt;0,"Exited","Active")</f>
        <v>Active</v>
      </c>
      <c r="P475" s="28" t="str">
        <f>IFERROR(INDEX(Exits_Attrition!$H$2:$H$65,MATCH(A475,Exits_Attrition!$A$2:$A$65,0)),"")</f>
        <v/>
      </c>
      <c r="Q475" s="24">
        <f t="shared" si="29"/>
        <v>0.2</v>
      </c>
      <c r="R475" s="22" t="str">
        <f t="shared" si="30"/>
        <v>Under 1 Yr</v>
      </c>
      <c r="S475" s="22">
        <f t="shared" si="31"/>
        <v>0</v>
      </c>
    </row>
    <row r="476" spans="1:19" x14ac:dyDescent="0.3">
      <c r="A476" s="22" t="s">
        <v>1597</v>
      </c>
      <c r="B476" t="s">
        <v>1598</v>
      </c>
      <c r="C476" t="s">
        <v>1599</v>
      </c>
      <c r="D476" t="s">
        <v>194</v>
      </c>
      <c r="E476" s="22" t="s">
        <v>195</v>
      </c>
      <c r="F476" t="s">
        <v>1062</v>
      </c>
      <c r="G476" s="22" t="s">
        <v>22</v>
      </c>
      <c r="H476" s="22">
        <f t="shared" si="28"/>
        <v>1</v>
      </c>
      <c r="I476" t="s">
        <v>42</v>
      </c>
      <c r="J476" s="22" t="s">
        <v>97</v>
      </c>
      <c r="K476" t="s">
        <v>124</v>
      </c>
      <c r="L476" t="s">
        <v>220</v>
      </c>
      <c r="M476" s="28">
        <v>46214</v>
      </c>
      <c r="N476" s="22">
        <v>27</v>
      </c>
      <c r="O476" s="22" t="str">
        <f>IF(COUNTIF(Exits_Attrition!$A$2:$A$65,A476)&gt;0,"Exited","Active")</f>
        <v>Active</v>
      </c>
      <c r="P476" s="28" t="str">
        <f>IFERROR(INDEX(Exits_Attrition!$H$2:$H$65,MATCH(A476,Exits_Attrition!$A$2:$A$65,0)),"")</f>
        <v/>
      </c>
      <c r="Q476" s="24">
        <f t="shared" si="29"/>
        <v>0.2</v>
      </c>
      <c r="R476" s="22" t="str">
        <f t="shared" si="30"/>
        <v>Under 1 Yr</v>
      </c>
      <c r="S476" s="22">
        <f t="shared" si="31"/>
        <v>0</v>
      </c>
    </row>
    <row r="477" spans="1:19" x14ac:dyDescent="0.3">
      <c r="A477" s="22" t="s">
        <v>1600</v>
      </c>
      <c r="B477" t="s">
        <v>1601</v>
      </c>
      <c r="C477" t="s">
        <v>1602</v>
      </c>
      <c r="D477" t="s">
        <v>483</v>
      </c>
      <c r="E477" s="22" t="s">
        <v>484</v>
      </c>
      <c r="F477" t="s">
        <v>545</v>
      </c>
      <c r="G477" s="22" t="s">
        <v>24</v>
      </c>
      <c r="H477" s="22">
        <f t="shared" si="28"/>
        <v>2</v>
      </c>
      <c r="I477" t="s">
        <v>43</v>
      </c>
      <c r="J477" s="22" t="s">
        <v>97</v>
      </c>
      <c r="K477" t="s">
        <v>98</v>
      </c>
      <c r="L477" t="s">
        <v>99</v>
      </c>
      <c r="M477" s="28">
        <v>46221</v>
      </c>
      <c r="N477" s="22">
        <v>26</v>
      </c>
      <c r="O477" s="22" t="str">
        <f>IF(COUNTIF(Exits_Attrition!$A$2:$A$65,A477)&gt;0,"Exited","Active")</f>
        <v>Active</v>
      </c>
      <c r="P477" s="28" t="str">
        <f>IFERROR(INDEX(Exits_Attrition!$H$2:$H$65,MATCH(A477,Exits_Attrition!$A$2:$A$65,0)),"")</f>
        <v/>
      </c>
      <c r="Q477" s="24">
        <f t="shared" si="29"/>
        <v>0.2</v>
      </c>
      <c r="R477" s="22" t="str">
        <f t="shared" si="30"/>
        <v>Under 1 Yr</v>
      </c>
      <c r="S477" s="22">
        <f t="shared" si="31"/>
        <v>0</v>
      </c>
    </row>
    <row r="478" spans="1:19" x14ac:dyDescent="0.3">
      <c r="A478" s="22" t="s">
        <v>1603</v>
      </c>
      <c r="B478" t="s">
        <v>1604</v>
      </c>
      <c r="C478" t="s">
        <v>1605</v>
      </c>
      <c r="D478" t="s">
        <v>128</v>
      </c>
      <c r="E478" s="22" t="s">
        <v>129</v>
      </c>
      <c r="F478" t="s">
        <v>625</v>
      </c>
      <c r="G478" s="22" t="s">
        <v>24</v>
      </c>
      <c r="H478" s="22">
        <f t="shared" si="28"/>
        <v>2</v>
      </c>
      <c r="I478" t="s">
        <v>44</v>
      </c>
      <c r="J478" s="22" t="s">
        <v>106</v>
      </c>
      <c r="K478" t="s">
        <v>124</v>
      </c>
      <c r="L478" t="s">
        <v>220</v>
      </c>
      <c r="M478" s="28">
        <v>46221</v>
      </c>
      <c r="N478" s="22">
        <v>27</v>
      </c>
      <c r="O478" s="22" t="str">
        <f>IF(COUNTIF(Exits_Attrition!$A$2:$A$65,A478)&gt;0,"Exited","Active")</f>
        <v>Active</v>
      </c>
      <c r="P478" s="28" t="str">
        <f>IFERROR(INDEX(Exits_Attrition!$H$2:$H$65,MATCH(A478,Exits_Attrition!$A$2:$A$65,0)),"")</f>
        <v/>
      </c>
      <c r="Q478" s="24">
        <f t="shared" si="29"/>
        <v>0.2</v>
      </c>
      <c r="R478" s="22" t="str">
        <f t="shared" si="30"/>
        <v>Under 1 Yr</v>
      </c>
      <c r="S478" s="22">
        <f t="shared" si="31"/>
        <v>0</v>
      </c>
    </row>
    <row r="479" spans="1:19" x14ac:dyDescent="0.3">
      <c r="A479" s="22" t="s">
        <v>1606</v>
      </c>
      <c r="B479" t="s">
        <v>1607</v>
      </c>
      <c r="C479" t="s">
        <v>1608</v>
      </c>
      <c r="D479" t="s">
        <v>224</v>
      </c>
      <c r="E479" s="22" t="s">
        <v>225</v>
      </c>
      <c r="F479" t="s">
        <v>659</v>
      </c>
      <c r="G479" s="22" t="s">
        <v>24</v>
      </c>
      <c r="H479" s="22">
        <f t="shared" si="28"/>
        <v>2</v>
      </c>
      <c r="I479" t="s">
        <v>47</v>
      </c>
      <c r="J479" s="22" t="s">
        <v>106</v>
      </c>
      <c r="K479" t="s">
        <v>98</v>
      </c>
      <c r="L479" t="s">
        <v>99</v>
      </c>
      <c r="M479" s="28">
        <v>46221</v>
      </c>
      <c r="N479" s="22">
        <v>27</v>
      </c>
      <c r="O479" s="22" t="str">
        <f>IF(COUNTIF(Exits_Attrition!$A$2:$A$65,A479)&gt;0,"Exited","Active")</f>
        <v>Active</v>
      </c>
      <c r="P479" s="28" t="str">
        <f>IFERROR(INDEX(Exits_Attrition!$H$2:$H$65,MATCH(A479,Exits_Attrition!$A$2:$A$65,0)),"")</f>
        <v/>
      </c>
      <c r="Q479" s="24">
        <f t="shared" si="29"/>
        <v>0.2</v>
      </c>
      <c r="R479" s="22" t="str">
        <f t="shared" si="30"/>
        <v>Under 1 Yr</v>
      </c>
      <c r="S479" s="22">
        <f t="shared" si="31"/>
        <v>0</v>
      </c>
    </row>
    <row r="480" spans="1:19" x14ac:dyDescent="0.3">
      <c r="A480" s="22" t="s">
        <v>1609</v>
      </c>
      <c r="B480" t="s">
        <v>1610</v>
      </c>
      <c r="C480" t="s">
        <v>1611</v>
      </c>
      <c r="D480" t="s">
        <v>313</v>
      </c>
      <c r="E480" s="22" t="s">
        <v>314</v>
      </c>
      <c r="F480" t="s">
        <v>569</v>
      </c>
      <c r="G480" s="22" t="s">
        <v>24</v>
      </c>
      <c r="H480" s="22">
        <f t="shared" si="28"/>
        <v>2</v>
      </c>
      <c r="I480" t="s">
        <v>39</v>
      </c>
      <c r="J480" s="22" t="s">
        <v>106</v>
      </c>
      <c r="K480" t="s">
        <v>190</v>
      </c>
      <c r="L480" t="s">
        <v>99</v>
      </c>
      <c r="M480" s="28">
        <v>46222</v>
      </c>
      <c r="N480" s="22">
        <v>30</v>
      </c>
      <c r="O480" s="22" t="str">
        <f>IF(COUNTIF(Exits_Attrition!$A$2:$A$65,A480)&gt;0,"Exited","Active")</f>
        <v>Active</v>
      </c>
      <c r="P480" s="28" t="str">
        <f>IFERROR(INDEX(Exits_Attrition!$H$2:$H$65,MATCH(A480,Exits_Attrition!$A$2:$A$65,0)),"")</f>
        <v/>
      </c>
      <c r="Q480" s="24">
        <f t="shared" si="29"/>
        <v>0.2</v>
      </c>
      <c r="R480" s="22" t="str">
        <f t="shared" si="30"/>
        <v>Under 1 Yr</v>
      </c>
      <c r="S480" s="22">
        <f t="shared" si="31"/>
        <v>0</v>
      </c>
    </row>
    <row r="481" spans="1:19" x14ac:dyDescent="0.3">
      <c r="A481" s="22" t="s">
        <v>1612</v>
      </c>
      <c r="B481" t="s">
        <v>1613</v>
      </c>
      <c r="C481" t="s">
        <v>1614</v>
      </c>
      <c r="D481" t="s">
        <v>101</v>
      </c>
      <c r="E481" s="22" t="s">
        <v>100</v>
      </c>
      <c r="F481" t="s">
        <v>569</v>
      </c>
      <c r="G481" s="22" t="s">
        <v>24</v>
      </c>
      <c r="H481" s="22">
        <f t="shared" si="28"/>
        <v>2</v>
      </c>
      <c r="I481" t="s">
        <v>39</v>
      </c>
      <c r="J481" s="22" t="s">
        <v>106</v>
      </c>
      <c r="K481" t="s">
        <v>98</v>
      </c>
      <c r="L481" t="s">
        <v>220</v>
      </c>
      <c r="M481" s="28">
        <v>46226</v>
      </c>
      <c r="N481" s="22">
        <v>31</v>
      </c>
      <c r="O481" s="22" t="str">
        <f>IF(COUNTIF(Exits_Attrition!$A$2:$A$65,A481)&gt;0,"Exited","Active")</f>
        <v>Active</v>
      </c>
      <c r="P481" s="28" t="str">
        <f>IFERROR(INDEX(Exits_Attrition!$H$2:$H$65,MATCH(A481,Exits_Attrition!$A$2:$A$65,0)),"")</f>
        <v/>
      </c>
      <c r="Q481" s="24">
        <f t="shared" si="29"/>
        <v>0.2</v>
      </c>
      <c r="R481" s="22" t="str">
        <f t="shared" si="30"/>
        <v>Under 1 Yr</v>
      </c>
      <c r="S481" s="22">
        <f t="shared" si="31"/>
        <v>0</v>
      </c>
    </row>
    <row r="482" spans="1:19" x14ac:dyDescent="0.3">
      <c r="A482" s="22" t="s">
        <v>1615</v>
      </c>
      <c r="B482" t="s">
        <v>1616</v>
      </c>
      <c r="C482" t="s">
        <v>1617</v>
      </c>
      <c r="D482" t="s">
        <v>251</v>
      </c>
      <c r="E482" s="22" t="s">
        <v>252</v>
      </c>
      <c r="F482" t="s">
        <v>253</v>
      </c>
      <c r="G482" s="22" t="s">
        <v>26</v>
      </c>
      <c r="H482" s="22">
        <f t="shared" si="28"/>
        <v>3</v>
      </c>
      <c r="I482" t="s">
        <v>41</v>
      </c>
      <c r="J482" s="22" t="s">
        <v>97</v>
      </c>
      <c r="K482" t="s">
        <v>124</v>
      </c>
      <c r="L482" t="s">
        <v>99</v>
      </c>
      <c r="M482" s="28">
        <v>46230</v>
      </c>
      <c r="N482" s="22">
        <v>29</v>
      </c>
      <c r="O482" s="22" t="str">
        <f>IF(COUNTIF(Exits_Attrition!$A$2:$A$65,A482)&gt;0,"Exited","Active")</f>
        <v>Active</v>
      </c>
      <c r="P482" s="28" t="str">
        <f>IFERROR(INDEX(Exits_Attrition!$H$2:$H$65,MATCH(A482,Exits_Attrition!$A$2:$A$65,0)),"")</f>
        <v/>
      </c>
      <c r="Q482" s="24">
        <f t="shared" si="29"/>
        <v>0.2</v>
      </c>
      <c r="R482" s="22" t="str">
        <f t="shared" si="30"/>
        <v>Under 1 Yr</v>
      </c>
      <c r="S482" s="22">
        <f t="shared" si="31"/>
        <v>0</v>
      </c>
    </row>
    <row r="483" spans="1:19" x14ac:dyDescent="0.3">
      <c r="A483" s="22" t="s">
        <v>1618</v>
      </c>
      <c r="B483" t="s">
        <v>1619</v>
      </c>
      <c r="C483" t="s">
        <v>1620</v>
      </c>
      <c r="D483" t="s">
        <v>158</v>
      </c>
      <c r="E483" s="22" t="s">
        <v>157</v>
      </c>
      <c r="F483" t="s">
        <v>1130</v>
      </c>
      <c r="G483" s="22" t="s">
        <v>22</v>
      </c>
      <c r="H483" s="22">
        <f t="shared" si="28"/>
        <v>1</v>
      </c>
      <c r="I483" t="s">
        <v>48</v>
      </c>
      <c r="J483" s="22" t="s">
        <v>97</v>
      </c>
      <c r="K483" t="s">
        <v>107</v>
      </c>
      <c r="L483" t="s">
        <v>99</v>
      </c>
      <c r="M483" s="28">
        <v>46232</v>
      </c>
      <c r="N483" s="22">
        <v>24</v>
      </c>
      <c r="O483" s="22" t="str">
        <f>IF(COUNTIF(Exits_Attrition!$A$2:$A$65,A483)&gt;0,"Exited","Active")</f>
        <v>Active</v>
      </c>
      <c r="P483" s="28" t="str">
        <f>IFERROR(INDEX(Exits_Attrition!$H$2:$H$65,MATCH(A483,Exits_Attrition!$A$2:$A$65,0)),"")</f>
        <v/>
      </c>
      <c r="Q483" s="24">
        <f t="shared" si="29"/>
        <v>0.2</v>
      </c>
      <c r="R483" s="22" t="str">
        <f t="shared" si="30"/>
        <v>Under 1 Yr</v>
      </c>
      <c r="S483" s="22">
        <f t="shared" si="31"/>
        <v>0</v>
      </c>
    </row>
    <row r="484" spans="1:19" x14ac:dyDescent="0.3">
      <c r="A484" s="22" t="s">
        <v>1621</v>
      </c>
      <c r="B484" t="s">
        <v>1622</v>
      </c>
      <c r="C484" t="s">
        <v>1623</v>
      </c>
      <c r="D484" t="s">
        <v>119</v>
      </c>
      <c r="E484" s="22" t="s">
        <v>118</v>
      </c>
      <c r="F484" t="s">
        <v>902</v>
      </c>
      <c r="G484" s="22" t="s">
        <v>22</v>
      </c>
      <c r="H484" s="22">
        <f t="shared" si="28"/>
        <v>1</v>
      </c>
      <c r="I484" t="s">
        <v>40</v>
      </c>
      <c r="J484" s="22" t="s">
        <v>106</v>
      </c>
      <c r="K484" t="s">
        <v>156</v>
      </c>
      <c r="L484" t="s">
        <v>99</v>
      </c>
      <c r="M484" s="28">
        <v>46234</v>
      </c>
      <c r="N484" s="22">
        <v>25</v>
      </c>
      <c r="O484" s="22" t="str">
        <f>IF(COUNTIF(Exits_Attrition!$A$2:$A$65,A484)&gt;0,"Exited","Active")</f>
        <v>Active</v>
      </c>
      <c r="P484" s="28" t="str">
        <f>IFERROR(INDEX(Exits_Attrition!$H$2:$H$65,MATCH(A484,Exits_Attrition!$A$2:$A$65,0)),"")</f>
        <v/>
      </c>
      <c r="Q484" s="24">
        <f t="shared" si="29"/>
        <v>0.2</v>
      </c>
      <c r="R484" s="22" t="str">
        <f t="shared" si="30"/>
        <v>Under 1 Yr</v>
      </c>
      <c r="S484" s="22">
        <f t="shared" si="31"/>
        <v>0</v>
      </c>
    </row>
    <row r="485" spans="1:19" x14ac:dyDescent="0.3">
      <c r="A485" s="22" t="s">
        <v>1624</v>
      </c>
      <c r="B485" t="s">
        <v>1625</v>
      </c>
      <c r="C485" t="s">
        <v>1626</v>
      </c>
      <c r="D485" t="s">
        <v>166</v>
      </c>
      <c r="E485" s="22" t="s">
        <v>167</v>
      </c>
      <c r="F485" t="s">
        <v>226</v>
      </c>
      <c r="G485" s="22" t="s">
        <v>26</v>
      </c>
      <c r="H485" s="22">
        <f t="shared" si="28"/>
        <v>3</v>
      </c>
      <c r="I485" t="s">
        <v>47</v>
      </c>
      <c r="J485" s="22" t="s">
        <v>106</v>
      </c>
      <c r="K485" t="s">
        <v>98</v>
      </c>
      <c r="L485" t="s">
        <v>99</v>
      </c>
      <c r="M485" s="28">
        <v>46236</v>
      </c>
      <c r="N485" s="22">
        <v>29</v>
      </c>
      <c r="O485" s="22" t="str">
        <f>IF(COUNTIF(Exits_Attrition!$A$2:$A$65,A485)&gt;0,"Exited","Active")</f>
        <v>Active</v>
      </c>
      <c r="P485" s="28" t="str">
        <f>IFERROR(INDEX(Exits_Attrition!$H$2:$H$65,MATCH(A485,Exits_Attrition!$A$2:$A$65,0)),"")</f>
        <v/>
      </c>
      <c r="Q485" s="24">
        <f t="shared" si="29"/>
        <v>0.2</v>
      </c>
      <c r="R485" s="22" t="str">
        <f t="shared" si="30"/>
        <v>Under 1 Yr</v>
      </c>
      <c r="S485" s="22">
        <f t="shared" si="31"/>
        <v>0</v>
      </c>
    </row>
    <row r="486" spans="1:19" x14ac:dyDescent="0.3">
      <c r="A486" s="22" t="s">
        <v>1627</v>
      </c>
      <c r="B486" t="s">
        <v>1628</v>
      </c>
      <c r="C486" t="s">
        <v>1629</v>
      </c>
      <c r="D486" t="s">
        <v>173</v>
      </c>
      <c r="E486" s="22" t="s">
        <v>172</v>
      </c>
      <c r="F486" t="s">
        <v>890</v>
      </c>
      <c r="G486" s="22" t="s">
        <v>22</v>
      </c>
      <c r="H486" s="22">
        <f t="shared" si="28"/>
        <v>1</v>
      </c>
      <c r="I486" t="s">
        <v>41</v>
      </c>
      <c r="J486" s="22" t="s">
        <v>106</v>
      </c>
      <c r="K486" t="s">
        <v>156</v>
      </c>
      <c r="L486" t="s">
        <v>220</v>
      </c>
      <c r="M486" s="28">
        <v>46239</v>
      </c>
      <c r="N486" s="22">
        <v>26</v>
      </c>
      <c r="O486" s="22" t="str">
        <f>IF(COUNTIF(Exits_Attrition!$A$2:$A$65,A486)&gt;0,"Exited","Active")</f>
        <v>Active</v>
      </c>
      <c r="P486" s="28" t="str">
        <f>IFERROR(INDEX(Exits_Attrition!$H$2:$H$65,MATCH(A486,Exits_Attrition!$A$2:$A$65,0)),"")</f>
        <v/>
      </c>
      <c r="Q486" s="24">
        <f t="shared" si="29"/>
        <v>0.2</v>
      </c>
      <c r="R486" s="22" t="str">
        <f t="shared" si="30"/>
        <v>Under 1 Yr</v>
      </c>
      <c r="S486" s="22">
        <f t="shared" si="31"/>
        <v>0</v>
      </c>
    </row>
    <row r="487" spans="1:19" x14ac:dyDescent="0.3">
      <c r="A487" s="22" t="s">
        <v>1630</v>
      </c>
      <c r="B487" t="s">
        <v>1631</v>
      </c>
      <c r="C487" t="s">
        <v>1632</v>
      </c>
      <c r="D487" t="s">
        <v>483</v>
      </c>
      <c r="E487" s="22" t="s">
        <v>484</v>
      </c>
      <c r="F487" t="s">
        <v>287</v>
      </c>
      <c r="G487" s="22" t="s">
        <v>28</v>
      </c>
      <c r="H487" s="22">
        <f t="shared" si="28"/>
        <v>4</v>
      </c>
      <c r="I487" t="s">
        <v>43</v>
      </c>
      <c r="J487" s="22" t="s">
        <v>97</v>
      </c>
      <c r="K487" t="s">
        <v>98</v>
      </c>
      <c r="L487" t="s">
        <v>99</v>
      </c>
      <c r="M487" s="28">
        <v>46239</v>
      </c>
      <c r="N487" s="22">
        <v>34</v>
      </c>
      <c r="O487" s="22" t="str">
        <f>IF(COUNTIF(Exits_Attrition!$A$2:$A$65,A487)&gt;0,"Exited","Active")</f>
        <v>Active</v>
      </c>
      <c r="P487" s="28" t="str">
        <f>IFERROR(INDEX(Exits_Attrition!$H$2:$H$65,MATCH(A487,Exits_Attrition!$A$2:$A$65,0)),"")</f>
        <v/>
      </c>
      <c r="Q487" s="24">
        <f t="shared" si="29"/>
        <v>0.2</v>
      </c>
      <c r="R487" s="22" t="str">
        <f t="shared" si="30"/>
        <v>Under 1 Yr</v>
      </c>
      <c r="S487" s="22">
        <f t="shared" si="31"/>
        <v>0</v>
      </c>
    </row>
    <row r="488" spans="1:19" x14ac:dyDescent="0.3">
      <c r="A488" s="22" t="s">
        <v>1633</v>
      </c>
      <c r="B488" t="s">
        <v>1634</v>
      </c>
      <c r="C488" t="s">
        <v>1635</v>
      </c>
      <c r="D488" t="s">
        <v>181</v>
      </c>
      <c r="E488" s="22" t="s">
        <v>182</v>
      </c>
      <c r="F488" t="s">
        <v>911</v>
      </c>
      <c r="G488" s="22" t="s">
        <v>22</v>
      </c>
      <c r="H488" s="22">
        <f t="shared" si="28"/>
        <v>1</v>
      </c>
      <c r="I488" t="s">
        <v>39</v>
      </c>
      <c r="J488" s="22" t="s">
        <v>106</v>
      </c>
      <c r="K488" t="s">
        <v>98</v>
      </c>
      <c r="L488" t="s">
        <v>99</v>
      </c>
      <c r="M488" s="28">
        <v>46242</v>
      </c>
      <c r="N488" s="22">
        <v>23</v>
      </c>
      <c r="O488" s="22" t="str">
        <f>IF(COUNTIF(Exits_Attrition!$A$2:$A$65,A488)&gt;0,"Exited","Active")</f>
        <v>Active</v>
      </c>
      <c r="P488" s="28" t="str">
        <f>IFERROR(INDEX(Exits_Attrition!$H$2:$H$65,MATCH(A488,Exits_Attrition!$A$2:$A$65,0)),"")</f>
        <v/>
      </c>
      <c r="Q488" s="24">
        <f t="shared" si="29"/>
        <v>0.1</v>
      </c>
      <c r="R488" s="22" t="str">
        <f t="shared" si="30"/>
        <v>Under 1 Yr</v>
      </c>
      <c r="S488" s="22">
        <f t="shared" si="31"/>
        <v>0</v>
      </c>
    </row>
    <row r="489" spans="1:19" x14ac:dyDescent="0.3">
      <c r="A489" s="22" t="s">
        <v>1636</v>
      </c>
      <c r="B489" t="s">
        <v>1637</v>
      </c>
      <c r="C489" t="s">
        <v>1638</v>
      </c>
      <c r="D489" t="s">
        <v>251</v>
      </c>
      <c r="E489" s="22" t="s">
        <v>252</v>
      </c>
      <c r="F489" t="s">
        <v>202</v>
      </c>
      <c r="G489" s="22" t="s">
        <v>28</v>
      </c>
      <c r="H489" s="22">
        <f t="shared" si="28"/>
        <v>4</v>
      </c>
      <c r="I489" t="s">
        <v>41</v>
      </c>
      <c r="J489" s="22" t="s">
        <v>106</v>
      </c>
      <c r="K489" t="s">
        <v>156</v>
      </c>
      <c r="L489" t="s">
        <v>99</v>
      </c>
      <c r="M489" s="28">
        <v>46246</v>
      </c>
      <c r="N489" s="22">
        <v>29</v>
      </c>
      <c r="O489" s="22" t="str">
        <f>IF(COUNTIF(Exits_Attrition!$A$2:$A$65,A489)&gt;0,"Exited","Active")</f>
        <v>Active</v>
      </c>
      <c r="P489" s="28" t="str">
        <f>IFERROR(INDEX(Exits_Attrition!$H$2:$H$65,MATCH(A489,Exits_Attrition!$A$2:$A$65,0)),"")</f>
        <v/>
      </c>
      <c r="Q489" s="24">
        <f t="shared" si="29"/>
        <v>0.1</v>
      </c>
      <c r="R489" s="22" t="str">
        <f t="shared" si="30"/>
        <v>Under 1 Yr</v>
      </c>
      <c r="S489" s="22">
        <f t="shared" si="31"/>
        <v>0</v>
      </c>
    </row>
    <row r="490" spans="1:19" x14ac:dyDescent="0.3">
      <c r="A490" s="22" t="s">
        <v>1639</v>
      </c>
      <c r="B490" t="s">
        <v>1640</v>
      </c>
      <c r="C490" t="s">
        <v>1641</v>
      </c>
      <c r="D490" t="s">
        <v>501</v>
      </c>
      <c r="E490" s="22" t="s">
        <v>502</v>
      </c>
      <c r="F490" t="s">
        <v>943</v>
      </c>
      <c r="G490" s="22" t="s">
        <v>22</v>
      </c>
      <c r="H490" s="22">
        <f t="shared" si="28"/>
        <v>1</v>
      </c>
      <c r="I490" t="s">
        <v>46</v>
      </c>
      <c r="J490" s="22" t="s">
        <v>106</v>
      </c>
      <c r="K490" t="s">
        <v>190</v>
      </c>
      <c r="L490" t="s">
        <v>99</v>
      </c>
      <c r="M490" s="28">
        <v>46248</v>
      </c>
      <c r="N490" s="22">
        <v>24</v>
      </c>
      <c r="O490" s="22" t="str">
        <f>IF(COUNTIF(Exits_Attrition!$A$2:$A$65,A490)&gt;0,"Exited","Active")</f>
        <v>Active</v>
      </c>
      <c r="P490" s="28" t="str">
        <f>IFERROR(INDEX(Exits_Attrition!$H$2:$H$65,MATCH(A490,Exits_Attrition!$A$2:$A$65,0)),"")</f>
        <v/>
      </c>
      <c r="Q490" s="24">
        <f t="shared" si="29"/>
        <v>0.1</v>
      </c>
      <c r="R490" s="22" t="str">
        <f t="shared" si="30"/>
        <v>Under 1 Yr</v>
      </c>
      <c r="S490" s="22">
        <f t="shared" si="31"/>
        <v>0</v>
      </c>
    </row>
    <row r="491" spans="1:19" x14ac:dyDescent="0.3">
      <c r="A491" s="22" t="s">
        <v>1642</v>
      </c>
      <c r="B491" t="s">
        <v>1643</v>
      </c>
      <c r="C491" t="s">
        <v>1644</v>
      </c>
      <c r="D491" t="s">
        <v>459</v>
      </c>
      <c r="E491" s="22" t="s">
        <v>458</v>
      </c>
      <c r="F491" t="s">
        <v>238</v>
      </c>
      <c r="G491" s="22" t="s">
        <v>26</v>
      </c>
      <c r="H491" s="22">
        <f t="shared" si="28"/>
        <v>3</v>
      </c>
      <c r="I491" t="s">
        <v>42</v>
      </c>
      <c r="J491" s="22" t="s">
        <v>97</v>
      </c>
      <c r="K491" t="s">
        <v>124</v>
      </c>
      <c r="L491" t="s">
        <v>99</v>
      </c>
      <c r="M491" s="28">
        <v>46252</v>
      </c>
      <c r="N491" s="22">
        <v>28</v>
      </c>
      <c r="O491" s="22" t="str">
        <f>IF(COUNTIF(Exits_Attrition!$A$2:$A$65,A491)&gt;0,"Exited","Active")</f>
        <v>Active</v>
      </c>
      <c r="P491" s="28" t="str">
        <f>IFERROR(INDEX(Exits_Attrition!$H$2:$H$65,MATCH(A491,Exits_Attrition!$A$2:$A$65,0)),"")</f>
        <v/>
      </c>
      <c r="Q491" s="24">
        <f t="shared" si="29"/>
        <v>0.1</v>
      </c>
      <c r="R491" s="22" t="str">
        <f t="shared" si="30"/>
        <v>Under 1 Yr</v>
      </c>
      <c r="S491" s="22">
        <f t="shared" si="31"/>
        <v>0</v>
      </c>
    </row>
    <row r="492" spans="1:19" x14ac:dyDescent="0.3">
      <c r="A492" s="22" t="s">
        <v>1645</v>
      </c>
      <c r="B492" t="s">
        <v>1646</v>
      </c>
      <c r="C492" t="s">
        <v>1647</v>
      </c>
      <c r="D492" t="s">
        <v>200</v>
      </c>
      <c r="E492" s="22" t="s">
        <v>201</v>
      </c>
      <c r="F492" t="s">
        <v>560</v>
      </c>
      <c r="G492" s="22" t="s">
        <v>24</v>
      </c>
      <c r="H492" s="22">
        <f t="shared" si="28"/>
        <v>2</v>
      </c>
      <c r="I492" t="s">
        <v>41</v>
      </c>
      <c r="J492" s="22" t="s">
        <v>97</v>
      </c>
      <c r="K492" t="s">
        <v>156</v>
      </c>
      <c r="L492" t="s">
        <v>99</v>
      </c>
      <c r="M492" s="28">
        <v>46254</v>
      </c>
      <c r="N492" s="22">
        <v>27</v>
      </c>
      <c r="O492" s="22" t="str">
        <f>IF(COUNTIF(Exits_Attrition!$A$2:$A$65,A492)&gt;0,"Exited","Active")</f>
        <v>Active</v>
      </c>
      <c r="P492" s="28" t="str">
        <f>IFERROR(INDEX(Exits_Attrition!$H$2:$H$65,MATCH(A492,Exits_Attrition!$A$2:$A$65,0)),"")</f>
        <v/>
      </c>
      <c r="Q492" s="24">
        <f t="shared" si="29"/>
        <v>0.1</v>
      </c>
      <c r="R492" s="22" t="str">
        <f t="shared" si="30"/>
        <v>Under 1 Yr</v>
      </c>
      <c r="S492" s="22">
        <f t="shared" si="31"/>
        <v>0</v>
      </c>
    </row>
    <row r="493" spans="1:19" x14ac:dyDescent="0.3">
      <c r="A493" s="22" t="s">
        <v>1648</v>
      </c>
      <c r="B493" t="s">
        <v>1649</v>
      </c>
      <c r="C493" t="s">
        <v>1650</v>
      </c>
      <c r="D493" t="s">
        <v>378</v>
      </c>
      <c r="E493" s="22" t="s">
        <v>379</v>
      </c>
      <c r="F493" t="s">
        <v>902</v>
      </c>
      <c r="G493" s="22" t="s">
        <v>22</v>
      </c>
      <c r="H493" s="22">
        <f t="shared" si="28"/>
        <v>1</v>
      </c>
      <c r="I493" t="s">
        <v>40</v>
      </c>
      <c r="J493" s="22" t="s">
        <v>106</v>
      </c>
      <c r="K493" t="s">
        <v>190</v>
      </c>
      <c r="L493" t="s">
        <v>99</v>
      </c>
      <c r="M493" s="28">
        <v>46255</v>
      </c>
      <c r="N493" s="22">
        <v>28</v>
      </c>
      <c r="O493" s="22" t="str">
        <f>IF(COUNTIF(Exits_Attrition!$A$2:$A$65,A493)&gt;0,"Exited","Active")</f>
        <v>Active</v>
      </c>
      <c r="P493" s="28" t="str">
        <f>IFERROR(INDEX(Exits_Attrition!$H$2:$H$65,MATCH(A493,Exits_Attrition!$A$2:$A$65,0)),"")</f>
        <v/>
      </c>
      <c r="Q493" s="24">
        <f t="shared" si="29"/>
        <v>0.1</v>
      </c>
      <c r="R493" s="22" t="str">
        <f t="shared" si="30"/>
        <v>Under 1 Yr</v>
      </c>
      <c r="S493" s="22">
        <f t="shared" si="31"/>
        <v>0</v>
      </c>
    </row>
    <row r="494" spans="1:19" x14ac:dyDescent="0.3">
      <c r="A494" s="22" t="s">
        <v>1651</v>
      </c>
      <c r="B494" t="s">
        <v>1652</v>
      </c>
      <c r="C494" t="s">
        <v>1653</v>
      </c>
      <c r="D494" t="s">
        <v>483</v>
      </c>
      <c r="E494" s="22" t="s">
        <v>484</v>
      </c>
      <c r="F494" t="s">
        <v>545</v>
      </c>
      <c r="G494" s="22" t="s">
        <v>24</v>
      </c>
      <c r="H494" s="22">
        <f t="shared" si="28"/>
        <v>2</v>
      </c>
      <c r="I494" t="s">
        <v>43</v>
      </c>
      <c r="J494" s="22" t="s">
        <v>97</v>
      </c>
      <c r="K494" t="s">
        <v>98</v>
      </c>
      <c r="L494" t="s">
        <v>99</v>
      </c>
      <c r="M494" s="28">
        <v>46256</v>
      </c>
      <c r="N494" s="22">
        <v>26</v>
      </c>
      <c r="O494" s="22" t="str">
        <f>IF(COUNTIF(Exits_Attrition!$A$2:$A$65,A494)&gt;0,"Exited","Active")</f>
        <v>Active</v>
      </c>
      <c r="P494" s="28" t="str">
        <f>IFERROR(INDEX(Exits_Attrition!$H$2:$H$65,MATCH(A494,Exits_Attrition!$A$2:$A$65,0)),"")</f>
        <v/>
      </c>
      <c r="Q494" s="24">
        <f t="shared" si="29"/>
        <v>0.1</v>
      </c>
      <c r="R494" s="22" t="str">
        <f t="shared" si="30"/>
        <v>Under 1 Yr</v>
      </c>
      <c r="S494" s="22">
        <f t="shared" si="31"/>
        <v>0</v>
      </c>
    </row>
    <row r="495" spans="1:19" x14ac:dyDescent="0.3">
      <c r="A495" s="22" t="s">
        <v>1654</v>
      </c>
      <c r="B495" t="s">
        <v>1655</v>
      </c>
      <c r="C495" t="s">
        <v>1656</v>
      </c>
      <c r="D495" t="s">
        <v>349</v>
      </c>
      <c r="E495" s="22" t="s">
        <v>350</v>
      </c>
      <c r="F495" t="s">
        <v>569</v>
      </c>
      <c r="G495" s="22" t="s">
        <v>24</v>
      </c>
      <c r="H495" s="22">
        <f t="shared" si="28"/>
        <v>2</v>
      </c>
      <c r="I495" t="s">
        <v>39</v>
      </c>
      <c r="J495" s="22" t="s">
        <v>97</v>
      </c>
      <c r="K495" t="s">
        <v>98</v>
      </c>
      <c r="L495" t="s">
        <v>99</v>
      </c>
      <c r="M495" s="28">
        <v>46261</v>
      </c>
      <c r="N495" s="22">
        <v>28</v>
      </c>
      <c r="O495" s="22" t="str">
        <f>IF(COUNTIF(Exits_Attrition!$A$2:$A$65,A495)&gt;0,"Exited","Active")</f>
        <v>Active</v>
      </c>
      <c r="P495" s="28" t="str">
        <f>IFERROR(INDEX(Exits_Attrition!$H$2:$H$65,MATCH(A495,Exits_Attrition!$A$2:$A$65,0)),"")</f>
        <v/>
      </c>
      <c r="Q495" s="24">
        <f t="shared" si="29"/>
        <v>0.1</v>
      </c>
      <c r="R495" s="22" t="str">
        <f t="shared" si="30"/>
        <v>Under 1 Yr</v>
      </c>
      <c r="S495" s="22">
        <f t="shared" si="31"/>
        <v>0</v>
      </c>
    </row>
    <row r="496" spans="1:19" x14ac:dyDescent="0.3">
      <c r="A496" s="22" t="s">
        <v>1657</v>
      </c>
      <c r="B496" t="s">
        <v>1658</v>
      </c>
      <c r="C496" t="s">
        <v>1659</v>
      </c>
      <c r="D496" t="s">
        <v>236</v>
      </c>
      <c r="E496" s="22" t="s">
        <v>237</v>
      </c>
      <c r="F496" t="s">
        <v>238</v>
      </c>
      <c r="G496" s="22" t="s">
        <v>26</v>
      </c>
      <c r="H496" s="22">
        <f t="shared" si="28"/>
        <v>3</v>
      </c>
      <c r="I496" t="s">
        <v>42</v>
      </c>
      <c r="J496" s="22" t="s">
        <v>97</v>
      </c>
      <c r="K496" t="s">
        <v>124</v>
      </c>
      <c r="L496" t="s">
        <v>99</v>
      </c>
      <c r="M496" s="28">
        <v>46268</v>
      </c>
      <c r="N496" s="22">
        <v>27</v>
      </c>
      <c r="O496" s="22" t="str">
        <f>IF(COUNTIF(Exits_Attrition!$A$2:$A$65,A496)&gt;0,"Exited","Active")</f>
        <v>Active</v>
      </c>
      <c r="P496" s="28" t="str">
        <f>IFERROR(INDEX(Exits_Attrition!$H$2:$H$65,MATCH(A496,Exits_Attrition!$A$2:$A$65,0)),"")</f>
        <v/>
      </c>
      <c r="Q496" s="24">
        <f t="shared" si="29"/>
        <v>0.1</v>
      </c>
      <c r="R496" s="22" t="str">
        <f t="shared" si="30"/>
        <v>Under 1 Yr</v>
      </c>
      <c r="S496" s="22">
        <f t="shared" si="31"/>
        <v>0</v>
      </c>
    </row>
    <row r="497" spans="1:19" x14ac:dyDescent="0.3">
      <c r="A497" s="22" t="s">
        <v>1660</v>
      </c>
      <c r="B497" t="s">
        <v>1661</v>
      </c>
      <c r="C497" t="s">
        <v>1662</v>
      </c>
      <c r="D497" t="s">
        <v>158</v>
      </c>
      <c r="E497" s="22" t="s">
        <v>157</v>
      </c>
      <c r="F497" t="s">
        <v>541</v>
      </c>
      <c r="G497" s="22" t="s">
        <v>26</v>
      </c>
      <c r="H497" s="22">
        <f t="shared" si="28"/>
        <v>3</v>
      </c>
      <c r="I497" t="s">
        <v>48</v>
      </c>
      <c r="J497" s="22" t="s">
        <v>97</v>
      </c>
      <c r="K497" t="s">
        <v>213</v>
      </c>
      <c r="L497" t="s">
        <v>99</v>
      </c>
      <c r="M497" s="28">
        <v>46277</v>
      </c>
      <c r="N497" s="22">
        <v>32</v>
      </c>
      <c r="O497" s="22" t="str">
        <f>IF(COUNTIF(Exits_Attrition!$A$2:$A$65,A497)&gt;0,"Exited","Active")</f>
        <v>Active</v>
      </c>
      <c r="P497" s="28" t="str">
        <f>IFERROR(INDEX(Exits_Attrition!$H$2:$H$65,MATCH(A497,Exits_Attrition!$A$2:$A$65,0)),"")</f>
        <v/>
      </c>
      <c r="Q497" s="24">
        <f t="shared" si="29"/>
        <v>0</v>
      </c>
      <c r="R497" s="22" t="str">
        <f t="shared" si="30"/>
        <v>Under 1 Yr</v>
      </c>
      <c r="S497" s="22">
        <f t="shared" si="31"/>
        <v>0</v>
      </c>
    </row>
    <row r="498" spans="1:19" x14ac:dyDescent="0.3">
      <c r="A498" s="22" t="s">
        <v>1663</v>
      </c>
      <c r="B498" t="s">
        <v>1664</v>
      </c>
      <c r="C498" t="s">
        <v>1665</v>
      </c>
      <c r="D498" t="s">
        <v>217</v>
      </c>
      <c r="E498" s="22" t="s">
        <v>218</v>
      </c>
      <c r="F498" t="s">
        <v>155</v>
      </c>
      <c r="G498" s="22" t="s">
        <v>28</v>
      </c>
      <c r="H498" s="22">
        <f t="shared" si="28"/>
        <v>4</v>
      </c>
      <c r="I498" t="s">
        <v>40</v>
      </c>
      <c r="J498" s="22" t="s">
        <v>106</v>
      </c>
      <c r="K498" t="s">
        <v>156</v>
      </c>
      <c r="L498" t="s">
        <v>99</v>
      </c>
      <c r="M498" s="28">
        <v>46283</v>
      </c>
      <c r="N498" s="22">
        <v>31</v>
      </c>
      <c r="O498" s="22" t="str">
        <f>IF(COUNTIF(Exits_Attrition!$A$2:$A$65,A498)&gt;0,"Exited","Active")</f>
        <v>Active</v>
      </c>
      <c r="P498" s="28" t="str">
        <f>IFERROR(INDEX(Exits_Attrition!$H$2:$H$65,MATCH(A498,Exits_Attrition!$A$2:$A$65,0)),"")</f>
        <v/>
      </c>
      <c r="Q498" s="24">
        <f t="shared" si="29"/>
        <v>0</v>
      </c>
      <c r="R498" s="22" t="str">
        <f t="shared" si="30"/>
        <v>Under 1 Yr</v>
      </c>
      <c r="S498" s="22">
        <f t="shared" si="31"/>
        <v>0</v>
      </c>
    </row>
    <row r="499" spans="1:19" x14ac:dyDescent="0.3">
      <c r="A499" s="22" t="s">
        <v>484</v>
      </c>
      <c r="B499" t="s">
        <v>483</v>
      </c>
      <c r="C499" t="s">
        <v>1666</v>
      </c>
      <c r="D499" t="s">
        <v>145</v>
      </c>
      <c r="E499" s="22" t="s">
        <v>144</v>
      </c>
      <c r="F499" t="s">
        <v>444</v>
      </c>
      <c r="G499" s="22" t="s">
        <v>30</v>
      </c>
      <c r="H499" s="22">
        <f t="shared" si="28"/>
        <v>5</v>
      </c>
      <c r="I499" t="s">
        <v>43</v>
      </c>
      <c r="J499" s="22" t="s">
        <v>97</v>
      </c>
      <c r="K499" t="s">
        <v>98</v>
      </c>
      <c r="L499" t="s">
        <v>99</v>
      </c>
      <c r="M499" s="28">
        <v>46283</v>
      </c>
      <c r="N499" s="22">
        <v>37</v>
      </c>
      <c r="O499" s="22" t="str">
        <f>IF(COUNTIF(Exits_Attrition!$A$2:$A$65,A499)&gt;0,"Exited","Active")</f>
        <v>Active</v>
      </c>
      <c r="P499" s="28" t="str">
        <f>IFERROR(INDEX(Exits_Attrition!$H$2:$H$65,MATCH(A499,Exits_Attrition!$A$2:$A$65,0)),"")</f>
        <v/>
      </c>
      <c r="Q499" s="24">
        <f t="shared" si="29"/>
        <v>0</v>
      </c>
      <c r="R499" s="22" t="str">
        <f t="shared" si="30"/>
        <v>Under 1 Yr</v>
      </c>
      <c r="S499" s="22">
        <f t="shared" si="31"/>
        <v>11</v>
      </c>
    </row>
    <row r="500" spans="1:19" x14ac:dyDescent="0.3">
      <c r="A500" s="22" t="s">
        <v>1667</v>
      </c>
      <c r="B500" t="s">
        <v>1668</v>
      </c>
      <c r="C500" t="s">
        <v>1669</v>
      </c>
      <c r="D500" t="s">
        <v>116</v>
      </c>
      <c r="E500" s="22" t="s">
        <v>115</v>
      </c>
      <c r="F500" t="s">
        <v>911</v>
      </c>
      <c r="G500" s="22" t="s">
        <v>22</v>
      </c>
      <c r="H500" s="22">
        <f t="shared" si="28"/>
        <v>1</v>
      </c>
      <c r="I500" t="s">
        <v>39</v>
      </c>
      <c r="J500" s="22" t="s">
        <v>97</v>
      </c>
      <c r="K500" t="s">
        <v>98</v>
      </c>
      <c r="L500" t="s">
        <v>99</v>
      </c>
      <c r="M500" s="28">
        <v>46285</v>
      </c>
      <c r="N500" s="22">
        <v>26</v>
      </c>
      <c r="O500" s="22" t="str">
        <f>IF(COUNTIF(Exits_Attrition!$A$2:$A$65,A500)&gt;0,"Exited","Active")</f>
        <v>Active</v>
      </c>
      <c r="P500" s="28" t="str">
        <f>IFERROR(INDEX(Exits_Attrition!$H$2:$H$65,MATCH(A500,Exits_Attrition!$A$2:$A$65,0)),"")</f>
        <v/>
      </c>
      <c r="Q500" s="24">
        <f t="shared" si="29"/>
        <v>0</v>
      </c>
      <c r="R500" s="22" t="str">
        <f t="shared" si="30"/>
        <v>Under 1 Yr</v>
      </c>
      <c r="S500" s="22">
        <f t="shared" si="31"/>
        <v>0</v>
      </c>
    </row>
    <row r="501" spans="1:19" x14ac:dyDescent="0.3">
      <c r="A501" s="22" t="s">
        <v>1670</v>
      </c>
      <c r="B501" t="s">
        <v>1671</v>
      </c>
      <c r="C501" t="s">
        <v>1672</v>
      </c>
      <c r="D501" t="s">
        <v>158</v>
      </c>
      <c r="E501" s="22" t="s">
        <v>157</v>
      </c>
      <c r="F501" t="s">
        <v>686</v>
      </c>
      <c r="G501" s="22" t="s">
        <v>24</v>
      </c>
      <c r="H501" s="22">
        <f t="shared" si="28"/>
        <v>2</v>
      </c>
      <c r="I501" t="s">
        <v>48</v>
      </c>
      <c r="J501" s="22" t="s">
        <v>97</v>
      </c>
      <c r="K501" t="s">
        <v>156</v>
      </c>
      <c r="L501" t="s">
        <v>99</v>
      </c>
      <c r="M501" s="28">
        <v>46289</v>
      </c>
      <c r="N501" s="22">
        <v>30</v>
      </c>
      <c r="O501" s="22" t="str">
        <f>IF(COUNTIF(Exits_Attrition!$A$2:$A$65,A501)&gt;0,"Exited","Active")</f>
        <v>Active</v>
      </c>
      <c r="P501" s="28" t="str">
        <f>IFERROR(INDEX(Exits_Attrition!$H$2:$H$65,MATCH(A501,Exits_Attrition!$A$2:$A$65,0)),"")</f>
        <v/>
      </c>
      <c r="Q501" s="24">
        <f t="shared" si="29"/>
        <v>0</v>
      </c>
      <c r="R501" s="22" t="str">
        <f t="shared" si="30"/>
        <v>Under 1 Yr</v>
      </c>
      <c r="S501" s="22">
        <f t="shared" si="31"/>
        <v>0</v>
      </c>
    </row>
  </sheetData>
  <autoFilter ref="A1:S501" xr:uid="{00000000-0009-0000-0000-000003000000}"/>
  <conditionalFormatting sqref="A2:S501">
    <cfRule type="expression" dxfId="16" priority="1">
      <formula>MOD(ROW(),2)=0</formula>
    </cfRule>
  </conditionalFormatting>
  <conditionalFormatting sqref="O2:O501">
    <cfRule type="cellIs" dxfId="15" priority="2" operator="equal">
      <formula>"Exited"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3C7DC4"/>
  </sheetPr>
  <dimension ref="A1:T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3" width="20.6640625" customWidth="1"/>
    <col min="4" max="4" width="18.6640625" customWidth="1"/>
    <col min="5" max="5" width="7.6640625" customWidth="1"/>
    <col min="6" max="7" width="9.6640625" customWidth="1"/>
    <col min="8" max="8" width="20.6640625" customWidth="1"/>
    <col min="9" max="9" width="9.6640625" customWidth="1"/>
    <col min="10" max="12" width="10.6640625" customWidth="1"/>
    <col min="13" max="13" width="9.6640625" customWidth="1"/>
    <col min="14" max="14" width="11.6640625" customWidth="1"/>
    <col min="15" max="15" width="20.6640625" customWidth="1"/>
    <col min="16" max="16" width="14.6640625" customWidth="1"/>
    <col min="17" max="17" width="10.6640625" customWidth="1"/>
    <col min="18" max="18" width="13.6640625" customWidth="1"/>
    <col min="19" max="19" width="30.6640625" customWidth="1"/>
    <col min="20" max="20" width="10.6640625" customWidth="1"/>
  </cols>
  <sheetData>
    <row r="1" spans="1:20" ht="31.95" customHeight="1" x14ac:dyDescent="0.3">
      <c r="A1" s="6" t="s">
        <v>74</v>
      </c>
      <c r="B1" s="27" t="s">
        <v>75</v>
      </c>
      <c r="C1" s="27" t="s">
        <v>31</v>
      </c>
      <c r="D1" s="27" t="s">
        <v>80</v>
      </c>
      <c r="E1" s="27" t="s">
        <v>17</v>
      </c>
      <c r="F1" s="27" t="s">
        <v>86</v>
      </c>
      <c r="G1" s="6" t="s">
        <v>1673</v>
      </c>
      <c r="H1" s="27" t="s">
        <v>1674</v>
      </c>
      <c r="I1" s="6" t="s">
        <v>1675</v>
      </c>
      <c r="J1" s="27" t="s">
        <v>1676</v>
      </c>
      <c r="K1" s="6" t="s">
        <v>1677</v>
      </c>
      <c r="L1" s="6" t="s">
        <v>1678</v>
      </c>
      <c r="M1" s="6" t="s">
        <v>1679</v>
      </c>
      <c r="N1" s="27" t="s">
        <v>1680</v>
      </c>
      <c r="O1" s="27" t="s">
        <v>1681</v>
      </c>
      <c r="P1" s="6" t="s">
        <v>1682</v>
      </c>
      <c r="Q1" s="27" t="s">
        <v>1683</v>
      </c>
      <c r="R1" s="27" t="s">
        <v>1684</v>
      </c>
      <c r="S1" s="27" t="s">
        <v>1685</v>
      </c>
      <c r="T1" s="6" t="s">
        <v>1686</v>
      </c>
    </row>
    <row r="2" spans="1:20" x14ac:dyDescent="0.3">
      <c r="A2" s="22" t="s">
        <v>91</v>
      </c>
      <c r="B2" s="29" t="str">
        <f t="shared" ref="B2:B65" si="0">INDEX(M_Name,MATCH($A2,M_ID,0))</f>
        <v>Vidya Kulkarni</v>
      </c>
      <c r="C2" s="29" t="str">
        <f t="shared" ref="C2:C65" si="1">INDEX(M_Mgr,MATCH($A2,M_ID,0))</f>
        <v>Arvind Rao (CEO)</v>
      </c>
      <c r="D2" s="29" t="str">
        <f t="shared" ref="D2:D65" si="2">INDEX(M_Dept,MATCH($A2,M_ID,0))</f>
        <v>Human Resources</v>
      </c>
      <c r="E2" s="30" t="str">
        <f t="shared" ref="E2:E65" si="3">INDEX(M_Level,MATCH($A2,M_ID,0))</f>
        <v>L7</v>
      </c>
      <c r="F2" s="30" t="str">
        <f t="shared" ref="F2:F65" si="4">INDEX(M_Status,MATCH($A2,M_ID,0))</f>
        <v>Active</v>
      </c>
      <c r="G2" s="22">
        <v>5</v>
      </c>
      <c r="H2" t="str">
        <f t="shared" ref="H2:H65" si="5">INDEX(RatingLbl,MATCH(G2,RatingNo,0))</f>
        <v>Outstanding</v>
      </c>
      <c r="I2" s="22">
        <v>5</v>
      </c>
      <c r="J2" s="22" t="str">
        <f t="shared" ref="J2:J65" si="6">IF(G2&gt;I2,"Improved",IF(G2&lt;I2,"Declined","Stable"))</f>
        <v>Stable</v>
      </c>
      <c r="K2" s="31">
        <v>1.1000000000000001</v>
      </c>
      <c r="L2" s="24">
        <v>5</v>
      </c>
      <c r="M2" s="22" t="s">
        <v>61</v>
      </c>
      <c r="N2" s="22" t="str">
        <f t="shared" ref="N2:N65" si="7">IF(G2&gt;=4,"High",IF(G2=3,"Mid","Low"))</f>
        <v>High</v>
      </c>
      <c r="O2" t="str">
        <f>INDEX(NineBox,MATCH(N2,{"Low","Mid","High"},0),MATCH(M2,{"Low","Medium","High"},0))</f>
        <v>Star</v>
      </c>
      <c r="P2" s="28">
        <v>46102</v>
      </c>
      <c r="Q2" s="24">
        <f t="shared" ref="Q2:Q65" si="8">(AsOf-P2)/365.25</f>
        <v>0.52840520191649554</v>
      </c>
      <c r="R2" s="22" t="str">
        <f t="shared" ref="R2:R65" si="9">IF(F2="Exited","Not Eligible",IF(AND(G2&gt;=MinRating,Q2&gt;=MinYrs,VALUE(MID(E2,2,1))&lt;=MaxLvl),"Eligible","Not Eligible"))</f>
        <v>Not Eligible</v>
      </c>
      <c r="S2" t="str">
        <f t="shared" ref="S2:S65" si="10">IF(F2="Exited","Employee has exited",IF(R2="Eligible","Meets rating and time-in-level criteria",IF(VALUE(MID(E2,2,1))&gt;MaxLvl,"Already at top level",IF(G2&lt;MinRating,"Rating below "&amp;MinRating,"Under "&amp;MinYrs&amp;" yrs in current level"))))</f>
        <v>Already at top level</v>
      </c>
      <c r="T2" s="22" t="s">
        <v>1687</v>
      </c>
    </row>
    <row r="3" spans="1:20" x14ac:dyDescent="0.3">
      <c r="A3" s="22" t="s">
        <v>100</v>
      </c>
      <c r="B3" s="29" t="str">
        <f t="shared" si="0"/>
        <v>Vikas Singh</v>
      </c>
      <c r="C3" s="29" t="str">
        <f t="shared" si="1"/>
        <v>Yamini Nair</v>
      </c>
      <c r="D3" s="29" t="str">
        <f t="shared" si="2"/>
        <v>Engineering</v>
      </c>
      <c r="E3" s="30" t="str">
        <f t="shared" si="3"/>
        <v>L5</v>
      </c>
      <c r="F3" s="30" t="str">
        <f t="shared" si="4"/>
        <v>Active</v>
      </c>
      <c r="G3" s="22">
        <v>4</v>
      </c>
      <c r="H3" t="str">
        <f t="shared" si="5"/>
        <v>Exceeds Expectations</v>
      </c>
      <c r="I3" s="22">
        <v>4</v>
      </c>
      <c r="J3" s="22" t="str">
        <f t="shared" si="6"/>
        <v>Stable</v>
      </c>
      <c r="K3" s="31">
        <v>0.94</v>
      </c>
      <c r="L3" s="24">
        <v>4.3</v>
      </c>
      <c r="M3" s="22" t="s">
        <v>60</v>
      </c>
      <c r="N3" s="22" t="str">
        <f t="shared" si="7"/>
        <v>High</v>
      </c>
      <c r="O3" t="str">
        <f>INDEX(NineBox,MATCH(N3,{"Low","Mid","High"},0),MATCH(M3,{"Low","Medium","High"},0))</f>
        <v>High Performer</v>
      </c>
      <c r="P3" s="28">
        <v>43401</v>
      </c>
      <c r="Q3" s="24">
        <f t="shared" si="8"/>
        <v>7.9233401779603012</v>
      </c>
      <c r="R3" s="22" t="str">
        <f t="shared" si="9"/>
        <v>Eligible</v>
      </c>
      <c r="S3" t="str">
        <f t="shared" si="10"/>
        <v>Meets rating and time-in-level criteria</v>
      </c>
      <c r="T3" s="22" t="s">
        <v>1687</v>
      </c>
    </row>
    <row r="4" spans="1:20" x14ac:dyDescent="0.3">
      <c r="A4" s="22" t="s">
        <v>108</v>
      </c>
      <c r="B4" s="29" t="str">
        <f t="shared" si="0"/>
        <v>Prakash Das</v>
      </c>
      <c r="C4" s="29" t="str">
        <f t="shared" si="1"/>
        <v>Vidya Kulkarni</v>
      </c>
      <c r="D4" s="29" t="str">
        <f t="shared" si="2"/>
        <v>Human Resources</v>
      </c>
      <c r="E4" s="30" t="str">
        <f t="shared" si="3"/>
        <v>L6</v>
      </c>
      <c r="F4" s="30" t="str">
        <f t="shared" si="4"/>
        <v>Active</v>
      </c>
      <c r="G4" s="22">
        <v>2</v>
      </c>
      <c r="H4" t="str">
        <f t="shared" si="5"/>
        <v>Needs Improvement</v>
      </c>
      <c r="I4" s="22">
        <v>1</v>
      </c>
      <c r="J4" s="22" t="str">
        <f t="shared" si="6"/>
        <v>Improved</v>
      </c>
      <c r="K4" s="31">
        <v>0.64</v>
      </c>
      <c r="L4" s="24">
        <v>1.3</v>
      </c>
      <c r="M4" s="22" t="s">
        <v>60</v>
      </c>
      <c r="N4" s="22" t="str">
        <f t="shared" si="7"/>
        <v>Low</v>
      </c>
      <c r="O4" t="str">
        <f>INDEX(NineBox,MATCH(N4,{"Low","Mid","High"},0),MATCH(M4,{"Low","Medium","High"},0))</f>
        <v>Inconsistent Player</v>
      </c>
      <c r="P4" s="28">
        <v>43538</v>
      </c>
      <c r="Q4" s="24">
        <f t="shared" si="8"/>
        <v>7.5482546201232035</v>
      </c>
      <c r="R4" s="22" t="str">
        <f t="shared" si="9"/>
        <v>Not Eligible</v>
      </c>
      <c r="S4" t="str">
        <f t="shared" si="10"/>
        <v>Rating below 4</v>
      </c>
      <c r="T4" s="22" t="s">
        <v>1687</v>
      </c>
    </row>
    <row r="5" spans="1:20" x14ac:dyDescent="0.3">
      <c r="A5" s="22" t="s">
        <v>112</v>
      </c>
      <c r="B5" s="29" t="str">
        <f t="shared" si="0"/>
        <v>Fatima Choudhary</v>
      </c>
      <c r="C5" s="29" t="str">
        <f t="shared" si="1"/>
        <v>Yamini Nair</v>
      </c>
      <c r="D5" s="29" t="str">
        <f t="shared" si="2"/>
        <v>Engineering</v>
      </c>
      <c r="E5" s="30" t="str">
        <f t="shared" si="3"/>
        <v>L5</v>
      </c>
      <c r="F5" s="30" t="str">
        <f t="shared" si="4"/>
        <v>Active</v>
      </c>
      <c r="G5" s="22">
        <v>2</v>
      </c>
      <c r="H5" t="str">
        <f t="shared" si="5"/>
        <v>Needs Improvement</v>
      </c>
      <c r="I5" s="22">
        <v>2</v>
      </c>
      <c r="J5" s="22" t="str">
        <f t="shared" si="6"/>
        <v>Stable</v>
      </c>
      <c r="K5" s="31">
        <v>0.64</v>
      </c>
      <c r="L5" s="24">
        <v>2.2999999999999998</v>
      </c>
      <c r="M5" s="22" t="s">
        <v>60</v>
      </c>
      <c r="N5" s="22" t="str">
        <f t="shared" si="7"/>
        <v>Low</v>
      </c>
      <c r="O5" t="str">
        <f>INDEX(NineBox,MATCH(N5,{"Low","Mid","High"},0),MATCH(M5,{"Low","Medium","High"},0))</f>
        <v>Inconsistent Player</v>
      </c>
      <c r="P5" s="28">
        <v>43552</v>
      </c>
      <c r="Q5" s="24">
        <f t="shared" si="8"/>
        <v>7.5099247091033536</v>
      </c>
      <c r="R5" s="22" t="str">
        <f t="shared" si="9"/>
        <v>Not Eligible</v>
      </c>
      <c r="S5" t="str">
        <f t="shared" si="10"/>
        <v>Rating below 4</v>
      </c>
      <c r="T5" s="22" t="s">
        <v>1687</v>
      </c>
    </row>
    <row r="6" spans="1:20" x14ac:dyDescent="0.3">
      <c r="A6" s="22" t="s">
        <v>115</v>
      </c>
      <c r="B6" s="29" t="str">
        <f t="shared" si="0"/>
        <v>Gaurav Fernandes</v>
      </c>
      <c r="C6" s="29" t="str">
        <f t="shared" si="1"/>
        <v>Yamini Nair</v>
      </c>
      <c r="D6" s="29" t="str">
        <f t="shared" si="2"/>
        <v>Engineering</v>
      </c>
      <c r="E6" s="30" t="str">
        <f t="shared" si="3"/>
        <v>L5</v>
      </c>
      <c r="F6" s="30" t="str">
        <f t="shared" si="4"/>
        <v>Active</v>
      </c>
      <c r="G6" s="22">
        <v>3</v>
      </c>
      <c r="H6" t="str">
        <f t="shared" si="5"/>
        <v>Meets Expectations</v>
      </c>
      <c r="I6" s="22">
        <v>3</v>
      </c>
      <c r="J6" s="22" t="str">
        <f t="shared" si="6"/>
        <v>Stable</v>
      </c>
      <c r="K6" s="31">
        <v>0.99</v>
      </c>
      <c r="L6" s="24">
        <v>2.9</v>
      </c>
      <c r="M6" s="22" t="s">
        <v>60</v>
      </c>
      <c r="N6" s="22" t="str">
        <f t="shared" si="7"/>
        <v>Mid</v>
      </c>
      <c r="O6" t="str">
        <f>INDEX(NineBox,MATCH(N6,{"Low","Mid","High"},0),MATCH(M6,{"Low","Medium","High"},0))</f>
        <v>Core Player</v>
      </c>
      <c r="P6" s="28">
        <v>44549</v>
      </c>
      <c r="Q6" s="24">
        <f t="shared" si="8"/>
        <v>4.7802874743326491</v>
      </c>
      <c r="R6" s="22" t="str">
        <f t="shared" si="9"/>
        <v>Not Eligible</v>
      </c>
      <c r="S6" t="str">
        <f t="shared" si="10"/>
        <v>Rating below 4</v>
      </c>
      <c r="T6" s="22" t="s">
        <v>1687</v>
      </c>
    </row>
    <row r="7" spans="1:20" x14ac:dyDescent="0.3">
      <c r="A7" s="22" t="s">
        <v>118</v>
      </c>
      <c r="B7" s="29" t="str">
        <f t="shared" si="0"/>
        <v>Yash Shah</v>
      </c>
      <c r="C7" s="29" t="str">
        <f t="shared" si="1"/>
        <v>Pallavi Shah</v>
      </c>
      <c r="D7" s="29" t="str">
        <f t="shared" si="2"/>
        <v>Operations</v>
      </c>
      <c r="E7" s="30" t="str">
        <f t="shared" si="3"/>
        <v>L5</v>
      </c>
      <c r="F7" s="30" t="str">
        <f t="shared" si="4"/>
        <v>Exited</v>
      </c>
      <c r="G7" s="22">
        <v>4</v>
      </c>
      <c r="H7" t="str">
        <f t="shared" si="5"/>
        <v>Exceeds Expectations</v>
      </c>
      <c r="I7" s="22">
        <v>4</v>
      </c>
      <c r="J7" s="22" t="str">
        <f t="shared" si="6"/>
        <v>Stable</v>
      </c>
      <c r="K7" s="31">
        <v>0.95</v>
      </c>
      <c r="L7" s="24">
        <v>4</v>
      </c>
      <c r="M7" s="22" t="s">
        <v>60</v>
      </c>
      <c r="N7" s="22" t="str">
        <f t="shared" si="7"/>
        <v>High</v>
      </c>
      <c r="O7" t="str">
        <f>INDEX(NineBox,MATCH(N7,{"Low","Mid","High"},0),MATCH(M7,{"Low","Medium","High"},0))</f>
        <v>High Performer</v>
      </c>
      <c r="P7" s="28">
        <v>43681</v>
      </c>
      <c r="Q7" s="24">
        <f t="shared" si="8"/>
        <v>7.1567419575633124</v>
      </c>
      <c r="R7" s="22" t="str">
        <f t="shared" si="9"/>
        <v>Not Eligible</v>
      </c>
      <c r="S7" t="str">
        <f t="shared" si="10"/>
        <v>Employee has exited</v>
      </c>
      <c r="T7" s="22" t="s">
        <v>1687</v>
      </c>
    </row>
    <row r="8" spans="1:20" x14ac:dyDescent="0.3">
      <c r="A8" s="22" t="s">
        <v>125</v>
      </c>
      <c r="B8" s="29" t="str">
        <f t="shared" si="0"/>
        <v>Imran Tiwari</v>
      </c>
      <c r="C8" s="29" t="str">
        <f t="shared" si="1"/>
        <v>Nandini Iyer</v>
      </c>
      <c r="D8" s="29" t="str">
        <f t="shared" si="2"/>
        <v>Marketing</v>
      </c>
      <c r="E8" s="30" t="str">
        <f t="shared" si="3"/>
        <v>L4</v>
      </c>
      <c r="F8" s="30" t="str">
        <f t="shared" si="4"/>
        <v>Exited</v>
      </c>
      <c r="G8" s="22">
        <v>1</v>
      </c>
      <c r="H8" t="str">
        <f t="shared" si="5"/>
        <v>Unsatisfactory</v>
      </c>
      <c r="I8" s="22">
        <v>2</v>
      </c>
      <c r="J8" s="22" t="str">
        <f t="shared" si="6"/>
        <v>Declined</v>
      </c>
      <c r="K8" s="31">
        <v>0.45</v>
      </c>
      <c r="L8" s="24">
        <v>1.2</v>
      </c>
      <c r="M8" s="22" t="s">
        <v>59</v>
      </c>
      <c r="N8" s="22" t="str">
        <f t="shared" si="7"/>
        <v>Low</v>
      </c>
      <c r="O8" t="str">
        <f>INDEX(NineBox,MATCH(N8,{"Low","Mid","High"},0),MATCH(M8,{"Low","Medium","High"},0))</f>
        <v>Underperformer</v>
      </c>
      <c r="P8" s="28">
        <v>44527</v>
      </c>
      <c r="Q8" s="24">
        <f t="shared" si="8"/>
        <v>4.8405201916495555</v>
      </c>
      <c r="R8" s="22" t="str">
        <f t="shared" si="9"/>
        <v>Not Eligible</v>
      </c>
      <c r="S8" t="str">
        <f t="shared" si="10"/>
        <v>Employee has exited</v>
      </c>
      <c r="T8" s="22" t="s">
        <v>1687</v>
      </c>
    </row>
    <row r="9" spans="1:20" x14ac:dyDescent="0.3">
      <c r="A9" s="22" t="s">
        <v>131</v>
      </c>
      <c r="B9" s="29" t="str">
        <f t="shared" si="0"/>
        <v>Aishwarya Khan</v>
      </c>
      <c r="C9" s="29" t="str">
        <f t="shared" si="1"/>
        <v>Arvind Rao (CEO)</v>
      </c>
      <c r="D9" s="29" t="str">
        <f t="shared" si="2"/>
        <v>Engineering</v>
      </c>
      <c r="E9" s="30" t="str">
        <f t="shared" si="3"/>
        <v>L7</v>
      </c>
      <c r="F9" s="30" t="str">
        <f t="shared" si="4"/>
        <v>Active</v>
      </c>
      <c r="G9" s="22">
        <v>3</v>
      </c>
      <c r="H9" t="str">
        <f t="shared" si="5"/>
        <v>Meets Expectations</v>
      </c>
      <c r="I9" s="22">
        <v>3</v>
      </c>
      <c r="J9" s="22" t="str">
        <f t="shared" si="6"/>
        <v>Stable</v>
      </c>
      <c r="K9" s="31">
        <v>0.83</v>
      </c>
      <c r="L9" s="24">
        <v>3.4</v>
      </c>
      <c r="M9" s="22" t="s">
        <v>60</v>
      </c>
      <c r="N9" s="22" t="str">
        <f t="shared" si="7"/>
        <v>Mid</v>
      </c>
      <c r="O9" t="str">
        <f>INDEX(NineBox,MATCH(N9,{"Low","Mid","High"},0),MATCH(M9,{"Low","Medium","High"},0))</f>
        <v>Core Player</v>
      </c>
      <c r="P9" s="28">
        <v>43771</v>
      </c>
      <c r="Q9" s="24">
        <f t="shared" si="8"/>
        <v>6.9103353867214237</v>
      </c>
      <c r="R9" s="22" t="str">
        <f t="shared" si="9"/>
        <v>Not Eligible</v>
      </c>
      <c r="S9" t="str">
        <f t="shared" si="10"/>
        <v>Already at top level</v>
      </c>
      <c r="T9" s="22" t="s">
        <v>1687</v>
      </c>
    </row>
    <row r="10" spans="1:20" x14ac:dyDescent="0.3">
      <c r="A10" s="22" t="s">
        <v>135</v>
      </c>
      <c r="B10" s="29" t="str">
        <f t="shared" si="0"/>
        <v>Ankit Khanna</v>
      </c>
      <c r="C10" s="29" t="str">
        <f t="shared" si="1"/>
        <v>Imran Mishra</v>
      </c>
      <c r="D10" s="29" t="str">
        <f t="shared" si="2"/>
        <v>Operations</v>
      </c>
      <c r="E10" s="30" t="str">
        <f t="shared" si="3"/>
        <v>L5</v>
      </c>
      <c r="F10" s="30" t="str">
        <f t="shared" si="4"/>
        <v>Active</v>
      </c>
      <c r="G10" s="22">
        <v>3</v>
      </c>
      <c r="H10" t="str">
        <f t="shared" si="5"/>
        <v>Meets Expectations</v>
      </c>
      <c r="I10" s="22">
        <v>3</v>
      </c>
      <c r="J10" s="22" t="str">
        <f t="shared" si="6"/>
        <v>Stable</v>
      </c>
      <c r="K10" s="31">
        <v>0.84</v>
      </c>
      <c r="L10" s="24">
        <v>3.8</v>
      </c>
      <c r="M10" s="22" t="s">
        <v>60</v>
      </c>
      <c r="N10" s="22" t="str">
        <f t="shared" si="7"/>
        <v>Mid</v>
      </c>
      <c r="O10" t="str">
        <f>INDEX(NineBox,MATCH(N10,{"Low","Mid","High"},0),MATCH(M10,{"Low","Medium","High"},0))</f>
        <v>Core Player</v>
      </c>
      <c r="P10" s="28">
        <v>43783</v>
      </c>
      <c r="Q10" s="24">
        <f t="shared" si="8"/>
        <v>6.8774811772758389</v>
      </c>
      <c r="R10" s="22" t="str">
        <f t="shared" si="9"/>
        <v>Not Eligible</v>
      </c>
      <c r="S10" t="str">
        <f t="shared" si="10"/>
        <v>Rating below 4</v>
      </c>
      <c r="T10" s="22" t="s">
        <v>1687</v>
      </c>
    </row>
    <row r="11" spans="1:20" x14ac:dyDescent="0.3">
      <c r="A11" s="22" t="s">
        <v>140</v>
      </c>
      <c r="B11" s="29" t="str">
        <f t="shared" si="0"/>
        <v>Pooja Das</v>
      </c>
      <c r="C11" s="29" t="str">
        <f t="shared" si="1"/>
        <v>Arvind Rao (CEO)</v>
      </c>
      <c r="D11" s="29" t="str">
        <f t="shared" si="2"/>
        <v>Finance</v>
      </c>
      <c r="E11" s="30" t="str">
        <f t="shared" si="3"/>
        <v>L7</v>
      </c>
      <c r="F11" s="30" t="str">
        <f t="shared" si="4"/>
        <v>Active</v>
      </c>
      <c r="G11" s="22">
        <v>2</v>
      </c>
      <c r="H11" t="str">
        <f t="shared" si="5"/>
        <v>Needs Improvement</v>
      </c>
      <c r="I11" s="22">
        <v>2</v>
      </c>
      <c r="J11" s="22" t="str">
        <f t="shared" si="6"/>
        <v>Stable</v>
      </c>
      <c r="K11" s="31">
        <v>0.81</v>
      </c>
      <c r="L11" s="24">
        <v>1.9</v>
      </c>
      <c r="M11" s="22" t="s">
        <v>60</v>
      </c>
      <c r="N11" s="22" t="str">
        <f t="shared" si="7"/>
        <v>Low</v>
      </c>
      <c r="O11" t="str">
        <f>INDEX(NineBox,MATCH(N11,{"Low","Mid","High"},0),MATCH(M11,{"Low","Medium","High"},0))</f>
        <v>Inconsistent Player</v>
      </c>
      <c r="P11" s="28">
        <v>43793</v>
      </c>
      <c r="Q11" s="24">
        <f t="shared" si="8"/>
        <v>6.8501026694045173</v>
      </c>
      <c r="R11" s="22" t="str">
        <f t="shared" si="9"/>
        <v>Not Eligible</v>
      </c>
      <c r="S11" t="str">
        <f t="shared" si="10"/>
        <v>Already at top level</v>
      </c>
      <c r="T11" s="22" t="s">
        <v>1687</v>
      </c>
    </row>
    <row r="12" spans="1:20" x14ac:dyDescent="0.3">
      <c r="A12" s="22" t="s">
        <v>144</v>
      </c>
      <c r="B12" s="29" t="str">
        <f t="shared" si="0"/>
        <v>Trisha Patel</v>
      </c>
      <c r="C12" s="29" t="str">
        <f t="shared" si="1"/>
        <v>Dev Bose</v>
      </c>
      <c r="D12" s="29" t="str">
        <f t="shared" si="2"/>
        <v>Product</v>
      </c>
      <c r="E12" s="30" t="str">
        <f t="shared" si="3"/>
        <v>L6</v>
      </c>
      <c r="F12" s="30" t="str">
        <f t="shared" si="4"/>
        <v>Active</v>
      </c>
      <c r="G12" s="22">
        <v>3</v>
      </c>
      <c r="H12" t="str">
        <f t="shared" si="5"/>
        <v>Meets Expectations</v>
      </c>
      <c r="I12" s="22">
        <v>3</v>
      </c>
      <c r="J12" s="22" t="str">
        <f t="shared" si="6"/>
        <v>Stable</v>
      </c>
      <c r="K12" s="31">
        <v>0.86</v>
      </c>
      <c r="L12" s="24">
        <v>3.8</v>
      </c>
      <c r="M12" s="22" t="s">
        <v>60</v>
      </c>
      <c r="N12" s="22" t="str">
        <f t="shared" si="7"/>
        <v>Mid</v>
      </c>
      <c r="O12" t="str">
        <f>INDEX(NineBox,MATCH(N12,{"Low","Mid","High"},0),MATCH(M12,{"Low","Medium","High"},0))</f>
        <v>Core Player</v>
      </c>
      <c r="P12" s="28">
        <v>44193</v>
      </c>
      <c r="Q12" s="24">
        <f t="shared" si="8"/>
        <v>5.7549623545516768</v>
      </c>
      <c r="R12" s="22" t="str">
        <f t="shared" si="9"/>
        <v>Not Eligible</v>
      </c>
      <c r="S12" t="str">
        <f t="shared" si="10"/>
        <v>Rating below 4</v>
      </c>
      <c r="T12" s="22" t="s">
        <v>1687</v>
      </c>
    </row>
    <row r="13" spans="1:20" x14ac:dyDescent="0.3">
      <c r="A13" s="22" t="s">
        <v>150</v>
      </c>
      <c r="B13" s="29" t="str">
        <f t="shared" si="0"/>
        <v>Krishna Kumar</v>
      </c>
      <c r="C13" s="29" t="str">
        <f t="shared" si="1"/>
        <v>Amit Kumar</v>
      </c>
      <c r="D13" s="29" t="str">
        <f t="shared" si="2"/>
        <v>Operations</v>
      </c>
      <c r="E13" s="30" t="str">
        <f t="shared" si="3"/>
        <v>L4</v>
      </c>
      <c r="F13" s="30" t="str">
        <f t="shared" si="4"/>
        <v>Active</v>
      </c>
      <c r="G13" s="22">
        <v>3</v>
      </c>
      <c r="H13" t="str">
        <f t="shared" si="5"/>
        <v>Meets Expectations</v>
      </c>
      <c r="I13" s="22">
        <v>4</v>
      </c>
      <c r="J13" s="22" t="str">
        <f t="shared" si="6"/>
        <v>Declined</v>
      </c>
      <c r="K13" s="31">
        <v>0.74</v>
      </c>
      <c r="L13" s="24">
        <v>2.9</v>
      </c>
      <c r="M13" s="22" t="s">
        <v>60</v>
      </c>
      <c r="N13" s="22" t="str">
        <f t="shared" si="7"/>
        <v>Mid</v>
      </c>
      <c r="O13" t="str">
        <f>INDEX(NineBox,MATCH(N13,{"Low","Mid","High"},0),MATCH(M13,{"Low","Medium","High"},0))</f>
        <v>Core Player</v>
      </c>
      <c r="P13" s="28">
        <v>45952</v>
      </c>
      <c r="Q13" s="24">
        <f t="shared" si="8"/>
        <v>0.93908281998631071</v>
      </c>
      <c r="R13" s="22" t="str">
        <f t="shared" si="9"/>
        <v>Not Eligible</v>
      </c>
      <c r="S13" t="str">
        <f t="shared" si="10"/>
        <v>Rating below 4</v>
      </c>
      <c r="T13" s="22" t="s">
        <v>1687</v>
      </c>
    </row>
    <row r="14" spans="1:20" x14ac:dyDescent="0.3">
      <c r="A14" s="22" t="s">
        <v>157</v>
      </c>
      <c r="B14" s="29" t="str">
        <f t="shared" si="0"/>
        <v>Ramya Khanna</v>
      </c>
      <c r="C14" s="29" t="str">
        <f t="shared" si="1"/>
        <v>Lakshmi Subramanian</v>
      </c>
      <c r="D14" s="29" t="str">
        <f t="shared" si="2"/>
        <v>Legal &amp; Compliance</v>
      </c>
      <c r="E14" s="30" t="str">
        <f t="shared" si="3"/>
        <v>L5</v>
      </c>
      <c r="F14" s="30" t="str">
        <f t="shared" si="4"/>
        <v>Active</v>
      </c>
      <c r="G14" s="22">
        <v>3</v>
      </c>
      <c r="H14" t="str">
        <f t="shared" si="5"/>
        <v>Meets Expectations</v>
      </c>
      <c r="I14" s="22">
        <v>3</v>
      </c>
      <c r="J14" s="22" t="str">
        <f t="shared" si="6"/>
        <v>Stable</v>
      </c>
      <c r="K14" s="31">
        <v>0.95</v>
      </c>
      <c r="L14" s="24">
        <v>3.3</v>
      </c>
      <c r="M14" s="22" t="s">
        <v>60</v>
      </c>
      <c r="N14" s="22" t="str">
        <f t="shared" si="7"/>
        <v>Mid</v>
      </c>
      <c r="O14" t="str">
        <f>INDEX(NineBox,MATCH(N14,{"Low","Mid","High"},0),MATCH(M14,{"Low","Medium","High"},0))</f>
        <v>Core Player</v>
      </c>
      <c r="P14" s="28">
        <v>43842</v>
      </c>
      <c r="Q14" s="24">
        <f t="shared" si="8"/>
        <v>6.7159479808350442</v>
      </c>
      <c r="R14" s="22" t="str">
        <f t="shared" si="9"/>
        <v>Not Eligible</v>
      </c>
      <c r="S14" t="str">
        <f t="shared" si="10"/>
        <v>Rating below 4</v>
      </c>
      <c r="T14" s="22" t="s">
        <v>1687</v>
      </c>
    </row>
    <row r="15" spans="1:20" x14ac:dyDescent="0.3">
      <c r="A15" s="22" t="s">
        <v>163</v>
      </c>
      <c r="B15" s="29" t="str">
        <f t="shared" si="0"/>
        <v>Rashmi Jain</v>
      </c>
      <c r="C15" s="29" t="str">
        <f t="shared" si="1"/>
        <v>Akash Das</v>
      </c>
      <c r="D15" s="29" t="str">
        <f t="shared" si="2"/>
        <v>Human Resources</v>
      </c>
      <c r="E15" s="30" t="str">
        <f t="shared" si="3"/>
        <v>L4</v>
      </c>
      <c r="F15" s="30" t="str">
        <f t="shared" si="4"/>
        <v>Active</v>
      </c>
      <c r="G15" s="22">
        <v>3</v>
      </c>
      <c r="H15" t="str">
        <f t="shared" si="5"/>
        <v>Meets Expectations</v>
      </c>
      <c r="I15" s="22">
        <v>3</v>
      </c>
      <c r="J15" s="22" t="str">
        <f t="shared" si="6"/>
        <v>Stable</v>
      </c>
      <c r="K15" s="31">
        <v>0.74</v>
      </c>
      <c r="L15" s="24">
        <v>3.5</v>
      </c>
      <c r="M15" s="22" t="s">
        <v>61</v>
      </c>
      <c r="N15" s="22" t="str">
        <f t="shared" si="7"/>
        <v>Mid</v>
      </c>
      <c r="O15" t="str">
        <f>INDEX(NineBox,MATCH(N15,{"Low","Mid","High"},0),MATCH(M15,{"Low","Medium","High"},0))</f>
        <v>Future Star</v>
      </c>
      <c r="P15" s="28">
        <v>45147</v>
      </c>
      <c r="Q15" s="24">
        <f t="shared" si="8"/>
        <v>3.1430527036276521</v>
      </c>
      <c r="R15" s="22" t="str">
        <f t="shared" si="9"/>
        <v>Not Eligible</v>
      </c>
      <c r="S15" t="str">
        <f t="shared" si="10"/>
        <v>Rating below 4</v>
      </c>
      <c r="T15" s="22" t="s">
        <v>1687</v>
      </c>
    </row>
    <row r="16" spans="1:20" x14ac:dyDescent="0.3">
      <c r="A16" s="22" t="s">
        <v>169</v>
      </c>
      <c r="B16" s="29" t="str">
        <f t="shared" si="0"/>
        <v>Ajay Ansari</v>
      </c>
      <c r="C16" s="29" t="str">
        <f t="shared" si="1"/>
        <v>Ankit Khanna</v>
      </c>
      <c r="D16" s="29" t="str">
        <f t="shared" si="2"/>
        <v>Operations</v>
      </c>
      <c r="E16" s="30" t="str">
        <f t="shared" si="3"/>
        <v>L4</v>
      </c>
      <c r="F16" s="30" t="str">
        <f t="shared" si="4"/>
        <v>Active</v>
      </c>
      <c r="G16" s="22">
        <v>4</v>
      </c>
      <c r="H16" t="str">
        <f t="shared" si="5"/>
        <v>Exceeds Expectations</v>
      </c>
      <c r="I16" s="22">
        <v>5</v>
      </c>
      <c r="J16" s="22" t="str">
        <f t="shared" si="6"/>
        <v>Declined</v>
      </c>
      <c r="K16" s="31">
        <v>0.96</v>
      </c>
      <c r="L16" s="24">
        <v>4.5999999999999996</v>
      </c>
      <c r="M16" s="22" t="s">
        <v>61</v>
      </c>
      <c r="N16" s="22" t="str">
        <f t="shared" si="7"/>
        <v>High</v>
      </c>
      <c r="O16" t="str">
        <f>INDEX(NineBox,MATCH(N16,{"Low","Mid","High"},0),MATCH(M16,{"Low","Medium","High"},0))</f>
        <v>Star</v>
      </c>
      <c r="P16" s="28">
        <v>45903</v>
      </c>
      <c r="Q16" s="24">
        <f t="shared" si="8"/>
        <v>1.0732375085557837</v>
      </c>
      <c r="R16" s="22" t="str">
        <f t="shared" si="9"/>
        <v>Not Eligible</v>
      </c>
      <c r="S16" t="str">
        <f t="shared" si="10"/>
        <v>Under 1.5 yrs in current level</v>
      </c>
      <c r="T16" s="22" t="s">
        <v>1687</v>
      </c>
    </row>
    <row r="17" spans="1:20" x14ac:dyDescent="0.3">
      <c r="A17" s="22" t="s">
        <v>172</v>
      </c>
      <c r="B17" s="29" t="str">
        <f t="shared" si="0"/>
        <v>Isha Verma</v>
      </c>
      <c r="C17" s="29" t="str">
        <f t="shared" si="1"/>
        <v>Akash Dsouza</v>
      </c>
      <c r="D17" s="29" t="str">
        <f t="shared" si="2"/>
        <v>Customer Support</v>
      </c>
      <c r="E17" s="30" t="str">
        <f t="shared" si="3"/>
        <v>L5</v>
      </c>
      <c r="F17" s="30" t="str">
        <f t="shared" si="4"/>
        <v>Active</v>
      </c>
      <c r="G17" s="22">
        <v>3</v>
      </c>
      <c r="H17" t="str">
        <f t="shared" si="5"/>
        <v>Meets Expectations</v>
      </c>
      <c r="I17" s="22">
        <v>4</v>
      </c>
      <c r="J17" s="22" t="str">
        <f t="shared" si="6"/>
        <v>Declined</v>
      </c>
      <c r="K17" s="31">
        <v>0.68</v>
      </c>
      <c r="L17" s="24">
        <v>3.1</v>
      </c>
      <c r="M17" s="22" t="s">
        <v>61</v>
      </c>
      <c r="N17" s="22" t="str">
        <f t="shared" si="7"/>
        <v>Mid</v>
      </c>
      <c r="O17" t="str">
        <f>INDEX(NineBox,MATCH(N17,{"Low","Mid","High"},0),MATCH(M17,{"Low","Medium","High"},0))</f>
        <v>Future Star</v>
      </c>
      <c r="P17" s="28">
        <v>44910</v>
      </c>
      <c r="Q17" s="24">
        <f t="shared" si="8"/>
        <v>3.7919233401779602</v>
      </c>
      <c r="R17" s="22" t="str">
        <f t="shared" si="9"/>
        <v>Not Eligible</v>
      </c>
      <c r="S17" t="str">
        <f t="shared" si="10"/>
        <v>Rating below 4</v>
      </c>
      <c r="T17" s="22" t="s">
        <v>1687</v>
      </c>
    </row>
    <row r="18" spans="1:20" x14ac:dyDescent="0.3">
      <c r="A18" s="22" t="s">
        <v>178</v>
      </c>
      <c r="B18" s="29" t="str">
        <f t="shared" si="0"/>
        <v>Pooja Naidu</v>
      </c>
      <c r="C18" s="29" t="str">
        <f t="shared" si="1"/>
        <v>Harsh Siddiqui</v>
      </c>
      <c r="D18" s="29" t="str">
        <f t="shared" si="2"/>
        <v>Engineering</v>
      </c>
      <c r="E18" s="30" t="str">
        <f t="shared" si="3"/>
        <v>L4</v>
      </c>
      <c r="F18" s="30" t="str">
        <f t="shared" si="4"/>
        <v>Active</v>
      </c>
      <c r="G18" s="22">
        <v>5</v>
      </c>
      <c r="H18" t="str">
        <f t="shared" si="5"/>
        <v>Outstanding</v>
      </c>
      <c r="I18" s="22">
        <v>5</v>
      </c>
      <c r="J18" s="22" t="str">
        <f t="shared" si="6"/>
        <v>Stable</v>
      </c>
      <c r="K18" s="31">
        <v>0.93</v>
      </c>
      <c r="L18" s="24">
        <v>4.0999999999999996</v>
      </c>
      <c r="M18" s="22" t="s">
        <v>61</v>
      </c>
      <c r="N18" s="22" t="str">
        <f t="shared" si="7"/>
        <v>High</v>
      </c>
      <c r="O18" t="str">
        <f>INDEX(NineBox,MATCH(N18,{"Low","Mid","High"},0),MATCH(M18,{"Low","Medium","High"},0))</f>
        <v>Star</v>
      </c>
      <c r="P18" s="28">
        <v>43977</v>
      </c>
      <c r="Q18" s="24">
        <f t="shared" si="8"/>
        <v>6.3463381245722106</v>
      </c>
      <c r="R18" s="22" t="str">
        <f t="shared" si="9"/>
        <v>Eligible</v>
      </c>
      <c r="S18" t="str">
        <f t="shared" si="10"/>
        <v>Meets rating and time-in-level criteria</v>
      </c>
      <c r="T18" s="22" t="s">
        <v>1687</v>
      </c>
    </row>
    <row r="19" spans="1:20" x14ac:dyDescent="0.3">
      <c r="A19" s="22" t="s">
        <v>184</v>
      </c>
      <c r="B19" s="29" t="str">
        <f t="shared" si="0"/>
        <v>Isha Chatterjee</v>
      </c>
      <c r="C19" s="29" t="str">
        <f t="shared" si="1"/>
        <v>Aishwarya Mukherjee</v>
      </c>
      <c r="D19" s="29" t="str">
        <f t="shared" si="2"/>
        <v>Marketing</v>
      </c>
      <c r="E19" s="30" t="str">
        <f t="shared" si="3"/>
        <v>L5</v>
      </c>
      <c r="F19" s="30" t="str">
        <f t="shared" si="4"/>
        <v>Exited</v>
      </c>
      <c r="G19" s="22">
        <v>5</v>
      </c>
      <c r="H19" t="str">
        <f t="shared" si="5"/>
        <v>Outstanding</v>
      </c>
      <c r="I19" s="22">
        <v>4</v>
      </c>
      <c r="J19" s="22" t="str">
        <f t="shared" si="6"/>
        <v>Improved</v>
      </c>
      <c r="K19" s="31">
        <v>1.08</v>
      </c>
      <c r="L19" s="24">
        <v>5</v>
      </c>
      <c r="M19" s="22" t="s">
        <v>60</v>
      </c>
      <c r="N19" s="22" t="str">
        <f t="shared" si="7"/>
        <v>High</v>
      </c>
      <c r="O19" t="str">
        <f>INDEX(NineBox,MATCH(N19,{"Low","Mid","High"},0),MATCH(M19,{"Low","Medium","High"},0))</f>
        <v>High Performer</v>
      </c>
      <c r="P19" s="28">
        <v>44931</v>
      </c>
      <c r="Q19" s="24">
        <f t="shared" si="8"/>
        <v>3.7344284736481863</v>
      </c>
      <c r="R19" s="22" t="str">
        <f t="shared" si="9"/>
        <v>Not Eligible</v>
      </c>
      <c r="S19" t="str">
        <f t="shared" si="10"/>
        <v>Employee has exited</v>
      </c>
      <c r="T19" s="22" t="s">
        <v>1687</v>
      </c>
    </row>
    <row r="20" spans="1:20" x14ac:dyDescent="0.3">
      <c r="A20" s="22" t="s">
        <v>191</v>
      </c>
      <c r="B20" s="29" t="str">
        <f t="shared" si="0"/>
        <v>Fatima Reddy</v>
      </c>
      <c r="C20" s="29" t="str">
        <f t="shared" si="1"/>
        <v>Srinivas Shah</v>
      </c>
      <c r="D20" s="29" t="str">
        <f t="shared" si="2"/>
        <v>Sales</v>
      </c>
      <c r="E20" s="30" t="str">
        <f t="shared" si="3"/>
        <v>L4</v>
      </c>
      <c r="F20" s="30" t="str">
        <f t="shared" si="4"/>
        <v>Active</v>
      </c>
      <c r="G20" s="22">
        <v>3</v>
      </c>
      <c r="H20" t="str">
        <f t="shared" si="5"/>
        <v>Meets Expectations</v>
      </c>
      <c r="I20" s="22">
        <v>3</v>
      </c>
      <c r="J20" s="22" t="str">
        <f t="shared" si="6"/>
        <v>Stable</v>
      </c>
      <c r="K20" s="31">
        <v>0.85</v>
      </c>
      <c r="L20" s="24">
        <v>1.8</v>
      </c>
      <c r="M20" s="22" t="s">
        <v>60</v>
      </c>
      <c r="N20" s="22" t="str">
        <f t="shared" si="7"/>
        <v>Mid</v>
      </c>
      <c r="O20" t="str">
        <f>INDEX(NineBox,MATCH(N20,{"Low","Mid","High"},0),MATCH(M20,{"Low","Medium","High"},0))</f>
        <v>Core Player</v>
      </c>
      <c r="P20" s="28">
        <v>45325</v>
      </c>
      <c r="Q20" s="24">
        <f t="shared" si="8"/>
        <v>2.6557152635181382</v>
      </c>
      <c r="R20" s="22" t="str">
        <f t="shared" si="9"/>
        <v>Not Eligible</v>
      </c>
      <c r="S20" t="str">
        <f t="shared" si="10"/>
        <v>Rating below 4</v>
      </c>
      <c r="T20" s="22" t="s">
        <v>1687</v>
      </c>
    </row>
    <row r="21" spans="1:20" x14ac:dyDescent="0.3">
      <c r="A21" s="22" t="s">
        <v>197</v>
      </c>
      <c r="B21" s="29" t="str">
        <f t="shared" si="0"/>
        <v>Naveen Subramanian</v>
      </c>
      <c r="C21" s="29" t="str">
        <f t="shared" si="1"/>
        <v>Ashish Varghese</v>
      </c>
      <c r="D21" s="29" t="str">
        <f t="shared" si="2"/>
        <v>Customer Support</v>
      </c>
      <c r="E21" s="30" t="str">
        <f t="shared" si="3"/>
        <v>L4</v>
      </c>
      <c r="F21" s="30" t="str">
        <f t="shared" si="4"/>
        <v>Active</v>
      </c>
      <c r="G21" s="22">
        <v>3</v>
      </c>
      <c r="H21" t="str">
        <f t="shared" si="5"/>
        <v>Meets Expectations</v>
      </c>
      <c r="I21" s="22">
        <v>2</v>
      </c>
      <c r="J21" s="22" t="str">
        <f t="shared" si="6"/>
        <v>Improved</v>
      </c>
      <c r="K21" s="31">
        <v>0.85</v>
      </c>
      <c r="L21" s="24">
        <v>3.3</v>
      </c>
      <c r="M21" s="22" t="s">
        <v>60</v>
      </c>
      <c r="N21" s="22" t="str">
        <f t="shared" si="7"/>
        <v>Mid</v>
      </c>
      <c r="O21" t="str">
        <f>INDEX(NineBox,MATCH(N21,{"Low","Mid","High"},0),MATCH(M21,{"Low","Medium","High"},0))</f>
        <v>Core Player</v>
      </c>
      <c r="P21" s="28">
        <v>44043</v>
      </c>
      <c r="Q21" s="24">
        <f t="shared" si="8"/>
        <v>6.1656399726214923</v>
      </c>
      <c r="R21" s="22" t="str">
        <f t="shared" si="9"/>
        <v>Not Eligible</v>
      </c>
      <c r="S21" t="str">
        <f t="shared" si="10"/>
        <v>Rating below 4</v>
      </c>
      <c r="T21" s="22" t="s">
        <v>1687</v>
      </c>
    </row>
    <row r="22" spans="1:20" x14ac:dyDescent="0.3">
      <c r="A22" s="22" t="s">
        <v>203</v>
      </c>
      <c r="B22" s="29" t="str">
        <f t="shared" si="0"/>
        <v>Arun Mukherjee</v>
      </c>
      <c r="C22" s="29" t="str">
        <f t="shared" si="1"/>
        <v>Trisha Jain</v>
      </c>
      <c r="D22" s="29" t="str">
        <f t="shared" si="2"/>
        <v>Data &amp; Analytics</v>
      </c>
      <c r="E22" s="30" t="str">
        <f t="shared" si="3"/>
        <v>L5</v>
      </c>
      <c r="F22" s="30" t="str">
        <f t="shared" si="4"/>
        <v>Active</v>
      </c>
      <c r="G22" s="22">
        <v>3</v>
      </c>
      <c r="H22" t="str">
        <f t="shared" si="5"/>
        <v>Meets Expectations</v>
      </c>
      <c r="I22" s="22">
        <v>3</v>
      </c>
      <c r="J22" s="22" t="str">
        <f t="shared" si="6"/>
        <v>Stable</v>
      </c>
      <c r="K22" s="31">
        <v>0.83</v>
      </c>
      <c r="L22" s="24">
        <v>3.1</v>
      </c>
      <c r="M22" s="22" t="s">
        <v>61</v>
      </c>
      <c r="N22" s="22" t="str">
        <f t="shared" si="7"/>
        <v>Mid</v>
      </c>
      <c r="O22" t="str">
        <f>INDEX(NineBox,MATCH(N22,{"Low","Mid","High"},0),MATCH(M22,{"Low","Medium","High"},0))</f>
        <v>Future Star</v>
      </c>
      <c r="P22" s="28">
        <v>44519</v>
      </c>
      <c r="Q22" s="24">
        <f t="shared" si="8"/>
        <v>4.862422997946612</v>
      </c>
      <c r="R22" s="22" t="str">
        <f t="shared" si="9"/>
        <v>Not Eligible</v>
      </c>
      <c r="S22" t="str">
        <f t="shared" si="10"/>
        <v>Rating below 4</v>
      </c>
      <c r="T22" s="22" t="s">
        <v>1687</v>
      </c>
    </row>
    <row r="23" spans="1:20" x14ac:dyDescent="0.3">
      <c r="A23" s="22" t="s">
        <v>209</v>
      </c>
      <c r="B23" s="29" t="str">
        <f t="shared" si="0"/>
        <v>Arun Joshi</v>
      </c>
      <c r="C23" s="29" t="str">
        <f t="shared" si="1"/>
        <v>Arun Mukherjee</v>
      </c>
      <c r="D23" s="29" t="str">
        <f t="shared" si="2"/>
        <v>Data &amp; Analytics</v>
      </c>
      <c r="E23" s="30" t="str">
        <f t="shared" si="3"/>
        <v>L3</v>
      </c>
      <c r="F23" s="30" t="str">
        <f t="shared" si="4"/>
        <v>Active</v>
      </c>
      <c r="G23" s="22">
        <v>3</v>
      </c>
      <c r="H23" t="str">
        <f t="shared" si="5"/>
        <v>Meets Expectations</v>
      </c>
      <c r="I23" s="22">
        <v>2</v>
      </c>
      <c r="J23" s="22" t="str">
        <f t="shared" si="6"/>
        <v>Improved</v>
      </c>
      <c r="K23" s="31">
        <v>0.9</v>
      </c>
      <c r="L23" s="24">
        <v>3.4</v>
      </c>
      <c r="M23" s="22" t="s">
        <v>59</v>
      </c>
      <c r="N23" s="22" t="str">
        <f t="shared" si="7"/>
        <v>Mid</v>
      </c>
      <c r="O23" t="str">
        <f>INDEX(NineBox,MATCH(N23,{"Low","Mid","High"},0),MATCH(M23,{"Low","Medium","High"},0))</f>
        <v>Effective Contributor</v>
      </c>
      <c r="P23" s="28">
        <v>44112</v>
      </c>
      <c r="Q23" s="24">
        <f t="shared" si="8"/>
        <v>5.976728268309377</v>
      </c>
      <c r="R23" s="22" t="str">
        <f t="shared" si="9"/>
        <v>Not Eligible</v>
      </c>
      <c r="S23" t="str">
        <f t="shared" si="10"/>
        <v>Rating below 4</v>
      </c>
      <c r="T23" s="22" t="s">
        <v>1687</v>
      </c>
    </row>
    <row r="24" spans="1:20" x14ac:dyDescent="0.3">
      <c r="A24" s="22" t="s">
        <v>214</v>
      </c>
      <c r="B24" s="29" t="str">
        <f t="shared" si="0"/>
        <v>Ashish Prabhu</v>
      </c>
      <c r="C24" s="29" t="str">
        <f t="shared" si="1"/>
        <v>Ajay Kumar</v>
      </c>
      <c r="D24" s="29" t="str">
        <f t="shared" si="2"/>
        <v>Operations</v>
      </c>
      <c r="E24" s="30" t="str">
        <f t="shared" si="3"/>
        <v>L3</v>
      </c>
      <c r="F24" s="30" t="str">
        <f t="shared" si="4"/>
        <v>Active</v>
      </c>
      <c r="G24" s="22">
        <v>3</v>
      </c>
      <c r="H24" t="str">
        <f t="shared" si="5"/>
        <v>Meets Expectations</v>
      </c>
      <c r="I24" s="22">
        <v>3</v>
      </c>
      <c r="J24" s="22" t="str">
        <f t="shared" si="6"/>
        <v>Stable</v>
      </c>
      <c r="K24" s="31">
        <v>0.77</v>
      </c>
      <c r="L24" s="24">
        <v>3.1</v>
      </c>
      <c r="M24" s="22" t="s">
        <v>60</v>
      </c>
      <c r="N24" s="22" t="str">
        <f t="shared" si="7"/>
        <v>Mid</v>
      </c>
      <c r="O24" t="str">
        <f>INDEX(NineBox,MATCH(N24,{"Low","Mid","High"},0),MATCH(M24,{"Low","Medium","High"},0))</f>
        <v>Core Player</v>
      </c>
      <c r="P24" s="28">
        <v>44552</v>
      </c>
      <c r="Q24" s="24">
        <f t="shared" si="8"/>
        <v>4.7720739219712529</v>
      </c>
      <c r="R24" s="22" t="str">
        <f t="shared" si="9"/>
        <v>Not Eligible</v>
      </c>
      <c r="S24" t="str">
        <f t="shared" si="10"/>
        <v>Rating below 4</v>
      </c>
      <c r="T24" s="22" t="s">
        <v>1687</v>
      </c>
    </row>
    <row r="25" spans="1:20" x14ac:dyDescent="0.3">
      <c r="A25" s="22" t="s">
        <v>221</v>
      </c>
      <c r="B25" s="29" t="str">
        <f t="shared" si="0"/>
        <v>Priyanka Naidu</v>
      </c>
      <c r="C25" s="29" t="str">
        <f t="shared" si="1"/>
        <v>Ajay Patel</v>
      </c>
      <c r="D25" s="29" t="str">
        <f t="shared" si="2"/>
        <v>Human Resources</v>
      </c>
      <c r="E25" s="30" t="str">
        <f t="shared" si="3"/>
        <v>L3</v>
      </c>
      <c r="F25" s="30" t="str">
        <f t="shared" si="4"/>
        <v>Active</v>
      </c>
      <c r="G25" s="22">
        <v>4</v>
      </c>
      <c r="H25" t="str">
        <f t="shared" si="5"/>
        <v>Exceeds Expectations</v>
      </c>
      <c r="I25" s="22">
        <v>4</v>
      </c>
      <c r="J25" s="22" t="str">
        <f t="shared" si="6"/>
        <v>Stable</v>
      </c>
      <c r="K25" s="31">
        <v>0.99</v>
      </c>
      <c r="L25" s="24">
        <v>3.6</v>
      </c>
      <c r="M25" s="22" t="s">
        <v>61</v>
      </c>
      <c r="N25" s="22" t="str">
        <f t="shared" si="7"/>
        <v>High</v>
      </c>
      <c r="O25" t="str">
        <f>INDEX(NineBox,MATCH(N25,{"Low","Mid","High"},0),MATCH(M25,{"Low","Medium","High"},0))</f>
        <v>Star</v>
      </c>
      <c r="P25" s="28">
        <v>44116</v>
      </c>
      <c r="Q25" s="24">
        <f t="shared" si="8"/>
        <v>5.9657768651608487</v>
      </c>
      <c r="R25" s="22" t="str">
        <f t="shared" si="9"/>
        <v>Eligible</v>
      </c>
      <c r="S25" t="str">
        <f t="shared" si="10"/>
        <v>Meets rating and time-in-level criteria</v>
      </c>
      <c r="T25" s="22" t="s">
        <v>1687</v>
      </c>
    </row>
    <row r="26" spans="1:20" x14ac:dyDescent="0.3">
      <c r="A26" s="22" t="s">
        <v>227</v>
      </c>
      <c r="B26" s="29" t="str">
        <f t="shared" si="0"/>
        <v>Nikhil Agarwal</v>
      </c>
      <c r="C26" s="29" t="str">
        <f t="shared" si="1"/>
        <v>Joseph Varghese</v>
      </c>
      <c r="D26" s="29" t="str">
        <f t="shared" si="2"/>
        <v>Sales</v>
      </c>
      <c r="E26" s="30" t="str">
        <f t="shared" si="3"/>
        <v>L5</v>
      </c>
      <c r="F26" s="30" t="str">
        <f t="shared" si="4"/>
        <v>Active</v>
      </c>
      <c r="G26" s="22">
        <v>2</v>
      </c>
      <c r="H26" t="str">
        <f t="shared" si="5"/>
        <v>Needs Improvement</v>
      </c>
      <c r="I26" s="22">
        <v>3</v>
      </c>
      <c r="J26" s="22" t="str">
        <f t="shared" si="6"/>
        <v>Declined</v>
      </c>
      <c r="K26" s="31">
        <v>0.74</v>
      </c>
      <c r="L26" s="24">
        <v>2.6</v>
      </c>
      <c r="M26" s="22" t="s">
        <v>60</v>
      </c>
      <c r="N26" s="22" t="str">
        <f t="shared" si="7"/>
        <v>Low</v>
      </c>
      <c r="O26" t="str">
        <f>INDEX(NineBox,MATCH(N26,{"Low","Mid","High"},0),MATCH(M26,{"Low","Medium","High"},0))</f>
        <v>Inconsistent Player</v>
      </c>
      <c r="P26" s="28">
        <v>44128</v>
      </c>
      <c r="Q26" s="24">
        <f t="shared" si="8"/>
        <v>5.9329226557152639</v>
      </c>
      <c r="R26" s="22" t="str">
        <f t="shared" si="9"/>
        <v>Not Eligible</v>
      </c>
      <c r="S26" t="str">
        <f t="shared" si="10"/>
        <v>Rating below 4</v>
      </c>
      <c r="T26" s="22" t="s">
        <v>1687</v>
      </c>
    </row>
    <row r="27" spans="1:20" x14ac:dyDescent="0.3">
      <c r="A27" s="22" t="s">
        <v>233</v>
      </c>
      <c r="B27" s="29" t="str">
        <f t="shared" si="0"/>
        <v>Revathi Rao</v>
      </c>
      <c r="C27" s="29" t="str">
        <f t="shared" si="1"/>
        <v>Yash Raghavan</v>
      </c>
      <c r="D27" s="29" t="str">
        <f t="shared" si="2"/>
        <v>Sales</v>
      </c>
      <c r="E27" s="30" t="str">
        <f t="shared" si="3"/>
        <v>L3</v>
      </c>
      <c r="F27" s="30" t="str">
        <f t="shared" si="4"/>
        <v>Exited</v>
      </c>
      <c r="G27" s="22">
        <v>3</v>
      </c>
      <c r="H27" t="str">
        <f t="shared" si="5"/>
        <v>Meets Expectations</v>
      </c>
      <c r="I27" s="22">
        <v>4</v>
      </c>
      <c r="J27" s="22" t="str">
        <f t="shared" si="6"/>
        <v>Declined</v>
      </c>
      <c r="K27" s="31">
        <v>0.78</v>
      </c>
      <c r="L27" s="24">
        <v>3.4</v>
      </c>
      <c r="M27" s="22" t="s">
        <v>60</v>
      </c>
      <c r="N27" s="22" t="str">
        <f t="shared" si="7"/>
        <v>Mid</v>
      </c>
      <c r="O27" t="str">
        <f>INDEX(NineBox,MATCH(N27,{"Low","Mid","High"},0),MATCH(M27,{"Low","Medium","High"},0))</f>
        <v>Core Player</v>
      </c>
      <c r="P27" s="28">
        <v>44131</v>
      </c>
      <c r="Q27" s="24">
        <f t="shared" si="8"/>
        <v>5.9247091033538668</v>
      </c>
      <c r="R27" s="22" t="str">
        <f t="shared" si="9"/>
        <v>Not Eligible</v>
      </c>
      <c r="S27" t="str">
        <f t="shared" si="10"/>
        <v>Employee has exited</v>
      </c>
      <c r="T27" s="22" t="s">
        <v>1687</v>
      </c>
    </row>
    <row r="28" spans="1:20" x14ac:dyDescent="0.3">
      <c r="A28" s="22" t="s">
        <v>239</v>
      </c>
      <c r="B28" s="29" t="str">
        <f t="shared" si="0"/>
        <v>Yash Yadav</v>
      </c>
      <c r="C28" s="29" t="str">
        <f t="shared" si="1"/>
        <v>Bhavana Hegde</v>
      </c>
      <c r="D28" s="29" t="str">
        <f t="shared" si="2"/>
        <v>Engineering</v>
      </c>
      <c r="E28" s="30" t="str">
        <f t="shared" si="3"/>
        <v>L3</v>
      </c>
      <c r="F28" s="30" t="str">
        <f t="shared" si="4"/>
        <v>Active</v>
      </c>
      <c r="G28" s="22">
        <v>3</v>
      </c>
      <c r="H28" t="str">
        <f t="shared" si="5"/>
        <v>Meets Expectations</v>
      </c>
      <c r="I28" s="22">
        <v>3</v>
      </c>
      <c r="J28" s="22" t="str">
        <f t="shared" si="6"/>
        <v>Stable</v>
      </c>
      <c r="K28" s="31">
        <v>0.82</v>
      </c>
      <c r="L28" s="24">
        <v>3.1</v>
      </c>
      <c r="M28" s="22" t="s">
        <v>60</v>
      </c>
      <c r="N28" s="22" t="str">
        <f t="shared" si="7"/>
        <v>Mid</v>
      </c>
      <c r="O28" t="str">
        <f>INDEX(NineBox,MATCH(N28,{"Low","Mid","High"},0),MATCH(M28,{"Low","Medium","High"},0))</f>
        <v>Core Player</v>
      </c>
      <c r="P28" s="28">
        <v>44137</v>
      </c>
      <c r="Q28" s="24">
        <f t="shared" si="8"/>
        <v>5.9082819986310744</v>
      </c>
      <c r="R28" s="22" t="str">
        <f t="shared" si="9"/>
        <v>Not Eligible</v>
      </c>
      <c r="S28" t="str">
        <f t="shared" si="10"/>
        <v>Rating below 4</v>
      </c>
      <c r="T28" s="22" t="s">
        <v>1687</v>
      </c>
    </row>
    <row r="29" spans="1:20" x14ac:dyDescent="0.3">
      <c r="A29" s="22" t="s">
        <v>245</v>
      </c>
      <c r="B29" s="29" t="str">
        <f t="shared" si="0"/>
        <v>Gayatri Krishnan</v>
      </c>
      <c r="C29" s="29" t="str">
        <f t="shared" si="1"/>
        <v>Ajay Kumar</v>
      </c>
      <c r="D29" s="29" t="str">
        <f t="shared" si="2"/>
        <v>Operations</v>
      </c>
      <c r="E29" s="30" t="str">
        <f t="shared" si="3"/>
        <v>L4</v>
      </c>
      <c r="F29" s="30" t="str">
        <f t="shared" si="4"/>
        <v>Exited</v>
      </c>
      <c r="G29" s="22">
        <v>3</v>
      </c>
      <c r="H29" t="str">
        <f t="shared" si="5"/>
        <v>Meets Expectations</v>
      </c>
      <c r="I29" s="22">
        <v>4</v>
      </c>
      <c r="J29" s="22" t="str">
        <f t="shared" si="6"/>
        <v>Declined</v>
      </c>
      <c r="K29" s="31">
        <v>0.99</v>
      </c>
      <c r="L29" s="24">
        <v>3.1</v>
      </c>
      <c r="M29" s="22" t="s">
        <v>61</v>
      </c>
      <c r="N29" s="22" t="str">
        <f t="shared" si="7"/>
        <v>Mid</v>
      </c>
      <c r="O29" t="str">
        <f>INDEX(NineBox,MATCH(N29,{"Low","Mid","High"},0),MATCH(M29,{"Low","Medium","High"},0))</f>
        <v>Future Star</v>
      </c>
      <c r="P29" s="28">
        <v>44520</v>
      </c>
      <c r="Q29" s="24">
        <f t="shared" si="8"/>
        <v>4.85968514715948</v>
      </c>
      <c r="R29" s="22" t="str">
        <f t="shared" si="9"/>
        <v>Not Eligible</v>
      </c>
      <c r="S29" t="str">
        <f t="shared" si="10"/>
        <v>Employee has exited</v>
      </c>
      <c r="T29" s="22" t="s">
        <v>1687</v>
      </c>
    </row>
    <row r="30" spans="1:20" x14ac:dyDescent="0.3">
      <c r="A30" s="22" t="s">
        <v>248</v>
      </c>
      <c r="B30" s="29" t="str">
        <f t="shared" si="0"/>
        <v>Nisha Jain</v>
      </c>
      <c r="C30" s="29" t="str">
        <f t="shared" si="1"/>
        <v>Vidya Chatterjee</v>
      </c>
      <c r="D30" s="29" t="str">
        <f t="shared" si="2"/>
        <v>Customer Support</v>
      </c>
      <c r="E30" s="30" t="str">
        <f t="shared" si="3"/>
        <v>L3</v>
      </c>
      <c r="F30" s="30" t="str">
        <f t="shared" si="4"/>
        <v>Active</v>
      </c>
      <c r="G30" s="22">
        <v>4</v>
      </c>
      <c r="H30" t="str">
        <f t="shared" si="5"/>
        <v>Exceeds Expectations</v>
      </c>
      <c r="I30" s="22">
        <v>5</v>
      </c>
      <c r="J30" s="22" t="str">
        <f t="shared" si="6"/>
        <v>Declined</v>
      </c>
      <c r="K30" s="31">
        <v>0.93</v>
      </c>
      <c r="L30" s="24">
        <v>4.0999999999999996</v>
      </c>
      <c r="M30" s="22" t="s">
        <v>60</v>
      </c>
      <c r="N30" s="22" t="str">
        <f t="shared" si="7"/>
        <v>High</v>
      </c>
      <c r="O30" t="str">
        <f>INDEX(NineBox,MATCH(N30,{"Low","Mid","High"},0),MATCH(M30,{"Low","Medium","High"},0))</f>
        <v>High Performer</v>
      </c>
      <c r="P30" s="28">
        <v>45651</v>
      </c>
      <c r="Q30" s="24">
        <f t="shared" si="8"/>
        <v>1.7631759069130732</v>
      </c>
      <c r="R30" s="22" t="str">
        <f t="shared" si="9"/>
        <v>Eligible</v>
      </c>
      <c r="S30" t="str">
        <f t="shared" si="10"/>
        <v>Meets rating and time-in-level criteria</v>
      </c>
      <c r="T30" s="22" t="s">
        <v>1687</v>
      </c>
    </row>
    <row r="31" spans="1:20" x14ac:dyDescent="0.3">
      <c r="A31" s="22" t="s">
        <v>254</v>
      </c>
      <c r="B31" s="29" t="str">
        <f t="shared" si="0"/>
        <v>Rashmi Ansari</v>
      </c>
      <c r="C31" s="29" t="str">
        <f t="shared" si="1"/>
        <v>Ravi Prabhu</v>
      </c>
      <c r="D31" s="29" t="str">
        <f t="shared" si="2"/>
        <v>Finance</v>
      </c>
      <c r="E31" s="30" t="str">
        <f t="shared" si="3"/>
        <v>L3</v>
      </c>
      <c r="F31" s="30" t="str">
        <f t="shared" si="4"/>
        <v>Active</v>
      </c>
      <c r="G31" s="22">
        <v>3</v>
      </c>
      <c r="H31" t="str">
        <f t="shared" si="5"/>
        <v>Meets Expectations</v>
      </c>
      <c r="I31" s="22">
        <v>3</v>
      </c>
      <c r="J31" s="22" t="str">
        <f t="shared" si="6"/>
        <v>Stable</v>
      </c>
      <c r="K31" s="31">
        <v>0.84</v>
      </c>
      <c r="L31" s="24">
        <v>2.7</v>
      </c>
      <c r="M31" s="22" t="s">
        <v>59</v>
      </c>
      <c r="N31" s="22" t="str">
        <f t="shared" si="7"/>
        <v>Mid</v>
      </c>
      <c r="O31" t="str">
        <f>INDEX(NineBox,MATCH(N31,{"Low","Mid","High"},0),MATCH(M31,{"Low","Medium","High"},0))</f>
        <v>Effective Contributor</v>
      </c>
      <c r="P31" s="28">
        <v>44141</v>
      </c>
      <c r="Q31" s="24">
        <f t="shared" si="8"/>
        <v>5.8973305954825461</v>
      </c>
      <c r="R31" s="22" t="str">
        <f t="shared" si="9"/>
        <v>Not Eligible</v>
      </c>
      <c r="S31" t="str">
        <f t="shared" si="10"/>
        <v>Rating below 4</v>
      </c>
      <c r="T31" s="22" t="s">
        <v>1687</v>
      </c>
    </row>
    <row r="32" spans="1:20" x14ac:dyDescent="0.3">
      <c r="A32" s="22" t="s">
        <v>260</v>
      </c>
      <c r="B32" s="29" t="str">
        <f t="shared" si="0"/>
        <v>Prakash Krishnan</v>
      </c>
      <c r="C32" s="29" t="str">
        <f t="shared" si="1"/>
        <v>Nandini Iyer</v>
      </c>
      <c r="D32" s="29" t="str">
        <f t="shared" si="2"/>
        <v>Marketing</v>
      </c>
      <c r="E32" s="30" t="str">
        <f t="shared" si="3"/>
        <v>L3</v>
      </c>
      <c r="F32" s="30" t="str">
        <f t="shared" si="4"/>
        <v>Active</v>
      </c>
      <c r="G32" s="22">
        <v>4</v>
      </c>
      <c r="H32" t="str">
        <f t="shared" si="5"/>
        <v>Exceeds Expectations</v>
      </c>
      <c r="I32" s="22">
        <v>5</v>
      </c>
      <c r="J32" s="22" t="str">
        <f t="shared" si="6"/>
        <v>Declined</v>
      </c>
      <c r="K32" s="31">
        <v>0.97</v>
      </c>
      <c r="L32" s="24">
        <v>3.3</v>
      </c>
      <c r="M32" s="22" t="s">
        <v>60</v>
      </c>
      <c r="N32" s="22" t="str">
        <f t="shared" si="7"/>
        <v>High</v>
      </c>
      <c r="O32" t="str">
        <f>INDEX(NineBox,MATCH(N32,{"Low","Mid","High"},0),MATCH(M32,{"Low","Medium","High"},0))</f>
        <v>High Performer</v>
      </c>
      <c r="P32" s="28">
        <v>44144</v>
      </c>
      <c r="Q32" s="24">
        <f t="shared" si="8"/>
        <v>5.8891170431211499</v>
      </c>
      <c r="R32" s="22" t="str">
        <f t="shared" si="9"/>
        <v>Eligible</v>
      </c>
      <c r="S32" t="str">
        <f t="shared" si="10"/>
        <v>Meets rating and time-in-level criteria</v>
      </c>
      <c r="T32" s="22" t="s">
        <v>1687</v>
      </c>
    </row>
    <row r="33" spans="1:20" x14ac:dyDescent="0.3">
      <c r="A33" s="22" t="s">
        <v>264</v>
      </c>
      <c r="B33" s="29" t="str">
        <f t="shared" si="0"/>
        <v>Vishal Prabhu</v>
      </c>
      <c r="C33" s="29" t="str">
        <f t="shared" si="1"/>
        <v>Amit Kumar</v>
      </c>
      <c r="D33" s="29" t="str">
        <f t="shared" si="2"/>
        <v>Operations</v>
      </c>
      <c r="E33" s="30" t="str">
        <f t="shared" si="3"/>
        <v>L3</v>
      </c>
      <c r="F33" s="30" t="str">
        <f t="shared" si="4"/>
        <v>Active</v>
      </c>
      <c r="G33" s="22">
        <v>3</v>
      </c>
      <c r="H33" t="str">
        <f t="shared" si="5"/>
        <v>Meets Expectations</v>
      </c>
      <c r="I33" s="22">
        <v>2</v>
      </c>
      <c r="J33" s="22" t="str">
        <f t="shared" si="6"/>
        <v>Improved</v>
      </c>
      <c r="K33" s="31">
        <v>0.84</v>
      </c>
      <c r="L33" s="24">
        <v>3.4</v>
      </c>
      <c r="M33" s="22" t="s">
        <v>60</v>
      </c>
      <c r="N33" s="22" t="str">
        <f t="shared" si="7"/>
        <v>Mid</v>
      </c>
      <c r="O33" t="str">
        <f>INDEX(NineBox,MATCH(N33,{"Low","Mid","High"},0),MATCH(M33,{"Low","Medium","High"},0))</f>
        <v>Core Player</v>
      </c>
      <c r="P33" s="28">
        <v>44192</v>
      </c>
      <c r="Q33" s="24">
        <f t="shared" si="8"/>
        <v>5.7577002053388089</v>
      </c>
      <c r="R33" s="22" t="str">
        <f t="shared" si="9"/>
        <v>Not Eligible</v>
      </c>
      <c r="S33" t="str">
        <f t="shared" si="10"/>
        <v>Rating below 4</v>
      </c>
      <c r="T33" s="22" t="s">
        <v>1687</v>
      </c>
    </row>
    <row r="34" spans="1:20" x14ac:dyDescent="0.3">
      <c r="A34" s="22" t="s">
        <v>267</v>
      </c>
      <c r="B34" s="29" t="str">
        <f t="shared" si="0"/>
        <v>Gayatri Tiwari</v>
      </c>
      <c r="C34" s="29" t="str">
        <f t="shared" si="1"/>
        <v>Akash Bansal</v>
      </c>
      <c r="D34" s="29" t="str">
        <f t="shared" si="2"/>
        <v>Sales</v>
      </c>
      <c r="E34" s="30" t="str">
        <f t="shared" si="3"/>
        <v>L6</v>
      </c>
      <c r="F34" s="30" t="str">
        <f t="shared" si="4"/>
        <v>Active</v>
      </c>
      <c r="G34" s="22">
        <v>4</v>
      </c>
      <c r="H34" t="str">
        <f t="shared" si="5"/>
        <v>Exceeds Expectations</v>
      </c>
      <c r="I34" s="22">
        <v>4</v>
      </c>
      <c r="J34" s="22" t="str">
        <f t="shared" si="6"/>
        <v>Stable</v>
      </c>
      <c r="K34" s="31">
        <v>0.91</v>
      </c>
      <c r="L34" s="24">
        <v>4.3</v>
      </c>
      <c r="M34" s="22" t="s">
        <v>61</v>
      </c>
      <c r="N34" s="22" t="str">
        <f t="shared" si="7"/>
        <v>High</v>
      </c>
      <c r="O34" t="str">
        <f>INDEX(NineBox,MATCH(N34,{"Low","Mid","High"},0),MATCH(M34,{"Low","Medium","High"},0))</f>
        <v>Star</v>
      </c>
      <c r="P34" s="28">
        <v>44768</v>
      </c>
      <c r="Q34" s="24">
        <f t="shared" si="8"/>
        <v>4.1806981519507183</v>
      </c>
      <c r="R34" s="22" t="str">
        <f t="shared" si="9"/>
        <v>Eligible</v>
      </c>
      <c r="S34" t="str">
        <f t="shared" si="10"/>
        <v>Meets rating and time-in-level criteria</v>
      </c>
      <c r="T34" s="22" t="s">
        <v>1687</v>
      </c>
    </row>
    <row r="35" spans="1:20" x14ac:dyDescent="0.3">
      <c r="A35" s="22" t="s">
        <v>273</v>
      </c>
      <c r="B35" s="29" t="str">
        <f t="shared" si="0"/>
        <v>Aditi Varghese</v>
      </c>
      <c r="C35" s="29" t="str">
        <f t="shared" si="1"/>
        <v>Vikas Singh</v>
      </c>
      <c r="D35" s="29" t="str">
        <f t="shared" si="2"/>
        <v>Engineering</v>
      </c>
      <c r="E35" s="30" t="str">
        <f t="shared" si="3"/>
        <v>L4</v>
      </c>
      <c r="F35" s="30" t="str">
        <f t="shared" si="4"/>
        <v>Active</v>
      </c>
      <c r="G35" s="22">
        <v>2</v>
      </c>
      <c r="H35" t="str">
        <f t="shared" si="5"/>
        <v>Needs Improvement</v>
      </c>
      <c r="I35" s="22">
        <v>2</v>
      </c>
      <c r="J35" s="22" t="str">
        <f t="shared" si="6"/>
        <v>Stable</v>
      </c>
      <c r="K35" s="31">
        <v>0.68</v>
      </c>
      <c r="L35" s="24">
        <v>1.6</v>
      </c>
      <c r="M35" s="22" t="s">
        <v>59</v>
      </c>
      <c r="N35" s="22" t="str">
        <f t="shared" si="7"/>
        <v>Low</v>
      </c>
      <c r="O35" t="str">
        <f>INDEX(NineBox,MATCH(N35,{"Low","Mid","High"},0),MATCH(M35,{"Low","Medium","High"},0))</f>
        <v>Underperformer</v>
      </c>
      <c r="P35" s="28">
        <v>45274</v>
      </c>
      <c r="Q35" s="24">
        <f t="shared" si="8"/>
        <v>2.7953456536618755</v>
      </c>
      <c r="R35" s="22" t="str">
        <f t="shared" si="9"/>
        <v>Not Eligible</v>
      </c>
      <c r="S35" t="str">
        <f t="shared" si="10"/>
        <v>Rating below 4</v>
      </c>
      <c r="T35" s="22" t="s">
        <v>1687</v>
      </c>
    </row>
    <row r="36" spans="1:20" x14ac:dyDescent="0.3">
      <c r="A36" s="22" t="s">
        <v>276</v>
      </c>
      <c r="B36" s="29" t="str">
        <f t="shared" si="0"/>
        <v>Dev Gupta</v>
      </c>
      <c r="C36" s="29" t="str">
        <f t="shared" si="1"/>
        <v>Ankit Khanna</v>
      </c>
      <c r="D36" s="29" t="str">
        <f t="shared" si="2"/>
        <v>Operations</v>
      </c>
      <c r="E36" s="30" t="str">
        <f t="shared" si="3"/>
        <v>L3</v>
      </c>
      <c r="F36" s="30" t="str">
        <f t="shared" si="4"/>
        <v>Active</v>
      </c>
      <c r="G36" s="22">
        <v>4</v>
      </c>
      <c r="H36" t="str">
        <f t="shared" si="5"/>
        <v>Exceeds Expectations</v>
      </c>
      <c r="I36" s="22">
        <v>4</v>
      </c>
      <c r="J36" s="22" t="str">
        <f t="shared" si="6"/>
        <v>Stable</v>
      </c>
      <c r="K36" s="31">
        <v>1.02</v>
      </c>
      <c r="L36" s="24">
        <v>4</v>
      </c>
      <c r="M36" s="22" t="s">
        <v>61</v>
      </c>
      <c r="N36" s="22" t="str">
        <f t="shared" si="7"/>
        <v>High</v>
      </c>
      <c r="O36" t="str">
        <f>INDEX(NineBox,MATCH(N36,{"Low","Mid","High"},0),MATCH(M36,{"Low","Medium","High"},0))</f>
        <v>Star</v>
      </c>
      <c r="P36" s="28">
        <v>46112</v>
      </c>
      <c r="Q36" s="24">
        <f t="shared" si="8"/>
        <v>0.50102669404517453</v>
      </c>
      <c r="R36" s="22" t="str">
        <f t="shared" si="9"/>
        <v>Not Eligible</v>
      </c>
      <c r="S36" t="str">
        <f t="shared" si="10"/>
        <v>Under 1.5 yrs in current level</v>
      </c>
      <c r="T36" s="22" t="s">
        <v>1688</v>
      </c>
    </row>
    <row r="37" spans="1:20" x14ac:dyDescent="0.3">
      <c r="A37" s="22" t="s">
        <v>279</v>
      </c>
      <c r="B37" s="29" t="str">
        <f t="shared" si="0"/>
        <v>Anjali Thomas</v>
      </c>
      <c r="C37" s="29" t="str">
        <f t="shared" si="1"/>
        <v>Akash Das</v>
      </c>
      <c r="D37" s="29" t="str">
        <f t="shared" si="2"/>
        <v>Human Resources</v>
      </c>
      <c r="E37" s="30" t="str">
        <f t="shared" si="3"/>
        <v>L4</v>
      </c>
      <c r="F37" s="30" t="str">
        <f t="shared" si="4"/>
        <v>Active</v>
      </c>
      <c r="G37" s="22">
        <v>2</v>
      </c>
      <c r="H37" t="str">
        <f t="shared" si="5"/>
        <v>Needs Improvement</v>
      </c>
      <c r="I37" s="22">
        <v>2</v>
      </c>
      <c r="J37" s="22" t="str">
        <f t="shared" si="6"/>
        <v>Stable</v>
      </c>
      <c r="K37" s="31">
        <v>0.77</v>
      </c>
      <c r="L37" s="24">
        <v>2.2000000000000002</v>
      </c>
      <c r="M37" s="22" t="s">
        <v>59</v>
      </c>
      <c r="N37" s="22" t="str">
        <f t="shared" si="7"/>
        <v>Low</v>
      </c>
      <c r="O37" t="str">
        <f>INDEX(NineBox,MATCH(N37,{"Low","Mid","High"},0),MATCH(M37,{"Low","Medium","High"},0))</f>
        <v>Underperformer</v>
      </c>
      <c r="P37" s="28">
        <v>44214</v>
      </c>
      <c r="Q37" s="24">
        <f t="shared" si="8"/>
        <v>5.6974674880219025</v>
      </c>
      <c r="R37" s="22" t="str">
        <f t="shared" si="9"/>
        <v>Not Eligible</v>
      </c>
      <c r="S37" t="str">
        <f t="shared" si="10"/>
        <v>Rating below 4</v>
      </c>
      <c r="T37" s="22" t="s">
        <v>1687</v>
      </c>
    </row>
    <row r="38" spans="1:20" x14ac:dyDescent="0.3">
      <c r="A38" s="22" t="s">
        <v>282</v>
      </c>
      <c r="B38" s="29" t="str">
        <f t="shared" si="0"/>
        <v>Aniket Khanna</v>
      </c>
      <c r="C38" s="29" t="str">
        <f t="shared" si="1"/>
        <v>Mansi Pillai</v>
      </c>
      <c r="D38" s="29" t="str">
        <f t="shared" si="2"/>
        <v>Product</v>
      </c>
      <c r="E38" s="30" t="str">
        <f t="shared" si="3"/>
        <v>L4</v>
      </c>
      <c r="F38" s="30" t="str">
        <f t="shared" si="4"/>
        <v>Active</v>
      </c>
      <c r="G38" s="22">
        <v>4</v>
      </c>
      <c r="H38" t="str">
        <f t="shared" si="5"/>
        <v>Exceeds Expectations</v>
      </c>
      <c r="I38" s="22">
        <v>3</v>
      </c>
      <c r="J38" s="22" t="str">
        <f t="shared" si="6"/>
        <v>Improved</v>
      </c>
      <c r="K38" s="31">
        <v>1.06</v>
      </c>
      <c r="L38" s="24">
        <v>3.9</v>
      </c>
      <c r="M38" s="22" t="s">
        <v>60</v>
      </c>
      <c r="N38" s="22" t="str">
        <f t="shared" si="7"/>
        <v>High</v>
      </c>
      <c r="O38" t="str">
        <f>INDEX(NineBox,MATCH(N38,{"Low","Mid","High"},0),MATCH(M38,{"Low","Medium","High"},0))</f>
        <v>High Performer</v>
      </c>
      <c r="P38" s="28">
        <v>44220</v>
      </c>
      <c r="Q38" s="24">
        <f t="shared" si="8"/>
        <v>5.6810403832991101</v>
      </c>
      <c r="R38" s="22" t="str">
        <f t="shared" si="9"/>
        <v>Eligible</v>
      </c>
      <c r="S38" t="str">
        <f t="shared" si="10"/>
        <v>Meets rating and time-in-level criteria</v>
      </c>
      <c r="T38" s="22" t="s">
        <v>1687</v>
      </c>
    </row>
    <row r="39" spans="1:20" x14ac:dyDescent="0.3">
      <c r="A39" s="22" t="s">
        <v>288</v>
      </c>
      <c r="B39" s="29" t="str">
        <f t="shared" si="0"/>
        <v>Varun Reddy</v>
      </c>
      <c r="C39" s="29" t="str">
        <f t="shared" si="1"/>
        <v>Anjali Iyer</v>
      </c>
      <c r="D39" s="29" t="str">
        <f t="shared" si="2"/>
        <v>Customer Support</v>
      </c>
      <c r="E39" s="30" t="str">
        <f t="shared" si="3"/>
        <v>L3</v>
      </c>
      <c r="F39" s="30" t="str">
        <f t="shared" si="4"/>
        <v>Active</v>
      </c>
      <c r="G39" s="22">
        <v>5</v>
      </c>
      <c r="H39" t="str">
        <f t="shared" si="5"/>
        <v>Outstanding</v>
      </c>
      <c r="I39" s="22">
        <v>5</v>
      </c>
      <c r="J39" s="22" t="str">
        <f t="shared" si="6"/>
        <v>Stable</v>
      </c>
      <c r="K39" s="31">
        <v>0.92</v>
      </c>
      <c r="L39" s="24">
        <v>5</v>
      </c>
      <c r="M39" s="22" t="s">
        <v>61</v>
      </c>
      <c r="N39" s="22" t="str">
        <f t="shared" si="7"/>
        <v>High</v>
      </c>
      <c r="O39" t="str">
        <f>INDEX(NineBox,MATCH(N39,{"Low","Mid","High"},0),MATCH(M39,{"Low","Medium","High"},0))</f>
        <v>Star</v>
      </c>
      <c r="P39" s="28">
        <v>44221</v>
      </c>
      <c r="Q39" s="24">
        <f t="shared" si="8"/>
        <v>5.678302532511978</v>
      </c>
      <c r="R39" s="22" t="str">
        <f t="shared" si="9"/>
        <v>Eligible</v>
      </c>
      <c r="S39" t="str">
        <f t="shared" si="10"/>
        <v>Meets rating and time-in-level criteria</v>
      </c>
      <c r="T39" s="22" t="s">
        <v>1687</v>
      </c>
    </row>
    <row r="40" spans="1:20" x14ac:dyDescent="0.3">
      <c r="A40" s="22" t="s">
        <v>293</v>
      </c>
      <c r="B40" s="29" t="str">
        <f t="shared" si="0"/>
        <v>Karan Patel</v>
      </c>
      <c r="C40" s="29" t="str">
        <f t="shared" si="1"/>
        <v>Pooja Das</v>
      </c>
      <c r="D40" s="29" t="str">
        <f t="shared" si="2"/>
        <v>Finance</v>
      </c>
      <c r="E40" s="30" t="str">
        <f t="shared" si="3"/>
        <v>L6</v>
      </c>
      <c r="F40" s="30" t="str">
        <f t="shared" si="4"/>
        <v>Active</v>
      </c>
      <c r="G40" s="22">
        <v>4</v>
      </c>
      <c r="H40" t="str">
        <f t="shared" si="5"/>
        <v>Exceeds Expectations</v>
      </c>
      <c r="I40" s="22">
        <v>4</v>
      </c>
      <c r="J40" s="22" t="str">
        <f t="shared" si="6"/>
        <v>Stable</v>
      </c>
      <c r="K40" s="31">
        <v>0.97</v>
      </c>
      <c r="L40" s="24">
        <v>3.9</v>
      </c>
      <c r="M40" s="22" t="s">
        <v>61</v>
      </c>
      <c r="N40" s="22" t="str">
        <f t="shared" si="7"/>
        <v>High</v>
      </c>
      <c r="O40" t="str">
        <f>INDEX(NineBox,MATCH(N40,{"Low","Mid","High"},0),MATCH(M40,{"Low","Medium","High"},0))</f>
        <v>Star</v>
      </c>
      <c r="P40" s="28">
        <v>44240</v>
      </c>
      <c r="Q40" s="24">
        <f t="shared" si="8"/>
        <v>5.6262833675564679</v>
      </c>
      <c r="R40" s="22" t="str">
        <f t="shared" si="9"/>
        <v>Eligible</v>
      </c>
      <c r="S40" t="str">
        <f t="shared" si="10"/>
        <v>Meets rating and time-in-level criteria</v>
      </c>
      <c r="T40" s="22" t="s">
        <v>1687</v>
      </c>
    </row>
    <row r="41" spans="1:20" x14ac:dyDescent="0.3">
      <c r="A41" s="22" t="s">
        <v>297</v>
      </c>
      <c r="B41" s="29" t="str">
        <f t="shared" si="0"/>
        <v>Sanjay Mehta</v>
      </c>
      <c r="C41" s="29" t="str">
        <f t="shared" si="1"/>
        <v>Prakash Das</v>
      </c>
      <c r="D41" s="29" t="str">
        <f t="shared" si="2"/>
        <v>Human Resources</v>
      </c>
      <c r="E41" s="30" t="str">
        <f t="shared" si="3"/>
        <v>L4</v>
      </c>
      <c r="F41" s="30" t="str">
        <f t="shared" si="4"/>
        <v>Active</v>
      </c>
      <c r="G41" s="22">
        <v>2</v>
      </c>
      <c r="H41" t="str">
        <f t="shared" si="5"/>
        <v>Needs Improvement</v>
      </c>
      <c r="I41" s="22">
        <v>2</v>
      </c>
      <c r="J41" s="22" t="str">
        <f t="shared" si="6"/>
        <v>Stable</v>
      </c>
      <c r="K41" s="31">
        <v>0.66</v>
      </c>
      <c r="L41" s="24">
        <v>1.7</v>
      </c>
      <c r="M41" s="22" t="s">
        <v>60</v>
      </c>
      <c r="N41" s="22" t="str">
        <f t="shared" si="7"/>
        <v>Low</v>
      </c>
      <c r="O41" t="str">
        <f>INDEX(NineBox,MATCH(N41,{"Low","Mid","High"},0),MATCH(M41,{"Low","Medium","High"},0))</f>
        <v>Inconsistent Player</v>
      </c>
      <c r="P41" s="28">
        <v>44244</v>
      </c>
      <c r="Q41" s="24">
        <f t="shared" si="8"/>
        <v>5.6153319644079396</v>
      </c>
      <c r="R41" s="22" t="str">
        <f t="shared" si="9"/>
        <v>Not Eligible</v>
      </c>
      <c r="S41" t="str">
        <f t="shared" si="10"/>
        <v>Rating below 4</v>
      </c>
      <c r="T41" s="22" t="s">
        <v>1687</v>
      </c>
    </row>
    <row r="42" spans="1:20" x14ac:dyDescent="0.3">
      <c r="A42" s="22" t="s">
        <v>300</v>
      </c>
      <c r="B42" s="29" t="str">
        <f t="shared" si="0"/>
        <v>Nisha Mehta</v>
      </c>
      <c r="C42" s="29" t="str">
        <f t="shared" si="1"/>
        <v>Akash Das</v>
      </c>
      <c r="D42" s="29" t="str">
        <f t="shared" si="2"/>
        <v>Human Resources</v>
      </c>
      <c r="E42" s="30" t="str">
        <f t="shared" si="3"/>
        <v>L3</v>
      </c>
      <c r="F42" s="30" t="str">
        <f t="shared" si="4"/>
        <v>Exited</v>
      </c>
      <c r="G42" s="22">
        <v>2</v>
      </c>
      <c r="H42" t="str">
        <f t="shared" si="5"/>
        <v>Needs Improvement</v>
      </c>
      <c r="I42" s="22">
        <v>2</v>
      </c>
      <c r="J42" s="22" t="str">
        <f t="shared" si="6"/>
        <v>Stable</v>
      </c>
      <c r="K42" s="31">
        <v>0.67</v>
      </c>
      <c r="L42" s="24">
        <v>2.2999999999999998</v>
      </c>
      <c r="M42" s="22" t="s">
        <v>59</v>
      </c>
      <c r="N42" s="22" t="str">
        <f t="shared" si="7"/>
        <v>Low</v>
      </c>
      <c r="O42" t="str">
        <f>INDEX(NineBox,MATCH(N42,{"Low","Mid","High"},0),MATCH(M42,{"Low","Medium","High"},0))</f>
        <v>Underperformer</v>
      </c>
      <c r="P42" s="28">
        <v>45128</v>
      </c>
      <c r="Q42" s="24">
        <f t="shared" si="8"/>
        <v>3.1950718685831623</v>
      </c>
      <c r="R42" s="22" t="str">
        <f t="shared" si="9"/>
        <v>Not Eligible</v>
      </c>
      <c r="S42" t="str">
        <f t="shared" si="10"/>
        <v>Employee has exited</v>
      </c>
      <c r="T42" s="22" t="s">
        <v>1687</v>
      </c>
    </row>
    <row r="43" spans="1:20" x14ac:dyDescent="0.3">
      <c r="A43" s="22" t="s">
        <v>303</v>
      </c>
      <c r="B43" s="29" t="str">
        <f t="shared" si="0"/>
        <v>Tejaswini Hegde</v>
      </c>
      <c r="C43" s="29" t="str">
        <f t="shared" si="1"/>
        <v>Yamini Nair</v>
      </c>
      <c r="D43" s="29" t="str">
        <f t="shared" si="2"/>
        <v>Engineering</v>
      </c>
      <c r="E43" s="30" t="str">
        <f t="shared" si="3"/>
        <v>L5</v>
      </c>
      <c r="F43" s="30" t="str">
        <f t="shared" si="4"/>
        <v>Active</v>
      </c>
      <c r="G43" s="22">
        <v>2</v>
      </c>
      <c r="H43" t="str">
        <f t="shared" si="5"/>
        <v>Needs Improvement</v>
      </c>
      <c r="I43" s="22">
        <v>2</v>
      </c>
      <c r="J43" s="22" t="str">
        <f t="shared" si="6"/>
        <v>Stable</v>
      </c>
      <c r="K43" s="31">
        <v>0.67</v>
      </c>
      <c r="L43" s="24">
        <v>1.7</v>
      </c>
      <c r="M43" s="22" t="s">
        <v>60</v>
      </c>
      <c r="N43" s="22" t="str">
        <f t="shared" si="7"/>
        <v>Low</v>
      </c>
      <c r="O43" t="str">
        <f>INDEX(NineBox,MATCH(N43,{"Low","Mid","High"},0),MATCH(M43,{"Low","Medium","High"},0))</f>
        <v>Inconsistent Player</v>
      </c>
      <c r="P43" s="28">
        <v>45662</v>
      </c>
      <c r="Q43" s="24">
        <f t="shared" si="8"/>
        <v>1.7330595482546201</v>
      </c>
      <c r="R43" s="22" t="str">
        <f t="shared" si="9"/>
        <v>Not Eligible</v>
      </c>
      <c r="S43" t="str">
        <f t="shared" si="10"/>
        <v>Rating below 4</v>
      </c>
      <c r="T43" s="22" t="s">
        <v>1687</v>
      </c>
    </row>
    <row r="44" spans="1:20" x14ac:dyDescent="0.3">
      <c r="A44" s="22" t="s">
        <v>207</v>
      </c>
      <c r="B44" s="29" t="str">
        <f t="shared" si="0"/>
        <v>Trisha Jain</v>
      </c>
      <c r="C44" s="29" t="str">
        <f t="shared" si="1"/>
        <v>Aishwarya Fernandes</v>
      </c>
      <c r="D44" s="29" t="str">
        <f t="shared" si="2"/>
        <v>Data &amp; Analytics</v>
      </c>
      <c r="E44" s="30" t="str">
        <f t="shared" si="3"/>
        <v>L6</v>
      </c>
      <c r="F44" s="30" t="str">
        <f t="shared" si="4"/>
        <v>Active</v>
      </c>
      <c r="G44" s="22">
        <v>3</v>
      </c>
      <c r="H44" t="str">
        <f t="shared" si="5"/>
        <v>Meets Expectations</v>
      </c>
      <c r="I44" s="22">
        <v>2</v>
      </c>
      <c r="J44" s="22" t="str">
        <f t="shared" si="6"/>
        <v>Improved</v>
      </c>
      <c r="K44" s="31">
        <v>0.92</v>
      </c>
      <c r="L44" s="24">
        <v>3.3</v>
      </c>
      <c r="M44" s="22" t="s">
        <v>60</v>
      </c>
      <c r="N44" s="22" t="str">
        <f t="shared" si="7"/>
        <v>Mid</v>
      </c>
      <c r="O44" t="str">
        <f>INDEX(NineBox,MATCH(N44,{"Low","Mid","High"},0),MATCH(M44,{"Low","Medium","High"},0))</f>
        <v>Core Player</v>
      </c>
      <c r="P44" s="28">
        <v>44275</v>
      </c>
      <c r="Q44" s="24">
        <f t="shared" si="8"/>
        <v>5.5304585900068446</v>
      </c>
      <c r="R44" s="22" t="str">
        <f t="shared" si="9"/>
        <v>Not Eligible</v>
      </c>
      <c r="S44" t="str">
        <f t="shared" si="10"/>
        <v>Rating below 4</v>
      </c>
      <c r="T44" s="22" t="s">
        <v>1687</v>
      </c>
    </row>
    <row r="45" spans="1:20" x14ac:dyDescent="0.3">
      <c r="A45" s="22" t="s">
        <v>310</v>
      </c>
      <c r="B45" s="29" t="str">
        <f t="shared" si="0"/>
        <v>Rohan Patel</v>
      </c>
      <c r="C45" s="29" t="str">
        <f t="shared" si="1"/>
        <v>Isha Jain</v>
      </c>
      <c r="D45" s="29" t="str">
        <f t="shared" si="2"/>
        <v>Engineering</v>
      </c>
      <c r="E45" s="30" t="str">
        <f t="shared" si="3"/>
        <v>L3</v>
      </c>
      <c r="F45" s="30" t="str">
        <f t="shared" si="4"/>
        <v>Active</v>
      </c>
      <c r="G45" s="22">
        <v>3</v>
      </c>
      <c r="H45" t="str">
        <f t="shared" si="5"/>
        <v>Meets Expectations</v>
      </c>
      <c r="I45" s="22">
        <v>4</v>
      </c>
      <c r="J45" s="22" t="str">
        <f t="shared" si="6"/>
        <v>Declined</v>
      </c>
      <c r="K45" s="31">
        <v>0.84</v>
      </c>
      <c r="L45" s="24">
        <v>2.2000000000000002</v>
      </c>
      <c r="M45" s="22" t="s">
        <v>61</v>
      </c>
      <c r="N45" s="22" t="str">
        <f t="shared" si="7"/>
        <v>Mid</v>
      </c>
      <c r="O45" t="str">
        <f>INDEX(NineBox,MATCH(N45,{"Low","Mid","High"},0),MATCH(M45,{"Low","Medium","High"},0))</f>
        <v>Future Star</v>
      </c>
      <c r="P45" s="28">
        <v>45036</v>
      </c>
      <c r="Q45" s="24">
        <f t="shared" si="8"/>
        <v>3.4469541409993156</v>
      </c>
      <c r="R45" s="22" t="str">
        <f t="shared" si="9"/>
        <v>Not Eligible</v>
      </c>
      <c r="S45" t="str">
        <f t="shared" si="10"/>
        <v>Rating below 4</v>
      </c>
      <c r="T45" s="22" t="s">
        <v>1687</v>
      </c>
    </row>
    <row r="46" spans="1:20" x14ac:dyDescent="0.3">
      <c r="A46" s="22" t="s">
        <v>315</v>
      </c>
      <c r="B46" s="29" t="str">
        <f t="shared" si="0"/>
        <v>Vikas Chatterjee</v>
      </c>
      <c r="C46" s="29" t="str">
        <f t="shared" si="1"/>
        <v>Yash Shah</v>
      </c>
      <c r="D46" s="29" t="str">
        <f t="shared" si="2"/>
        <v>Operations</v>
      </c>
      <c r="E46" s="30" t="str">
        <f t="shared" si="3"/>
        <v>L4</v>
      </c>
      <c r="F46" s="30" t="str">
        <f t="shared" si="4"/>
        <v>Exited</v>
      </c>
      <c r="G46" s="22">
        <v>3</v>
      </c>
      <c r="H46" t="str">
        <f t="shared" si="5"/>
        <v>Meets Expectations</v>
      </c>
      <c r="I46" s="22">
        <v>3</v>
      </c>
      <c r="J46" s="22" t="str">
        <f t="shared" si="6"/>
        <v>Stable</v>
      </c>
      <c r="K46" s="31">
        <v>0.81</v>
      </c>
      <c r="L46" s="24">
        <v>3.1</v>
      </c>
      <c r="M46" s="22" t="s">
        <v>60</v>
      </c>
      <c r="N46" s="22" t="str">
        <f t="shared" si="7"/>
        <v>Mid</v>
      </c>
      <c r="O46" t="str">
        <f>INDEX(NineBox,MATCH(N46,{"Low","Mid","High"},0),MATCH(M46,{"Low","Medium","High"},0))</f>
        <v>Core Player</v>
      </c>
      <c r="P46" s="28">
        <v>44278</v>
      </c>
      <c r="Q46" s="24">
        <f t="shared" si="8"/>
        <v>5.5222450376454484</v>
      </c>
      <c r="R46" s="22" t="str">
        <f t="shared" si="9"/>
        <v>Not Eligible</v>
      </c>
      <c r="S46" t="str">
        <f t="shared" si="10"/>
        <v>Employee has exited</v>
      </c>
      <c r="T46" s="22" t="s">
        <v>1687</v>
      </c>
    </row>
    <row r="47" spans="1:20" x14ac:dyDescent="0.3">
      <c r="A47" s="22" t="s">
        <v>318</v>
      </c>
      <c r="B47" s="29" t="str">
        <f t="shared" si="0"/>
        <v>Karan Gowda</v>
      </c>
      <c r="C47" s="29" t="str">
        <f t="shared" si="1"/>
        <v>Pallavi Shah</v>
      </c>
      <c r="D47" s="29" t="str">
        <f t="shared" si="2"/>
        <v>Operations</v>
      </c>
      <c r="E47" s="30" t="str">
        <f t="shared" si="3"/>
        <v>L3</v>
      </c>
      <c r="F47" s="30" t="str">
        <f t="shared" si="4"/>
        <v>Active</v>
      </c>
      <c r="G47" s="22">
        <v>3</v>
      </c>
      <c r="H47" t="str">
        <f t="shared" si="5"/>
        <v>Meets Expectations</v>
      </c>
      <c r="I47" s="22">
        <v>4</v>
      </c>
      <c r="J47" s="22" t="str">
        <f t="shared" si="6"/>
        <v>Declined</v>
      </c>
      <c r="K47" s="31">
        <v>0.84</v>
      </c>
      <c r="L47" s="24">
        <v>3.4</v>
      </c>
      <c r="M47" s="22" t="s">
        <v>60</v>
      </c>
      <c r="N47" s="22" t="str">
        <f t="shared" si="7"/>
        <v>Mid</v>
      </c>
      <c r="O47" t="str">
        <f>INDEX(NineBox,MATCH(N47,{"Low","Mid","High"},0),MATCH(M47,{"Low","Medium","High"},0))</f>
        <v>Core Player</v>
      </c>
      <c r="P47" s="28">
        <v>45873</v>
      </c>
      <c r="Q47" s="24">
        <f t="shared" si="8"/>
        <v>1.1553730321697468</v>
      </c>
      <c r="R47" s="22" t="str">
        <f t="shared" si="9"/>
        <v>Not Eligible</v>
      </c>
      <c r="S47" t="str">
        <f t="shared" si="10"/>
        <v>Rating below 4</v>
      </c>
      <c r="T47" s="22" t="s">
        <v>1687</v>
      </c>
    </row>
    <row r="48" spans="1:20" x14ac:dyDescent="0.3">
      <c r="A48" s="22" t="s">
        <v>321</v>
      </c>
      <c r="B48" s="29" t="str">
        <f t="shared" si="0"/>
        <v>Keerthi Gupta</v>
      </c>
      <c r="C48" s="29" t="str">
        <f t="shared" si="1"/>
        <v>Vidya Chatterjee</v>
      </c>
      <c r="D48" s="29" t="str">
        <f t="shared" si="2"/>
        <v>Customer Support</v>
      </c>
      <c r="E48" s="30" t="str">
        <f t="shared" si="3"/>
        <v>L4</v>
      </c>
      <c r="F48" s="30" t="str">
        <f t="shared" si="4"/>
        <v>Active</v>
      </c>
      <c r="G48" s="22">
        <v>3</v>
      </c>
      <c r="H48" t="str">
        <f t="shared" si="5"/>
        <v>Meets Expectations</v>
      </c>
      <c r="I48" s="22">
        <v>2</v>
      </c>
      <c r="J48" s="22" t="str">
        <f t="shared" si="6"/>
        <v>Improved</v>
      </c>
      <c r="K48" s="31">
        <v>0.72</v>
      </c>
      <c r="L48" s="24">
        <v>2.9</v>
      </c>
      <c r="M48" s="22" t="s">
        <v>61</v>
      </c>
      <c r="N48" s="22" t="str">
        <f t="shared" si="7"/>
        <v>Mid</v>
      </c>
      <c r="O48" t="str">
        <f>INDEX(NineBox,MATCH(N48,{"Low","Mid","High"},0),MATCH(M48,{"Low","Medium","High"},0))</f>
        <v>Future Star</v>
      </c>
      <c r="P48" s="28">
        <v>45589</v>
      </c>
      <c r="Q48" s="24">
        <f t="shared" si="8"/>
        <v>1.9329226557152634</v>
      </c>
      <c r="R48" s="22" t="str">
        <f t="shared" si="9"/>
        <v>Not Eligible</v>
      </c>
      <c r="S48" t="str">
        <f t="shared" si="10"/>
        <v>Rating below 4</v>
      </c>
      <c r="T48" s="22" t="s">
        <v>1687</v>
      </c>
    </row>
    <row r="49" spans="1:20" x14ac:dyDescent="0.3">
      <c r="A49" s="22" t="s">
        <v>324</v>
      </c>
      <c r="B49" s="29" t="str">
        <f t="shared" si="0"/>
        <v>Sindhu Sharma</v>
      </c>
      <c r="C49" s="29" t="str">
        <f t="shared" si="1"/>
        <v>Arun Mukherjee</v>
      </c>
      <c r="D49" s="29" t="str">
        <f t="shared" si="2"/>
        <v>Data &amp; Analytics</v>
      </c>
      <c r="E49" s="30" t="str">
        <f t="shared" si="3"/>
        <v>L3</v>
      </c>
      <c r="F49" s="30" t="str">
        <f t="shared" si="4"/>
        <v>Active</v>
      </c>
      <c r="G49" s="22">
        <v>4</v>
      </c>
      <c r="H49" t="str">
        <f t="shared" si="5"/>
        <v>Exceeds Expectations</v>
      </c>
      <c r="I49" s="22">
        <v>4</v>
      </c>
      <c r="J49" s="22" t="str">
        <f t="shared" si="6"/>
        <v>Stable</v>
      </c>
      <c r="K49" s="31">
        <v>0.91</v>
      </c>
      <c r="L49" s="24">
        <v>3</v>
      </c>
      <c r="M49" s="22" t="s">
        <v>61</v>
      </c>
      <c r="N49" s="22" t="str">
        <f t="shared" si="7"/>
        <v>High</v>
      </c>
      <c r="O49" t="str">
        <f>INDEX(NineBox,MATCH(N49,{"Low","Mid","High"},0),MATCH(M49,{"Low","Medium","High"},0))</f>
        <v>Star</v>
      </c>
      <c r="P49" s="28">
        <v>45937</v>
      </c>
      <c r="Q49" s="24">
        <f t="shared" si="8"/>
        <v>0.98015058179329229</v>
      </c>
      <c r="R49" s="22" t="str">
        <f t="shared" si="9"/>
        <v>Not Eligible</v>
      </c>
      <c r="S49" t="str">
        <f t="shared" si="10"/>
        <v>Under 1.5 yrs in current level</v>
      </c>
      <c r="T49" s="22" t="s">
        <v>1687</v>
      </c>
    </row>
    <row r="50" spans="1:20" x14ac:dyDescent="0.3">
      <c r="A50" s="22" t="s">
        <v>218</v>
      </c>
      <c r="B50" s="29" t="str">
        <f t="shared" si="0"/>
        <v>Ajay Kumar</v>
      </c>
      <c r="C50" s="29" t="str">
        <f t="shared" si="1"/>
        <v>Imran Mishra</v>
      </c>
      <c r="D50" s="29" t="str">
        <f t="shared" si="2"/>
        <v>Operations</v>
      </c>
      <c r="E50" s="30" t="str">
        <f t="shared" si="3"/>
        <v>L5</v>
      </c>
      <c r="F50" s="30" t="str">
        <f t="shared" si="4"/>
        <v>Active</v>
      </c>
      <c r="G50" s="22">
        <v>4</v>
      </c>
      <c r="H50" t="str">
        <f t="shared" si="5"/>
        <v>Exceeds Expectations</v>
      </c>
      <c r="I50" s="22">
        <v>5</v>
      </c>
      <c r="J50" s="22" t="str">
        <f t="shared" si="6"/>
        <v>Declined</v>
      </c>
      <c r="K50" s="31">
        <v>0.95</v>
      </c>
      <c r="L50" s="24">
        <v>3.7</v>
      </c>
      <c r="M50" s="22" t="s">
        <v>61</v>
      </c>
      <c r="N50" s="22" t="str">
        <f t="shared" si="7"/>
        <v>High</v>
      </c>
      <c r="O50" t="str">
        <f>INDEX(NineBox,MATCH(N50,{"Low","Mid","High"},0),MATCH(M50,{"Low","Medium","High"},0))</f>
        <v>Star</v>
      </c>
      <c r="P50" s="28">
        <v>44306</v>
      </c>
      <c r="Q50" s="24">
        <f t="shared" si="8"/>
        <v>5.4455852156057496</v>
      </c>
      <c r="R50" s="22" t="str">
        <f t="shared" si="9"/>
        <v>Eligible</v>
      </c>
      <c r="S50" t="str">
        <f t="shared" si="10"/>
        <v>Meets rating and time-in-level criteria</v>
      </c>
      <c r="T50" s="22" t="s">
        <v>1687</v>
      </c>
    </row>
    <row r="51" spans="1:20" x14ac:dyDescent="0.3">
      <c r="A51" s="22" t="s">
        <v>328</v>
      </c>
      <c r="B51" s="29" t="str">
        <f t="shared" si="0"/>
        <v>Harini Choudhary</v>
      </c>
      <c r="C51" s="29" t="str">
        <f t="shared" si="1"/>
        <v>Vikas Singh</v>
      </c>
      <c r="D51" s="29" t="str">
        <f t="shared" si="2"/>
        <v>Engineering</v>
      </c>
      <c r="E51" s="30" t="str">
        <f t="shared" si="3"/>
        <v>L4</v>
      </c>
      <c r="F51" s="30" t="str">
        <f t="shared" si="4"/>
        <v>Active</v>
      </c>
      <c r="G51" s="22">
        <v>3</v>
      </c>
      <c r="H51" t="str">
        <f t="shared" si="5"/>
        <v>Meets Expectations</v>
      </c>
      <c r="I51" s="22">
        <v>3</v>
      </c>
      <c r="J51" s="22" t="str">
        <f t="shared" si="6"/>
        <v>Stable</v>
      </c>
      <c r="K51" s="31">
        <v>0.79</v>
      </c>
      <c r="L51" s="24">
        <v>2.8</v>
      </c>
      <c r="M51" s="22" t="s">
        <v>60</v>
      </c>
      <c r="N51" s="22" t="str">
        <f t="shared" si="7"/>
        <v>Mid</v>
      </c>
      <c r="O51" t="str">
        <f>INDEX(NineBox,MATCH(N51,{"Low","Mid","High"},0),MATCH(M51,{"Low","Medium","High"},0))</f>
        <v>Core Player</v>
      </c>
      <c r="P51" s="28">
        <v>44941</v>
      </c>
      <c r="Q51" s="24">
        <f t="shared" si="8"/>
        <v>3.7070499657768652</v>
      </c>
      <c r="R51" s="22" t="str">
        <f t="shared" si="9"/>
        <v>Not Eligible</v>
      </c>
      <c r="S51" t="str">
        <f t="shared" si="10"/>
        <v>Rating below 4</v>
      </c>
      <c r="T51" s="22" t="s">
        <v>1687</v>
      </c>
    </row>
    <row r="52" spans="1:20" x14ac:dyDescent="0.3">
      <c r="A52" s="22" t="s">
        <v>231</v>
      </c>
      <c r="B52" s="29" t="str">
        <f t="shared" si="0"/>
        <v>Joseph Varghese</v>
      </c>
      <c r="C52" s="29" t="str">
        <f t="shared" si="1"/>
        <v>Akash Bansal</v>
      </c>
      <c r="D52" s="29" t="str">
        <f t="shared" si="2"/>
        <v>Sales</v>
      </c>
      <c r="E52" s="30" t="str">
        <f t="shared" si="3"/>
        <v>L6</v>
      </c>
      <c r="F52" s="30" t="str">
        <f t="shared" si="4"/>
        <v>Active</v>
      </c>
      <c r="G52" s="22">
        <v>1</v>
      </c>
      <c r="H52" t="str">
        <f t="shared" si="5"/>
        <v>Unsatisfactory</v>
      </c>
      <c r="I52" s="22">
        <v>1</v>
      </c>
      <c r="J52" s="22" t="str">
        <f t="shared" si="6"/>
        <v>Stable</v>
      </c>
      <c r="K52" s="31">
        <v>0.53</v>
      </c>
      <c r="L52" s="24">
        <v>1</v>
      </c>
      <c r="M52" s="22" t="s">
        <v>59</v>
      </c>
      <c r="N52" s="22" t="str">
        <f t="shared" si="7"/>
        <v>Low</v>
      </c>
      <c r="O52" t="str">
        <f>INDEX(NineBox,MATCH(N52,{"Low","Mid","High"},0),MATCH(M52,{"Low","Medium","High"},0))</f>
        <v>Underperformer</v>
      </c>
      <c r="P52" s="28">
        <v>44323</v>
      </c>
      <c r="Q52" s="24">
        <f t="shared" si="8"/>
        <v>5.3990417522245036</v>
      </c>
      <c r="R52" s="22" t="str">
        <f t="shared" si="9"/>
        <v>Not Eligible</v>
      </c>
      <c r="S52" t="str">
        <f t="shared" si="10"/>
        <v>Rating below 4</v>
      </c>
      <c r="T52" s="22" t="s">
        <v>1687</v>
      </c>
    </row>
    <row r="53" spans="1:20" x14ac:dyDescent="0.3">
      <c r="A53" s="22" t="s">
        <v>332</v>
      </c>
      <c r="B53" s="29" t="str">
        <f t="shared" si="0"/>
        <v>Siddharth Mehta</v>
      </c>
      <c r="C53" s="29" t="str">
        <f t="shared" si="1"/>
        <v>Vikas Singh</v>
      </c>
      <c r="D53" s="29" t="str">
        <f t="shared" si="2"/>
        <v>Engineering</v>
      </c>
      <c r="E53" s="30" t="str">
        <f t="shared" si="3"/>
        <v>L3</v>
      </c>
      <c r="F53" s="30" t="str">
        <f t="shared" si="4"/>
        <v>Exited</v>
      </c>
      <c r="G53" s="22">
        <v>3</v>
      </c>
      <c r="H53" t="str">
        <f t="shared" si="5"/>
        <v>Meets Expectations</v>
      </c>
      <c r="I53" s="22">
        <v>4</v>
      </c>
      <c r="J53" s="22" t="str">
        <f t="shared" si="6"/>
        <v>Declined</v>
      </c>
      <c r="K53" s="31">
        <v>0.81</v>
      </c>
      <c r="L53" s="24">
        <v>3.5</v>
      </c>
      <c r="M53" s="22" t="s">
        <v>60</v>
      </c>
      <c r="N53" s="22" t="str">
        <f t="shared" si="7"/>
        <v>Mid</v>
      </c>
      <c r="O53" t="str">
        <f>INDEX(NineBox,MATCH(N53,{"Low","Mid","High"},0),MATCH(M53,{"Low","Medium","High"},0))</f>
        <v>Core Player</v>
      </c>
      <c r="P53" s="28">
        <v>45129</v>
      </c>
      <c r="Q53" s="24">
        <f t="shared" si="8"/>
        <v>3.1923340177960302</v>
      </c>
      <c r="R53" s="22" t="str">
        <f t="shared" si="9"/>
        <v>Not Eligible</v>
      </c>
      <c r="S53" t="str">
        <f t="shared" si="10"/>
        <v>Employee has exited</v>
      </c>
      <c r="T53" s="22" t="s">
        <v>1687</v>
      </c>
    </row>
    <row r="54" spans="1:20" x14ac:dyDescent="0.3">
      <c r="A54" s="22" t="s">
        <v>335</v>
      </c>
      <c r="B54" s="29" t="str">
        <f t="shared" si="0"/>
        <v>Dev Jain</v>
      </c>
      <c r="C54" s="29" t="str">
        <f t="shared" si="1"/>
        <v>Kavya Krishnan</v>
      </c>
      <c r="D54" s="29" t="str">
        <f t="shared" si="2"/>
        <v>Sales</v>
      </c>
      <c r="E54" s="30" t="str">
        <f t="shared" si="3"/>
        <v>L3</v>
      </c>
      <c r="F54" s="30" t="str">
        <f t="shared" si="4"/>
        <v>Active</v>
      </c>
      <c r="G54" s="22">
        <v>5</v>
      </c>
      <c r="H54" t="str">
        <f t="shared" si="5"/>
        <v>Outstanding</v>
      </c>
      <c r="I54" s="22">
        <v>4</v>
      </c>
      <c r="J54" s="22" t="str">
        <f t="shared" si="6"/>
        <v>Improved</v>
      </c>
      <c r="K54" s="31">
        <v>0.94</v>
      </c>
      <c r="L54" s="24">
        <v>5</v>
      </c>
      <c r="M54" s="22" t="s">
        <v>60</v>
      </c>
      <c r="N54" s="22" t="str">
        <f t="shared" si="7"/>
        <v>High</v>
      </c>
      <c r="O54" t="str">
        <f>INDEX(NineBox,MATCH(N54,{"Low","Mid","High"},0),MATCH(M54,{"Low","Medium","High"},0))</f>
        <v>High Performer</v>
      </c>
      <c r="P54" s="28">
        <v>44345</v>
      </c>
      <c r="Q54" s="24">
        <f t="shared" si="8"/>
        <v>5.3388090349075972</v>
      </c>
      <c r="R54" s="22" t="str">
        <f t="shared" si="9"/>
        <v>Eligible</v>
      </c>
      <c r="S54" t="str">
        <f t="shared" si="10"/>
        <v>Meets rating and time-in-level criteria</v>
      </c>
      <c r="T54" s="22" t="s">
        <v>1687</v>
      </c>
    </row>
    <row r="55" spans="1:20" x14ac:dyDescent="0.3">
      <c r="A55" s="22" t="s">
        <v>340</v>
      </c>
      <c r="B55" s="29" t="str">
        <f t="shared" si="0"/>
        <v>Ritu Patel</v>
      </c>
      <c r="C55" s="29" t="str">
        <f t="shared" si="1"/>
        <v>Ajay Kumar</v>
      </c>
      <c r="D55" s="29" t="str">
        <f t="shared" si="2"/>
        <v>Operations</v>
      </c>
      <c r="E55" s="30" t="str">
        <f t="shared" si="3"/>
        <v>L3</v>
      </c>
      <c r="F55" s="30" t="str">
        <f t="shared" si="4"/>
        <v>Active</v>
      </c>
      <c r="G55" s="22">
        <v>4</v>
      </c>
      <c r="H55" t="str">
        <f t="shared" si="5"/>
        <v>Exceeds Expectations</v>
      </c>
      <c r="I55" s="22">
        <v>3</v>
      </c>
      <c r="J55" s="22" t="str">
        <f t="shared" si="6"/>
        <v>Improved</v>
      </c>
      <c r="K55" s="31">
        <v>0.96</v>
      </c>
      <c r="L55" s="24">
        <v>3.6</v>
      </c>
      <c r="M55" s="22" t="s">
        <v>59</v>
      </c>
      <c r="N55" s="22" t="str">
        <f t="shared" si="7"/>
        <v>High</v>
      </c>
      <c r="O55" t="str">
        <f>INDEX(NineBox,MATCH(N55,{"Low","Mid","High"},0),MATCH(M55,{"Low","Medium","High"},0))</f>
        <v>Trusted Professional</v>
      </c>
      <c r="P55" s="28">
        <v>45337</v>
      </c>
      <c r="Q55" s="24">
        <f t="shared" si="8"/>
        <v>2.622861054072553</v>
      </c>
      <c r="R55" s="22" t="str">
        <f t="shared" si="9"/>
        <v>Eligible</v>
      </c>
      <c r="S55" t="str">
        <f t="shared" si="10"/>
        <v>Meets rating and time-in-level criteria</v>
      </c>
      <c r="T55" s="22" t="s">
        <v>1687</v>
      </c>
    </row>
    <row r="56" spans="1:20" x14ac:dyDescent="0.3">
      <c r="A56" s="22" t="s">
        <v>343</v>
      </c>
      <c r="B56" s="29" t="str">
        <f t="shared" si="0"/>
        <v>Sachin Iyer</v>
      </c>
      <c r="C56" s="29" t="str">
        <f t="shared" si="1"/>
        <v>Ashish Varghese</v>
      </c>
      <c r="D56" s="29" t="str">
        <f t="shared" si="2"/>
        <v>Customer Support</v>
      </c>
      <c r="E56" s="30" t="str">
        <f t="shared" si="3"/>
        <v>L3</v>
      </c>
      <c r="F56" s="30" t="str">
        <f t="shared" si="4"/>
        <v>Active</v>
      </c>
      <c r="G56" s="22">
        <v>3</v>
      </c>
      <c r="H56" t="str">
        <f t="shared" si="5"/>
        <v>Meets Expectations</v>
      </c>
      <c r="I56" s="22">
        <v>4</v>
      </c>
      <c r="J56" s="22" t="str">
        <f t="shared" si="6"/>
        <v>Declined</v>
      </c>
      <c r="K56" s="31">
        <v>0.92</v>
      </c>
      <c r="L56" s="24">
        <v>3.5</v>
      </c>
      <c r="M56" s="22" t="s">
        <v>60</v>
      </c>
      <c r="N56" s="22" t="str">
        <f t="shared" si="7"/>
        <v>Mid</v>
      </c>
      <c r="O56" t="str">
        <f>INDEX(NineBox,MATCH(N56,{"Low","Mid","High"},0),MATCH(M56,{"Low","Medium","High"},0))</f>
        <v>Core Player</v>
      </c>
      <c r="P56" s="28">
        <v>45792</v>
      </c>
      <c r="Q56" s="24">
        <f t="shared" si="8"/>
        <v>1.377138945927447</v>
      </c>
      <c r="R56" s="22" t="str">
        <f t="shared" si="9"/>
        <v>Not Eligible</v>
      </c>
      <c r="S56" t="str">
        <f t="shared" si="10"/>
        <v>Rating below 4</v>
      </c>
      <c r="T56" s="22" t="s">
        <v>1687</v>
      </c>
    </row>
    <row r="57" spans="1:20" x14ac:dyDescent="0.3">
      <c r="A57" s="22" t="s">
        <v>346</v>
      </c>
      <c r="B57" s="29" t="str">
        <f t="shared" si="0"/>
        <v>Pallavi Menon</v>
      </c>
      <c r="C57" s="29" t="str">
        <f t="shared" si="1"/>
        <v>Prakash Desai</v>
      </c>
      <c r="D57" s="29" t="str">
        <f t="shared" si="2"/>
        <v>Engineering</v>
      </c>
      <c r="E57" s="30" t="str">
        <f t="shared" si="3"/>
        <v>L3</v>
      </c>
      <c r="F57" s="30" t="str">
        <f t="shared" si="4"/>
        <v>Active</v>
      </c>
      <c r="G57" s="22">
        <v>3</v>
      </c>
      <c r="H57" t="str">
        <f t="shared" si="5"/>
        <v>Meets Expectations</v>
      </c>
      <c r="I57" s="22">
        <v>3</v>
      </c>
      <c r="J57" s="22" t="str">
        <f t="shared" si="6"/>
        <v>Stable</v>
      </c>
      <c r="K57" s="31">
        <v>0.71</v>
      </c>
      <c r="L57" s="24">
        <v>2.8</v>
      </c>
      <c r="M57" s="22" t="s">
        <v>60</v>
      </c>
      <c r="N57" s="22" t="str">
        <f t="shared" si="7"/>
        <v>Mid</v>
      </c>
      <c r="O57" t="str">
        <f>INDEX(NineBox,MATCH(N57,{"Low","Mid","High"},0),MATCH(M57,{"Low","Medium","High"},0))</f>
        <v>Core Player</v>
      </c>
      <c r="P57" s="28">
        <v>44353</v>
      </c>
      <c r="Q57" s="24">
        <f t="shared" si="8"/>
        <v>5.3169062286105406</v>
      </c>
      <c r="R57" s="22" t="str">
        <f t="shared" si="9"/>
        <v>Not Eligible</v>
      </c>
      <c r="S57" t="str">
        <f t="shared" si="10"/>
        <v>Rating below 4</v>
      </c>
      <c r="T57" s="22" t="s">
        <v>1687</v>
      </c>
    </row>
    <row r="58" spans="1:20" x14ac:dyDescent="0.3">
      <c r="A58" s="22" t="s">
        <v>351</v>
      </c>
      <c r="B58" s="29" t="str">
        <f t="shared" si="0"/>
        <v>Imran Jain</v>
      </c>
      <c r="C58" s="29" t="str">
        <f t="shared" si="1"/>
        <v>Tejaswini Hegde</v>
      </c>
      <c r="D58" s="29" t="str">
        <f t="shared" si="2"/>
        <v>Engineering</v>
      </c>
      <c r="E58" s="30" t="str">
        <f t="shared" si="3"/>
        <v>L3</v>
      </c>
      <c r="F58" s="30" t="str">
        <f t="shared" si="4"/>
        <v>Active</v>
      </c>
      <c r="G58" s="22">
        <v>4</v>
      </c>
      <c r="H58" t="str">
        <f t="shared" si="5"/>
        <v>Exceeds Expectations</v>
      </c>
      <c r="I58" s="22">
        <v>4</v>
      </c>
      <c r="J58" s="22" t="str">
        <f t="shared" si="6"/>
        <v>Stable</v>
      </c>
      <c r="K58" s="31">
        <v>0.97</v>
      </c>
      <c r="L58" s="24">
        <v>3.8</v>
      </c>
      <c r="M58" s="22" t="s">
        <v>60</v>
      </c>
      <c r="N58" s="22" t="str">
        <f t="shared" si="7"/>
        <v>High</v>
      </c>
      <c r="O58" t="str">
        <f>INDEX(NineBox,MATCH(N58,{"Low","Mid","High"},0),MATCH(M58,{"Low","Medium","High"},0))</f>
        <v>High Performer</v>
      </c>
      <c r="P58" s="28">
        <v>45410</v>
      </c>
      <c r="Q58" s="24">
        <f t="shared" si="8"/>
        <v>2.4229979466119098</v>
      </c>
      <c r="R58" s="22" t="str">
        <f t="shared" si="9"/>
        <v>Eligible</v>
      </c>
      <c r="S58" t="str">
        <f t="shared" si="10"/>
        <v>Meets rating and time-in-level criteria</v>
      </c>
      <c r="T58" s="22" t="s">
        <v>1687</v>
      </c>
    </row>
    <row r="59" spans="1:20" x14ac:dyDescent="0.3">
      <c r="A59" s="22" t="s">
        <v>354</v>
      </c>
      <c r="B59" s="29" t="str">
        <f t="shared" si="0"/>
        <v>Amit Gupta</v>
      </c>
      <c r="C59" s="29" t="str">
        <f t="shared" si="1"/>
        <v>Fatima Choudhary</v>
      </c>
      <c r="D59" s="29" t="str">
        <f t="shared" si="2"/>
        <v>Engineering</v>
      </c>
      <c r="E59" s="30" t="str">
        <f t="shared" si="3"/>
        <v>L4</v>
      </c>
      <c r="F59" s="30" t="str">
        <f t="shared" si="4"/>
        <v>Active</v>
      </c>
      <c r="G59" s="22">
        <v>3</v>
      </c>
      <c r="H59" t="str">
        <f t="shared" si="5"/>
        <v>Meets Expectations</v>
      </c>
      <c r="I59" s="22">
        <v>4</v>
      </c>
      <c r="J59" s="22" t="str">
        <f t="shared" si="6"/>
        <v>Declined</v>
      </c>
      <c r="K59" s="31">
        <v>0.74</v>
      </c>
      <c r="L59" s="24">
        <v>3.2</v>
      </c>
      <c r="M59" s="22" t="s">
        <v>60</v>
      </c>
      <c r="N59" s="22" t="str">
        <f t="shared" si="7"/>
        <v>Mid</v>
      </c>
      <c r="O59" t="str">
        <f>INDEX(NineBox,MATCH(N59,{"Low","Mid","High"},0),MATCH(M59,{"Low","Medium","High"},0))</f>
        <v>Core Player</v>
      </c>
      <c r="P59" s="28">
        <v>44366</v>
      </c>
      <c r="Q59" s="24">
        <f t="shared" si="8"/>
        <v>5.2813141683778237</v>
      </c>
      <c r="R59" s="22" t="str">
        <f t="shared" si="9"/>
        <v>Not Eligible</v>
      </c>
      <c r="S59" t="str">
        <f t="shared" si="10"/>
        <v>Rating below 4</v>
      </c>
      <c r="T59" s="22" t="s">
        <v>1687</v>
      </c>
    </row>
    <row r="60" spans="1:20" x14ac:dyDescent="0.3">
      <c r="A60" s="22" t="s">
        <v>357</v>
      </c>
      <c r="B60" s="29" t="str">
        <f t="shared" si="0"/>
        <v>Fatima Kulkarni</v>
      </c>
      <c r="C60" s="29" t="str">
        <f t="shared" si="1"/>
        <v>Vikas Singh</v>
      </c>
      <c r="D60" s="29" t="str">
        <f t="shared" si="2"/>
        <v>Engineering</v>
      </c>
      <c r="E60" s="30" t="str">
        <f t="shared" si="3"/>
        <v>L4</v>
      </c>
      <c r="F60" s="30" t="str">
        <f t="shared" si="4"/>
        <v>Exited</v>
      </c>
      <c r="G60" s="22">
        <v>3</v>
      </c>
      <c r="H60" t="str">
        <f t="shared" si="5"/>
        <v>Meets Expectations</v>
      </c>
      <c r="I60" s="22">
        <v>3</v>
      </c>
      <c r="J60" s="22" t="str">
        <f t="shared" si="6"/>
        <v>Stable</v>
      </c>
      <c r="K60" s="31">
        <v>0.84</v>
      </c>
      <c r="L60" s="24">
        <v>2.6</v>
      </c>
      <c r="M60" s="22" t="s">
        <v>60</v>
      </c>
      <c r="N60" s="22" t="str">
        <f t="shared" si="7"/>
        <v>Mid</v>
      </c>
      <c r="O60" t="str">
        <f>INDEX(NineBox,MATCH(N60,{"Low","Mid","High"},0),MATCH(M60,{"Low","Medium","High"},0))</f>
        <v>Core Player</v>
      </c>
      <c r="P60" s="28">
        <v>45499</v>
      </c>
      <c r="Q60" s="24">
        <f t="shared" si="8"/>
        <v>2.1793292265571527</v>
      </c>
      <c r="R60" s="22" t="str">
        <f t="shared" si="9"/>
        <v>Not Eligible</v>
      </c>
      <c r="S60" t="str">
        <f t="shared" si="10"/>
        <v>Employee has exited</v>
      </c>
      <c r="T60" s="22" t="s">
        <v>1687</v>
      </c>
    </row>
    <row r="61" spans="1:20" x14ac:dyDescent="0.3">
      <c r="A61" s="22" t="s">
        <v>314</v>
      </c>
      <c r="B61" s="29" t="str">
        <f t="shared" si="0"/>
        <v>Isha Jain</v>
      </c>
      <c r="C61" s="29" t="str">
        <f t="shared" si="1"/>
        <v>Vikram Verma</v>
      </c>
      <c r="D61" s="29" t="str">
        <f t="shared" si="2"/>
        <v>Engineering</v>
      </c>
      <c r="E61" s="30" t="str">
        <f t="shared" si="3"/>
        <v>L5</v>
      </c>
      <c r="F61" s="30" t="str">
        <f t="shared" si="4"/>
        <v>Active</v>
      </c>
      <c r="G61" s="22">
        <v>5</v>
      </c>
      <c r="H61" t="str">
        <f t="shared" si="5"/>
        <v>Outstanding</v>
      </c>
      <c r="I61" s="22">
        <v>5</v>
      </c>
      <c r="J61" s="22" t="str">
        <f t="shared" si="6"/>
        <v>Stable</v>
      </c>
      <c r="K61" s="31">
        <v>0.99</v>
      </c>
      <c r="L61" s="24">
        <v>5</v>
      </c>
      <c r="M61" s="22" t="s">
        <v>61</v>
      </c>
      <c r="N61" s="22" t="str">
        <f t="shared" si="7"/>
        <v>High</v>
      </c>
      <c r="O61" t="str">
        <f>INDEX(NineBox,MATCH(N61,{"Low","Mid","High"},0),MATCH(M61,{"Low","Medium","High"},0))</f>
        <v>Star</v>
      </c>
      <c r="P61" s="28">
        <v>44812</v>
      </c>
      <c r="Q61" s="24">
        <f t="shared" si="8"/>
        <v>4.0602327173169064</v>
      </c>
      <c r="R61" s="22" t="str">
        <f t="shared" si="9"/>
        <v>Eligible</v>
      </c>
      <c r="S61" t="str">
        <f t="shared" si="10"/>
        <v>Meets rating and time-in-level criteria</v>
      </c>
      <c r="T61" s="22" t="s">
        <v>1688</v>
      </c>
    </row>
    <row r="62" spans="1:20" x14ac:dyDescent="0.3">
      <c r="A62" s="22" t="s">
        <v>363</v>
      </c>
      <c r="B62" s="29" t="str">
        <f t="shared" si="0"/>
        <v>Sowmya Mishra</v>
      </c>
      <c r="C62" s="29" t="str">
        <f t="shared" si="1"/>
        <v>Ankit Khanna</v>
      </c>
      <c r="D62" s="29" t="str">
        <f t="shared" si="2"/>
        <v>Operations</v>
      </c>
      <c r="E62" s="30" t="str">
        <f t="shared" si="3"/>
        <v>L3</v>
      </c>
      <c r="F62" s="30" t="str">
        <f t="shared" si="4"/>
        <v>Active</v>
      </c>
      <c r="G62" s="22">
        <v>3</v>
      </c>
      <c r="H62" t="str">
        <f t="shared" si="5"/>
        <v>Meets Expectations</v>
      </c>
      <c r="I62" s="22">
        <v>4</v>
      </c>
      <c r="J62" s="22" t="str">
        <f t="shared" si="6"/>
        <v>Declined</v>
      </c>
      <c r="K62" s="31">
        <v>0.92</v>
      </c>
      <c r="L62" s="24">
        <v>3.8</v>
      </c>
      <c r="M62" s="22" t="s">
        <v>59</v>
      </c>
      <c r="N62" s="22" t="str">
        <f t="shared" si="7"/>
        <v>Mid</v>
      </c>
      <c r="O62" t="str">
        <f>INDEX(NineBox,MATCH(N62,{"Low","Mid","High"},0),MATCH(M62,{"Low","Medium","High"},0))</f>
        <v>Effective Contributor</v>
      </c>
      <c r="P62" s="28">
        <v>44379</v>
      </c>
      <c r="Q62" s="24">
        <f t="shared" si="8"/>
        <v>5.245722108145106</v>
      </c>
      <c r="R62" s="22" t="str">
        <f t="shared" si="9"/>
        <v>Not Eligible</v>
      </c>
      <c r="S62" t="str">
        <f t="shared" si="10"/>
        <v>Rating below 4</v>
      </c>
      <c r="T62" s="22" t="s">
        <v>1687</v>
      </c>
    </row>
    <row r="63" spans="1:20" x14ac:dyDescent="0.3">
      <c r="A63" s="22" t="s">
        <v>366</v>
      </c>
      <c r="B63" s="29" t="str">
        <f t="shared" si="0"/>
        <v>Mohit Kapoor</v>
      </c>
      <c r="C63" s="29" t="str">
        <f t="shared" si="1"/>
        <v>Isha Jain</v>
      </c>
      <c r="D63" s="29" t="str">
        <f t="shared" si="2"/>
        <v>Engineering</v>
      </c>
      <c r="E63" s="30" t="str">
        <f t="shared" si="3"/>
        <v>L4</v>
      </c>
      <c r="F63" s="30" t="str">
        <f t="shared" si="4"/>
        <v>Active</v>
      </c>
      <c r="G63" s="22">
        <v>3</v>
      </c>
      <c r="H63" t="str">
        <f t="shared" si="5"/>
        <v>Meets Expectations</v>
      </c>
      <c r="I63" s="22">
        <v>3</v>
      </c>
      <c r="J63" s="22" t="str">
        <f t="shared" si="6"/>
        <v>Stable</v>
      </c>
      <c r="K63" s="31">
        <v>0.89</v>
      </c>
      <c r="L63" s="24">
        <v>2.7</v>
      </c>
      <c r="M63" s="22" t="s">
        <v>60</v>
      </c>
      <c r="N63" s="22" t="str">
        <f t="shared" si="7"/>
        <v>Mid</v>
      </c>
      <c r="O63" t="str">
        <f>INDEX(NineBox,MATCH(N63,{"Low","Mid","High"},0),MATCH(M63,{"Low","Medium","High"},0))</f>
        <v>Core Player</v>
      </c>
      <c r="P63" s="28">
        <v>44387</v>
      </c>
      <c r="Q63" s="24">
        <f t="shared" si="8"/>
        <v>5.2238193018480494</v>
      </c>
      <c r="R63" s="22" t="str">
        <f t="shared" si="9"/>
        <v>Not Eligible</v>
      </c>
      <c r="S63" t="str">
        <f t="shared" si="10"/>
        <v>Rating below 4</v>
      </c>
      <c r="T63" s="22" t="s">
        <v>1687</v>
      </c>
    </row>
    <row r="64" spans="1:20" x14ac:dyDescent="0.3">
      <c r="A64" s="22" t="s">
        <v>369</v>
      </c>
      <c r="B64" s="29" t="str">
        <f t="shared" si="0"/>
        <v>Akash Mukherjee</v>
      </c>
      <c r="C64" s="29" t="str">
        <f t="shared" si="1"/>
        <v>Bhavana Hegde</v>
      </c>
      <c r="D64" s="29" t="str">
        <f t="shared" si="2"/>
        <v>Engineering</v>
      </c>
      <c r="E64" s="30" t="str">
        <f t="shared" si="3"/>
        <v>L3</v>
      </c>
      <c r="F64" s="30" t="str">
        <f t="shared" si="4"/>
        <v>Exited</v>
      </c>
      <c r="G64" s="22">
        <v>3</v>
      </c>
      <c r="H64" t="str">
        <f t="shared" si="5"/>
        <v>Meets Expectations</v>
      </c>
      <c r="I64" s="22">
        <v>3</v>
      </c>
      <c r="J64" s="22" t="str">
        <f t="shared" si="6"/>
        <v>Stable</v>
      </c>
      <c r="K64" s="31">
        <v>0.86</v>
      </c>
      <c r="L64" s="24">
        <v>3.4</v>
      </c>
      <c r="M64" s="22" t="s">
        <v>60</v>
      </c>
      <c r="N64" s="22" t="str">
        <f t="shared" si="7"/>
        <v>Mid</v>
      </c>
      <c r="O64" t="str">
        <f>INDEX(NineBox,MATCH(N64,{"Low","Mid","High"},0),MATCH(M64,{"Low","Medium","High"},0))</f>
        <v>Core Player</v>
      </c>
      <c r="P64" s="28">
        <v>45375</v>
      </c>
      <c r="Q64" s="24">
        <f t="shared" si="8"/>
        <v>2.5188227241615331</v>
      </c>
      <c r="R64" s="22" t="str">
        <f t="shared" si="9"/>
        <v>Not Eligible</v>
      </c>
      <c r="S64" t="str">
        <f t="shared" si="10"/>
        <v>Employee has exited</v>
      </c>
      <c r="T64" s="22" t="s">
        <v>1687</v>
      </c>
    </row>
    <row r="65" spans="1:20" x14ac:dyDescent="0.3">
      <c r="A65" s="22" t="s">
        <v>372</v>
      </c>
      <c r="B65" s="29" t="str">
        <f t="shared" si="0"/>
        <v>Swathi Bose</v>
      </c>
      <c r="C65" s="29" t="str">
        <f t="shared" si="1"/>
        <v>Isha Jain</v>
      </c>
      <c r="D65" s="29" t="str">
        <f t="shared" si="2"/>
        <v>Engineering</v>
      </c>
      <c r="E65" s="30" t="str">
        <f t="shared" si="3"/>
        <v>L3</v>
      </c>
      <c r="F65" s="30" t="str">
        <f t="shared" si="4"/>
        <v>Active</v>
      </c>
      <c r="G65" s="22">
        <v>3</v>
      </c>
      <c r="H65" t="str">
        <f t="shared" si="5"/>
        <v>Meets Expectations</v>
      </c>
      <c r="I65" s="22">
        <v>3</v>
      </c>
      <c r="J65" s="22" t="str">
        <f t="shared" si="6"/>
        <v>Stable</v>
      </c>
      <c r="K65" s="31">
        <v>0.8</v>
      </c>
      <c r="L65" s="24">
        <v>2.2000000000000002</v>
      </c>
      <c r="M65" s="22" t="s">
        <v>60</v>
      </c>
      <c r="N65" s="22" t="str">
        <f t="shared" si="7"/>
        <v>Mid</v>
      </c>
      <c r="O65" t="str">
        <f>INDEX(NineBox,MATCH(N65,{"Low","Mid","High"},0),MATCH(M65,{"Low","Medium","High"},0))</f>
        <v>Core Player</v>
      </c>
      <c r="P65" s="28">
        <v>46179</v>
      </c>
      <c r="Q65" s="24">
        <f t="shared" si="8"/>
        <v>0.31759069130732376</v>
      </c>
      <c r="R65" s="22" t="str">
        <f t="shared" si="9"/>
        <v>Not Eligible</v>
      </c>
      <c r="S65" t="str">
        <f t="shared" si="10"/>
        <v>Rating below 4</v>
      </c>
      <c r="T65" s="22" t="s">
        <v>1687</v>
      </c>
    </row>
    <row r="66" spans="1:20" x14ac:dyDescent="0.3">
      <c r="A66" s="22" t="s">
        <v>375</v>
      </c>
      <c r="B66" s="29" t="str">
        <f t="shared" ref="B66:B129" si="11">INDEX(M_Name,MATCH($A66,M_ID,0))</f>
        <v>Rohit Iyer</v>
      </c>
      <c r="C66" s="29" t="str">
        <f t="shared" ref="C66:C129" si="12">INDEX(M_Mgr,MATCH($A66,M_ID,0))</f>
        <v>Pallavi Nair</v>
      </c>
      <c r="D66" s="29" t="str">
        <f t="shared" ref="D66:D129" si="13">INDEX(M_Dept,MATCH($A66,M_ID,0))</f>
        <v>Operations</v>
      </c>
      <c r="E66" s="30" t="str">
        <f t="shared" ref="E66:E129" si="14">INDEX(M_Level,MATCH($A66,M_ID,0))</f>
        <v>L3</v>
      </c>
      <c r="F66" s="30" t="str">
        <f t="shared" ref="F66:F129" si="15">INDEX(M_Status,MATCH($A66,M_ID,0))</f>
        <v>Active</v>
      </c>
      <c r="G66" s="22">
        <v>4</v>
      </c>
      <c r="H66" t="str">
        <f t="shared" ref="H66:H129" si="16">INDEX(RatingLbl,MATCH(G66,RatingNo,0))</f>
        <v>Exceeds Expectations</v>
      </c>
      <c r="I66" s="22">
        <v>3</v>
      </c>
      <c r="J66" s="22" t="str">
        <f t="shared" ref="J66:J129" si="17">IF(G66&gt;I66,"Improved",IF(G66&lt;I66,"Declined","Stable"))</f>
        <v>Improved</v>
      </c>
      <c r="K66" s="31">
        <v>0.87</v>
      </c>
      <c r="L66" s="24">
        <v>3.8</v>
      </c>
      <c r="M66" s="22" t="s">
        <v>61</v>
      </c>
      <c r="N66" s="22" t="str">
        <f t="shared" ref="N66:N129" si="18">IF(G66&gt;=4,"High",IF(G66=3,"Mid","Low"))</f>
        <v>High</v>
      </c>
      <c r="O66" t="str">
        <f>INDEX(NineBox,MATCH(N66,{"Low","Mid","High"},0),MATCH(M66,{"Low","Medium","High"},0))</f>
        <v>Star</v>
      </c>
      <c r="P66" s="28">
        <v>44435</v>
      </c>
      <c r="Q66" s="24">
        <f t="shared" ref="Q66:Q129" si="19">(AsOf-P66)/365.25</f>
        <v>5.0924024640657084</v>
      </c>
      <c r="R66" s="22" t="str">
        <f t="shared" ref="R66:R129" si="20">IF(F66="Exited","Not Eligible",IF(AND(G66&gt;=MinRating,Q66&gt;=MinYrs,VALUE(MID(E66,2,1))&lt;=MaxLvl),"Eligible","Not Eligible"))</f>
        <v>Eligible</v>
      </c>
      <c r="S66" t="str">
        <f t="shared" ref="S66:S129" si="21">IF(F66="Exited","Employee has exited",IF(R66="Eligible","Meets rating and time-in-level criteria",IF(VALUE(MID(E66,2,1))&gt;MaxLvl,"Already at top level",IF(G66&lt;MinRating,"Rating below "&amp;MinRating,"Under "&amp;MinYrs&amp;" yrs in current level"))))</f>
        <v>Meets rating and time-in-level criteria</v>
      </c>
      <c r="T66" s="22" t="s">
        <v>1687</v>
      </c>
    </row>
    <row r="67" spans="1:20" x14ac:dyDescent="0.3">
      <c r="A67" s="22" t="s">
        <v>380</v>
      </c>
      <c r="B67" s="29" t="str">
        <f t="shared" si="11"/>
        <v>Ajay Joshi</v>
      </c>
      <c r="C67" s="29" t="str">
        <f t="shared" si="12"/>
        <v>Nandini Fernandes</v>
      </c>
      <c r="D67" s="29" t="str">
        <f t="shared" si="13"/>
        <v>Operations</v>
      </c>
      <c r="E67" s="30" t="str">
        <f t="shared" si="14"/>
        <v>L4</v>
      </c>
      <c r="F67" s="30" t="str">
        <f t="shared" si="15"/>
        <v>Active</v>
      </c>
      <c r="G67" s="22">
        <v>2</v>
      </c>
      <c r="H67" t="str">
        <f t="shared" si="16"/>
        <v>Needs Improvement</v>
      </c>
      <c r="I67" s="22">
        <v>2</v>
      </c>
      <c r="J67" s="22" t="str">
        <f t="shared" si="17"/>
        <v>Stable</v>
      </c>
      <c r="K67" s="31">
        <v>0.6</v>
      </c>
      <c r="L67" s="24">
        <v>2.8</v>
      </c>
      <c r="M67" s="22" t="s">
        <v>59</v>
      </c>
      <c r="N67" s="22" t="str">
        <f t="shared" si="18"/>
        <v>Low</v>
      </c>
      <c r="O67" t="str">
        <f>INDEX(NineBox,MATCH(N67,{"Low","Mid","High"},0),MATCH(M67,{"Low","Medium","High"},0))</f>
        <v>Underperformer</v>
      </c>
      <c r="P67" s="28">
        <v>44436</v>
      </c>
      <c r="Q67" s="24">
        <f t="shared" si="19"/>
        <v>5.0896646132785763</v>
      </c>
      <c r="R67" s="22" t="str">
        <f t="shared" si="20"/>
        <v>Not Eligible</v>
      </c>
      <c r="S67" t="str">
        <f t="shared" si="21"/>
        <v>Rating below 4</v>
      </c>
      <c r="T67" s="22" t="s">
        <v>1687</v>
      </c>
    </row>
    <row r="68" spans="1:20" x14ac:dyDescent="0.3">
      <c r="A68" s="22" t="s">
        <v>271</v>
      </c>
      <c r="B68" s="29" t="str">
        <f t="shared" si="11"/>
        <v>Akash Bansal</v>
      </c>
      <c r="C68" s="29" t="str">
        <f t="shared" si="12"/>
        <v>Arvind Rao (CEO)</v>
      </c>
      <c r="D68" s="29" t="str">
        <f t="shared" si="13"/>
        <v>Sales</v>
      </c>
      <c r="E68" s="30" t="str">
        <f t="shared" si="14"/>
        <v>L7</v>
      </c>
      <c r="F68" s="30" t="str">
        <f t="shared" si="15"/>
        <v>Active</v>
      </c>
      <c r="G68" s="22">
        <v>3</v>
      </c>
      <c r="H68" t="str">
        <f t="shared" si="16"/>
        <v>Meets Expectations</v>
      </c>
      <c r="I68" s="22">
        <v>4</v>
      </c>
      <c r="J68" s="22" t="str">
        <f t="shared" si="17"/>
        <v>Declined</v>
      </c>
      <c r="K68" s="31">
        <v>0.91</v>
      </c>
      <c r="L68" s="24">
        <v>2.7</v>
      </c>
      <c r="M68" s="22" t="s">
        <v>60</v>
      </c>
      <c r="N68" s="22" t="str">
        <f t="shared" si="18"/>
        <v>Mid</v>
      </c>
      <c r="O68" t="str">
        <f>INDEX(NineBox,MATCH(N68,{"Low","Mid","High"},0),MATCH(M68,{"Low","Medium","High"},0))</f>
        <v>Core Player</v>
      </c>
      <c r="P68" s="28">
        <v>45880</v>
      </c>
      <c r="Q68" s="24">
        <f t="shared" si="19"/>
        <v>1.1362080766598219</v>
      </c>
      <c r="R68" s="22" t="str">
        <f t="shared" si="20"/>
        <v>Not Eligible</v>
      </c>
      <c r="S68" t="str">
        <f t="shared" si="21"/>
        <v>Already at top level</v>
      </c>
      <c r="T68" s="22" t="s">
        <v>1687</v>
      </c>
    </row>
    <row r="69" spans="1:20" x14ac:dyDescent="0.3">
      <c r="A69" s="22" t="s">
        <v>387</v>
      </c>
      <c r="B69" s="29" t="str">
        <f t="shared" si="11"/>
        <v>Pooja Mehta</v>
      </c>
      <c r="C69" s="29" t="str">
        <f t="shared" si="12"/>
        <v>Isha Verma</v>
      </c>
      <c r="D69" s="29" t="str">
        <f t="shared" si="13"/>
        <v>Customer Support</v>
      </c>
      <c r="E69" s="30" t="str">
        <f t="shared" si="14"/>
        <v>L4</v>
      </c>
      <c r="F69" s="30" t="str">
        <f t="shared" si="15"/>
        <v>Active</v>
      </c>
      <c r="G69" s="22">
        <v>3</v>
      </c>
      <c r="H69" t="str">
        <f t="shared" si="16"/>
        <v>Meets Expectations</v>
      </c>
      <c r="I69" s="22">
        <v>3</v>
      </c>
      <c r="J69" s="22" t="str">
        <f t="shared" si="17"/>
        <v>Stable</v>
      </c>
      <c r="K69" s="31">
        <v>0.75</v>
      </c>
      <c r="L69" s="24">
        <v>3.7</v>
      </c>
      <c r="M69" s="22" t="s">
        <v>59</v>
      </c>
      <c r="N69" s="22" t="str">
        <f t="shared" si="18"/>
        <v>Mid</v>
      </c>
      <c r="O69" t="str">
        <f>INDEX(NineBox,MATCH(N69,{"Low","Mid","High"},0),MATCH(M69,{"Low","Medium","High"},0))</f>
        <v>Effective Contributor</v>
      </c>
      <c r="P69" s="28">
        <v>44453</v>
      </c>
      <c r="Q69" s="24">
        <f t="shared" si="19"/>
        <v>5.0431211498973303</v>
      </c>
      <c r="R69" s="22" t="str">
        <f t="shared" si="20"/>
        <v>Not Eligible</v>
      </c>
      <c r="S69" t="str">
        <f t="shared" si="21"/>
        <v>Rating below 4</v>
      </c>
      <c r="T69" s="22" t="s">
        <v>1688</v>
      </c>
    </row>
    <row r="70" spans="1:20" x14ac:dyDescent="0.3">
      <c r="A70" s="22" t="s">
        <v>176</v>
      </c>
      <c r="B70" s="29" t="str">
        <f t="shared" si="11"/>
        <v>Akash Dsouza</v>
      </c>
      <c r="C70" s="29" t="str">
        <f t="shared" si="12"/>
        <v>Vikram Joshi</v>
      </c>
      <c r="D70" s="29" t="str">
        <f t="shared" si="13"/>
        <v>Customer Support</v>
      </c>
      <c r="E70" s="30" t="str">
        <f t="shared" si="14"/>
        <v>L6</v>
      </c>
      <c r="F70" s="30" t="str">
        <f t="shared" si="15"/>
        <v>Active</v>
      </c>
      <c r="G70" s="22">
        <v>5</v>
      </c>
      <c r="H70" t="str">
        <f t="shared" si="16"/>
        <v>Outstanding</v>
      </c>
      <c r="I70" s="22">
        <v>5</v>
      </c>
      <c r="J70" s="22" t="str">
        <f t="shared" si="17"/>
        <v>Stable</v>
      </c>
      <c r="K70" s="31">
        <v>1.02</v>
      </c>
      <c r="L70" s="24">
        <v>4.9000000000000004</v>
      </c>
      <c r="M70" s="22" t="s">
        <v>61</v>
      </c>
      <c r="N70" s="22" t="str">
        <f t="shared" si="18"/>
        <v>High</v>
      </c>
      <c r="O70" t="str">
        <f>INDEX(NineBox,MATCH(N70,{"Low","Mid","High"},0),MATCH(M70,{"Low","Medium","High"},0))</f>
        <v>Star</v>
      </c>
      <c r="P70" s="28">
        <v>44454</v>
      </c>
      <c r="Q70" s="24">
        <f t="shared" si="19"/>
        <v>5.0403832991101982</v>
      </c>
      <c r="R70" s="22" t="str">
        <f t="shared" si="20"/>
        <v>Eligible</v>
      </c>
      <c r="S70" t="str">
        <f t="shared" si="21"/>
        <v>Meets rating and time-in-level criteria</v>
      </c>
      <c r="T70" s="22" t="s">
        <v>1687</v>
      </c>
    </row>
    <row r="71" spans="1:20" x14ac:dyDescent="0.3">
      <c r="A71" s="22" t="s">
        <v>394</v>
      </c>
      <c r="B71" s="29" t="str">
        <f t="shared" si="11"/>
        <v>Naveen Mehta</v>
      </c>
      <c r="C71" s="29" t="str">
        <f t="shared" si="12"/>
        <v>Arun Mukherjee</v>
      </c>
      <c r="D71" s="29" t="str">
        <f t="shared" si="13"/>
        <v>Data &amp; Analytics</v>
      </c>
      <c r="E71" s="30" t="str">
        <f t="shared" si="14"/>
        <v>L3</v>
      </c>
      <c r="F71" s="30" t="str">
        <f t="shared" si="15"/>
        <v>Exited</v>
      </c>
      <c r="G71" s="22">
        <v>3</v>
      </c>
      <c r="H71" t="str">
        <f t="shared" si="16"/>
        <v>Meets Expectations</v>
      </c>
      <c r="I71" s="22">
        <v>3</v>
      </c>
      <c r="J71" s="22" t="str">
        <f t="shared" si="17"/>
        <v>Stable</v>
      </c>
      <c r="K71" s="31">
        <v>0.79</v>
      </c>
      <c r="L71" s="24">
        <v>2.9</v>
      </c>
      <c r="M71" s="22" t="s">
        <v>60</v>
      </c>
      <c r="N71" s="22" t="str">
        <f t="shared" si="18"/>
        <v>Mid</v>
      </c>
      <c r="O71" t="str">
        <f>INDEX(NineBox,MATCH(N71,{"Low","Mid","High"},0),MATCH(M71,{"Low","Medium","High"},0))</f>
        <v>Core Player</v>
      </c>
      <c r="P71" s="28">
        <v>45860</v>
      </c>
      <c r="Q71" s="24">
        <f t="shared" si="19"/>
        <v>1.1909650924024642</v>
      </c>
      <c r="R71" s="22" t="str">
        <f t="shared" si="20"/>
        <v>Not Eligible</v>
      </c>
      <c r="S71" t="str">
        <f t="shared" si="21"/>
        <v>Employee has exited</v>
      </c>
      <c r="T71" s="22" t="s">
        <v>1687</v>
      </c>
    </row>
    <row r="72" spans="1:20" x14ac:dyDescent="0.3">
      <c r="A72" s="22" t="s">
        <v>397</v>
      </c>
      <c r="B72" s="29" t="str">
        <f t="shared" si="11"/>
        <v>Varsha Siddiqui</v>
      </c>
      <c r="C72" s="29" t="str">
        <f t="shared" si="12"/>
        <v>Madhuri Menon</v>
      </c>
      <c r="D72" s="29" t="str">
        <f t="shared" si="13"/>
        <v>Engineering</v>
      </c>
      <c r="E72" s="30" t="str">
        <f t="shared" si="14"/>
        <v>L4</v>
      </c>
      <c r="F72" s="30" t="str">
        <f t="shared" si="15"/>
        <v>Active</v>
      </c>
      <c r="G72" s="22">
        <v>4</v>
      </c>
      <c r="H72" t="str">
        <f t="shared" si="16"/>
        <v>Exceeds Expectations</v>
      </c>
      <c r="I72" s="22">
        <v>4</v>
      </c>
      <c r="J72" s="22" t="str">
        <f t="shared" si="17"/>
        <v>Stable</v>
      </c>
      <c r="K72" s="31">
        <v>0.88</v>
      </c>
      <c r="L72" s="24">
        <v>4</v>
      </c>
      <c r="M72" s="22" t="s">
        <v>60</v>
      </c>
      <c r="N72" s="22" t="str">
        <f t="shared" si="18"/>
        <v>High</v>
      </c>
      <c r="O72" t="str">
        <f>INDEX(NineBox,MATCH(N72,{"Low","Mid","High"},0),MATCH(M72,{"Low","Medium","High"},0))</f>
        <v>High Performer</v>
      </c>
      <c r="P72" s="28">
        <v>44471</v>
      </c>
      <c r="Q72" s="24">
        <f t="shared" si="19"/>
        <v>4.9938398357289531</v>
      </c>
      <c r="R72" s="22" t="str">
        <f t="shared" si="20"/>
        <v>Eligible</v>
      </c>
      <c r="S72" t="str">
        <f t="shared" si="21"/>
        <v>Meets rating and time-in-level criteria</v>
      </c>
      <c r="T72" s="22" t="s">
        <v>1687</v>
      </c>
    </row>
    <row r="73" spans="1:20" x14ac:dyDescent="0.3">
      <c r="A73" s="22" t="s">
        <v>402</v>
      </c>
      <c r="B73" s="29" t="str">
        <f t="shared" si="11"/>
        <v>Rajesh Shah</v>
      </c>
      <c r="C73" s="29" t="str">
        <f t="shared" si="12"/>
        <v>Isha Chatterjee</v>
      </c>
      <c r="D73" s="29" t="str">
        <f t="shared" si="13"/>
        <v>Marketing</v>
      </c>
      <c r="E73" s="30" t="str">
        <f t="shared" si="14"/>
        <v>L4</v>
      </c>
      <c r="F73" s="30" t="str">
        <f t="shared" si="15"/>
        <v>Active</v>
      </c>
      <c r="G73" s="22">
        <v>5</v>
      </c>
      <c r="H73" t="str">
        <f t="shared" si="16"/>
        <v>Outstanding</v>
      </c>
      <c r="I73" s="22">
        <v>5</v>
      </c>
      <c r="J73" s="22" t="str">
        <f t="shared" si="17"/>
        <v>Stable</v>
      </c>
      <c r="K73" s="31">
        <v>1.05</v>
      </c>
      <c r="L73" s="24">
        <v>5</v>
      </c>
      <c r="M73" s="22" t="s">
        <v>61</v>
      </c>
      <c r="N73" s="22" t="str">
        <f t="shared" si="18"/>
        <v>High</v>
      </c>
      <c r="O73" t="str">
        <f>INDEX(NineBox,MATCH(N73,{"Low","Mid","High"},0),MATCH(M73,{"Low","Medium","High"},0))</f>
        <v>Star</v>
      </c>
      <c r="P73" s="28">
        <v>46017</v>
      </c>
      <c r="Q73" s="24">
        <f t="shared" si="19"/>
        <v>0.76112251882272419</v>
      </c>
      <c r="R73" s="22" t="str">
        <f t="shared" si="20"/>
        <v>Not Eligible</v>
      </c>
      <c r="S73" t="str">
        <f t="shared" si="21"/>
        <v>Under 1.5 yrs in current level</v>
      </c>
      <c r="T73" s="22" t="s">
        <v>1687</v>
      </c>
    </row>
    <row r="74" spans="1:20" x14ac:dyDescent="0.3">
      <c r="A74" s="22" t="s">
        <v>405</v>
      </c>
      <c r="B74" s="29" t="str">
        <f t="shared" si="11"/>
        <v>Vishal Ansari</v>
      </c>
      <c r="C74" s="29" t="str">
        <f t="shared" si="12"/>
        <v>Mansi Pillai</v>
      </c>
      <c r="D74" s="29" t="str">
        <f t="shared" si="13"/>
        <v>Product</v>
      </c>
      <c r="E74" s="30" t="str">
        <f t="shared" si="14"/>
        <v>L3</v>
      </c>
      <c r="F74" s="30" t="str">
        <f t="shared" si="15"/>
        <v>Active</v>
      </c>
      <c r="G74" s="22">
        <v>4</v>
      </c>
      <c r="H74" t="str">
        <f t="shared" si="16"/>
        <v>Exceeds Expectations</v>
      </c>
      <c r="I74" s="22">
        <v>4</v>
      </c>
      <c r="J74" s="22" t="str">
        <f t="shared" si="17"/>
        <v>Stable</v>
      </c>
      <c r="K74" s="31">
        <v>0.9</v>
      </c>
      <c r="L74" s="24">
        <v>4.2</v>
      </c>
      <c r="M74" s="22" t="s">
        <v>60</v>
      </c>
      <c r="N74" s="22" t="str">
        <f t="shared" si="18"/>
        <v>High</v>
      </c>
      <c r="O74" t="str">
        <f>INDEX(NineBox,MATCH(N74,{"Low","Mid","High"},0),MATCH(M74,{"Low","Medium","High"},0))</f>
        <v>High Performer</v>
      </c>
      <c r="P74" s="28">
        <v>44486</v>
      </c>
      <c r="Q74" s="24">
        <f t="shared" si="19"/>
        <v>4.9527720739219712</v>
      </c>
      <c r="R74" s="22" t="str">
        <f t="shared" si="20"/>
        <v>Eligible</v>
      </c>
      <c r="S74" t="str">
        <f t="shared" si="21"/>
        <v>Meets rating and time-in-level criteria</v>
      </c>
      <c r="T74" s="22" t="s">
        <v>1687</v>
      </c>
    </row>
    <row r="75" spans="1:20" x14ac:dyDescent="0.3">
      <c r="A75" s="22" t="s">
        <v>409</v>
      </c>
      <c r="B75" s="29" t="str">
        <f t="shared" si="11"/>
        <v>Mansi Reddy</v>
      </c>
      <c r="C75" s="29" t="str">
        <f t="shared" si="12"/>
        <v>Gayatri Tiwari</v>
      </c>
      <c r="D75" s="29" t="str">
        <f t="shared" si="13"/>
        <v>Sales</v>
      </c>
      <c r="E75" s="30" t="str">
        <f t="shared" si="14"/>
        <v>L3</v>
      </c>
      <c r="F75" s="30" t="str">
        <f t="shared" si="15"/>
        <v>Active</v>
      </c>
      <c r="G75" s="22">
        <v>2</v>
      </c>
      <c r="H75" t="str">
        <f t="shared" si="16"/>
        <v>Needs Improvement</v>
      </c>
      <c r="I75" s="22">
        <v>2</v>
      </c>
      <c r="J75" s="22" t="str">
        <f t="shared" si="17"/>
        <v>Stable</v>
      </c>
      <c r="K75" s="31">
        <v>0.51</v>
      </c>
      <c r="L75" s="24">
        <v>1</v>
      </c>
      <c r="M75" s="22" t="s">
        <v>59</v>
      </c>
      <c r="N75" s="22" t="str">
        <f t="shared" si="18"/>
        <v>Low</v>
      </c>
      <c r="O75" t="str">
        <f>INDEX(NineBox,MATCH(N75,{"Low","Mid","High"},0),MATCH(M75,{"Low","Medium","High"},0))</f>
        <v>Underperformer</v>
      </c>
      <c r="P75" s="28">
        <v>44943</v>
      </c>
      <c r="Q75" s="24">
        <f t="shared" si="19"/>
        <v>3.7015742642026011</v>
      </c>
      <c r="R75" s="22" t="str">
        <f t="shared" si="20"/>
        <v>Not Eligible</v>
      </c>
      <c r="S75" t="str">
        <f t="shared" si="21"/>
        <v>Rating below 4</v>
      </c>
      <c r="T75" s="22" t="s">
        <v>1687</v>
      </c>
    </row>
    <row r="76" spans="1:20" x14ac:dyDescent="0.3">
      <c r="A76" s="22" t="s">
        <v>412</v>
      </c>
      <c r="B76" s="29" t="str">
        <f t="shared" si="11"/>
        <v>Sandeep Gupta</v>
      </c>
      <c r="C76" s="29" t="str">
        <f t="shared" si="12"/>
        <v>Ramya Menon</v>
      </c>
      <c r="D76" s="29" t="str">
        <f t="shared" si="13"/>
        <v>Operations</v>
      </c>
      <c r="E76" s="30" t="str">
        <f t="shared" si="14"/>
        <v>L3</v>
      </c>
      <c r="F76" s="30" t="str">
        <f t="shared" si="15"/>
        <v>Active</v>
      </c>
      <c r="G76" s="22">
        <v>3</v>
      </c>
      <c r="H76" t="str">
        <f t="shared" si="16"/>
        <v>Meets Expectations</v>
      </c>
      <c r="I76" s="22">
        <v>3</v>
      </c>
      <c r="J76" s="22" t="str">
        <f t="shared" si="17"/>
        <v>Stable</v>
      </c>
      <c r="K76" s="31">
        <v>0.88</v>
      </c>
      <c r="L76" s="24">
        <v>3.7</v>
      </c>
      <c r="M76" s="22" t="s">
        <v>59</v>
      </c>
      <c r="N76" s="22" t="str">
        <f t="shared" si="18"/>
        <v>Mid</v>
      </c>
      <c r="O76" t="str">
        <f>INDEX(NineBox,MATCH(N76,{"Low","Mid","High"},0),MATCH(M76,{"Low","Medium","High"},0))</f>
        <v>Effective Contributor</v>
      </c>
      <c r="P76" s="28">
        <v>44503</v>
      </c>
      <c r="Q76" s="24">
        <f t="shared" si="19"/>
        <v>4.9062286105407251</v>
      </c>
      <c r="R76" s="22" t="str">
        <f t="shared" si="20"/>
        <v>Not Eligible</v>
      </c>
      <c r="S76" t="str">
        <f t="shared" si="21"/>
        <v>Rating below 4</v>
      </c>
      <c r="T76" s="22" t="s">
        <v>1687</v>
      </c>
    </row>
    <row r="77" spans="1:20" x14ac:dyDescent="0.3">
      <c r="A77" s="22" t="s">
        <v>417</v>
      </c>
      <c r="B77" s="29" t="str">
        <f t="shared" si="11"/>
        <v>Sneha Hegde</v>
      </c>
      <c r="C77" s="29" t="str">
        <f t="shared" si="12"/>
        <v>Harsh Siddiqui</v>
      </c>
      <c r="D77" s="29" t="str">
        <f t="shared" si="13"/>
        <v>Engineering</v>
      </c>
      <c r="E77" s="30" t="str">
        <f t="shared" si="14"/>
        <v>L3</v>
      </c>
      <c r="F77" s="30" t="str">
        <f t="shared" si="15"/>
        <v>Active</v>
      </c>
      <c r="G77" s="22">
        <v>4</v>
      </c>
      <c r="H77" t="str">
        <f t="shared" si="16"/>
        <v>Exceeds Expectations</v>
      </c>
      <c r="I77" s="22">
        <v>4</v>
      </c>
      <c r="J77" s="22" t="str">
        <f t="shared" si="17"/>
        <v>Stable</v>
      </c>
      <c r="K77" s="31">
        <v>1.03</v>
      </c>
      <c r="L77" s="24">
        <v>3.3</v>
      </c>
      <c r="M77" s="22" t="s">
        <v>59</v>
      </c>
      <c r="N77" s="22" t="str">
        <f t="shared" si="18"/>
        <v>High</v>
      </c>
      <c r="O77" t="str">
        <f>INDEX(NineBox,MATCH(N77,{"Low","Mid","High"},0),MATCH(M77,{"Low","Medium","High"},0))</f>
        <v>Trusted Professional</v>
      </c>
      <c r="P77" s="28">
        <v>44506</v>
      </c>
      <c r="Q77" s="24">
        <f t="shared" si="19"/>
        <v>4.8980150581793289</v>
      </c>
      <c r="R77" s="22" t="str">
        <f t="shared" si="20"/>
        <v>Eligible</v>
      </c>
      <c r="S77" t="str">
        <f t="shared" si="21"/>
        <v>Meets rating and time-in-level criteria</v>
      </c>
      <c r="T77" s="22" t="s">
        <v>1687</v>
      </c>
    </row>
    <row r="78" spans="1:20" x14ac:dyDescent="0.3">
      <c r="A78" s="22" t="s">
        <v>420</v>
      </c>
      <c r="B78" s="29" t="str">
        <f t="shared" si="11"/>
        <v>Kiran Chatterjee</v>
      </c>
      <c r="C78" s="29" t="str">
        <f t="shared" si="12"/>
        <v>Yash Shah</v>
      </c>
      <c r="D78" s="29" t="str">
        <f t="shared" si="13"/>
        <v>Operations</v>
      </c>
      <c r="E78" s="30" t="str">
        <f t="shared" si="14"/>
        <v>L3</v>
      </c>
      <c r="F78" s="30" t="str">
        <f t="shared" si="15"/>
        <v>Active</v>
      </c>
      <c r="G78" s="22">
        <v>3</v>
      </c>
      <c r="H78" t="str">
        <f t="shared" si="16"/>
        <v>Meets Expectations</v>
      </c>
      <c r="I78" s="22">
        <v>2</v>
      </c>
      <c r="J78" s="22" t="str">
        <f t="shared" si="17"/>
        <v>Improved</v>
      </c>
      <c r="K78" s="31">
        <v>0.75</v>
      </c>
      <c r="L78" s="24">
        <v>3.7</v>
      </c>
      <c r="M78" s="22" t="s">
        <v>60</v>
      </c>
      <c r="N78" s="22" t="str">
        <f t="shared" si="18"/>
        <v>Mid</v>
      </c>
      <c r="O78" t="str">
        <f>INDEX(NineBox,MATCH(N78,{"Low","Mid","High"},0),MATCH(M78,{"Low","Medium","High"},0))</f>
        <v>Core Player</v>
      </c>
      <c r="P78" s="28">
        <v>45405</v>
      </c>
      <c r="Q78" s="24">
        <f t="shared" si="19"/>
        <v>2.4366872005475702</v>
      </c>
      <c r="R78" s="22" t="str">
        <f t="shared" si="20"/>
        <v>Not Eligible</v>
      </c>
      <c r="S78" t="str">
        <f t="shared" si="21"/>
        <v>Rating below 4</v>
      </c>
      <c r="T78" s="22" t="s">
        <v>1687</v>
      </c>
    </row>
    <row r="79" spans="1:20" x14ac:dyDescent="0.3">
      <c r="A79" s="22" t="s">
        <v>423</v>
      </c>
      <c r="B79" s="29" t="str">
        <f t="shared" si="11"/>
        <v>Aishwarya Joshi</v>
      </c>
      <c r="C79" s="29" t="str">
        <f t="shared" si="12"/>
        <v>Karan Patel</v>
      </c>
      <c r="D79" s="29" t="str">
        <f t="shared" si="13"/>
        <v>Finance</v>
      </c>
      <c r="E79" s="30" t="str">
        <f t="shared" si="14"/>
        <v>L4</v>
      </c>
      <c r="F79" s="30" t="str">
        <f t="shared" si="15"/>
        <v>Active</v>
      </c>
      <c r="G79" s="22">
        <v>4</v>
      </c>
      <c r="H79" t="str">
        <f t="shared" si="16"/>
        <v>Exceeds Expectations</v>
      </c>
      <c r="I79" s="22">
        <v>4</v>
      </c>
      <c r="J79" s="22" t="str">
        <f t="shared" si="17"/>
        <v>Stable</v>
      </c>
      <c r="K79" s="31">
        <v>0.89</v>
      </c>
      <c r="L79" s="24">
        <v>3.3</v>
      </c>
      <c r="M79" s="22" t="s">
        <v>60</v>
      </c>
      <c r="N79" s="22" t="str">
        <f t="shared" si="18"/>
        <v>High</v>
      </c>
      <c r="O79" t="str">
        <f>INDEX(NineBox,MATCH(N79,{"Low","Mid","High"},0),MATCH(M79,{"Low","Medium","High"},0))</f>
        <v>High Performer</v>
      </c>
      <c r="P79" s="28">
        <v>44529</v>
      </c>
      <c r="Q79" s="24">
        <f t="shared" si="19"/>
        <v>4.8350444900752905</v>
      </c>
      <c r="R79" s="22" t="str">
        <f t="shared" si="20"/>
        <v>Eligible</v>
      </c>
      <c r="S79" t="str">
        <f t="shared" si="21"/>
        <v>Meets rating and time-in-level criteria</v>
      </c>
      <c r="T79" s="22" t="s">
        <v>1687</v>
      </c>
    </row>
    <row r="80" spans="1:20" x14ac:dyDescent="0.3">
      <c r="A80" s="22" t="s">
        <v>427</v>
      </c>
      <c r="B80" s="29" t="str">
        <f t="shared" si="11"/>
        <v>Sindhu Das</v>
      </c>
      <c r="C80" s="29" t="str">
        <f t="shared" si="12"/>
        <v>Nandini Iyer</v>
      </c>
      <c r="D80" s="29" t="str">
        <f t="shared" si="13"/>
        <v>Marketing</v>
      </c>
      <c r="E80" s="30" t="str">
        <f t="shared" si="14"/>
        <v>L3</v>
      </c>
      <c r="F80" s="30" t="str">
        <f t="shared" si="15"/>
        <v>Active</v>
      </c>
      <c r="G80" s="22">
        <v>3</v>
      </c>
      <c r="H80" t="str">
        <f t="shared" si="16"/>
        <v>Meets Expectations</v>
      </c>
      <c r="I80" s="22">
        <v>2</v>
      </c>
      <c r="J80" s="22" t="str">
        <f t="shared" si="17"/>
        <v>Improved</v>
      </c>
      <c r="K80" s="31">
        <v>0.78</v>
      </c>
      <c r="L80" s="24">
        <v>3.9</v>
      </c>
      <c r="M80" s="22" t="s">
        <v>60</v>
      </c>
      <c r="N80" s="22" t="str">
        <f t="shared" si="18"/>
        <v>Mid</v>
      </c>
      <c r="O80" t="str">
        <f>INDEX(NineBox,MATCH(N80,{"Low","Mid","High"},0),MATCH(M80,{"Low","Medium","High"},0))</f>
        <v>Core Player</v>
      </c>
      <c r="P80" s="28">
        <v>44912</v>
      </c>
      <c r="Q80" s="24">
        <f t="shared" si="19"/>
        <v>3.786447638603696</v>
      </c>
      <c r="R80" s="22" t="str">
        <f t="shared" si="20"/>
        <v>Not Eligible</v>
      </c>
      <c r="S80" t="str">
        <f t="shared" si="21"/>
        <v>Rating below 4</v>
      </c>
      <c r="T80" s="22" t="s">
        <v>1687</v>
      </c>
    </row>
    <row r="81" spans="1:20" x14ac:dyDescent="0.3">
      <c r="A81" s="22" t="s">
        <v>430</v>
      </c>
      <c r="B81" s="29" t="str">
        <f t="shared" si="11"/>
        <v>Nandini Shetty</v>
      </c>
      <c r="C81" s="29" t="str">
        <f t="shared" si="12"/>
        <v>Karan Verma</v>
      </c>
      <c r="D81" s="29" t="str">
        <f t="shared" si="13"/>
        <v>Data &amp; Analytics</v>
      </c>
      <c r="E81" s="30" t="str">
        <f t="shared" si="14"/>
        <v>L3</v>
      </c>
      <c r="F81" s="30" t="str">
        <f t="shared" si="15"/>
        <v>Active</v>
      </c>
      <c r="G81" s="22">
        <v>4</v>
      </c>
      <c r="H81" t="str">
        <f t="shared" si="16"/>
        <v>Exceeds Expectations</v>
      </c>
      <c r="I81" s="22">
        <v>4</v>
      </c>
      <c r="J81" s="22" t="str">
        <f t="shared" si="17"/>
        <v>Stable</v>
      </c>
      <c r="K81" s="31">
        <v>0.94</v>
      </c>
      <c r="L81" s="24">
        <v>3.9</v>
      </c>
      <c r="M81" s="22" t="s">
        <v>61</v>
      </c>
      <c r="N81" s="22" t="str">
        <f t="shared" si="18"/>
        <v>High</v>
      </c>
      <c r="O81" t="str">
        <f>INDEX(NineBox,MATCH(N81,{"Low","Mid","High"},0),MATCH(M81,{"Low","Medium","High"},0))</f>
        <v>Star</v>
      </c>
      <c r="P81" s="28">
        <v>44531</v>
      </c>
      <c r="Q81" s="24">
        <f t="shared" si="19"/>
        <v>4.8295687885010263</v>
      </c>
      <c r="R81" s="22" t="str">
        <f t="shared" si="20"/>
        <v>Eligible</v>
      </c>
      <c r="S81" t="str">
        <f t="shared" si="21"/>
        <v>Meets rating and time-in-level criteria</v>
      </c>
      <c r="T81" s="22" t="s">
        <v>1687</v>
      </c>
    </row>
    <row r="82" spans="1:20" x14ac:dyDescent="0.3">
      <c r="A82" s="22" t="s">
        <v>435</v>
      </c>
      <c r="B82" s="29" t="str">
        <f t="shared" si="11"/>
        <v>Deepak Thomas</v>
      </c>
      <c r="C82" s="29" t="str">
        <f t="shared" si="12"/>
        <v>Vikas Singh</v>
      </c>
      <c r="D82" s="29" t="str">
        <f t="shared" si="13"/>
        <v>Engineering</v>
      </c>
      <c r="E82" s="30" t="str">
        <f t="shared" si="14"/>
        <v>L3</v>
      </c>
      <c r="F82" s="30" t="str">
        <f t="shared" si="15"/>
        <v>Active</v>
      </c>
      <c r="G82" s="22">
        <v>3</v>
      </c>
      <c r="H82" t="str">
        <f t="shared" si="16"/>
        <v>Meets Expectations</v>
      </c>
      <c r="I82" s="22">
        <v>2</v>
      </c>
      <c r="J82" s="22" t="str">
        <f t="shared" si="17"/>
        <v>Improved</v>
      </c>
      <c r="K82" s="31">
        <v>0.89</v>
      </c>
      <c r="L82" s="24">
        <v>2.7</v>
      </c>
      <c r="M82" s="22" t="s">
        <v>60</v>
      </c>
      <c r="N82" s="22" t="str">
        <f t="shared" si="18"/>
        <v>Mid</v>
      </c>
      <c r="O82" t="str">
        <f>INDEX(NineBox,MATCH(N82,{"Low","Mid","High"},0),MATCH(M82,{"Low","Medium","High"},0))</f>
        <v>Core Player</v>
      </c>
      <c r="P82" s="28">
        <v>45319</v>
      </c>
      <c r="Q82" s="24">
        <f t="shared" si="19"/>
        <v>2.6721423682409307</v>
      </c>
      <c r="R82" s="22" t="str">
        <f t="shared" si="20"/>
        <v>Not Eligible</v>
      </c>
      <c r="S82" t="str">
        <f t="shared" si="21"/>
        <v>Rating below 4</v>
      </c>
      <c r="T82" s="22" t="s">
        <v>1687</v>
      </c>
    </row>
    <row r="83" spans="1:20" x14ac:dyDescent="0.3">
      <c r="A83" s="22" t="s">
        <v>438</v>
      </c>
      <c r="B83" s="29" t="str">
        <f t="shared" si="11"/>
        <v>Mansi Dsouza</v>
      </c>
      <c r="C83" s="29" t="str">
        <f t="shared" si="12"/>
        <v>Gaurav Fernandes</v>
      </c>
      <c r="D83" s="29" t="str">
        <f t="shared" si="13"/>
        <v>Engineering</v>
      </c>
      <c r="E83" s="30" t="str">
        <f t="shared" si="14"/>
        <v>L4</v>
      </c>
      <c r="F83" s="30" t="str">
        <f t="shared" si="15"/>
        <v>Active</v>
      </c>
      <c r="G83" s="22">
        <v>3</v>
      </c>
      <c r="H83" t="str">
        <f t="shared" si="16"/>
        <v>Meets Expectations</v>
      </c>
      <c r="I83" s="22">
        <v>2</v>
      </c>
      <c r="J83" s="22" t="str">
        <f t="shared" si="17"/>
        <v>Improved</v>
      </c>
      <c r="K83" s="31">
        <v>0.99</v>
      </c>
      <c r="L83" s="24">
        <v>3.3</v>
      </c>
      <c r="M83" s="22" t="s">
        <v>60</v>
      </c>
      <c r="N83" s="22" t="str">
        <f t="shared" si="18"/>
        <v>Mid</v>
      </c>
      <c r="O83" t="str">
        <f>INDEX(NineBox,MATCH(N83,{"Low","Mid","High"},0),MATCH(M83,{"Low","Medium","High"},0))</f>
        <v>Core Player</v>
      </c>
      <c r="P83" s="28">
        <v>45249</v>
      </c>
      <c r="Q83" s="24">
        <f t="shared" si="19"/>
        <v>2.8637919233401781</v>
      </c>
      <c r="R83" s="22" t="str">
        <f t="shared" si="20"/>
        <v>Not Eligible</v>
      </c>
      <c r="S83" t="str">
        <f t="shared" si="21"/>
        <v>Rating below 4</v>
      </c>
      <c r="T83" s="22" t="s">
        <v>1687</v>
      </c>
    </row>
    <row r="84" spans="1:20" x14ac:dyDescent="0.3">
      <c r="A84" s="22" t="s">
        <v>167</v>
      </c>
      <c r="B84" s="29" t="str">
        <f t="shared" si="11"/>
        <v>Akash Das</v>
      </c>
      <c r="C84" s="29" t="str">
        <f t="shared" si="12"/>
        <v>Prakash Das</v>
      </c>
      <c r="D84" s="29" t="str">
        <f t="shared" si="13"/>
        <v>Human Resources</v>
      </c>
      <c r="E84" s="30" t="str">
        <f t="shared" si="14"/>
        <v>L5</v>
      </c>
      <c r="F84" s="30" t="str">
        <f t="shared" si="15"/>
        <v>Active</v>
      </c>
      <c r="G84" s="22">
        <v>4</v>
      </c>
      <c r="H84" t="str">
        <f t="shared" si="16"/>
        <v>Exceeds Expectations</v>
      </c>
      <c r="I84" s="22">
        <v>4</v>
      </c>
      <c r="J84" s="22" t="str">
        <f t="shared" si="17"/>
        <v>Stable</v>
      </c>
      <c r="K84" s="31">
        <v>0.89</v>
      </c>
      <c r="L84" s="24">
        <v>3.7</v>
      </c>
      <c r="M84" s="22" t="s">
        <v>61</v>
      </c>
      <c r="N84" s="22" t="str">
        <f t="shared" si="18"/>
        <v>High</v>
      </c>
      <c r="O84" t="str">
        <f>INDEX(NineBox,MATCH(N84,{"Low","Mid","High"},0),MATCH(M84,{"Low","Medium","High"},0))</f>
        <v>Star</v>
      </c>
      <c r="P84" s="28">
        <v>45057</v>
      </c>
      <c r="Q84" s="24">
        <f t="shared" si="19"/>
        <v>3.3894592744695413</v>
      </c>
      <c r="R84" s="22" t="str">
        <f t="shared" si="20"/>
        <v>Eligible</v>
      </c>
      <c r="S84" t="str">
        <f t="shared" si="21"/>
        <v>Meets rating and time-in-level criteria</v>
      </c>
      <c r="T84" s="22" t="s">
        <v>1687</v>
      </c>
    </row>
    <row r="85" spans="1:20" x14ac:dyDescent="0.3">
      <c r="A85" s="22" t="s">
        <v>286</v>
      </c>
      <c r="B85" s="29" t="str">
        <f t="shared" si="11"/>
        <v>Mansi Pillai</v>
      </c>
      <c r="C85" s="29" t="str">
        <f t="shared" si="12"/>
        <v>Trisha Patel</v>
      </c>
      <c r="D85" s="29" t="str">
        <f t="shared" si="13"/>
        <v>Product</v>
      </c>
      <c r="E85" s="30" t="str">
        <f t="shared" si="14"/>
        <v>L5</v>
      </c>
      <c r="F85" s="30" t="str">
        <f t="shared" si="15"/>
        <v>Active</v>
      </c>
      <c r="G85" s="22">
        <v>4</v>
      </c>
      <c r="H85" t="str">
        <f t="shared" si="16"/>
        <v>Exceeds Expectations</v>
      </c>
      <c r="I85" s="22">
        <v>3</v>
      </c>
      <c r="J85" s="22" t="str">
        <f t="shared" si="17"/>
        <v>Improved</v>
      </c>
      <c r="K85" s="31">
        <v>1.1100000000000001</v>
      </c>
      <c r="L85" s="24">
        <v>3.6</v>
      </c>
      <c r="M85" s="22" t="s">
        <v>60</v>
      </c>
      <c r="N85" s="22" t="str">
        <f t="shared" si="18"/>
        <v>High</v>
      </c>
      <c r="O85" t="str">
        <f>INDEX(NineBox,MATCH(N85,{"Low","Mid","High"},0),MATCH(M85,{"Low","Medium","High"},0))</f>
        <v>High Performer</v>
      </c>
      <c r="P85" s="28">
        <v>45740</v>
      </c>
      <c r="Q85" s="24">
        <f t="shared" si="19"/>
        <v>1.5195071868583163</v>
      </c>
      <c r="R85" s="22" t="str">
        <f t="shared" si="20"/>
        <v>Eligible</v>
      </c>
      <c r="S85" t="str">
        <f t="shared" si="21"/>
        <v>Meets rating and time-in-level criteria</v>
      </c>
      <c r="T85" s="22" t="s">
        <v>1687</v>
      </c>
    </row>
    <row r="86" spans="1:20" x14ac:dyDescent="0.3">
      <c r="A86" s="22" t="s">
        <v>445</v>
      </c>
      <c r="B86" s="29" t="str">
        <f t="shared" si="11"/>
        <v>Rohan Menon</v>
      </c>
      <c r="C86" s="29" t="str">
        <f t="shared" si="12"/>
        <v>Amit Kumar</v>
      </c>
      <c r="D86" s="29" t="str">
        <f t="shared" si="13"/>
        <v>Operations</v>
      </c>
      <c r="E86" s="30" t="str">
        <f t="shared" si="14"/>
        <v>L3</v>
      </c>
      <c r="F86" s="30" t="str">
        <f t="shared" si="15"/>
        <v>Active</v>
      </c>
      <c r="G86" s="22">
        <v>2</v>
      </c>
      <c r="H86" t="str">
        <f t="shared" si="16"/>
        <v>Needs Improvement</v>
      </c>
      <c r="I86" s="22">
        <v>2</v>
      </c>
      <c r="J86" s="22" t="str">
        <f t="shared" si="17"/>
        <v>Stable</v>
      </c>
      <c r="K86" s="31">
        <v>0.56999999999999995</v>
      </c>
      <c r="L86" s="24">
        <v>1.9</v>
      </c>
      <c r="M86" s="22" t="s">
        <v>60</v>
      </c>
      <c r="N86" s="22" t="str">
        <f t="shared" si="18"/>
        <v>Low</v>
      </c>
      <c r="O86" t="str">
        <f>INDEX(NineBox,MATCH(N86,{"Low","Mid","High"},0),MATCH(M86,{"Low","Medium","High"},0))</f>
        <v>Inconsistent Player</v>
      </c>
      <c r="P86" s="28">
        <v>44573</v>
      </c>
      <c r="Q86" s="24">
        <f t="shared" si="19"/>
        <v>4.7145790554414786</v>
      </c>
      <c r="R86" s="22" t="str">
        <f t="shared" si="20"/>
        <v>Not Eligible</v>
      </c>
      <c r="S86" t="str">
        <f t="shared" si="21"/>
        <v>Rating below 4</v>
      </c>
      <c r="T86" s="22" t="s">
        <v>1687</v>
      </c>
    </row>
    <row r="87" spans="1:20" x14ac:dyDescent="0.3">
      <c r="A87" s="22" t="s">
        <v>243</v>
      </c>
      <c r="B87" s="29" t="str">
        <f t="shared" si="11"/>
        <v>Bhavana Hegde</v>
      </c>
      <c r="C87" s="29" t="str">
        <f t="shared" si="12"/>
        <v>Vikram Verma</v>
      </c>
      <c r="D87" s="29" t="str">
        <f t="shared" si="13"/>
        <v>Engineering</v>
      </c>
      <c r="E87" s="30" t="str">
        <f t="shared" si="14"/>
        <v>L5</v>
      </c>
      <c r="F87" s="30" t="str">
        <f t="shared" si="15"/>
        <v>Active</v>
      </c>
      <c r="G87" s="22">
        <v>3</v>
      </c>
      <c r="H87" t="str">
        <f t="shared" si="16"/>
        <v>Meets Expectations</v>
      </c>
      <c r="I87" s="22">
        <v>3</v>
      </c>
      <c r="J87" s="22" t="str">
        <f t="shared" si="17"/>
        <v>Stable</v>
      </c>
      <c r="K87" s="31">
        <v>0.98</v>
      </c>
      <c r="L87" s="24">
        <v>2.8</v>
      </c>
      <c r="M87" s="22" t="s">
        <v>60</v>
      </c>
      <c r="N87" s="22" t="str">
        <f t="shared" si="18"/>
        <v>Mid</v>
      </c>
      <c r="O87" t="str">
        <f>INDEX(NineBox,MATCH(N87,{"Low","Mid","High"},0),MATCH(M87,{"Low","Medium","High"},0))</f>
        <v>Core Player</v>
      </c>
      <c r="P87" s="28">
        <v>45363</v>
      </c>
      <c r="Q87" s="24">
        <f t="shared" si="19"/>
        <v>2.5516769336071183</v>
      </c>
      <c r="R87" s="22" t="str">
        <f t="shared" si="20"/>
        <v>Not Eligible</v>
      </c>
      <c r="S87" t="str">
        <f t="shared" si="21"/>
        <v>Rating below 4</v>
      </c>
      <c r="T87" s="22" t="s">
        <v>1687</v>
      </c>
    </row>
    <row r="88" spans="1:20" x14ac:dyDescent="0.3">
      <c r="A88" s="22" t="s">
        <v>449</v>
      </c>
      <c r="B88" s="29" t="str">
        <f t="shared" si="11"/>
        <v>Arun Choudhary</v>
      </c>
      <c r="C88" s="29" t="str">
        <f t="shared" si="12"/>
        <v>Tejaswini Hegde</v>
      </c>
      <c r="D88" s="29" t="str">
        <f t="shared" si="13"/>
        <v>Engineering</v>
      </c>
      <c r="E88" s="30" t="str">
        <f t="shared" si="14"/>
        <v>L3</v>
      </c>
      <c r="F88" s="30" t="str">
        <f t="shared" si="15"/>
        <v>Active</v>
      </c>
      <c r="G88" s="22">
        <v>3</v>
      </c>
      <c r="H88" t="str">
        <f t="shared" si="16"/>
        <v>Meets Expectations</v>
      </c>
      <c r="I88" s="22">
        <v>3</v>
      </c>
      <c r="J88" s="22" t="str">
        <f t="shared" si="17"/>
        <v>Stable</v>
      </c>
      <c r="K88" s="31">
        <v>0.85</v>
      </c>
      <c r="L88" s="24">
        <v>2.7</v>
      </c>
      <c r="M88" s="22" t="s">
        <v>60</v>
      </c>
      <c r="N88" s="22" t="str">
        <f t="shared" si="18"/>
        <v>Mid</v>
      </c>
      <c r="O88" t="str">
        <f>INDEX(NineBox,MATCH(N88,{"Low","Mid","High"},0),MATCH(M88,{"Low","Medium","High"},0))</f>
        <v>Core Player</v>
      </c>
      <c r="P88" s="28">
        <v>45218</v>
      </c>
      <c r="Q88" s="24">
        <f t="shared" si="19"/>
        <v>2.9486652977412731</v>
      </c>
      <c r="R88" s="22" t="str">
        <f t="shared" si="20"/>
        <v>Not Eligible</v>
      </c>
      <c r="S88" t="str">
        <f t="shared" si="21"/>
        <v>Rating below 4</v>
      </c>
      <c r="T88" s="22" t="s">
        <v>1687</v>
      </c>
    </row>
    <row r="89" spans="1:20" x14ac:dyDescent="0.3">
      <c r="A89" s="22" t="s">
        <v>452</v>
      </c>
      <c r="B89" s="29" t="str">
        <f t="shared" si="11"/>
        <v>Ankit Tiwari</v>
      </c>
      <c r="C89" s="29" t="str">
        <f t="shared" si="12"/>
        <v>Akash Das</v>
      </c>
      <c r="D89" s="29" t="str">
        <f t="shared" si="13"/>
        <v>Human Resources</v>
      </c>
      <c r="E89" s="30" t="str">
        <f t="shared" si="14"/>
        <v>L3</v>
      </c>
      <c r="F89" s="30" t="str">
        <f t="shared" si="15"/>
        <v>Active</v>
      </c>
      <c r="G89" s="22">
        <v>5</v>
      </c>
      <c r="H89" t="str">
        <f t="shared" si="16"/>
        <v>Outstanding</v>
      </c>
      <c r="I89" s="22">
        <v>5</v>
      </c>
      <c r="J89" s="22" t="str">
        <f t="shared" si="17"/>
        <v>Stable</v>
      </c>
      <c r="K89" s="31">
        <v>0.99</v>
      </c>
      <c r="L89" s="24">
        <v>4.5</v>
      </c>
      <c r="M89" s="22" t="s">
        <v>60</v>
      </c>
      <c r="N89" s="22" t="str">
        <f t="shared" si="18"/>
        <v>High</v>
      </c>
      <c r="O89" t="str">
        <f>INDEX(NineBox,MATCH(N89,{"Low","Mid","High"},0),MATCH(M89,{"Low","Medium","High"},0))</f>
        <v>High Performer</v>
      </c>
      <c r="P89" s="28">
        <v>46043</v>
      </c>
      <c r="Q89" s="24">
        <f t="shared" si="19"/>
        <v>0.68993839835728954</v>
      </c>
      <c r="R89" s="22" t="str">
        <f t="shared" si="20"/>
        <v>Not Eligible</v>
      </c>
      <c r="S89" t="str">
        <f t="shared" si="21"/>
        <v>Under 1.5 yrs in current level</v>
      </c>
      <c r="T89" s="22" t="s">
        <v>1688</v>
      </c>
    </row>
    <row r="90" spans="1:20" x14ac:dyDescent="0.3">
      <c r="A90" s="22" t="s">
        <v>455</v>
      </c>
      <c r="B90" s="29" t="str">
        <f t="shared" si="11"/>
        <v>Mary Varghese</v>
      </c>
      <c r="C90" s="29" t="str">
        <f t="shared" si="12"/>
        <v>Ashish Varghese</v>
      </c>
      <c r="D90" s="29" t="str">
        <f t="shared" si="13"/>
        <v>Customer Support</v>
      </c>
      <c r="E90" s="30" t="str">
        <f t="shared" si="14"/>
        <v>L3</v>
      </c>
      <c r="F90" s="30" t="str">
        <f t="shared" si="15"/>
        <v>Active</v>
      </c>
      <c r="G90" s="22">
        <v>2</v>
      </c>
      <c r="H90" t="str">
        <f t="shared" si="16"/>
        <v>Needs Improvement</v>
      </c>
      <c r="I90" s="22">
        <v>2</v>
      </c>
      <c r="J90" s="22" t="str">
        <f t="shared" si="17"/>
        <v>Stable</v>
      </c>
      <c r="K90" s="31">
        <v>0.71</v>
      </c>
      <c r="L90" s="24">
        <v>1.8</v>
      </c>
      <c r="M90" s="22" t="s">
        <v>59</v>
      </c>
      <c r="N90" s="22" t="str">
        <f t="shared" si="18"/>
        <v>Low</v>
      </c>
      <c r="O90" t="str">
        <f>INDEX(NineBox,MATCH(N90,{"Low","Mid","High"},0),MATCH(M90,{"Low","Medium","High"},0))</f>
        <v>Underperformer</v>
      </c>
      <c r="P90" s="28">
        <v>45803</v>
      </c>
      <c r="Q90" s="24">
        <f t="shared" si="19"/>
        <v>1.3470225872689938</v>
      </c>
      <c r="R90" s="22" t="str">
        <f t="shared" si="20"/>
        <v>Not Eligible</v>
      </c>
      <c r="S90" t="str">
        <f t="shared" si="21"/>
        <v>Rating below 4</v>
      </c>
      <c r="T90" s="22" t="s">
        <v>1688</v>
      </c>
    </row>
    <row r="91" spans="1:20" x14ac:dyDescent="0.3">
      <c r="A91" s="22" t="s">
        <v>458</v>
      </c>
      <c r="B91" s="29" t="str">
        <f t="shared" si="11"/>
        <v>Madhuri Malhotra</v>
      </c>
      <c r="C91" s="29" t="str">
        <f t="shared" si="12"/>
        <v>Gayatri Tiwari</v>
      </c>
      <c r="D91" s="29" t="str">
        <f t="shared" si="13"/>
        <v>Sales</v>
      </c>
      <c r="E91" s="30" t="str">
        <f t="shared" si="14"/>
        <v>L5</v>
      </c>
      <c r="F91" s="30" t="str">
        <f t="shared" si="15"/>
        <v>Exited</v>
      </c>
      <c r="G91" s="22">
        <v>3</v>
      </c>
      <c r="H91" t="str">
        <f t="shared" si="16"/>
        <v>Meets Expectations</v>
      </c>
      <c r="I91" s="22">
        <v>3</v>
      </c>
      <c r="J91" s="22" t="str">
        <f t="shared" si="17"/>
        <v>Stable</v>
      </c>
      <c r="K91" s="31">
        <v>0.84</v>
      </c>
      <c r="L91" s="24">
        <v>3.3</v>
      </c>
      <c r="M91" s="22" t="s">
        <v>59</v>
      </c>
      <c r="N91" s="22" t="str">
        <f t="shared" si="18"/>
        <v>Mid</v>
      </c>
      <c r="O91" t="str">
        <f>INDEX(NineBox,MATCH(N91,{"Low","Mid","High"},0),MATCH(M91,{"Low","Medium","High"},0))</f>
        <v>Effective Contributor</v>
      </c>
      <c r="P91" s="28">
        <v>45516</v>
      </c>
      <c r="Q91" s="24">
        <f t="shared" si="19"/>
        <v>2.1327857631759071</v>
      </c>
      <c r="R91" s="22" t="str">
        <f t="shared" si="20"/>
        <v>Not Eligible</v>
      </c>
      <c r="S91" t="str">
        <f t="shared" si="21"/>
        <v>Employee has exited</v>
      </c>
      <c r="T91" s="22" t="s">
        <v>1687</v>
      </c>
    </row>
    <row r="92" spans="1:20" x14ac:dyDescent="0.3">
      <c r="A92" s="22" t="s">
        <v>461</v>
      </c>
      <c r="B92" s="29" t="str">
        <f t="shared" si="11"/>
        <v>Srinivas Bose</v>
      </c>
      <c r="C92" s="29" t="str">
        <f t="shared" si="12"/>
        <v>Tejaswini Hegde</v>
      </c>
      <c r="D92" s="29" t="str">
        <f t="shared" si="13"/>
        <v>Engineering</v>
      </c>
      <c r="E92" s="30" t="str">
        <f t="shared" si="14"/>
        <v>L4</v>
      </c>
      <c r="F92" s="30" t="str">
        <f t="shared" si="15"/>
        <v>Active</v>
      </c>
      <c r="G92" s="22">
        <v>3</v>
      </c>
      <c r="H92" t="str">
        <f t="shared" si="16"/>
        <v>Meets Expectations</v>
      </c>
      <c r="I92" s="22">
        <v>4</v>
      </c>
      <c r="J92" s="22" t="str">
        <f t="shared" si="17"/>
        <v>Declined</v>
      </c>
      <c r="K92" s="31">
        <v>0.82</v>
      </c>
      <c r="L92" s="24">
        <v>3.8</v>
      </c>
      <c r="M92" s="22" t="s">
        <v>60</v>
      </c>
      <c r="N92" s="22" t="str">
        <f t="shared" si="18"/>
        <v>Mid</v>
      </c>
      <c r="O92" t="str">
        <f>INDEX(NineBox,MATCH(N92,{"Low","Mid","High"},0),MATCH(M92,{"Low","Medium","High"},0))</f>
        <v>Core Player</v>
      </c>
      <c r="P92" s="28">
        <v>44610</v>
      </c>
      <c r="Q92" s="24">
        <f t="shared" si="19"/>
        <v>4.6132785763175903</v>
      </c>
      <c r="R92" s="22" t="str">
        <f t="shared" si="20"/>
        <v>Not Eligible</v>
      </c>
      <c r="S92" t="str">
        <f t="shared" si="21"/>
        <v>Rating below 4</v>
      </c>
      <c r="T92" s="22" t="s">
        <v>1687</v>
      </c>
    </row>
    <row r="93" spans="1:20" x14ac:dyDescent="0.3">
      <c r="A93" s="22" t="s">
        <v>464</v>
      </c>
      <c r="B93" s="29" t="str">
        <f t="shared" si="11"/>
        <v>Kunal Jain</v>
      </c>
      <c r="C93" s="29" t="str">
        <f t="shared" si="12"/>
        <v>Pallavi Nair</v>
      </c>
      <c r="D93" s="29" t="str">
        <f t="shared" si="13"/>
        <v>Operations</v>
      </c>
      <c r="E93" s="30" t="str">
        <f t="shared" si="14"/>
        <v>L3</v>
      </c>
      <c r="F93" s="30" t="str">
        <f t="shared" si="15"/>
        <v>Active</v>
      </c>
      <c r="G93" s="22">
        <v>3</v>
      </c>
      <c r="H93" t="str">
        <f t="shared" si="16"/>
        <v>Meets Expectations</v>
      </c>
      <c r="I93" s="22">
        <v>4</v>
      </c>
      <c r="J93" s="22" t="str">
        <f t="shared" si="17"/>
        <v>Declined</v>
      </c>
      <c r="K93" s="31">
        <v>0.7</v>
      </c>
      <c r="L93" s="24">
        <v>3.1</v>
      </c>
      <c r="M93" s="22" t="s">
        <v>59</v>
      </c>
      <c r="N93" s="22" t="str">
        <f t="shared" si="18"/>
        <v>Mid</v>
      </c>
      <c r="O93" t="str">
        <f>INDEX(NineBox,MATCH(N93,{"Low","Mid","High"},0),MATCH(M93,{"Low","Medium","High"},0))</f>
        <v>Effective Contributor</v>
      </c>
      <c r="P93" s="28">
        <v>45946</v>
      </c>
      <c r="Q93" s="24">
        <f t="shared" si="19"/>
        <v>0.95550992470910334</v>
      </c>
      <c r="R93" s="22" t="str">
        <f t="shared" si="20"/>
        <v>Not Eligible</v>
      </c>
      <c r="S93" t="str">
        <f t="shared" si="21"/>
        <v>Rating below 4</v>
      </c>
      <c r="T93" s="22" t="s">
        <v>1687</v>
      </c>
    </row>
    <row r="94" spans="1:20" x14ac:dyDescent="0.3">
      <c r="A94" s="22" t="s">
        <v>467</v>
      </c>
      <c r="B94" s="29" t="str">
        <f t="shared" si="11"/>
        <v>Priyanka Hegde</v>
      </c>
      <c r="C94" s="29" t="str">
        <f t="shared" si="12"/>
        <v>Mansi Pillai</v>
      </c>
      <c r="D94" s="29" t="str">
        <f t="shared" si="13"/>
        <v>Product</v>
      </c>
      <c r="E94" s="30" t="str">
        <f t="shared" si="14"/>
        <v>L3</v>
      </c>
      <c r="F94" s="30" t="str">
        <f t="shared" si="15"/>
        <v>Active</v>
      </c>
      <c r="G94" s="22">
        <v>3</v>
      </c>
      <c r="H94" t="str">
        <f t="shared" si="16"/>
        <v>Meets Expectations</v>
      </c>
      <c r="I94" s="22">
        <v>2</v>
      </c>
      <c r="J94" s="22" t="str">
        <f t="shared" si="17"/>
        <v>Improved</v>
      </c>
      <c r="K94" s="31">
        <v>0.63</v>
      </c>
      <c r="L94" s="24">
        <v>3.7</v>
      </c>
      <c r="M94" s="22" t="s">
        <v>61</v>
      </c>
      <c r="N94" s="22" t="str">
        <f t="shared" si="18"/>
        <v>Mid</v>
      </c>
      <c r="O94" t="str">
        <f>INDEX(NineBox,MATCH(N94,{"Low","Mid","High"},0),MATCH(M94,{"Low","Medium","High"},0))</f>
        <v>Future Star</v>
      </c>
      <c r="P94" s="28">
        <v>44639</v>
      </c>
      <c r="Q94" s="24">
        <f t="shared" si="19"/>
        <v>4.5338809034907595</v>
      </c>
      <c r="R94" s="22" t="str">
        <f t="shared" si="20"/>
        <v>Not Eligible</v>
      </c>
      <c r="S94" t="str">
        <f t="shared" si="21"/>
        <v>Rating below 4</v>
      </c>
      <c r="T94" s="22" t="s">
        <v>1687</v>
      </c>
    </row>
    <row r="95" spans="1:20" x14ac:dyDescent="0.3">
      <c r="A95" s="22" t="s">
        <v>470</v>
      </c>
      <c r="B95" s="29" t="str">
        <f t="shared" si="11"/>
        <v>Gayatri Thomas</v>
      </c>
      <c r="C95" s="29" t="str">
        <f t="shared" si="12"/>
        <v>Trisha Patel</v>
      </c>
      <c r="D95" s="29" t="str">
        <f t="shared" si="13"/>
        <v>Product</v>
      </c>
      <c r="E95" s="30" t="str">
        <f t="shared" si="14"/>
        <v>L3</v>
      </c>
      <c r="F95" s="30" t="str">
        <f t="shared" si="15"/>
        <v>Active</v>
      </c>
      <c r="G95" s="22">
        <v>4</v>
      </c>
      <c r="H95" t="str">
        <f t="shared" si="16"/>
        <v>Exceeds Expectations</v>
      </c>
      <c r="I95" s="22">
        <v>4</v>
      </c>
      <c r="J95" s="22" t="str">
        <f t="shared" si="17"/>
        <v>Stable</v>
      </c>
      <c r="K95" s="31">
        <v>0.93</v>
      </c>
      <c r="L95" s="24">
        <v>3.8</v>
      </c>
      <c r="M95" s="22" t="s">
        <v>61</v>
      </c>
      <c r="N95" s="22" t="str">
        <f t="shared" si="18"/>
        <v>High</v>
      </c>
      <c r="O95" t="str">
        <f>INDEX(NineBox,MATCH(N95,{"Low","Mid","High"},0),MATCH(M95,{"Low","Medium","High"},0))</f>
        <v>Star</v>
      </c>
      <c r="P95" s="28">
        <v>44648</v>
      </c>
      <c r="Q95" s="24">
        <f t="shared" si="19"/>
        <v>4.5092402464065708</v>
      </c>
      <c r="R95" s="22" t="str">
        <f t="shared" si="20"/>
        <v>Eligible</v>
      </c>
      <c r="S95" t="str">
        <f t="shared" si="21"/>
        <v>Meets rating and time-in-level criteria</v>
      </c>
      <c r="T95" s="22" t="s">
        <v>1687</v>
      </c>
    </row>
    <row r="96" spans="1:20" x14ac:dyDescent="0.3">
      <c r="A96" s="22" t="s">
        <v>473</v>
      </c>
      <c r="B96" s="29" t="str">
        <f t="shared" si="11"/>
        <v>Mary Banerjee</v>
      </c>
      <c r="C96" s="29" t="str">
        <f t="shared" si="12"/>
        <v>Karan Verma</v>
      </c>
      <c r="D96" s="29" t="str">
        <f t="shared" si="13"/>
        <v>Data &amp; Analytics</v>
      </c>
      <c r="E96" s="30" t="str">
        <f t="shared" si="14"/>
        <v>L4</v>
      </c>
      <c r="F96" s="30" t="str">
        <f t="shared" si="15"/>
        <v>Active</v>
      </c>
      <c r="G96" s="22">
        <v>3</v>
      </c>
      <c r="H96" t="str">
        <f t="shared" si="16"/>
        <v>Meets Expectations</v>
      </c>
      <c r="I96" s="22">
        <v>3</v>
      </c>
      <c r="J96" s="22" t="str">
        <f t="shared" si="17"/>
        <v>Stable</v>
      </c>
      <c r="K96" s="31">
        <v>0.92</v>
      </c>
      <c r="L96" s="24">
        <v>2.2000000000000002</v>
      </c>
      <c r="M96" s="22" t="s">
        <v>60</v>
      </c>
      <c r="N96" s="22" t="str">
        <f t="shared" si="18"/>
        <v>Mid</v>
      </c>
      <c r="O96" t="str">
        <f>INDEX(NineBox,MATCH(N96,{"Low","Mid","High"},0),MATCH(M96,{"Low","Medium","High"},0))</f>
        <v>Core Player</v>
      </c>
      <c r="P96" s="28">
        <v>44654</v>
      </c>
      <c r="Q96" s="24">
        <f t="shared" si="19"/>
        <v>4.4928131416837784</v>
      </c>
      <c r="R96" s="22" t="str">
        <f t="shared" si="20"/>
        <v>Not Eligible</v>
      </c>
      <c r="S96" t="str">
        <f t="shared" si="21"/>
        <v>Rating below 4</v>
      </c>
      <c r="T96" s="22" t="s">
        <v>1687</v>
      </c>
    </row>
    <row r="97" spans="1:20" x14ac:dyDescent="0.3">
      <c r="A97" s="22" t="s">
        <v>477</v>
      </c>
      <c r="B97" s="29" t="str">
        <f t="shared" si="11"/>
        <v>Pallavi Malhotra</v>
      </c>
      <c r="C97" s="29" t="str">
        <f t="shared" si="12"/>
        <v>Nandini Iyer</v>
      </c>
      <c r="D97" s="29" t="str">
        <f t="shared" si="13"/>
        <v>Marketing</v>
      </c>
      <c r="E97" s="30" t="str">
        <f t="shared" si="14"/>
        <v>L4</v>
      </c>
      <c r="F97" s="30" t="str">
        <f t="shared" si="15"/>
        <v>Active</v>
      </c>
      <c r="G97" s="22">
        <v>4</v>
      </c>
      <c r="H97" t="str">
        <f t="shared" si="16"/>
        <v>Exceeds Expectations</v>
      </c>
      <c r="I97" s="22">
        <v>4</v>
      </c>
      <c r="J97" s="22" t="str">
        <f t="shared" si="17"/>
        <v>Stable</v>
      </c>
      <c r="K97" s="31">
        <v>0.78</v>
      </c>
      <c r="L97" s="24">
        <v>4.7</v>
      </c>
      <c r="M97" s="22" t="s">
        <v>60</v>
      </c>
      <c r="N97" s="22" t="str">
        <f t="shared" si="18"/>
        <v>High</v>
      </c>
      <c r="O97" t="str">
        <f>INDEX(NineBox,MATCH(N97,{"Low","Mid","High"},0),MATCH(M97,{"Low","Medium","High"},0))</f>
        <v>High Performer</v>
      </c>
      <c r="P97" s="28">
        <v>45102</v>
      </c>
      <c r="Q97" s="24">
        <f t="shared" si="19"/>
        <v>3.2662559890485969</v>
      </c>
      <c r="R97" s="22" t="str">
        <f t="shared" si="20"/>
        <v>Eligible</v>
      </c>
      <c r="S97" t="str">
        <f t="shared" si="21"/>
        <v>Meets rating and time-in-level criteria</v>
      </c>
      <c r="T97" s="22" t="s">
        <v>1687</v>
      </c>
    </row>
    <row r="98" spans="1:20" x14ac:dyDescent="0.3">
      <c r="A98" s="22" t="s">
        <v>480</v>
      </c>
      <c r="B98" s="29" t="str">
        <f t="shared" si="11"/>
        <v>Sowmya Menon</v>
      </c>
      <c r="C98" s="29" t="str">
        <f t="shared" si="12"/>
        <v>Trisha Malhotra</v>
      </c>
      <c r="D98" s="29" t="str">
        <f t="shared" si="13"/>
        <v>Product</v>
      </c>
      <c r="E98" s="30" t="str">
        <f t="shared" si="14"/>
        <v>L3</v>
      </c>
      <c r="F98" s="30" t="str">
        <f t="shared" si="15"/>
        <v>Exited</v>
      </c>
      <c r="G98" s="22">
        <v>3</v>
      </c>
      <c r="H98" t="str">
        <f t="shared" si="16"/>
        <v>Meets Expectations</v>
      </c>
      <c r="I98" s="22">
        <v>2</v>
      </c>
      <c r="J98" s="22" t="str">
        <f t="shared" si="17"/>
        <v>Improved</v>
      </c>
      <c r="K98" s="31">
        <v>0.85</v>
      </c>
      <c r="L98" s="24">
        <v>2.7</v>
      </c>
      <c r="M98" s="22" t="s">
        <v>60</v>
      </c>
      <c r="N98" s="22" t="str">
        <f t="shared" si="18"/>
        <v>Mid</v>
      </c>
      <c r="O98" t="str">
        <f>INDEX(NineBox,MATCH(N98,{"Low","Mid","High"},0),MATCH(M98,{"Low","Medium","High"},0))</f>
        <v>Core Player</v>
      </c>
      <c r="P98" s="28">
        <v>44660</v>
      </c>
      <c r="Q98" s="24">
        <f t="shared" si="19"/>
        <v>4.476386036960986</v>
      </c>
      <c r="R98" s="22" t="str">
        <f t="shared" si="20"/>
        <v>Not Eligible</v>
      </c>
      <c r="S98" t="str">
        <f t="shared" si="21"/>
        <v>Employee has exited</v>
      </c>
      <c r="T98" s="22" t="s">
        <v>1687</v>
      </c>
    </row>
    <row r="99" spans="1:20" x14ac:dyDescent="0.3">
      <c r="A99" s="22" t="s">
        <v>485</v>
      </c>
      <c r="B99" s="29" t="str">
        <f t="shared" si="11"/>
        <v>Sanjana Verma</v>
      </c>
      <c r="C99" s="29" t="str">
        <f t="shared" si="12"/>
        <v>Prakash Das</v>
      </c>
      <c r="D99" s="29" t="str">
        <f t="shared" si="13"/>
        <v>Human Resources</v>
      </c>
      <c r="E99" s="30" t="str">
        <f t="shared" si="14"/>
        <v>L4</v>
      </c>
      <c r="F99" s="30" t="str">
        <f t="shared" si="15"/>
        <v>Active</v>
      </c>
      <c r="G99" s="22">
        <v>3</v>
      </c>
      <c r="H99" t="str">
        <f t="shared" si="16"/>
        <v>Meets Expectations</v>
      </c>
      <c r="I99" s="22">
        <v>2</v>
      </c>
      <c r="J99" s="22" t="str">
        <f t="shared" si="17"/>
        <v>Improved</v>
      </c>
      <c r="K99" s="31">
        <v>0.84</v>
      </c>
      <c r="L99" s="24">
        <v>3.5</v>
      </c>
      <c r="M99" s="22" t="s">
        <v>61</v>
      </c>
      <c r="N99" s="22" t="str">
        <f t="shared" si="18"/>
        <v>Mid</v>
      </c>
      <c r="O99" t="str">
        <f>INDEX(NineBox,MATCH(N99,{"Low","Mid","High"},0),MATCH(M99,{"Low","Medium","High"},0))</f>
        <v>Future Star</v>
      </c>
      <c r="P99" s="28">
        <v>44675</v>
      </c>
      <c r="Q99" s="24">
        <f t="shared" si="19"/>
        <v>4.4353182751540041</v>
      </c>
      <c r="R99" s="22" t="str">
        <f t="shared" si="20"/>
        <v>Not Eligible</v>
      </c>
      <c r="S99" t="str">
        <f t="shared" si="21"/>
        <v>Rating below 4</v>
      </c>
      <c r="T99" s="22" t="s">
        <v>1687</v>
      </c>
    </row>
    <row r="100" spans="1:20" x14ac:dyDescent="0.3">
      <c r="A100" s="22" t="s">
        <v>488</v>
      </c>
      <c r="B100" s="29" t="str">
        <f t="shared" si="11"/>
        <v>Karan Khan</v>
      </c>
      <c r="C100" s="29" t="str">
        <f t="shared" si="12"/>
        <v>Yash Raghavan</v>
      </c>
      <c r="D100" s="29" t="str">
        <f t="shared" si="13"/>
        <v>Sales</v>
      </c>
      <c r="E100" s="30" t="str">
        <f t="shared" si="14"/>
        <v>L3</v>
      </c>
      <c r="F100" s="30" t="str">
        <f t="shared" si="15"/>
        <v>Active</v>
      </c>
      <c r="G100" s="22">
        <v>2</v>
      </c>
      <c r="H100" t="str">
        <f t="shared" si="16"/>
        <v>Needs Improvement</v>
      </c>
      <c r="I100" s="22">
        <v>2</v>
      </c>
      <c r="J100" s="22" t="str">
        <f t="shared" si="17"/>
        <v>Stable</v>
      </c>
      <c r="K100" s="31">
        <v>0.67</v>
      </c>
      <c r="L100" s="24">
        <v>1.9</v>
      </c>
      <c r="M100" s="22" t="s">
        <v>60</v>
      </c>
      <c r="N100" s="22" t="str">
        <f t="shared" si="18"/>
        <v>Low</v>
      </c>
      <c r="O100" t="str">
        <f>INDEX(NineBox,MATCH(N100,{"Low","Mid","High"},0),MATCH(M100,{"Low","Medium","High"},0))</f>
        <v>Inconsistent Player</v>
      </c>
      <c r="P100" s="28">
        <v>45992</v>
      </c>
      <c r="Q100" s="24">
        <f t="shared" si="19"/>
        <v>0.82956878850102667</v>
      </c>
      <c r="R100" s="22" t="str">
        <f t="shared" si="20"/>
        <v>Not Eligible</v>
      </c>
      <c r="S100" t="str">
        <f t="shared" si="21"/>
        <v>Rating below 4</v>
      </c>
      <c r="T100" s="22" t="s">
        <v>1687</v>
      </c>
    </row>
    <row r="101" spans="1:20" x14ac:dyDescent="0.3">
      <c r="A101" s="22" t="s">
        <v>491</v>
      </c>
      <c r="B101" s="29" t="str">
        <f t="shared" si="11"/>
        <v>Arjun Iyer</v>
      </c>
      <c r="C101" s="29" t="str">
        <f t="shared" si="12"/>
        <v>Gaurav Fernandes</v>
      </c>
      <c r="D101" s="29" t="str">
        <f t="shared" si="13"/>
        <v>Engineering</v>
      </c>
      <c r="E101" s="30" t="str">
        <f t="shared" si="14"/>
        <v>L3</v>
      </c>
      <c r="F101" s="30" t="str">
        <f t="shared" si="15"/>
        <v>Active</v>
      </c>
      <c r="G101" s="22">
        <v>3</v>
      </c>
      <c r="H101" t="str">
        <f t="shared" si="16"/>
        <v>Meets Expectations</v>
      </c>
      <c r="I101" s="22">
        <v>3</v>
      </c>
      <c r="J101" s="22" t="str">
        <f t="shared" si="17"/>
        <v>Stable</v>
      </c>
      <c r="K101" s="31">
        <v>0.84</v>
      </c>
      <c r="L101" s="24">
        <v>1.8</v>
      </c>
      <c r="M101" s="22" t="s">
        <v>60</v>
      </c>
      <c r="N101" s="22" t="str">
        <f t="shared" si="18"/>
        <v>Mid</v>
      </c>
      <c r="O101" t="str">
        <f>INDEX(NineBox,MATCH(N101,{"Low","Mid","High"},0),MATCH(M101,{"Low","Medium","High"},0))</f>
        <v>Core Player</v>
      </c>
      <c r="P101" s="28">
        <v>45926</v>
      </c>
      <c r="Q101" s="24">
        <f t="shared" si="19"/>
        <v>1.0102669404517455</v>
      </c>
      <c r="R101" s="22" t="str">
        <f t="shared" si="20"/>
        <v>Not Eligible</v>
      </c>
      <c r="S101" t="str">
        <f t="shared" si="21"/>
        <v>Rating below 4</v>
      </c>
      <c r="T101" s="22" t="s">
        <v>1687</v>
      </c>
    </row>
    <row r="102" spans="1:20" x14ac:dyDescent="0.3">
      <c r="A102" s="22" t="s">
        <v>379</v>
      </c>
      <c r="B102" s="29" t="str">
        <f t="shared" si="11"/>
        <v>Pallavi Nair</v>
      </c>
      <c r="C102" s="29" t="str">
        <f t="shared" si="12"/>
        <v>Imran Mishra</v>
      </c>
      <c r="D102" s="29" t="str">
        <f t="shared" si="13"/>
        <v>Operations</v>
      </c>
      <c r="E102" s="30" t="str">
        <f t="shared" si="14"/>
        <v>L5</v>
      </c>
      <c r="F102" s="30" t="str">
        <f t="shared" si="15"/>
        <v>Active</v>
      </c>
      <c r="G102" s="22">
        <v>1</v>
      </c>
      <c r="H102" t="str">
        <f t="shared" si="16"/>
        <v>Unsatisfactory</v>
      </c>
      <c r="I102" s="22">
        <v>1</v>
      </c>
      <c r="J102" s="22" t="str">
        <f t="shared" si="17"/>
        <v>Stable</v>
      </c>
      <c r="K102" s="31">
        <v>0.46</v>
      </c>
      <c r="L102" s="24">
        <v>1</v>
      </c>
      <c r="M102" s="22" t="s">
        <v>59</v>
      </c>
      <c r="N102" s="22" t="str">
        <f t="shared" si="18"/>
        <v>Low</v>
      </c>
      <c r="O102" t="str">
        <f>INDEX(NineBox,MATCH(N102,{"Low","Mid","High"},0),MATCH(M102,{"Low","Medium","High"},0))</f>
        <v>Underperformer</v>
      </c>
      <c r="P102" s="28">
        <v>45597</v>
      </c>
      <c r="Q102" s="24">
        <f t="shared" si="19"/>
        <v>1.9110198494182067</v>
      </c>
      <c r="R102" s="22" t="str">
        <f t="shared" si="20"/>
        <v>Not Eligible</v>
      </c>
      <c r="S102" t="str">
        <f t="shared" si="21"/>
        <v>Rating below 4</v>
      </c>
      <c r="T102" s="22" t="s">
        <v>1687</v>
      </c>
    </row>
    <row r="103" spans="1:20" x14ac:dyDescent="0.3">
      <c r="A103" s="22" t="s">
        <v>495</v>
      </c>
      <c r="B103" s="29" t="str">
        <f t="shared" si="11"/>
        <v>Ravi Kumar</v>
      </c>
      <c r="C103" s="29" t="str">
        <f t="shared" si="12"/>
        <v>Madhuri Malhotra</v>
      </c>
      <c r="D103" s="29" t="str">
        <f t="shared" si="13"/>
        <v>Sales</v>
      </c>
      <c r="E103" s="30" t="str">
        <f t="shared" si="14"/>
        <v>L3</v>
      </c>
      <c r="F103" s="30" t="str">
        <f t="shared" si="15"/>
        <v>Active</v>
      </c>
      <c r="G103" s="22">
        <v>4</v>
      </c>
      <c r="H103" t="str">
        <f t="shared" si="16"/>
        <v>Exceeds Expectations</v>
      </c>
      <c r="I103" s="22">
        <v>4</v>
      </c>
      <c r="J103" s="22" t="str">
        <f t="shared" si="17"/>
        <v>Stable</v>
      </c>
      <c r="K103" s="31">
        <v>0.92</v>
      </c>
      <c r="L103" s="24">
        <v>3.7</v>
      </c>
      <c r="M103" s="22" t="s">
        <v>60</v>
      </c>
      <c r="N103" s="22" t="str">
        <f t="shared" si="18"/>
        <v>High</v>
      </c>
      <c r="O103" t="str">
        <f>INDEX(NineBox,MATCH(N103,{"Low","Mid","High"},0),MATCH(M103,{"Low","Medium","High"},0))</f>
        <v>High Performer</v>
      </c>
      <c r="P103" s="28">
        <v>45837</v>
      </c>
      <c r="Q103" s="24">
        <f t="shared" si="19"/>
        <v>1.2539356605065024</v>
      </c>
      <c r="R103" s="22" t="str">
        <f t="shared" si="20"/>
        <v>Not Eligible</v>
      </c>
      <c r="S103" t="str">
        <f t="shared" si="21"/>
        <v>Under 1.5 yrs in current level</v>
      </c>
      <c r="T103" s="22" t="s">
        <v>1687</v>
      </c>
    </row>
    <row r="104" spans="1:20" x14ac:dyDescent="0.3">
      <c r="A104" s="22" t="s">
        <v>498</v>
      </c>
      <c r="B104" s="29" t="str">
        <f t="shared" si="11"/>
        <v>Sowmya Verma</v>
      </c>
      <c r="C104" s="29" t="str">
        <f t="shared" si="12"/>
        <v>Kritika Pandey</v>
      </c>
      <c r="D104" s="29" t="str">
        <f t="shared" si="13"/>
        <v>Finance</v>
      </c>
      <c r="E104" s="30" t="str">
        <f t="shared" si="14"/>
        <v>L4</v>
      </c>
      <c r="F104" s="30" t="str">
        <f t="shared" si="15"/>
        <v>Active</v>
      </c>
      <c r="G104" s="22">
        <v>4</v>
      </c>
      <c r="H104" t="str">
        <f t="shared" si="16"/>
        <v>Exceeds Expectations</v>
      </c>
      <c r="I104" s="22">
        <v>5</v>
      </c>
      <c r="J104" s="22" t="str">
        <f t="shared" si="17"/>
        <v>Declined</v>
      </c>
      <c r="K104" s="31">
        <v>0.89</v>
      </c>
      <c r="L104" s="24">
        <v>3.8</v>
      </c>
      <c r="M104" s="22" t="s">
        <v>60</v>
      </c>
      <c r="N104" s="22" t="str">
        <f t="shared" si="18"/>
        <v>High</v>
      </c>
      <c r="O104" t="str">
        <f>INDEX(NineBox,MATCH(N104,{"Low","Mid","High"},0),MATCH(M104,{"Low","Medium","High"},0))</f>
        <v>High Performer</v>
      </c>
      <c r="P104" s="28">
        <v>45444</v>
      </c>
      <c r="Q104" s="24">
        <f t="shared" si="19"/>
        <v>2.3299110198494182</v>
      </c>
      <c r="R104" s="22" t="str">
        <f t="shared" si="20"/>
        <v>Eligible</v>
      </c>
      <c r="S104" t="str">
        <f t="shared" si="21"/>
        <v>Meets rating and time-in-level criteria</v>
      </c>
      <c r="T104" s="22" t="s">
        <v>1687</v>
      </c>
    </row>
    <row r="105" spans="1:20" x14ac:dyDescent="0.3">
      <c r="A105" s="22" t="s">
        <v>503</v>
      </c>
      <c r="B105" s="29" t="str">
        <f t="shared" si="11"/>
        <v>Arun Agarwal</v>
      </c>
      <c r="C105" s="29" t="str">
        <f t="shared" si="12"/>
        <v>Madhuri Malhotra</v>
      </c>
      <c r="D105" s="29" t="str">
        <f t="shared" si="13"/>
        <v>Sales</v>
      </c>
      <c r="E105" s="30" t="str">
        <f t="shared" si="14"/>
        <v>L4</v>
      </c>
      <c r="F105" s="30" t="str">
        <f t="shared" si="15"/>
        <v>Active</v>
      </c>
      <c r="G105" s="22">
        <v>3</v>
      </c>
      <c r="H105" t="str">
        <f t="shared" si="16"/>
        <v>Meets Expectations</v>
      </c>
      <c r="I105" s="22">
        <v>3</v>
      </c>
      <c r="J105" s="22" t="str">
        <f t="shared" si="17"/>
        <v>Stable</v>
      </c>
      <c r="K105" s="31">
        <v>0.83</v>
      </c>
      <c r="L105" s="24">
        <v>3.2</v>
      </c>
      <c r="M105" s="22" t="s">
        <v>60</v>
      </c>
      <c r="N105" s="22" t="str">
        <f t="shared" si="18"/>
        <v>Mid</v>
      </c>
      <c r="O105" t="str">
        <f>INDEX(NineBox,MATCH(N105,{"Low","Mid","High"},0),MATCH(M105,{"Low","Medium","High"},0))</f>
        <v>Core Player</v>
      </c>
      <c r="P105" s="28">
        <v>45729</v>
      </c>
      <c r="Q105" s="24">
        <f t="shared" si="19"/>
        <v>1.5496235455167693</v>
      </c>
      <c r="R105" s="22" t="str">
        <f t="shared" si="20"/>
        <v>Not Eligible</v>
      </c>
      <c r="S105" t="str">
        <f t="shared" si="21"/>
        <v>Rating below 4</v>
      </c>
      <c r="T105" s="22" t="s">
        <v>1687</v>
      </c>
    </row>
    <row r="106" spans="1:20" x14ac:dyDescent="0.3">
      <c r="A106" s="22" t="s">
        <v>506</v>
      </c>
      <c r="B106" s="29" t="str">
        <f t="shared" si="11"/>
        <v>Shreya Gowda</v>
      </c>
      <c r="C106" s="29" t="str">
        <f t="shared" si="12"/>
        <v>Tejaswini Hegde</v>
      </c>
      <c r="D106" s="29" t="str">
        <f t="shared" si="13"/>
        <v>Engineering</v>
      </c>
      <c r="E106" s="30" t="str">
        <f t="shared" si="14"/>
        <v>L3</v>
      </c>
      <c r="F106" s="30" t="str">
        <f t="shared" si="15"/>
        <v>Active</v>
      </c>
      <c r="G106" s="22">
        <v>4</v>
      </c>
      <c r="H106" t="str">
        <f t="shared" si="16"/>
        <v>Exceeds Expectations</v>
      </c>
      <c r="I106" s="22">
        <v>4</v>
      </c>
      <c r="J106" s="22" t="str">
        <f t="shared" si="17"/>
        <v>Stable</v>
      </c>
      <c r="K106" s="31">
        <v>0.92</v>
      </c>
      <c r="L106" s="24">
        <v>4.3</v>
      </c>
      <c r="M106" s="22" t="s">
        <v>61</v>
      </c>
      <c r="N106" s="22" t="str">
        <f t="shared" si="18"/>
        <v>High</v>
      </c>
      <c r="O106" t="str">
        <f>INDEX(NineBox,MATCH(N106,{"Low","Mid","High"},0),MATCH(M106,{"Low","Medium","High"},0))</f>
        <v>Star</v>
      </c>
      <c r="P106" s="28">
        <v>44738</v>
      </c>
      <c r="Q106" s="24">
        <f t="shared" si="19"/>
        <v>4.2628336755646821</v>
      </c>
      <c r="R106" s="22" t="str">
        <f t="shared" si="20"/>
        <v>Eligible</v>
      </c>
      <c r="S106" t="str">
        <f t="shared" si="21"/>
        <v>Meets rating and time-in-level criteria</v>
      </c>
      <c r="T106" s="22" t="s">
        <v>1687</v>
      </c>
    </row>
    <row r="107" spans="1:20" x14ac:dyDescent="0.3">
      <c r="A107" s="22" t="s">
        <v>182</v>
      </c>
      <c r="B107" s="29" t="str">
        <f t="shared" si="11"/>
        <v>Harsh Siddiqui</v>
      </c>
      <c r="C107" s="29" t="str">
        <f t="shared" si="12"/>
        <v>Vikram Verma</v>
      </c>
      <c r="D107" s="29" t="str">
        <f t="shared" si="13"/>
        <v>Engineering</v>
      </c>
      <c r="E107" s="30" t="str">
        <f t="shared" si="14"/>
        <v>L5</v>
      </c>
      <c r="F107" s="30" t="str">
        <f t="shared" si="15"/>
        <v>Active</v>
      </c>
      <c r="G107" s="22">
        <v>4</v>
      </c>
      <c r="H107" t="str">
        <f t="shared" si="16"/>
        <v>Exceeds Expectations</v>
      </c>
      <c r="I107" s="22">
        <v>3</v>
      </c>
      <c r="J107" s="22" t="str">
        <f t="shared" si="17"/>
        <v>Improved</v>
      </c>
      <c r="K107" s="31">
        <v>0.78</v>
      </c>
      <c r="L107" s="24">
        <v>4.3</v>
      </c>
      <c r="M107" s="22" t="s">
        <v>60</v>
      </c>
      <c r="N107" s="22" t="str">
        <f t="shared" si="18"/>
        <v>High</v>
      </c>
      <c r="O107" t="str">
        <f>INDEX(NineBox,MATCH(N107,{"Low","Mid","High"},0),MATCH(M107,{"Low","Medium","High"},0))</f>
        <v>High Performer</v>
      </c>
      <c r="P107" s="28">
        <v>46128</v>
      </c>
      <c r="Q107" s="24">
        <f t="shared" si="19"/>
        <v>0.45722108145106094</v>
      </c>
      <c r="R107" s="22" t="str">
        <f t="shared" si="20"/>
        <v>Not Eligible</v>
      </c>
      <c r="S107" t="str">
        <f t="shared" si="21"/>
        <v>Under 1.5 yrs in current level</v>
      </c>
      <c r="T107" s="22" t="s">
        <v>1687</v>
      </c>
    </row>
    <row r="108" spans="1:20" x14ac:dyDescent="0.3">
      <c r="A108" s="22" t="s">
        <v>510</v>
      </c>
      <c r="B108" s="29" t="str">
        <f t="shared" si="11"/>
        <v>Imran Subramanian</v>
      </c>
      <c r="C108" s="29" t="str">
        <f t="shared" si="12"/>
        <v>Sachin Shetty</v>
      </c>
      <c r="D108" s="29" t="str">
        <f t="shared" si="13"/>
        <v>Product</v>
      </c>
      <c r="E108" s="30" t="str">
        <f t="shared" si="14"/>
        <v>L4</v>
      </c>
      <c r="F108" s="30" t="str">
        <f t="shared" si="15"/>
        <v>Active</v>
      </c>
      <c r="G108" s="22">
        <v>3</v>
      </c>
      <c r="H108" t="str">
        <f t="shared" si="16"/>
        <v>Meets Expectations</v>
      </c>
      <c r="I108" s="22">
        <v>3</v>
      </c>
      <c r="J108" s="22" t="str">
        <f t="shared" si="17"/>
        <v>Stable</v>
      </c>
      <c r="K108" s="31">
        <v>0.73</v>
      </c>
      <c r="L108" s="24">
        <v>3.2</v>
      </c>
      <c r="M108" s="22" t="s">
        <v>60</v>
      </c>
      <c r="N108" s="22" t="str">
        <f t="shared" si="18"/>
        <v>Mid</v>
      </c>
      <c r="O108" t="str">
        <f>INDEX(NineBox,MATCH(N108,{"Low","Mid","High"},0),MATCH(M108,{"Low","Medium","High"},0))</f>
        <v>Core Player</v>
      </c>
      <c r="P108" s="28">
        <v>45687</v>
      </c>
      <c r="Q108" s="24">
        <f t="shared" si="19"/>
        <v>1.6646132785763177</v>
      </c>
      <c r="R108" s="22" t="str">
        <f t="shared" si="20"/>
        <v>Not Eligible</v>
      </c>
      <c r="S108" t="str">
        <f t="shared" si="21"/>
        <v>Rating below 4</v>
      </c>
      <c r="T108" s="22" t="s">
        <v>1687</v>
      </c>
    </row>
    <row r="109" spans="1:20" x14ac:dyDescent="0.3">
      <c r="A109" s="22" t="s">
        <v>515</v>
      </c>
      <c r="B109" s="29" t="str">
        <f t="shared" si="11"/>
        <v>Keerthi Siddiqui</v>
      </c>
      <c r="C109" s="29" t="str">
        <f t="shared" si="12"/>
        <v>Vidya Chatterjee</v>
      </c>
      <c r="D109" s="29" t="str">
        <f t="shared" si="13"/>
        <v>Customer Support</v>
      </c>
      <c r="E109" s="30" t="str">
        <f t="shared" si="14"/>
        <v>L3</v>
      </c>
      <c r="F109" s="30" t="str">
        <f t="shared" si="15"/>
        <v>Active</v>
      </c>
      <c r="G109" s="22">
        <v>3</v>
      </c>
      <c r="H109" t="str">
        <f t="shared" si="16"/>
        <v>Meets Expectations</v>
      </c>
      <c r="I109" s="22">
        <v>3</v>
      </c>
      <c r="J109" s="22" t="str">
        <f t="shared" si="17"/>
        <v>Stable</v>
      </c>
      <c r="K109" s="31">
        <v>0.85</v>
      </c>
      <c r="L109" s="24">
        <v>3.1</v>
      </c>
      <c r="M109" s="22" t="s">
        <v>60</v>
      </c>
      <c r="N109" s="22" t="str">
        <f t="shared" si="18"/>
        <v>Mid</v>
      </c>
      <c r="O109" t="str">
        <f>INDEX(NineBox,MATCH(N109,{"Low","Mid","High"},0),MATCH(M109,{"Low","Medium","High"},0))</f>
        <v>Core Player</v>
      </c>
      <c r="P109" s="28">
        <v>45188</v>
      </c>
      <c r="Q109" s="24">
        <f t="shared" si="19"/>
        <v>3.030800821355236</v>
      </c>
      <c r="R109" s="22" t="str">
        <f t="shared" si="20"/>
        <v>Not Eligible</v>
      </c>
      <c r="S109" t="str">
        <f t="shared" si="21"/>
        <v>Rating below 4</v>
      </c>
      <c r="T109" s="22" t="s">
        <v>1687</v>
      </c>
    </row>
    <row r="110" spans="1:20" x14ac:dyDescent="0.3">
      <c r="A110" s="22" t="s">
        <v>518</v>
      </c>
      <c r="B110" s="29" t="str">
        <f t="shared" si="11"/>
        <v>Nandini Choudhary</v>
      </c>
      <c r="C110" s="29" t="str">
        <f t="shared" si="12"/>
        <v>Fatima Choudhary</v>
      </c>
      <c r="D110" s="29" t="str">
        <f t="shared" si="13"/>
        <v>Engineering</v>
      </c>
      <c r="E110" s="30" t="str">
        <f t="shared" si="14"/>
        <v>L3</v>
      </c>
      <c r="F110" s="30" t="str">
        <f t="shared" si="15"/>
        <v>Active</v>
      </c>
      <c r="G110" s="22">
        <v>4</v>
      </c>
      <c r="H110" t="str">
        <f t="shared" si="16"/>
        <v>Exceeds Expectations</v>
      </c>
      <c r="I110" s="22">
        <v>4</v>
      </c>
      <c r="J110" s="22" t="str">
        <f t="shared" si="17"/>
        <v>Stable</v>
      </c>
      <c r="K110" s="31">
        <v>0.91</v>
      </c>
      <c r="L110" s="24">
        <v>4.2</v>
      </c>
      <c r="M110" s="22" t="s">
        <v>60</v>
      </c>
      <c r="N110" s="22" t="str">
        <f t="shared" si="18"/>
        <v>High</v>
      </c>
      <c r="O110" t="str">
        <f>INDEX(NineBox,MATCH(N110,{"Low","Mid","High"},0),MATCH(M110,{"Low","Medium","High"},0))</f>
        <v>High Performer</v>
      </c>
      <c r="P110" s="28">
        <v>44766</v>
      </c>
      <c r="Q110" s="24">
        <f t="shared" si="19"/>
        <v>4.1861738535249833</v>
      </c>
      <c r="R110" s="22" t="str">
        <f t="shared" si="20"/>
        <v>Eligible</v>
      </c>
      <c r="S110" t="str">
        <f t="shared" si="21"/>
        <v>Meets rating and time-in-level criteria</v>
      </c>
      <c r="T110" s="22" t="s">
        <v>1687</v>
      </c>
    </row>
    <row r="111" spans="1:20" x14ac:dyDescent="0.3">
      <c r="A111" s="22" t="s">
        <v>188</v>
      </c>
      <c r="B111" s="29" t="str">
        <f t="shared" si="11"/>
        <v>Aishwarya Mukherjee</v>
      </c>
      <c r="C111" s="29" t="str">
        <f t="shared" si="12"/>
        <v>Arun Khan</v>
      </c>
      <c r="D111" s="29" t="str">
        <f t="shared" si="13"/>
        <v>Marketing</v>
      </c>
      <c r="E111" s="30" t="str">
        <f t="shared" si="14"/>
        <v>L6</v>
      </c>
      <c r="F111" s="30" t="str">
        <f t="shared" si="15"/>
        <v>Active</v>
      </c>
      <c r="G111" s="22">
        <v>3</v>
      </c>
      <c r="H111" t="str">
        <f t="shared" si="16"/>
        <v>Meets Expectations</v>
      </c>
      <c r="I111" s="22">
        <v>4</v>
      </c>
      <c r="J111" s="22" t="str">
        <f t="shared" si="17"/>
        <v>Declined</v>
      </c>
      <c r="K111" s="31">
        <v>0.72</v>
      </c>
      <c r="L111" s="24">
        <v>2.7</v>
      </c>
      <c r="M111" s="22" t="s">
        <v>61</v>
      </c>
      <c r="N111" s="22" t="str">
        <f t="shared" si="18"/>
        <v>Mid</v>
      </c>
      <c r="O111" t="str">
        <f>INDEX(NineBox,MATCH(N111,{"Low","Mid","High"},0),MATCH(M111,{"Low","Medium","High"},0))</f>
        <v>Future Star</v>
      </c>
      <c r="P111" s="28">
        <v>44768</v>
      </c>
      <c r="Q111" s="24">
        <f t="shared" si="19"/>
        <v>4.1806981519507183</v>
      </c>
      <c r="R111" s="22" t="str">
        <f t="shared" si="20"/>
        <v>Not Eligible</v>
      </c>
      <c r="S111" t="str">
        <f t="shared" si="21"/>
        <v>Rating below 4</v>
      </c>
      <c r="T111" s="22" t="s">
        <v>1687</v>
      </c>
    </row>
    <row r="112" spans="1:20" x14ac:dyDescent="0.3">
      <c r="A112" s="22" t="s">
        <v>225</v>
      </c>
      <c r="B112" s="29" t="str">
        <f t="shared" si="11"/>
        <v>Ajay Patel</v>
      </c>
      <c r="C112" s="29" t="str">
        <f t="shared" si="12"/>
        <v>Prakash Das</v>
      </c>
      <c r="D112" s="29" t="str">
        <f t="shared" si="13"/>
        <v>Human Resources</v>
      </c>
      <c r="E112" s="30" t="str">
        <f t="shared" si="14"/>
        <v>L5</v>
      </c>
      <c r="F112" s="30" t="str">
        <f t="shared" si="15"/>
        <v>Exited</v>
      </c>
      <c r="G112" s="22">
        <v>1</v>
      </c>
      <c r="H112" t="str">
        <f t="shared" si="16"/>
        <v>Unsatisfactory</v>
      </c>
      <c r="I112" s="22">
        <v>1</v>
      </c>
      <c r="J112" s="22" t="str">
        <f t="shared" si="17"/>
        <v>Stable</v>
      </c>
      <c r="K112" s="31">
        <v>0.49</v>
      </c>
      <c r="L112" s="24">
        <v>2</v>
      </c>
      <c r="M112" s="22" t="s">
        <v>60</v>
      </c>
      <c r="N112" s="22" t="str">
        <f t="shared" si="18"/>
        <v>Low</v>
      </c>
      <c r="O112" t="str">
        <f>INDEX(NineBox,MATCH(N112,{"Low","Mid","High"},0),MATCH(M112,{"Low","Medium","High"},0))</f>
        <v>Inconsistent Player</v>
      </c>
      <c r="P112" s="28">
        <v>44778</v>
      </c>
      <c r="Q112" s="24">
        <f t="shared" si="19"/>
        <v>4.1533196440793976</v>
      </c>
      <c r="R112" s="22" t="str">
        <f t="shared" si="20"/>
        <v>Not Eligible</v>
      </c>
      <c r="S112" t="str">
        <f t="shared" si="21"/>
        <v>Employee has exited</v>
      </c>
      <c r="T112" s="22" t="s">
        <v>1687</v>
      </c>
    </row>
    <row r="113" spans="1:20" x14ac:dyDescent="0.3">
      <c r="A113" s="22" t="s">
        <v>526</v>
      </c>
      <c r="B113" s="29" t="str">
        <f t="shared" si="11"/>
        <v>Trisha Saxena</v>
      </c>
      <c r="C113" s="29" t="str">
        <f t="shared" si="12"/>
        <v>Yash Raghavan</v>
      </c>
      <c r="D113" s="29" t="str">
        <f t="shared" si="13"/>
        <v>Sales</v>
      </c>
      <c r="E113" s="30" t="str">
        <f t="shared" si="14"/>
        <v>L3</v>
      </c>
      <c r="F113" s="30" t="str">
        <f t="shared" si="15"/>
        <v>Active</v>
      </c>
      <c r="G113" s="22">
        <v>2</v>
      </c>
      <c r="H113" t="str">
        <f t="shared" si="16"/>
        <v>Needs Improvement</v>
      </c>
      <c r="I113" s="22">
        <v>2</v>
      </c>
      <c r="J113" s="22" t="str">
        <f t="shared" si="17"/>
        <v>Stable</v>
      </c>
      <c r="K113" s="31">
        <v>0.77</v>
      </c>
      <c r="L113" s="24">
        <v>2.6</v>
      </c>
      <c r="M113" s="22" t="s">
        <v>59</v>
      </c>
      <c r="N113" s="22" t="str">
        <f t="shared" si="18"/>
        <v>Low</v>
      </c>
      <c r="O113" t="str">
        <f>INDEX(NineBox,MATCH(N113,{"Low","Mid","High"},0),MATCH(M113,{"Low","Medium","High"},0))</f>
        <v>Underperformer</v>
      </c>
      <c r="P113" s="28">
        <v>45588</v>
      </c>
      <c r="Q113" s="24">
        <f t="shared" si="19"/>
        <v>1.9356605065023955</v>
      </c>
      <c r="R113" s="22" t="str">
        <f t="shared" si="20"/>
        <v>Not Eligible</v>
      </c>
      <c r="S113" t="str">
        <f t="shared" si="21"/>
        <v>Rating below 4</v>
      </c>
      <c r="T113" s="22" t="s">
        <v>1687</v>
      </c>
    </row>
    <row r="114" spans="1:20" x14ac:dyDescent="0.3">
      <c r="A114" s="22" t="s">
        <v>529</v>
      </c>
      <c r="B114" s="29" t="str">
        <f t="shared" si="11"/>
        <v>Vikas Shah</v>
      </c>
      <c r="C114" s="29" t="str">
        <f t="shared" si="12"/>
        <v>Vidya Chatterjee</v>
      </c>
      <c r="D114" s="29" t="str">
        <f t="shared" si="13"/>
        <v>Customer Support</v>
      </c>
      <c r="E114" s="30" t="str">
        <f t="shared" si="14"/>
        <v>L3</v>
      </c>
      <c r="F114" s="30" t="str">
        <f t="shared" si="15"/>
        <v>Active</v>
      </c>
      <c r="G114" s="22">
        <v>3</v>
      </c>
      <c r="H114" t="str">
        <f t="shared" si="16"/>
        <v>Meets Expectations</v>
      </c>
      <c r="I114" s="22">
        <v>2</v>
      </c>
      <c r="J114" s="22" t="str">
        <f t="shared" si="17"/>
        <v>Improved</v>
      </c>
      <c r="K114" s="31">
        <v>0.61</v>
      </c>
      <c r="L114" s="24">
        <v>2.4</v>
      </c>
      <c r="M114" s="22" t="s">
        <v>60</v>
      </c>
      <c r="N114" s="22" t="str">
        <f t="shared" si="18"/>
        <v>Mid</v>
      </c>
      <c r="O114" t="str">
        <f>INDEX(NineBox,MATCH(N114,{"Low","Mid","High"},0),MATCH(M114,{"Low","Medium","High"},0))</f>
        <v>Core Player</v>
      </c>
      <c r="P114" s="28">
        <v>45759</v>
      </c>
      <c r="Q114" s="24">
        <f t="shared" si="19"/>
        <v>1.4674880219028064</v>
      </c>
      <c r="R114" s="22" t="str">
        <f t="shared" si="20"/>
        <v>Not Eligible</v>
      </c>
      <c r="S114" t="str">
        <f t="shared" si="21"/>
        <v>Rating below 4</v>
      </c>
      <c r="T114" s="22" t="s">
        <v>1687</v>
      </c>
    </row>
    <row r="115" spans="1:20" x14ac:dyDescent="0.3">
      <c r="A115" s="22" t="s">
        <v>532</v>
      </c>
      <c r="B115" s="29" t="str">
        <f t="shared" si="11"/>
        <v>Aarav Thomas</v>
      </c>
      <c r="C115" s="29" t="str">
        <f t="shared" si="12"/>
        <v>Kavya Krishnan</v>
      </c>
      <c r="D115" s="29" t="str">
        <f t="shared" si="13"/>
        <v>Sales</v>
      </c>
      <c r="E115" s="30" t="str">
        <f t="shared" si="14"/>
        <v>L3</v>
      </c>
      <c r="F115" s="30" t="str">
        <f t="shared" si="15"/>
        <v>Active</v>
      </c>
      <c r="G115" s="22">
        <v>4</v>
      </c>
      <c r="H115" t="str">
        <f t="shared" si="16"/>
        <v>Exceeds Expectations</v>
      </c>
      <c r="I115" s="22">
        <v>4</v>
      </c>
      <c r="J115" s="22" t="str">
        <f t="shared" si="17"/>
        <v>Stable</v>
      </c>
      <c r="K115" s="31">
        <v>0.67</v>
      </c>
      <c r="L115" s="24">
        <v>3.7</v>
      </c>
      <c r="M115" s="22" t="s">
        <v>60</v>
      </c>
      <c r="N115" s="22" t="str">
        <f t="shared" si="18"/>
        <v>High</v>
      </c>
      <c r="O115" t="str">
        <f>INDEX(NineBox,MATCH(N115,{"Low","Mid","High"},0),MATCH(M115,{"Low","Medium","High"},0))</f>
        <v>High Performer</v>
      </c>
      <c r="P115" s="28">
        <v>46187</v>
      </c>
      <c r="Q115" s="24">
        <f t="shared" si="19"/>
        <v>0.29568788501026694</v>
      </c>
      <c r="R115" s="22" t="str">
        <f t="shared" si="20"/>
        <v>Not Eligible</v>
      </c>
      <c r="S115" t="str">
        <f t="shared" si="21"/>
        <v>Under 1.5 yrs in current level</v>
      </c>
      <c r="T115" s="22" t="s">
        <v>1687</v>
      </c>
    </row>
    <row r="116" spans="1:20" x14ac:dyDescent="0.3">
      <c r="A116" s="22" t="s">
        <v>535</v>
      </c>
      <c r="B116" s="29" t="str">
        <f t="shared" si="11"/>
        <v>Naveen Verma</v>
      </c>
      <c r="C116" s="29" t="str">
        <f t="shared" si="12"/>
        <v>Yash Shah</v>
      </c>
      <c r="D116" s="29" t="str">
        <f t="shared" si="13"/>
        <v>Operations</v>
      </c>
      <c r="E116" s="30" t="str">
        <f t="shared" si="14"/>
        <v>L3</v>
      </c>
      <c r="F116" s="30" t="str">
        <f t="shared" si="15"/>
        <v>Active</v>
      </c>
      <c r="G116" s="22">
        <v>4</v>
      </c>
      <c r="H116" t="str">
        <f t="shared" si="16"/>
        <v>Exceeds Expectations</v>
      </c>
      <c r="I116" s="22">
        <v>4</v>
      </c>
      <c r="J116" s="22" t="str">
        <f t="shared" si="17"/>
        <v>Stable</v>
      </c>
      <c r="K116" s="31">
        <v>0.99</v>
      </c>
      <c r="L116" s="24">
        <v>3</v>
      </c>
      <c r="M116" s="22" t="s">
        <v>60</v>
      </c>
      <c r="N116" s="22" t="str">
        <f t="shared" si="18"/>
        <v>High</v>
      </c>
      <c r="O116" t="str">
        <f>INDEX(NineBox,MATCH(N116,{"Low","Mid","High"},0),MATCH(M116,{"Low","Medium","High"},0))</f>
        <v>High Performer</v>
      </c>
      <c r="P116" s="28">
        <v>45381</v>
      </c>
      <c r="Q116" s="24">
        <f t="shared" si="19"/>
        <v>2.5023956194387407</v>
      </c>
      <c r="R116" s="22" t="str">
        <f t="shared" si="20"/>
        <v>Eligible</v>
      </c>
      <c r="S116" t="str">
        <f t="shared" si="21"/>
        <v>Meets rating and time-in-level criteria</v>
      </c>
      <c r="T116" s="22" t="s">
        <v>1687</v>
      </c>
    </row>
    <row r="117" spans="1:20" x14ac:dyDescent="0.3">
      <c r="A117" s="22" t="s">
        <v>538</v>
      </c>
      <c r="B117" s="29" t="str">
        <f t="shared" si="11"/>
        <v>Tanvi Tiwari</v>
      </c>
      <c r="C117" s="29" t="str">
        <f t="shared" si="12"/>
        <v>Ramya Khanna</v>
      </c>
      <c r="D117" s="29" t="str">
        <f t="shared" si="13"/>
        <v>Legal &amp; Compliance</v>
      </c>
      <c r="E117" s="30" t="str">
        <f t="shared" si="14"/>
        <v>L3</v>
      </c>
      <c r="F117" s="30" t="str">
        <f t="shared" si="15"/>
        <v>Active</v>
      </c>
      <c r="G117" s="22">
        <v>1</v>
      </c>
      <c r="H117" t="str">
        <f t="shared" si="16"/>
        <v>Unsatisfactory</v>
      </c>
      <c r="I117" s="22">
        <v>1</v>
      </c>
      <c r="J117" s="22" t="str">
        <f t="shared" si="17"/>
        <v>Stable</v>
      </c>
      <c r="K117" s="31">
        <v>0.56999999999999995</v>
      </c>
      <c r="L117" s="24">
        <v>1</v>
      </c>
      <c r="M117" s="22" t="s">
        <v>60</v>
      </c>
      <c r="N117" s="22" t="str">
        <f t="shared" si="18"/>
        <v>Low</v>
      </c>
      <c r="O117" t="str">
        <f>INDEX(NineBox,MATCH(N117,{"Low","Mid","High"},0),MATCH(M117,{"Low","Medium","High"},0))</f>
        <v>Inconsistent Player</v>
      </c>
      <c r="P117" s="28">
        <v>45241</v>
      </c>
      <c r="Q117" s="24">
        <f t="shared" si="19"/>
        <v>2.8856947296372346</v>
      </c>
      <c r="R117" s="22" t="str">
        <f t="shared" si="20"/>
        <v>Not Eligible</v>
      </c>
      <c r="S117" t="str">
        <f t="shared" si="21"/>
        <v>Rating below 4</v>
      </c>
      <c r="T117" s="22" t="s">
        <v>1687</v>
      </c>
    </row>
    <row r="118" spans="1:20" x14ac:dyDescent="0.3">
      <c r="A118" s="22" t="s">
        <v>542</v>
      </c>
      <c r="B118" s="29" t="str">
        <f t="shared" si="11"/>
        <v>Sneha Saxena</v>
      </c>
      <c r="C118" s="29" t="str">
        <f t="shared" si="12"/>
        <v>Mansi Pillai</v>
      </c>
      <c r="D118" s="29" t="str">
        <f t="shared" si="13"/>
        <v>Product</v>
      </c>
      <c r="E118" s="30" t="str">
        <f t="shared" si="14"/>
        <v>L2</v>
      </c>
      <c r="F118" s="30" t="str">
        <f t="shared" si="15"/>
        <v>Active</v>
      </c>
      <c r="G118" s="22">
        <v>3</v>
      </c>
      <c r="H118" t="str">
        <f t="shared" si="16"/>
        <v>Meets Expectations</v>
      </c>
      <c r="I118" s="22">
        <v>3</v>
      </c>
      <c r="J118" s="22" t="str">
        <f t="shared" si="17"/>
        <v>Stable</v>
      </c>
      <c r="K118" s="31">
        <v>0.86</v>
      </c>
      <c r="L118" s="24">
        <v>3</v>
      </c>
      <c r="M118" s="22" t="s">
        <v>60</v>
      </c>
      <c r="N118" s="22" t="str">
        <f t="shared" si="18"/>
        <v>Mid</v>
      </c>
      <c r="O118" t="str">
        <f>INDEX(NineBox,MATCH(N118,{"Low","Mid","High"},0),MATCH(M118,{"Low","Medium","High"},0))</f>
        <v>Core Player</v>
      </c>
      <c r="P118" s="28">
        <v>44836</v>
      </c>
      <c r="Q118" s="24">
        <f t="shared" si="19"/>
        <v>3.9945242984257359</v>
      </c>
      <c r="R118" s="22" t="str">
        <f t="shared" si="20"/>
        <v>Not Eligible</v>
      </c>
      <c r="S118" t="str">
        <f t="shared" si="21"/>
        <v>Rating below 4</v>
      </c>
      <c r="T118" s="22" t="s">
        <v>1687</v>
      </c>
    </row>
    <row r="119" spans="1:20" x14ac:dyDescent="0.3">
      <c r="A119" s="22" t="s">
        <v>154</v>
      </c>
      <c r="B119" s="29" t="str">
        <f t="shared" si="11"/>
        <v>Amit Kumar</v>
      </c>
      <c r="C119" s="29" t="str">
        <f t="shared" si="12"/>
        <v>Imran Mishra</v>
      </c>
      <c r="D119" s="29" t="str">
        <f t="shared" si="13"/>
        <v>Operations</v>
      </c>
      <c r="E119" s="30" t="str">
        <f t="shared" si="14"/>
        <v>L5</v>
      </c>
      <c r="F119" s="30" t="str">
        <f t="shared" si="15"/>
        <v>Exited</v>
      </c>
      <c r="G119" s="22">
        <v>3</v>
      </c>
      <c r="H119" t="str">
        <f t="shared" si="16"/>
        <v>Meets Expectations</v>
      </c>
      <c r="I119" s="22">
        <v>3</v>
      </c>
      <c r="J119" s="22" t="str">
        <f t="shared" si="17"/>
        <v>Stable</v>
      </c>
      <c r="K119" s="31">
        <v>0.81</v>
      </c>
      <c r="L119" s="24">
        <v>2.8</v>
      </c>
      <c r="M119" s="22" t="s">
        <v>60</v>
      </c>
      <c r="N119" s="22" t="str">
        <f t="shared" si="18"/>
        <v>Mid</v>
      </c>
      <c r="O119" t="str">
        <f>INDEX(NineBox,MATCH(N119,{"Low","Mid","High"},0),MATCH(M119,{"Low","Medium","High"},0))</f>
        <v>Core Player</v>
      </c>
      <c r="P119" s="28">
        <v>45790</v>
      </c>
      <c r="Q119" s="24">
        <f t="shared" si="19"/>
        <v>1.3826146475017111</v>
      </c>
      <c r="R119" s="22" t="str">
        <f t="shared" si="20"/>
        <v>Not Eligible</v>
      </c>
      <c r="S119" t="str">
        <f t="shared" si="21"/>
        <v>Employee has exited</v>
      </c>
      <c r="T119" s="22" t="s">
        <v>1687</v>
      </c>
    </row>
    <row r="120" spans="1:20" x14ac:dyDescent="0.3">
      <c r="A120" s="22" t="s">
        <v>547</v>
      </c>
      <c r="B120" s="29" t="str">
        <f t="shared" si="11"/>
        <v>Pranav Banerjee</v>
      </c>
      <c r="C120" s="29" t="str">
        <f t="shared" si="12"/>
        <v>Pallavi Nair</v>
      </c>
      <c r="D120" s="29" t="str">
        <f t="shared" si="13"/>
        <v>Operations</v>
      </c>
      <c r="E120" s="30" t="str">
        <f t="shared" si="14"/>
        <v>L2</v>
      </c>
      <c r="F120" s="30" t="str">
        <f t="shared" si="15"/>
        <v>Active</v>
      </c>
      <c r="G120" s="22">
        <v>1</v>
      </c>
      <c r="H120" t="str">
        <f t="shared" si="16"/>
        <v>Unsatisfactory</v>
      </c>
      <c r="I120" s="22">
        <v>1</v>
      </c>
      <c r="J120" s="22" t="str">
        <f t="shared" si="17"/>
        <v>Stable</v>
      </c>
      <c r="K120" s="31">
        <v>0.62</v>
      </c>
      <c r="L120" s="24">
        <v>1.9</v>
      </c>
      <c r="M120" s="22" t="s">
        <v>61</v>
      </c>
      <c r="N120" s="22" t="str">
        <f t="shared" si="18"/>
        <v>Low</v>
      </c>
      <c r="O120" t="str">
        <f>INDEX(NineBox,MATCH(N120,{"Low","Mid","High"},0),MATCH(M120,{"Low","Medium","High"},0))</f>
        <v>Rough Diamond</v>
      </c>
      <c r="P120" s="28">
        <v>45697</v>
      </c>
      <c r="Q120" s="24">
        <f t="shared" si="19"/>
        <v>1.6372347707049966</v>
      </c>
      <c r="R120" s="22" t="str">
        <f t="shared" si="20"/>
        <v>Not Eligible</v>
      </c>
      <c r="S120" t="str">
        <f t="shared" si="21"/>
        <v>Rating below 4</v>
      </c>
      <c r="T120" s="22" t="s">
        <v>1687</v>
      </c>
    </row>
    <row r="121" spans="1:20" x14ac:dyDescent="0.3">
      <c r="A121" s="22" t="s">
        <v>551</v>
      </c>
      <c r="B121" s="29" t="str">
        <f t="shared" si="11"/>
        <v>Ayesha Reddy</v>
      </c>
      <c r="C121" s="29" t="str">
        <f t="shared" si="12"/>
        <v>Arun Mukherjee</v>
      </c>
      <c r="D121" s="29" t="str">
        <f t="shared" si="13"/>
        <v>Data &amp; Analytics</v>
      </c>
      <c r="E121" s="30" t="str">
        <f t="shared" si="14"/>
        <v>L3</v>
      </c>
      <c r="F121" s="30" t="str">
        <f t="shared" si="15"/>
        <v>Exited</v>
      </c>
      <c r="G121" s="22">
        <v>4</v>
      </c>
      <c r="H121" t="str">
        <f t="shared" si="16"/>
        <v>Exceeds Expectations</v>
      </c>
      <c r="I121" s="22">
        <v>4</v>
      </c>
      <c r="J121" s="22" t="str">
        <f t="shared" si="17"/>
        <v>Stable</v>
      </c>
      <c r="K121" s="31">
        <v>0.98</v>
      </c>
      <c r="L121" s="24">
        <v>4.5</v>
      </c>
      <c r="M121" s="22" t="s">
        <v>61</v>
      </c>
      <c r="N121" s="22" t="str">
        <f t="shared" si="18"/>
        <v>High</v>
      </c>
      <c r="O121" t="str">
        <f>INDEX(NineBox,MATCH(N121,{"Low","Mid","High"},0),MATCH(M121,{"Low","Medium","High"},0))</f>
        <v>Star</v>
      </c>
      <c r="P121" s="28">
        <v>44850</v>
      </c>
      <c r="Q121" s="24">
        <f t="shared" si="19"/>
        <v>3.9561943874058865</v>
      </c>
      <c r="R121" s="22" t="str">
        <f t="shared" si="20"/>
        <v>Not Eligible</v>
      </c>
      <c r="S121" t="str">
        <f t="shared" si="21"/>
        <v>Employee has exited</v>
      </c>
      <c r="T121" s="22" t="s">
        <v>1687</v>
      </c>
    </row>
    <row r="122" spans="1:20" x14ac:dyDescent="0.3">
      <c r="A122" s="22" t="s">
        <v>554</v>
      </c>
      <c r="B122" s="29" t="str">
        <f t="shared" si="11"/>
        <v>Srinivas Kulkarni</v>
      </c>
      <c r="C122" s="29" t="str">
        <f t="shared" si="12"/>
        <v>Kritika Pandey</v>
      </c>
      <c r="D122" s="29" t="str">
        <f t="shared" si="13"/>
        <v>Finance</v>
      </c>
      <c r="E122" s="30" t="str">
        <f t="shared" si="14"/>
        <v>L4</v>
      </c>
      <c r="F122" s="30" t="str">
        <f t="shared" si="15"/>
        <v>Active</v>
      </c>
      <c r="G122" s="22">
        <v>4</v>
      </c>
      <c r="H122" t="str">
        <f t="shared" si="16"/>
        <v>Exceeds Expectations</v>
      </c>
      <c r="I122" s="22">
        <v>3</v>
      </c>
      <c r="J122" s="22" t="str">
        <f t="shared" si="17"/>
        <v>Improved</v>
      </c>
      <c r="K122" s="31">
        <v>0.96</v>
      </c>
      <c r="L122" s="24">
        <v>3.6</v>
      </c>
      <c r="M122" s="22" t="s">
        <v>61</v>
      </c>
      <c r="N122" s="22" t="str">
        <f t="shared" si="18"/>
        <v>High</v>
      </c>
      <c r="O122" t="str">
        <f>INDEX(NineBox,MATCH(N122,{"Low","Mid","High"},0),MATCH(M122,{"Low","Medium","High"},0))</f>
        <v>Star</v>
      </c>
      <c r="P122" s="28">
        <v>45775</v>
      </c>
      <c r="Q122" s="24">
        <f t="shared" si="19"/>
        <v>1.4236824093086926</v>
      </c>
      <c r="R122" s="22" t="str">
        <f t="shared" si="20"/>
        <v>Not Eligible</v>
      </c>
      <c r="S122" t="str">
        <f t="shared" si="21"/>
        <v>Under 1.5 yrs in current level</v>
      </c>
      <c r="T122" s="22" t="s">
        <v>1687</v>
      </c>
    </row>
    <row r="123" spans="1:20" x14ac:dyDescent="0.3">
      <c r="A123" s="22" t="s">
        <v>557</v>
      </c>
      <c r="B123" s="29" t="str">
        <f t="shared" si="11"/>
        <v>Divya Kulkarni</v>
      </c>
      <c r="C123" s="29" t="str">
        <f t="shared" si="12"/>
        <v>Isha Verma</v>
      </c>
      <c r="D123" s="29" t="str">
        <f t="shared" si="13"/>
        <v>Customer Support</v>
      </c>
      <c r="E123" s="30" t="str">
        <f t="shared" si="14"/>
        <v>L2</v>
      </c>
      <c r="F123" s="30" t="str">
        <f t="shared" si="15"/>
        <v>Exited</v>
      </c>
      <c r="G123" s="22">
        <v>3</v>
      </c>
      <c r="H123" t="str">
        <f t="shared" si="16"/>
        <v>Meets Expectations</v>
      </c>
      <c r="I123" s="22">
        <v>3</v>
      </c>
      <c r="J123" s="22" t="str">
        <f t="shared" si="17"/>
        <v>Stable</v>
      </c>
      <c r="K123" s="31">
        <v>0.86</v>
      </c>
      <c r="L123" s="24">
        <v>2</v>
      </c>
      <c r="M123" s="22" t="s">
        <v>60</v>
      </c>
      <c r="N123" s="22" t="str">
        <f t="shared" si="18"/>
        <v>Mid</v>
      </c>
      <c r="O123" t="str">
        <f>INDEX(NineBox,MATCH(N123,{"Low","Mid","High"},0),MATCH(M123,{"Low","Medium","High"},0))</f>
        <v>Core Player</v>
      </c>
      <c r="P123" s="28">
        <v>44873</v>
      </c>
      <c r="Q123" s="24">
        <f t="shared" si="19"/>
        <v>3.893223819301848</v>
      </c>
      <c r="R123" s="22" t="str">
        <f t="shared" si="20"/>
        <v>Not Eligible</v>
      </c>
      <c r="S123" t="str">
        <f t="shared" si="21"/>
        <v>Employee has exited</v>
      </c>
      <c r="T123" s="22" t="s">
        <v>1687</v>
      </c>
    </row>
    <row r="124" spans="1:20" x14ac:dyDescent="0.3">
      <c r="A124" s="22" t="s">
        <v>561</v>
      </c>
      <c r="B124" s="29" t="str">
        <f t="shared" si="11"/>
        <v>Arjun Bansal</v>
      </c>
      <c r="C124" s="29" t="str">
        <f t="shared" si="12"/>
        <v>Ramya Menon</v>
      </c>
      <c r="D124" s="29" t="str">
        <f t="shared" si="13"/>
        <v>Operations</v>
      </c>
      <c r="E124" s="30" t="str">
        <f t="shared" si="14"/>
        <v>L2</v>
      </c>
      <c r="F124" s="30" t="str">
        <f t="shared" si="15"/>
        <v>Active</v>
      </c>
      <c r="G124" s="22">
        <v>1</v>
      </c>
      <c r="H124" t="str">
        <f t="shared" si="16"/>
        <v>Unsatisfactory</v>
      </c>
      <c r="I124" s="22">
        <v>1</v>
      </c>
      <c r="J124" s="22" t="str">
        <f t="shared" si="17"/>
        <v>Stable</v>
      </c>
      <c r="K124" s="31">
        <v>0.46</v>
      </c>
      <c r="L124" s="24">
        <v>1</v>
      </c>
      <c r="M124" s="22" t="s">
        <v>59</v>
      </c>
      <c r="N124" s="22" t="str">
        <f t="shared" si="18"/>
        <v>Low</v>
      </c>
      <c r="O124" t="str">
        <f>INDEX(NineBox,MATCH(N124,{"Low","Mid","High"},0),MATCH(M124,{"Low","Medium","High"},0))</f>
        <v>Underperformer</v>
      </c>
      <c r="P124" s="28">
        <v>45851</v>
      </c>
      <c r="Q124" s="24">
        <f t="shared" si="19"/>
        <v>1.215605749486653</v>
      </c>
      <c r="R124" s="22" t="str">
        <f t="shared" si="20"/>
        <v>Not Eligible</v>
      </c>
      <c r="S124" t="str">
        <f t="shared" si="21"/>
        <v>Rating below 4</v>
      </c>
      <c r="T124" s="22" t="s">
        <v>1687</v>
      </c>
    </row>
    <row r="125" spans="1:20" x14ac:dyDescent="0.3">
      <c r="A125" s="22" t="s">
        <v>392</v>
      </c>
      <c r="B125" s="29" t="str">
        <f t="shared" si="11"/>
        <v>Vikram Joshi</v>
      </c>
      <c r="C125" s="29" t="str">
        <f t="shared" si="12"/>
        <v>Arvind Rao (CEO)</v>
      </c>
      <c r="D125" s="29" t="str">
        <f t="shared" si="13"/>
        <v>Customer Support</v>
      </c>
      <c r="E125" s="30" t="str">
        <f t="shared" si="14"/>
        <v>L7</v>
      </c>
      <c r="F125" s="30" t="str">
        <f t="shared" si="15"/>
        <v>Active</v>
      </c>
      <c r="G125" s="22">
        <v>4</v>
      </c>
      <c r="H125" t="str">
        <f t="shared" si="16"/>
        <v>Exceeds Expectations</v>
      </c>
      <c r="I125" s="22">
        <v>4</v>
      </c>
      <c r="J125" s="22" t="str">
        <f t="shared" si="17"/>
        <v>Stable</v>
      </c>
      <c r="K125" s="31">
        <v>0.91</v>
      </c>
      <c r="L125" s="24">
        <v>3.6</v>
      </c>
      <c r="M125" s="22" t="s">
        <v>59</v>
      </c>
      <c r="N125" s="22" t="str">
        <f t="shared" si="18"/>
        <v>High</v>
      </c>
      <c r="O125" t="str">
        <f>INDEX(NineBox,MATCH(N125,{"Low","Mid","High"},0),MATCH(M125,{"Low","Medium","High"},0))</f>
        <v>Trusted Professional</v>
      </c>
      <c r="P125" s="28">
        <v>45752</v>
      </c>
      <c r="Q125" s="24">
        <f t="shared" si="19"/>
        <v>1.4866529774127311</v>
      </c>
      <c r="R125" s="22" t="str">
        <f t="shared" si="20"/>
        <v>Not Eligible</v>
      </c>
      <c r="S125" t="str">
        <f t="shared" si="21"/>
        <v>Already at top level</v>
      </c>
      <c r="T125" s="22" t="s">
        <v>1687</v>
      </c>
    </row>
    <row r="126" spans="1:20" x14ac:dyDescent="0.3">
      <c r="A126" s="22" t="s">
        <v>566</v>
      </c>
      <c r="B126" s="29" t="str">
        <f t="shared" si="11"/>
        <v>Rohan Pandey</v>
      </c>
      <c r="C126" s="29" t="str">
        <f t="shared" si="12"/>
        <v>Gaurav Fernandes</v>
      </c>
      <c r="D126" s="29" t="str">
        <f t="shared" si="13"/>
        <v>Engineering</v>
      </c>
      <c r="E126" s="30" t="str">
        <f t="shared" si="14"/>
        <v>L2</v>
      </c>
      <c r="F126" s="30" t="str">
        <f t="shared" si="15"/>
        <v>Active</v>
      </c>
      <c r="G126" s="22">
        <v>3</v>
      </c>
      <c r="H126" t="str">
        <f t="shared" si="16"/>
        <v>Meets Expectations</v>
      </c>
      <c r="I126" s="22">
        <v>3</v>
      </c>
      <c r="J126" s="22" t="str">
        <f t="shared" si="17"/>
        <v>Stable</v>
      </c>
      <c r="K126" s="31">
        <v>0.82</v>
      </c>
      <c r="L126" s="24">
        <v>3.4</v>
      </c>
      <c r="M126" s="22" t="s">
        <v>59</v>
      </c>
      <c r="N126" s="22" t="str">
        <f t="shared" si="18"/>
        <v>Mid</v>
      </c>
      <c r="O126" t="str">
        <f>INDEX(NineBox,MATCH(N126,{"Low","Mid","High"},0),MATCH(M126,{"Low","Medium","High"},0))</f>
        <v>Effective Contributor</v>
      </c>
      <c r="P126" s="28">
        <v>44894</v>
      </c>
      <c r="Q126" s="24">
        <f t="shared" si="19"/>
        <v>3.8357289527720737</v>
      </c>
      <c r="R126" s="22" t="str">
        <f t="shared" si="20"/>
        <v>Not Eligible</v>
      </c>
      <c r="S126" t="str">
        <f t="shared" si="21"/>
        <v>Rating below 4</v>
      </c>
      <c r="T126" s="22" t="s">
        <v>1687</v>
      </c>
    </row>
    <row r="127" spans="1:20" x14ac:dyDescent="0.3">
      <c r="A127" s="22" t="s">
        <v>570</v>
      </c>
      <c r="B127" s="29" t="str">
        <f t="shared" si="11"/>
        <v>Imran Krishnan</v>
      </c>
      <c r="C127" s="29" t="str">
        <f t="shared" si="12"/>
        <v>Ajay Kumar</v>
      </c>
      <c r="D127" s="29" t="str">
        <f t="shared" si="13"/>
        <v>Operations</v>
      </c>
      <c r="E127" s="30" t="str">
        <f t="shared" si="14"/>
        <v>L2</v>
      </c>
      <c r="F127" s="30" t="str">
        <f t="shared" si="15"/>
        <v>Active</v>
      </c>
      <c r="G127" s="22">
        <v>5</v>
      </c>
      <c r="H127" t="str">
        <f t="shared" si="16"/>
        <v>Outstanding</v>
      </c>
      <c r="I127" s="22">
        <v>5</v>
      </c>
      <c r="J127" s="22" t="str">
        <f t="shared" si="17"/>
        <v>Stable</v>
      </c>
      <c r="K127" s="31">
        <v>0.91</v>
      </c>
      <c r="L127" s="24">
        <v>5</v>
      </c>
      <c r="M127" s="22" t="s">
        <v>61</v>
      </c>
      <c r="N127" s="22" t="str">
        <f t="shared" si="18"/>
        <v>High</v>
      </c>
      <c r="O127" t="str">
        <f>INDEX(NineBox,MATCH(N127,{"Low","Mid","High"},0),MATCH(M127,{"Low","Medium","High"},0))</f>
        <v>Star</v>
      </c>
      <c r="P127" s="28">
        <v>45610</v>
      </c>
      <c r="Q127" s="24">
        <f t="shared" si="19"/>
        <v>1.8754277891854894</v>
      </c>
      <c r="R127" s="22" t="str">
        <f t="shared" si="20"/>
        <v>Eligible</v>
      </c>
      <c r="S127" t="str">
        <f t="shared" si="21"/>
        <v>Meets rating and time-in-level criteria</v>
      </c>
      <c r="T127" s="22" t="s">
        <v>1687</v>
      </c>
    </row>
    <row r="128" spans="1:20" x14ac:dyDescent="0.3">
      <c r="A128" s="22" t="s">
        <v>573</v>
      </c>
      <c r="B128" s="29" t="str">
        <f t="shared" si="11"/>
        <v>Ayesha Raghavan</v>
      </c>
      <c r="C128" s="29" t="str">
        <f t="shared" si="12"/>
        <v>Nikhil Agarwal</v>
      </c>
      <c r="D128" s="29" t="str">
        <f t="shared" si="13"/>
        <v>Sales</v>
      </c>
      <c r="E128" s="30" t="str">
        <f t="shared" si="14"/>
        <v>L2</v>
      </c>
      <c r="F128" s="30" t="str">
        <f t="shared" si="15"/>
        <v>Active</v>
      </c>
      <c r="G128" s="22">
        <v>4</v>
      </c>
      <c r="H128" t="str">
        <f t="shared" si="16"/>
        <v>Exceeds Expectations</v>
      </c>
      <c r="I128" s="22">
        <v>5</v>
      </c>
      <c r="J128" s="22" t="str">
        <f t="shared" si="17"/>
        <v>Declined</v>
      </c>
      <c r="K128" s="31">
        <v>0.9</v>
      </c>
      <c r="L128" s="24">
        <v>4.4000000000000004</v>
      </c>
      <c r="M128" s="22" t="s">
        <v>61</v>
      </c>
      <c r="N128" s="22" t="str">
        <f t="shared" si="18"/>
        <v>High</v>
      </c>
      <c r="O128" t="str">
        <f>INDEX(NineBox,MATCH(N128,{"Low","Mid","High"},0),MATCH(M128,{"Low","Medium","High"},0))</f>
        <v>Star</v>
      </c>
      <c r="P128" s="28">
        <v>45795</v>
      </c>
      <c r="Q128" s="24">
        <f t="shared" si="19"/>
        <v>1.3689253935660506</v>
      </c>
      <c r="R128" s="22" t="str">
        <f t="shared" si="20"/>
        <v>Not Eligible</v>
      </c>
      <c r="S128" t="str">
        <f t="shared" si="21"/>
        <v>Under 1.5 yrs in current level</v>
      </c>
      <c r="T128" s="22" t="s">
        <v>1687</v>
      </c>
    </row>
    <row r="129" spans="1:20" x14ac:dyDescent="0.3">
      <c r="A129" s="22" t="s">
        <v>577</v>
      </c>
      <c r="B129" s="29" t="str">
        <f t="shared" si="11"/>
        <v>Abhishek Das</v>
      </c>
      <c r="C129" s="29" t="str">
        <f t="shared" si="12"/>
        <v>Pallavi Nair</v>
      </c>
      <c r="D129" s="29" t="str">
        <f t="shared" si="13"/>
        <v>Operations</v>
      </c>
      <c r="E129" s="30" t="str">
        <f t="shared" si="14"/>
        <v>L2</v>
      </c>
      <c r="F129" s="30" t="str">
        <f t="shared" si="15"/>
        <v>Active</v>
      </c>
      <c r="G129" s="22">
        <v>2</v>
      </c>
      <c r="H129" t="str">
        <f t="shared" si="16"/>
        <v>Needs Improvement</v>
      </c>
      <c r="I129" s="22">
        <v>1</v>
      </c>
      <c r="J129" s="22" t="str">
        <f t="shared" si="17"/>
        <v>Improved</v>
      </c>
      <c r="K129" s="31">
        <v>0.56999999999999995</v>
      </c>
      <c r="L129" s="24">
        <v>2.2000000000000002</v>
      </c>
      <c r="M129" s="22" t="s">
        <v>60</v>
      </c>
      <c r="N129" s="22" t="str">
        <f t="shared" si="18"/>
        <v>Low</v>
      </c>
      <c r="O129" t="str">
        <f>INDEX(NineBox,MATCH(N129,{"Low","Mid","High"},0),MATCH(M129,{"Low","Medium","High"},0))</f>
        <v>Inconsistent Player</v>
      </c>
      <c r="P129" s="28">
        <v>45338</v>
      </c>
      <c r="Q129" s="24">
        <f t="shared" si="19"/>
        <v>2.6201232032854209</v>
      </c>
      <c r="R129" s="22" t="str">
        <f t="shared" si="20"/>
        <v>Not Eligible</v>
      </c>
      <c r="S129" t="str">
        <f t="shared" si="21"/>
        <v>Rating below 4</v>
      </c>
      <c r="T129" s="22" t="s">
        <v>1687</v>
      </c>
    </row>
    <row r="130" spans="1:20" x14ac:dyDescent="0.3">
      <c r="A130" s="22" t="s">
        <v>401</v>
      </c>
      <c r="B130" s="29" t="str">
        <f t="shared" ref="B130:B193" si="22">INDEX(M_Name,MATCH($A130,M_ID,0))</f>
        <v>Madhuri Menon</v>
      </c>
      <c r="C130" s="29" t="str">
        <f t="shared" ref="C130:C193" si="23">INDEX(M_Mgr,MATCH($A130,M_ID,0))</f>
        <v>Vikram Verma</v>
      </c>
      <c r="D130" s="29" t="str">
        <f t="shared" ref="D130:D193" si="24">INDEX(M_Dept,MATCH($A130,M_ID,0))</f>
        <v>Engineering</v>
      </c>
      <c r="E130" s="30" t="str">
        <f t="shared" ref="E130:E193" si="25">INDEX(M_Level,MATCH($A130,M_ID,0))</f>
        <v>L5</v>
      </c>
      <c r="F130" s="30" t="str">
        <f t="shared" ref="F130:F193" si="26">INDEX(M_Status,MATCH($A130,M_ID,0))</f>
        <v>Active</v>
      </c>
      <c r="G130" s="22">
        <v>3</v>
      </c>
      <c r="H130" t="str">
        <f t="shared" ref="H130:H193" si="27">INDEX(RatingLbl,MATCH(G130,RatingNo,0))</f>
        <v>Meets Expectations</v>
      </c>
      <c r="I130" s="22">
        <v>2</v>
      </c>
      <c r="J130" s="22" t="str">
        <f t="shared" ref="J130:J193" si="28">IF(G130&gt;I130,"Improved",IF(G130&lt;I130,"Declined","Stable"))</f>
        <v>Improved</v>
      </c>
      <c r="K130" s="31">
        <v>0.73</v>
      </c>
      <c r="L130" s="24">
        <v>3.9</v>
      </c>
      <c r="M130" s="22" t="s">
        <v>59</v>
      </c>
      <c r="N130" s="22" t="str">
        <f t="shared" ref="N130:N193" si="29">IF(G130&gt;=4,"High",IF(G130=3,"Mid","Low"))</f>
        <v>Mid</v>
      </c>
      <c r="O130" t="str">
        <f>INDEX(NineBox,MATCH(N130,{"Low","Mid","High"},0),MATCH(M130,{"Low","Medium","High"},0))</f>
        <v>Effective Contributor</v>
      </c>
      <c r="P130" s="28">
        <v>44931</v>
      </c>
      <c r="Q130" s="24">
        <f t="shared" ref="Q130:Q193" si="30">(AsOf-P130)/365.25</f>
        <v>3.7344284736481863</v>
      </c>
      <c r="R130" s="22" t="str">
        <f t="shared" ref="R130:R193" si="31">IF(F130="Exited","Not Eligible",IF(AND(G130&gt;=MinRating,Q130&gt;=MinYrs,VALUE(MID(E130,2,1))&lt;=MaxLvl),"Eligible","Not Eligible"))</f>
        <v>Not Eligible</v>
      </c>
      <c r="S130" t="str">
        <f t="shared" ref="S130:S193" si="32">IF(F130="Exited","Employee has exited",IF(R130="Eligible","Meets rating and time-in-level criteria",IF(VALUE(MID(E130,2,1))&gt;MaxLvl,"Already at top level",IF(G130&lt;MinRating,"Rating below "&amp;MinRating,"Under "&amp;MinYrs&amp;" yrs in current level"))))</f>
        <v>Rating below 4</v>
      </c>
      <c r="T130" s="22" t="s">
        <v>1687</v>
      </c>
    </row>
    <row r="131" spans="1:20" x14ac:dyDescent="0.3">
      <c r="A131" s="22" t="s">
        <v>237</v>
      </c>
      <c r="B131" s="29" t="str">
        <f t="shared" si="22"/>
        <v>Yash Raghavan</v>
      </c>
      <c r="C131" s="29" t="str">
        <f t="shared" si="23"/>
        <v>Gayatri Tiwari</v>
      </c>
      <c r="D131" s="29" t="str">
        <f t="shared" si="24"/>
        <v>Sales</v>
      </c>
      <c r="E131" s="30" t="str">
        <f t="shared" si="25"/>
        <v>L5</v>
      </c>
      <c r="F131" s="30" t="str">
        <f t="shared" si="26"/>
        <v>Active</v>
      </c>
      <c r="G131" s="22">
        <v>1</v>
      </c>
      <c r="H131" t="str">
        <f t="shared" si="27"/>
        <v>Unsatisfactory</v>
      </c>
      <c r="I131" s="22">
        <v>1</v>
      </c>
      <c r="J131" s="22" t="str">
        <f t="shared" si="28"/>
        <v>Stable</v>
      </c>
      <c r="K131" s="31">
        <v>0.53</v>
      </c>
      <c r="L131" s="24">
        <v>1</v>
      </c>
      <c r="M131" s="22" t="s">
        <v>59</v>
      </c>
      <c r="N131" s="22" t="str">
        <f t="shared" si="29"/>
        <v>Low</v>
      </c>
      <c r="O131" t="str">
        <f>INDEX(NineBox,MATCH(N131,{"Low","Mid","High"},0),MATCH(M131,{"Low","Medium","High"},0))</f>
        <v>Underperformer</v>
      </c>
      <c r="P131" s="28">
        <v>45846</v>
      </c>
      <c r="Q131" s="24">
        <f t="shared" si="30"/>
        <v>1.2292950034223136</v>
      </c>
      <c r="R131" s="22" t="str">
        <f t="shared" si="31"/>
        <v>Not Eligible</v>
      </c>
      <c r="S131" t="str">
        <f t="shared" si="32"/>
        <v>Rating below 4</v>
      </c>
      <c r="T131" s="22" t="s">
        <v>1687</v>
      </c>
    </row>
    <row r="132" spans="1:20" x14ac:dyDescent="0.3">
      <c r="A132" s="22" t="s">
        <v>582</v>
      </c>
      <c r="B132" s="29" t="str">
        <f t="shared" si="22"/>
        <v>Vidya Saxena</v>
      </c>
      <c r="C132" s="29" t="str">
        <f t="shared" si="23"/>
        <v>Harsh Siddiqui</v>
      </c>
      <c r="D132" s="29" t="str">
        <f t="shared" si="24"/>
        <v>Engineering</v>
      </c>
      <c r="E132" s="30" t="str">
        <f t="shared" si="25"/>
        <v>L2</v>
      </c>
      <c r="F132" s="30" t="str">
        <f t="shared" si="26"/>
        <v>Active</v>
      </c>
      <c r="G132" s="22">
        <v>3</v>
      </c>
      <c r="H132" t="str">
        <f t="shared" si="27"/>
        <v>Meets Expectations</v>
      </c>
      <c r="I132" s="22">
        <v>2</v>
      </c>
      <c r="J132" s="22" t="str">
        <f t="shared" si="28"/>
        <v>Improved</v>
      </c>
      <c r="K132" s="31">
        <v>0.8</v>
      </c>
      <c r="L132" s="24">
        <v>3.3</v>
      </c>
      <c r="M132" s="22" t="s">
        <v>59</v>
      </c>
      <c r="N132" s="22" t="str">
        <f t="shared" si="29"/>
        <v>Mid</v>
      </c>
      <c r="O132" t="str">
        <f>INDEX(NineBox,MATCH(N132,{"Low","Mid","High"},0),MATCH(M132,{"Low","Medium","High"},0))</f>
        <v>Effective Contributor</v>
      </c>
      <c r="P132" s="28">
        <v>44937</v>
      </c>
      <c r="Q132" s="24">
        <f t="shared" si="30"/>
        <v>3.7180013689253935</v>
      </c>
      <c r="R132" s="22" t="str">
        <f t="shared" si="31"/>
        <v>Not Eligible</v>
      </c>
      <c r="S132" t="str">
        <f t="shared" si="32"/>
        <v>Rating below 4</v>
      </c>
      <c r="T132" s="22" t="s">
        <v>1687</v>
      </c>
    </row>
    <row r="133" spans="1:20" x14ac:dyDescent="0.3">
      <c r="A133" s="22" t="s">
        <v>585</v>
      </c>
      <c r="B133" s="29" t="str">
        <f t="shared" si="22"/>
        <v>Ramya Mukherjee</v>
      </c>
      <c r="C133" s="29" t="str">
        <f t="shared" si="23"/>
        <v>Fatima Choudhary</v>
      </c>
      <c r="D133" s="29" t="str">
        <f t="shared" si="24"/>
        <v>Engineering</v>
      </c>
      <c r="E133" s="30" t="str">
        <f t="shared" si="25"/>
        <v>L3</v>
      </c>
      <c r="F133" s="30" t="str">
        <f t="shared" si="26"/>
        <v>Active</v>
      </c>
      <c r="G133" s="22">
        <v>2</v>
      </c>
      <c r="H133" t="str">
        <f t="shared" si="27"/>
        <v>Needs Improvement</v>
      </c>
      <c r="I133" s="22">
        <v>3</v>
      </c>
      <c r="J133" s="22" t="str">
        <f t="shared" si="28"/>
        <v>Declined</v>
      </c>
      <c r="K133" s="31">
        <v>0.65</v>
      </c>
      <c r="L133" s="24">
        <v>2.4</v>
      </c>
      <c r="M133" s="22" t="s">
        <v>59</v>
      </c>
      <c r="N133" s="22" t="str">
        <f t="shared" si="29"/>
        <v>Low</v>
      </c>
      <c r="O133" t="str">
        <f>INDEX(NineBox,MATCH(N133,{"Low","Mid","High"},0),MATCH(M133,{"Low","Medium","High"},0))</f>
        <v>Underperformer</v>
      </c>
      <c r="P133" s="28">
        <v>44938</v>
      </c>
      <c r="Q133" s="24">
        <f t="shared" si="30"/>
        <v>3.7152635181382614</v>
      </c>
      <c r="R133" s="22" t="str">
        <f t="shared" si="31"/>
        <v>Not Eligible</v>
      </c>
      <c r="S133" t="str">
        <f t="shared" si="32"/>
        <v>Rating below 4</v>
      </c>
      <c r="T133" s="22" t="s">
        <v>1687</v>
      </c>
    </row>
    <row r="134" spans="1:20" x14ac:dyDescent="0.3">
      <c r="A134" s="22" t="s">
        <v>588</v>
      </c>
      <c r="B134" s="29" t="str">
        <f t="shared" si="22"/>
        <v>Meera Naidu</v>
      </c>
      <c r="C134" s="29" t="str">
        <f t="shared" si="23"/>
        <v>Isha Verma</v>
      </c>
      <c r="D134" s="29" t="str">
        <f t="shared" si="24"/>
        <v>Customer Support</v>
      </c>
      <c r="E134" s="30" t="str">
        <f t="shared" si="25"/>
        <v>L2</v>
      </c>
      <c r="F134" s="30" t="str">
        <f t="shared" si="26"/>
        <v>Active</v>
      </c>
      <c r="G134" s="22">
        <v>3</v>
      </c>
      <c r="H134" t="str">
        <f t="shared" si="27"/>
        <v>Meets Expectations</v>
      </c>
      <c r="I134" s="22">
        <v>2</v>
      </c>
      <c r="J134" s="22" t="str">
        <f t="shared" si="28"/>
        <v>Improved</v>
      </c>
      <c r="K134" s="31">
        <v>0.75</v>
      </c>
      <c r="L134" s="24">
        <v>4</v>
      </c>
      <c r="M134" s="22" t="s">
        <v>60</v>
      </c>
      <c r="N134" s="22" t="str">
        <f t="shared" si="29"/>
        <v>Mid</v>
      </c>
      <c r="O134" t="str">
        <f>INDEX(NineBox,MATCH(N134,{"Low","Mid","High"},0),MATCH(M134,{"Low","Medium","High"},0))</f>
        <v>Core Player</v>
      </c>
      <c r="P134" s="28">
        <v>45332</v>
      </c>
      <c r="Q134" s="24">
        <f t="shared" si="30"/>
        <v>2.6365503080082138</v>
      </c>
      <c r="R134" s="22" t="str">
        <f t="shared" si="31"/>
        <v>Not Eligible</v>
      </c>
      <c r="S134" t="str">
        <f t="shared" si="32"/>
        <v>Rating below 4</v>
      </c>
      <c r="T134" s="22" t="s">
        <v>1687</v>
      </c>
    </row>
    <row r="135" spans="1:20" x14ac:dyDescent="0.3">
      <c r="A135" s="22" t="s">
        <v>591</v>
      </c>
      <c r="B135" s="29" t="str">
        <f t="shared" si="22"/>
        <v>Krishna Shah</v>
      </c>
      <c r="C135" s="29" t="str">
        <f t="shared" si="23"/>
        <v>Ajay Patel</v>
      </c>
      <c r="D135" s="29" t="str">
        <f t="shared" si="24"/>
        <v>Human Resources</v>
      </c>
      <c r="E135" s="30" t="str">
        <f t="shared" si="25"/>
        <v>L3</v>
      </c>
      <c r="F135" s="30" t="str">
        <f t="shared" si="26"/>
        <v>Active</v>
      </c>
      <c r="G135" s="22">
        <v>4</v>
      </c>
      <c r="H135" t="str">
        <f t="shared" si="27"/>
        <v>Exceeds Expectations</v>
      </c>
      <c r="I135" s="22">
        <v>3</v>
      </c>
      <c r="J135" s="22" t="str">
        <f t="shared" si="28"/>
        <v>Improved</v>
      </c>
      <c r="K135" s="31">
        <v>0.9</v>
      </c>
      <c r="L135" s="24">
        <v>4.0999999999999996</v>
      </c>
      <c r="M135" s="22" t="s">
        <v>60</v>
      </c>
      <c r="N135" s="22" t="str">
        <f t="shared" si="29"/>
        <v>High</v>
      </c>
      <c r="O135" t="str">
        <f>INDEX(NineBox,MATCH(N135,{"Low","Mid","High"},0),MATCH(M135,{"Low","Medium","High"},0))</f>
        <v>High Performer</v>
      </c>
      <c r="P135" s="28">
        <v>44946</v>
      </c>
      <c r="Q135" s="24">
        <f t="shared" si="30"/>
        <v>3.6933607118412048</v>
      </c>
      <c r="R135" s="22" t="str">
        <f t="shared" si="31"/>
        <v>Eligible</v>
      </c>
      <c r="S135" t="str">
        <f t="shared" si="32"/>
        <v>Meets rating and time-in-level criteria</v>
      </c>
      <c r="T135" s="22" t="s">
        <v>1687</v>
      </c>
    </row>
    <row r="136" spans="1:20" x14ac:dyDescent="0.3">
      <c r="A136" s="22" t="s">
        <v>594</v>
      </c>
      <c r="B136" s="29" t="str">
        <f t="shared" si="22"/>
        <v>Neha Kamath</v>
      </c>
      <c r="C136" s="29" t="str">
        <f t="shared" si="23"/>
        <v>Nandini Fernandes</v>
      </c>
      <c r="D136" s="29" t="str">
        <f t="shared" si="24"/>
        <v>Operations</v>
      </c>
      <c r="E136" s="30" t="str">
        <f t="shared" si="25"/>
        <v>L2</v>
      </c>
      <c r="F136" s="30" t="str">
        <f t="shared" si="26"/>
        <v>Active</v>
      </c>
      <c r="G136" s="22">
        <v>4</v>
      </c>
      <c r="H136" t="str">
        <f t="shared" si="27"/>
        <v>Exceeds Expectations</v>
      </c>
      <c r="I136" s="22">
        <v>4</v>
      </c>
      <c r="J136" s="22" t="str">
        <f t="shared" si="28"/>
        <v>Stable</v>
      </c>
      <c r="K136" s="31">
        <v>0.88</v>
      </c>
      <c r="L136" s="24">
        <v>3.7</v>
      </c>
      <c r="M136" s="22" t="s">
        <v>61</v>
      </c>
      <c r="N136" s="22" t="str">
        <f t="shared" si="29"/>
        <v>High</v>
      </c>
      <c r="O136" t="str">
        <f>INDEX(NineBox,MATCH(N136,{"Low","Mid","High"},0),MATCH(M136,{"Low","Medium","High"},0))</f>
        <v>Star</v>
      </c>
      <c r="P136" s="28">
        <v>44950</v>
      </c>
      <c r="Q136" s="24">
        <f t="shared" si="30"/>
        <v>3.6824093086926761</v>
      </c>
      <c r="R136" s="22" t="str">
        <f t="shared" si="31"/>
        <v>Eligible</v>
      </c>
      <c r="S136" t="str">
        <f t="shared" si="32"/>
        <v>Meets rating and time-in-level criteria</v>
      </c>
      <c r="T136" s="22" t="s">
        <v>1687</v>
      </c>
    </row>
    <row r="137" spans="1:20" x14ac:dyDescent="0.3">
      <c r="A137" s="22" t="s">
        <v>597</v>
      </c>
      <c r="B137" s="29" t="str">
        <f t="shared" si="22"/>
        <v>Lakshmi Iyer</v>
      </c>
      <c r="C137" s="29" t="str">
        <f t="shared" si="23"/>
        <v>Ramya Menon</v>
      </c>
      <c r="D137" s="29" t="str">
        <f t="shared" si="24"/>
        <v>Operations</v>
      </c>
      <c r="E137" s="30" t="str">
        <f t="shared" si="25"/>
        <v>L3</v>
      </c>
      <c r="F137" s="30" t="str">
        <f t="shared" si="26"/>
        <v>Active</v>
      </c>
      <c r="G137" s="22">
        <v>3</v>
      </c>
      <c r="H137" t="str">
        <f t="shared" si="27"/>
        <v>Meets Expectations</v>
      </c>
      <c r="I137" s="22">
        <v>3</v>
      </c>
      <c r="J137" s="22" t="str">
        <f t="shared" si="28"/>
        <v>Stable</v>
      </c>
      <c r="K137" s="31">
        <v>0.78</v>
      </c>
      <c r="L137" s="24">
        <v>2.9</v>
      </c>
      <c r="M137" s="22" t="s">
        <v>61</v>
      </c>
      <c r="N137" s="22" t="str">
        <f t="shared" si="29"/>
        <v>Mid</v>
      </c>
      <c r="O137" t="str">
        <f>INDEX(NineBox,MATCH(N137,{"Low","Mid","High"},0),MATCH(M137,{"Low","Medium","High"},0))</f>
        <v>Future Star</v>
      </c>
      <c r="P137" s="28">
        <v>44953</v>
      </c>
      <c r="Q137" s="24">
        <f t="shared" si="30"/>
        <v>3.6741957563312799</v>
      </c>
      <c r="R137" s="22" t="str">
        <f t="shared" si="31"/>
        <v>Not Eligible</v>
      </c>
      <c r="S137" t="str">
        <f t="shared" si="32"/>
        <v>Rating below 4</v>
      </c>
      <c r="T137" s="22" t="s">
        <v>1687</v>
      </c>
    </row>
    <row r="138" spans="1:20" x14ac:dyDescent="0.3">
      <c r="A138" s="22" t="s">
        <v>600</v>
      </c>
      <c r="B138" s="29" t="str">
        <f t="shared" si="22"/>
        <v>Aarav Choudhary</v>
      </c>
      <c r="C138" s="29" t="str">
        <f t="shared" si="23"/>
        <v>Karan Verma</v>
      </c>
      <c r="D138" s="29" t="str">
        <f t="shared" si="24"/>
        <v>Data &amp; Analytics</v>
      </c>
      <c r="E138" s="30" t="str">
        <f t="shared" si="25"/>
        <v>L3</v>
      </c>
      <c r="F138" s="30" t="str">
        <f t="shared" si="26"/>
        <v>Exited</v>
      </c>
      <c r="G138" s="22">
        <v>3</v>
      </c>
      <c r="H138" t="str">
        <f t="shared" si="27"/>
        <v>Meets Expectations</v>
      </c>
      <c r="I138" s="22">
        <v>3</v>
      </c>
      <c r="J138" s="22" t="str">
        <f t="shared" si="28"/>
        <v>Stable</v>
      </c>
      <c r="K138" s="31">
        <v>0.62</v>
      </c>
      <c r="L138" s="24">
        <v>3.2</v>
      </c>
      <c r="M138" s="22" t="s">
        <v>59</v>
      </c>
      <c r="N138" s="22" t="str">
        <f t="shared" si="29"/>
        <v>Mid</v>
      </c>
      <c r="O138" t="str">
        <f>INDEX(NineBox,MATCH(N138,{"Low","Mid","High"},0),MATCH(M138,{"Low","Medium","High"},0))</f>
        <v>Effective Contributor</v>
      </c>
      <c r="P138" s="28">
        <v>44963</v>
      </c>
      <c r="Q138" s="24">
        <f t="shared" si="30"/>
        <v>3.6468172484599588</v>
      </c>
      <c r="R138" s="22" t="str">
        <f t="shared" si="31"/>
        <v>Not Eligible</v>
      </c>
      <c r="S138" t="str">
        <f t="shared" si="32"/>
        <v>Employee has exited</v>
      </c>
      <c r="T138" s="22" t="s">
        <v>1687</v>
      </c>
    </row>
    <row r="139" spans="1:20" x14ac:dyDescent="0.3">
      <c r="A139" s="22" t="s">
        <v>603</v>
      </c>
      <c r="B139" s="29" t="str">
        <f t="shared" si="22"/>
        <v>Ananya Banerjee</v>
      </c>
      <c r="C139" s="29" t="str">
        <f t="shared" si="23"/>
        <v>Prakash Desai</v>
      </c>
      <c r="D139" s="29" t="str">
        <f t="shared" si="24"/>
        <v>Engineering</v>
      </c>
      <c r="E139" s="30" t="str">
        <f t="shared" si="25"/>
        <v>L3</v>
      </c>
      <c r="F139" s="30" t="str">
        <f t="shared" si="26"/>
        <v>Exited</v>
      </c>
      <c r="G139" s="22">
        <v>1</v>
      </c>
      <c r="H139" t="str">
        <f t="shared" si="27"/>
        <v>Unsatisfactory</v>
      </c>
      <c r="I139" s="22">
        <v>1</v>
      </c>
      <c r="J139" s="22" t="str">
        <f t="shared" si="28"/>
        <v>Stable</v>
      </c>
      <c r="K139" s="31">
        <v>0.61</v>
      </c>
      <c r="L139" s="24">
        <v>1</v>
      </c>
      <c r="M139" s="22" t="s">
        <v>59</v>
      </c>
      <c r="N139" s="22" t="str">
        <f t="shared" si="29"/>
        <v>Low</v>
      </c>
      <c r="O139" t="str">
        <f>INDEX(NineBox,MATCH(N139,{"Low","Mid","High"},0),MATCH(M139,{"Low","Medium","High"},0))</f>
        <v>Underperformer</v>
      </c>
      <c r="P139" s="28">
        <v>45816</v>
      </c>
      <c r="Q139" s="24">
        <f t="shared" si="30"/>
        <v>1.3114305270362765</v>
      </c>
      <c r="R139" s="22" t="str">
        <f t="shared" si="31"/>
        <v>Not Eligible</v>
      </c>
      <c r="S139" t="str">
        <f t="shared" si="32"/>
        <v>Employee has exited</v>
      </c>
      <c r="T139" s="22" t="s">
        <v>1687</v>
      </c>
    </row>
    <row r="140" spans="1:20" x14ac:dyDescent="0.3">
      <c r="A140" s="22" t="s">
        <v>606</v>
      </c>
      <c r="B140" s="29" t="str">
        <f t="shared" si="22"/>
        <v>Prakash Kamath</v>
      </c>
      <c r="C140" s="29" t="str">
        <f t="shared" si="23"/>
        <v>Yash Shah</v>
      </c>
      <c r="D140" s="29" t="str">
        <f t="shared" si="24"/>
        <v>Operations</v>
      </c>
      <c r="E140" s="30" t="str">
        <f t="shared" si="25"/>
        <v>L4</v>
      </c>
      <c r="F140" s="30" t="str">
        <f t="shared" si="26"/>
        <v>Active</v>
      </c>
      <c r="G140" s="22">
        <v>3</v>
      </c>
      <c r="H140" t="str">
        <f t="shared" si="27"/>
        <v>Meets Expectations</v>
      </c>
      <c r="I140" s="22">
        <v>3</v>
      </c>
      <c r="J140" s="22" t="str">
        <f t="shared" si="28"/>
        <v>Stable</v>
      </c>
      <c r="K140" s="31">
        <v>0.8</v>
      </c>
      <c r="L140" s="24">
        <v>3.5</v>
      </c>
      <c r="M140" s="22" t="s">
        <v>60</v>
      </c>
      <c r="N140" s="22" t="str">
        <f t="shared" si="29"/>
        <v>Mid</v>
      </c>
      <c r="O140" t="str">
        <f>INDEX(NineBox,MATCH(N140,{"Low","Mid","High"},0),MATCH(M140,{"Low","Medium","High"},0))</f>
        <v>Core Player</v>
      </c>
      <c r="P140" s="28">
        <v>45745</v>
      </c>
      <c r="Q140" s="24">
        <f t="shared" si="30"/>
        <v>1.5058179329226558</v>
      </c>
      <c r="R140" s="22" t="str">
        <f t="shared" si="31"/>
        <v>Not Eligible</v>
      </c>
      <c r="S140" t="str">
        <f t="shared" si="32"/>
        <v>Rating below 4</v>
      </c>
      <c r="T140" s="22" t="s">
        <v>1687</v>
      </c>
    </row>
    <row r="141" spans="1:20" x14ac:dyDescent="0.3">
      <c r="A141" s="22" t="s">
        <v>609</v>
      </c>
      <c r="B141" s="29" t="str">
        <f t="shared" si="22"/>
        <v>Anusha Jain</v>
      </c>
      <c r="C141" s="29" t="str">
        <f t="shared" si="23"/>
        <v>Bhavana Hegde</v>
      </c>
      <c r="D141" s="29" t="str">
        <f t="shared" si="24"/>
        <v>Engineering</v>
      </c>
      <c r="E141" s="30" t="str">
        <f t="shared" si="25"/>
        <v>L3</v>
      </c>
      <c r="F141" s="30" t="str">
        <f t="shared" si="26"/>
        <v>Active</v>
      </c>
      <c r="G141" s="22">
        <v>4</v>
      </c>
      <c r="H141" t="str">
        <f t="shared" si="27"/>
        <v>Exceeds Expectations</v>
      </c>
      <c r="I141" s="22">
        <v>4</v>
      </c>
      <c r="J141" s="22" t="str">
        <f t="shared" si="28"/>
        <v>Stable</v>
      </c>
      <c r="K141" s="31">
        <v>0.9</v>
      </c>
      <c r="L141" s="24">
        <v>3.9</v>
      </c>
      <c r="M141" s="22" t="s">
        <v>60</v>
      </c>
      <c r="N141" s="22" t="str">
        <f t="shared" si="29"/>
        <v>High</v>
      </c>
      <c r="O141" t="str">
        <f>INDEX(NineBox,MATCH(N141,{"Low","Mid","High"},0),MATCH(M141,{"Low","Medium","High"},0))</f>
        <v>High Performer</v>
      </c>
      <c r="P141" s="28">
        <v>45947</v>
      </c>
      <c r="Q141" s="24">
        <f t="shared" si="30"/>
        <v>0.95277207392197127</v>
      </c>
      <c r="R141" s="22" t="str">
        <f t="shared" si="31"/>
        <v>Not Eligible</v>
      </c>
      <c r="S141" t="str">
        <f t="shared" si="32"/>
        <v>Under 1.5 yrs in current level</v>
      </c>
      <c r="T141" s="22" t="s">
        <v>1687</v>
      </c>
    </row>
    <row r="142" spans="1:20" x14ac:dyDescent="0.3">
      <c r="A142" s="22" t="s">
        <v>612</v>
      </c>
      <c r="B142" s="29" t="str">
        <f t="shared" si="22"/>
        <v>Abhishek Banerjee</v>
      </c>
      <c r="C142" s="29" t="str">
        <f t="shared" si="23"/>
        <v>Ramya Menon</v>
      </c>
      <c r="D142" s="29" t="str">
        <f t="shared" si="24"/>
        <v>Operations</v>
      </c>
      <c r="E142" s="30" t="str">
        <f t="shared" si="25"/>
        <v>L2</v>
      </c>
      <c r="F142" s="30" t="str">
        <f t="shared" si="26"/>
        <v>Active</v>
      </c>
      <c r="G142" s="22">
        <v>4</v>
      </c>
      <c r="H142" t="str">
        <f t="shared" si="27"/>
        <v>Exceeds Expectations</v>
      </c>
      <c r="I142" s="22">
        <v>5</v>
      </c>
      <c r="J142" s="22" t="str">
        <f t="shared" si="28"/>
        <v>Declined</v>
      </c>
      <c r="K142" s="31">
        <v>0.98</v>
      </c>
      <c r="L142" s="24">
        <v>4.5</v>
      </c>
      <c r="M142" s="22" t="s">
        <v>59</v>
      </c>
      <c r="N142" s="22" t="str">
        <f t="shared" si="29"/>
        <v>High</v>
      </c>
      <c r="O142" t="str">
        <f>INDEX(NineBox,MATCH(N142,{"Low","Mid","High"},0),MATCH(M142,{"Low","Medium","High"},0))</f>
        <v>Trusted Professional</v>
      </c>
      <c r="P142" s="28">
        <v>46057</v>
      </c>
      <c r="Q142" s="24">
        <f t="shared" si="30"/>
        <v>0.65160848733744015</v>
      </c>
      <c r="R142" s="22" t="str">
        <f t="shared" si="31"/>
        <v>Not Eligible</v>
      </c>
      <c r="S142" t="str">
        <f t="shared" si="32"/>
        <v>Under 1.5 yrs in current level</v>
      </c>
      <c r="T142" s="22" t="s">
        <v>1687</v>
      </c>
    </row>
    <row r="143" spans="1:20" x14ac:dyDescent="0.3">
      <c r="A143" s="22" t="s">
        <v>615</v>
      </c>
      <c r="B143" s="29" t="str">
        <f t="shared" si="22"/>
        <v>Nisha Naidu</v>
      </c>
      <c r="C143" s="29" t="str">
        <f t="shared" si="23"/>
        <v>Madhuri Malhotra</v>
      </c>
      <c r="D143" s="29" t="str">
        <f t="shared" si="24"/>
        <v>Sales</v>
      </c>
      <c r="E143" s="30" t="str">
        <f t="shared" si="25"/>
        <v>L2</v>
      </c>
      <c r="F143" s="30" t="str">
        <f t="shared" si="26"/>
        <v>Active</v>
      </c>
      <c r="G143" s="22">
        <v>4</v>
      </c>
      <c r="H143" t="str">
        <f t="shared" si="27"/>
        <v>Exceeds Expectations</v>
      </c>
      <c r="I143" s="22">
        <v>4</v>
      </c>
      <c r="J143" s="22" t="str">
        <f t="shared" si="28"/>
        <v>Stable</v>
      </c>
      <c r="K143" s="31">
        <v>0.86</v>
      </c>
      <c r="L143" s="24">
        <v>3.8</v>
      </c>
      <c r="M143" s="22" t="s">
        <v>61</v>
      </c>
      <c r="N143" s="22" t="str">
        <f t="shared" si="29"/>
        <v>High</v>
      </c>
      <c r="O143" t="str">
        <f>INDEX(NineBox,MATCH(N143,{"Low","Mid","High"},0),MATCH(M143,{"Low","Medium","High"},0))</f>
        <v>Star</v>
      </c>
      <c r="P143" s="28">
        <v>46035</v>
      </c>
      <c r="Q143" s="24">
        <f t="shared" si="30"/>
        <v>0.7118412046543463</v>
      </c>
      <c r="R143" s="22" t="str">
        <f t="shared" si="31"/>
        <v>Not Eligible</v>
      </c>
      <c r="S143" t="str">
        <f t="shared" si="32"/>
        <v>Under 1.5 yrs in current level</v>
      </c>
      <c r="T143" s="22" t="s">
        <v>1687</v>
      </c>
    </row>
    <row r="144" spans="1:20" x14ac:dyDescent="0.3">
      <c r="A144" s="22" t="s">
        <v>618</v>
      </c>
      <c r="B144" s="29" t="str">
        <f t="shared" si="22"/>
        <v>Tejaswini Naidu</v>
      </c>
      <c r="C144" s="29" t="str">
        <f t="shared" si="23"/>
        <v>Arvind Rao (CEO)</v>
      </c>
      <c r="D144" s="29" t="str">
        <f t="shared" si="24"/>
        <v>Operations</v>
      </c>
      <c r="E144" s="30" t="str">
        <f t="shared" si="25"/>
        <v>L7</v>
      </c>
      <c r="F144" s="30" t="str">
        <f t="shared" si="26"/>
        <v>Active</v>
      </c>
      <c r="G144" s="22">
        <v>5</v>
      </c>
      <c r="H144" t="str">
        <f t="shared" si="27"/>
        <v>Outstanding</v>
      </c>
      <c r="I144" s="22">
        <v>5</v>
      </c>
      <c r="J144" s="22" t="str">
        <f t="shared" si="28"/>
        <v>Stable</v>
      </c>
      <c r="K144" s="31">
        <v>1.07</v>
      </c>
      <c r="L144" s="24">
        <v>4.8</v>
      </c>
      <c r="M144" s="22" t="s">
        <v>61</v>
      </c>
      <c r="N144" s="22" t="str">
        <f t="shared" si="29"/>
        <v>High</v>
      </c>
      <c r="O144" t="str">
        <f>INDEX(NineBox,MATCH(N144,{"Low","Mid","High"},0),MATCH(M144,{"Low","Medium","High"},0))</f>
        <v>Star</v>
      </c>
      <c r="P144" s="28">
        <v>45451</v>
      </c>
      <c r="Q144" s="24">
        <f t="shared" si="30"/>
        <v>2.3107460643394937</v>
      </c>
      <c r="R144" s="22" t="str">
        <f t="shared" si="31"/>
        <v>Not Eligible</v>
      </c>
      <c r="S144" t="str">
        <f t="shared" si="32"/>
        <v>Already at top level</v>
      </c>
      <c r="T144" s="22" t="s">
        <v>1687</v>
      </c>
    </row>
    <row r="145" spans="1:20" x14ac:dyDescent="0.3">
      <c r="A145" s="22" t="s">
        <v>622</v>
      </c>
      <c r="B145" s="29" t="str">
        <f t="shared" si="22"/>
        <v>Nandini Bansal</v>
      </c>
      <c r="C145" s="29" t="str">
        <f t="shared" si="23"/>
        <v>Isha Chatterjee</v>
      </c>
      <c r="D145" s="29" t="str">
        <f t="shared" si="24"/>
        <v>Marketing</v>
      </c>
      <c r="E145" s="30" t="str">
        <f t="shared" si="25"/>
        <v>L2</v>
      </c>
      <c r="F145" s="30" t="str">
        <f t="shared" si="26"/>
        <v>Active</v>
      </c>
      <c r="G145" s="22">
        <v>2</v>
      </c>
      <c r="H145" t="str">
        <f t="shared" si="27"/>
        <v>Needs Improvement</v>
      </c>
      <c r="I145" s="22">
        <v>2</v>
      </c>
      <c r="J145" s="22" t="str">
        <f t="shared" si="28"/>
        <v>Stable</v>
      </c>
      <c r="K145" s="31">
        <v>0.72</v>
      </c>
      <c r="L145" s="24">
        <v>2.1</v>
      </c>
      <c r="M145" s="22" t="s">
        <v>60</v>
      </c>
      <c r="N145" s="22" t="str">
        <f t="shared" si="29"/>
        <v>Low</v>
      </c>
      <c r="O145" t="str">
        <f>INDEX(NineBox,MATCH(N145,{"Low","Mid","High"},0),MATCH(M145,{"Low","Medium","High"},0))</f>
        <v>Inconsistent Player</v>
      </c>
      <c r="P145" s="28">
        <v>44988</v>
      </c>
      <c r="Q145" s="24">
        <f t="shared" si="30"/>
        <v>3.5783709787816562</v>
      </c>
      <c r="R145" s="22" t="str">
        <f t="shared" si="31"/>
        <v>Not Eligible</v>
      </c>
      <c r="S145" t="str">
        <f t="shared" si="32"/>
        <v>Rating below 4</v>
      </c>
      <c r="T145" s="22" t="s">
        <v>1687</v>
      </c>
    </row>
    <row r="146" spans="1:20" x14ac:dyDescent="0.3">
      <c r="A146" s="22" t="s">
        <v>626</v>
      </c>
      <c r="B146" s="29" t="str">
        <f t="shared" si="22"/>
        <v>Srinivas Bansal</v>
      </c>
      <c r="C146" s="29" t="str">
        <f t="shared" si="23"/>
        <v>Kavya Krishnan</v>
      </c>
      <c r="D146" s="29" t="str">
        <f t="shared" si="24"/>
        <v>Sales</v>
      </c>
      <c r="E146" s="30" t="str">
        <f t="shared" si="25"/>
        <v>L2</v>
      </c>
      <c r="F146" s="30" t="str">
        <f t="shared" si="26"/>
        <v>Active</v>
      </c>
      <c r="G146" s="22">
        <v>3</v>
      </c>
      <c r="H146" t="str">
        <f t="shared" si="27"/>
        <v>Meets Expectations</v>
      </c>
      <c r="I146" s="22">
        <v>2</v>
      </c>
      <c r="J146" s="22" t="str">
        <f t="shared" si="28"/>
        <v>Improved</v>
      </c>
      <c r="K146" s="31">
        <v>0.93</v>
      </c>
      <c r="L146" s="24">
        <v>3.5</v>
      </c>
      <c r="M146" s="22" t="s">
        <v>61</v>
      </c>
      <c r="N146" s="22" t="str">
        <f t="shared" si="29"/>
        <v>Mid</v>
      </c>
      <c r="O146" t="str">
        <f>INDEX(NineBox,MATCH(N146,{"Low","Mid","High"},0),MATCH(M146,{"Low","Medium","High"},0))</f>
        <v>Future Star</v>
      </c>
      <c r="P146" s="28">
        <v>44992</v>
      </c>
      <c r="Q146" s="24">
        <f t="shared" si="30"/>
        <v>3.5674195756331279</v>
      </c>
      <c r="R146" s="22" t="str">
        <f t="shared" si="31"/>
        <v>Not Eligible</v>
      </c>
      <c r="S146" t="str">
        <f t="shared" si="32"/>
        <v>Rating below 4</v>
      </c>
      <c r="T146" s="22" t="s">
        <v>1687</v>
      </c>
    </row>
    <row r="147" spans="1:20" x14ac:dyDescent="0.3">
      <c r="A147" s="22" t="s">
        <v>629</v>
      </c>
      <c r="B147" s="29" t="str">
        <f t="shared" si="22"/>
        <v>Tejaswini Dsouza</v>
      </c>
      <c r="C147" s="29" t="str">
        <f t="shared" si="23"/>
        <v>Srinivas Shah</v>
      </c>
      <c r="D147" s="29" t="str">
        <f t="shared" si="24"/>
        <v>Sales</v>
      </c>
      <c r="E147" s="30" t="str">
        <f t="shared" si="25"/>
        <v>L2</v>
      </c>
      <c r="F147" s="30" t="str">
        <f t="shared" si="26"/>
        <v>Exited</v>
      </c>
      <c r="G147" s="22">
        <v>1</v>
      </c>
      <c r="H147" t="str">
        <f t="shared" si="27"/>
        <v>Unsatisfactory</v>
      </c>
      <c r="I147" s="22">
        <v>1</v>
      </c>
      <c r="J147" s="22" t="str">
        <f t="shared" si="28"/>
        <v>Stable</v>
      </c>
      <c r="K147" s="31">
        <v>0.52</v>
      </c>
      <c r="L147" s="24">
        <v>1</v>
      </c>
      <c r="M147" s="22" t="s">
        <v>59</v>
      </c>
      <c r="N147" s="22" t="str">
        <f t="shared" si="29"/>
        <v>Low</v>
      </c>
      <c r="O147" t="str">
        <f>INDEX(NineBox,MATCH(N147,{"Low","Mid","High"},0),MATCH(M147,{"Low","Medium","High"},0))</f>
        <v>Underperformer</v>
      </c>
      <c r="P147" s="28">
        <v>44995</v>
      </c>
      <c r="Q147" s="24">
        <f t="shared" si="30"/>
        <v>3.5592060232717317</v>
      </c>
      <c r="R147" s="22" t="str">
        <f t="shared" si="31"/>
        <v>Not Eligible</v>
      </c>
      <c r="S147" t="str">
        <f t="shared" si="32"/>
        <v>Employee has exited</v>
      </c>
      <c r="T147" s="22" t="s">
        <v>1687</v>
      </c>
    </row>
    <row r="148" spans="1:20" x14ac:dyDescent="0.3">
      <c r="A148" s="22" t="s">
        <v>632</v>
      </c>
      <c r="B148" s="29" t="str">
        <f t="shared" si="22"/>
        <v>Zara Krishnan</v>
      </c>
      <c r="C148" s="29" t="str">
        <f t="shared" si="23"/>
        <v>Ramya Khanna</v>
      </c>
      <c r="D148" s="29" t="str">
        <f t="shared" si="24"/>
        <v>Legal &amp; Compliance</v>
      </c>
      <c r="E148" s="30" t="str">
        <f t="shared" si="25"/>
        <v>L3</v>
      </c>
      <c r="F148" s="30" t="str">
        <f t="shared" si="26"/>
        <v>Active</v>
      </c>
      <c r="G148" s="22">
        <v>3</v>
      </c>
      <c r="H148" t="str">
        <f t="shared" si="27"/>
        <v>Meets Expectations</v>
      </c>
      <c r="I148" s="22">
        <v>3</v>
      </c>
      <c r="J148" s="22" t="str">
        <f t="shared" si="28"/>
        <v>Stable</v>
      </c>
      <c r="K148" s="31">
        <v>0.77</v>
      </c>
      <c r="L148" s="24">
        <v>3.8</v>
      </c>
      <c r="M148" s="22" t="s">
        <v>60</v>
      </c>
      <c r="N148" s="22" t="str">
        <f t="shared" si="29"/>
        <v>Mid</v>
      </c>
      <c r="O148" t="str">
        <f>INDEX(NineBox,MATCH(N148,{"Low","Mid","High"},0),MATCH(M148,{"Low","Medium","High"},0))</f>
        <v>Core Player</v>
      </c>
      <c r="P148" s="28">
        <v>44995</v>
      </c>
      <c r="Q148" s="24">
        <f t="shared" si="30"/>
        <v>3.5592060232717317</v>
      </c>
      <c r="R148" s="22" t="str">
        <f t="shared" si="31"/>
        <v>Not Eligible</v>
      </c>
      <c r="S148" t="str">
        <f t="shared" si="32"/>
        <v>Rating below 4</v>
      </c>
      <c r="T148" s="22" t="s">
        <v>1687</v>
      </c>
    </row>
    <row r="149" spans="1:20" x14ac:dyDescent="0.3">
      <c r="A149" s="22" t="s">
        <v>635</v>
      </c>
      <c r="B149" s="29" t="str">
        <f t="shared" si="22"/>
        <v>Suresh Bansal</v>
      </c>
      <c r="C149" s="29" t="str">
        <f t="shared" si="23"/>
        <v>Trisha Malhotra</v>
      </c>
      <c r="D149" s="29" t="str">
        <f t="shared" si="24"/>
        <v>Product</v>
      </c>
      <c r="E149" s="30" t="str">
        <f t="shared" si="25"/>
        <v>L3</v>
      </c>
      <c r="F149" s="30" t="str">
        <f t="shared" si="26"/>
        <v>Active</v>
      </c>
      <c r="G149" s="22">
        <v>4</v>
      </c>
      <c r="H149" t="str">
        <f t="shared" si="27"/>
        <v>Exceeds Expectations</v>
      </c>
      <c r="I149" s="22">
        <v>4</v>
      </c>
      <c r="J149" s="22" t="str">
        <f t="shared" si="28"/>
        <v>Stable</v>
      </c>
      <c r="K149" s="31">
        <v>1.04</v>
      </c>
      <c r="L149" s="24">
        <v>4</v>
      </c>
      <c r="M149" s="22" t="s">
        <v>61</v>
      </c>
      <c r="N149" s="22" t="str">
        <f t="shared" si="29"/>
        <v>High</v>
      </c>
      <c r="O149" t="str">
        <f>INDEX(NineBox,MATCH(N149,{"Low","Mid","High"},0),MATCH(M149,{"Low","Medium","High"},0))</f>
        <v>Star</v>
      </c>
      <c r="P149" s="28">
        <v>45492</v>
      </c>
      <c r="Q149" s="24">
        <f t="shared" si="30"/>
        <v>2.1984941820670771</v>
      </c>
      <c r="R149" s="22" t="str">
        <f t="shared" si="31"/>
        <v>Eligible</v>
      </c>
      <c r="S149" t="str">
        <f t="shared" si="32"/>
        <v>Meets rating and time-in-level criteria</v>
      </c>
      <c r="T149" s="22" t="s">
        <v>1687</v>
      </c>
    </row>
    <row r="150" spans="1:20" x14ac:dyDescent="0.3">
      <c r="A150" s="22" t="s">
        <v>638</v>
      </c>
      <c r="B150" s="29" t="str">
        <f t="shared" si="22"/>
        <v>Ashish Sharma</v>
      </c>
      <c r="C150" s="29" t="str">
        <f t="shared" si="23"/>
        <v>Nikhil Agarwal</v>
      </c>
      <c r="D150" s="29" t="str">
        <f t="shared" si="24"/>
        <v>Sales</v>
      </c>
      <c r="E150" s="30" t="str">
        <f t="shared" si="25"/>
        <v>L3</v>
      </c>
      <c r="F150" s="30" t="str">
        <f t="shared" si="26"/>
        <v>Active</v>
      </c>
      <c r="G150" s="22">
        <v>2</v>
      </c>
      <c r="H150" t="str">
        <f t="shared" si="27"/>
        <v>Needs Improvement</v>
      </c>
      <c r="I150" s="22">
        <v>3</v>
      </c>
      <c r="J150" s="22" t="str">
        <f t="shared" si="28"/>
        <v>Declined</v>
      </c>
      <c r="K150" s="31">
        <v>0.69</v>
      </c>
      <c r="L150" s="24">
        <v>2</v>
      </c>
      <c r="M150" s="22" t="s">
        <v>60</v>
      </c>
      <c r="N150" s="22" t="str">
        <f t="shared" si="29"/>
        <v>Low</v>
      </c>
      <c r="O150" t="str">
        <f>INDEX(NineBox,MATCH(N150,{"Low","Mid","High"},0),MATCH(M150,{"Low","Medium","High"},0))</f>
        <v>Inconsistent Player</v>
      </c>
      <c r="P150" s="28">
        <v>45000</v>
      </c>
      <c r="Q150" s="24">
        <f t="shared" si="30"/>
        <v>3.5455167693360714</v>
      </c>
      <c r="R150" s="22" t="str">
        <f t="shared" si="31"/>
        <v>Not Eligible</v>
      </c>
      <c r="S150" t="str">
        <f t="shared" si="32"/>
        <v>Rating below 4</v>
      </c>
      <c r="T150" s="22" t="s">
        <v>1687</v>
      </c>
    </row>
    <row r="151" spans="1:20" x14ac:dyDescent="0.3">
      <c r="A151" s="22" t="s">
        <v>252</v>
      </c>
      <c r="B151" s="29" t="str">
        <f t="shared" si="22"/>
        <v>Vidya Chatterjee</v>
      </c>
      <c r="C151" s="29" t="str">
        <f t="shared" si="23"/>
        <v>Pooja Khanna</v>
      </c>
      <c r="D151" s="29" t="str">
        <f t="shared" si="24"/>
        <v>Customer Support</v>
      </c>
      <c r="E151" s="30" t="str">
        <f t="shared" si="25"/>
        <v>L5</v>
      </c>
      <c r="F151" s="30" t="str">
        <f t="shared" si="26"/>
        <v>Active</v>
      </c>
      <c r="G151" s="22">
        <v>3</v>
      </c>
      <c r="H151" t="str">
        <f t="shared" si="27"/>
        <v>Meets Expectations</v>
      </c>
      <c r="I151" s="22">
        <v>2</v>
      </c>
      <c r="J151" s="22" t="str">
        <f t="shared" si="28"/>
        <v>Improved</v>
      </c>
      <c r="K151" s="31">
        <v>0.82</v>
      </c>
      <c r="L151" s="24">
        <v>3.8</v>
      </c>
      <c r="M151" s="22" t="s">
        <v>60</v>
      </c>
      <c r="N151" s="22" t="str">
        <f t="shared" si="29"/>
        <v>Mid</v>
      </c>
      <c r="O151" t="str">
        <f>INDEX(NineBox,MATCH(N151,{"Low","Mid","High"},0),MATCH(M151,{"Low","Medium","High"},0))</f>
        <v>Core Player</v>
      </c>
      <c r="P151" s="28">
        <v>45761</v>
      </c>
      <c r="Q151" s="24">
        <f t="shared" si="30"/>
        <v>1.462012320328542</v>
      </c>
      <c r="R151" s="22" t="str">
        <f t="shared" si="31"/>
        <v>Not Eligible</v>
      </c>
      <c r="S151" t="str">
        <f t="shared" si="32"/>
        <v>Rating below 4</v>
      </c>
      <c r="T151" s="22" t="s">
        <v>1687</v>
      </c>
    </row>
    <row r="152" spans="1:20" x14ac:dyDescent="0.3">
      <c r="A152" s="22" t="s">
        <v>644</v>
      </c>
      <c r="B152" s="29" t="str">
        <f t="shared" si="22"/>
        <v>Abhishek Verma</v>
      </c>
      <c r="C152" s="29" t="str">
        <f t="shared" si="23"/>
        <v>Bhavana Hegde</v>
      </c>
      <c r="D152" s="29" t="str">
        <f t="shared" si="24"/>
        <v>Engineering</v>
      </c>
      <c r="E152" s="30" t="str">
        <f t="shared" si="25"/>
        <v>L2</v>
      </c>
      <c r="F152" s="30" t="str">
        <f t="shared" si="26"/>
        <v>Active</v>
      </c>
      <c r="G152" s="22">
        <v>3</v>
      </c>
      <c r="H152" t="str">
        <f t="shared" si="27"/>
        <v>Meets Expectations</v>
      </c>
      <c r="I152" s="22">
        <v>3</v>
      </c>
      <c r="J152" s="22" t="str">
        <f t="shared" si="28"/>
        <v>Stable</v>
      </c>
      <c r="K152" s="31">
        <v>0.76</v>
      </c>
      <c r="L152" s="24">
        <v>2.5</v>
      </c>
      <c r="M152" s="22" t="s">
        <v>59</v>
      </c>
      <c r="N152" s="22" t="str">
        <f t="shared" si="29"/>
        <v>Mid</v>
      </c>
      <c r="O152" t="str">
        <f>INDEX(NineBox,MATCH(N152,{"Low","Mid","High"},0),MATCH(M152,{"Low","Medium","High"},0))</f>
        <v>Effective Contributor</v>
      </c>
      <c r="P152" s="28">
        <v>45739</v>
      </c>
      <c r="Q152" s="24">
        <f t="shared" si="30"/>
        <v>1.5222450376454484</v>
      </c>
      <c r="R152" s="22" t="str">
        <f t="shared" si="31"/>
        <v>Not Eligible</v>
      </c>
      <c r="S152" t="str">
        <f t="shared" si="32"/>
        <v>Rating below 4</v>
      </c>
      <c r="T152" s="22" t="s">
        <v>1687</v>
      </c>
    </row>
    <row r="153" spans="1:20" x14ac:dyDescent="0.3">
      <c r="A153" s="22" t="s">
        <v>647</v>
      </c>
      <c r="B153" s="29" t="str">
        <f t="shared" si="22"/>
        <v>Tarun Pillai</v>
      </c>
      <c r="C153" s="29" t="str">
        <f t="shared" si="23"/>
        <v>Prakash Desai</v>
      </c>
      <c r="D153" s="29" t="str">
        <f t="shared" si="24"/>
        <v>Engineering</v>
      </c>
      <c r="E153" s="30" t="str">
        <f t="shared" si="25"/>
        <v>L3</v>
      </c>
      <c r="F153" s="30" t="str">
        <f t="shared" si="26"/>
        <v>Active</v>
      </c>
      <c r="G153" s="22">
        <v>2</v>
      </c>
      <c r="H153" t="str">
        <f t="shared" si="27"/>
        <v>Needs Improvement</v>
      </c>
      <c r="I153" s="22">
        <v>2</v>
      </c>
      <c r="J153" s="22" t="str">
        <f t="shared" si="28"/>
        <v>Stable</v>
      </c>
      <c r="K153" s="31">
        <v>0.71</v>
      </c>
      <c r="L153" s="24">
        <v>2.1</v>
      </c>
      <c r="M153" s="22" t="s">
        <v>59</v>
      </c>
      <c r="N153" s="22" t="str">
        <f t="shared" si="29"/>
        <v>Low</v>
      </c>
      <c r="O153" t="str">
        <f>INDEX(NineBox,MATCH(N153,{"Low","Mid","High"},0),MATCH(M153,{"Low","Medium","High"},0))</f>
        <v>Underperformer</v>
      </c>
      <c r="P153" s="28">
        <v>45007</v>
      </c>
      <c r="Q153" s="24">
        <f t="shared" si="30"/>
        <v>3.5263518138261465</v>
      </c>
      <c r="R153" s="22" t="str">
        <f t="shared" si="31"/>
        <v>Not Eligible</v>
      </c>
      <c r="S153" t="str">
        <f t="shared" si="32"/>
        <v>Rating below 4</v>
      </c>
      <c r="T153" s="22" t="s">
        <v>1687</v>
      </c>
    </row>
    <row r="154" spans="1:20" x14ac:dyDescent="0.3">
      <c r="A154" s="22" t="s">
        <v>650</v>
      </c>
      <c r="B154" s="29" t="str">
        <f t="shared" si="22"/>
        <v>Zara Bose</v>
      </c>
      <c r="C154" s="29" t="str">
        <f t="shared" si="23"/>
        <v>Ajay Kumar</v>
      </c>
      <c r="D154" s="29" t="str">
        <f t="shared" si="24"/>
        <v>Operations</v>
      </c>
      <c r="E154" s="30" t="str">
        <f t="shared" si="25"/>
        <v>L3</v>
      </c>
      <c r="F154" s="30" t="str">
        <f t="shared" si="26"/>
        <v>Active</v>
      </c>
      <c r="G154" s="22">
        <v>3</v>
      </c>
      <c r="H154" t="str">
        <f t="shared" si="27"/>
        <v>Meets Expectations</v>
      </c>
      <c r="I154" s="22">
        <v>3</v>
      </c>
      <c r="J154" s="22" t="str">
        <f t="shared" si="28"/>
        <v>Stable</v>
      </c>
      <c r="K154" s="31">
        <v>0.91</v>
      </c>
      <c r="L154" s="24">
        <v>3.4</v>
      </c>
      <c r="M154" s="22" t="s">
        <v>60</v>
      </c>
      <c r="N154" s="22" t="str">
        <f t="shared" si="29"/>
        <v>Mid</v>
      </c>
      <c r="O154" t="str">
        <f>INDEX(NineBox,MATCH(N154,{"Low","Mid","High"},0),MATCH(M154,{"Low","Medium","High"},0))</f>
        <v>Core Player</v>
      </c>
      <c r="P154" s="28">
        <v>46183</v>
      </c>
      <c r="Q154" s="24">
        <f t="shared" si="30"/>
        <v>0.30663928815879532</v>
      </c>
      <c r="R154" s="22" t="str">
        <f t="shared" si="31"/>
        <v>Not Eligible</v>
      </c>
      <c r="S154" t="str">
        <f t="shared" si="32"/>
        <v>Rating below 4</v>
      </c>
      <c r="T154" s="22" t="s">
        <v>1687</v>
      </c>
    </row>
    <row r="155" spans="1:20" x14ac:dyDescent="0.3">
      <c r="A155" s="22" t="s">
        <v>653</v>
      </c>
      <c r="B155" s="29" t="str">
        <f t="shared" si="22"/>
        <v>Krishna Chatterjee</v>
      </c>
      <c r="C155" s="29" t="str">
        <f t="shared" si="23"/>
        <v>Yash Shah</v>
      </c>
      <c r="D155" s="29" t="str">
        <f t="shared" si="24"/>
        <v>Operations</v>
      </c>
      <c r="E155" s="30" t="str">
        <f t="shared" si="25"/>
        <v>L2</v>
      </c>
      <c r="F155" s="30" t="str">
        <f t="shared" si="26"/>
        <v>Active</v>
      </c>
      <c r="G155" s="22">
        <v>5</v>
      </c>
      <c r="H155" t="str">
        <f t="shared" si="27"/>
        <v>Outstanding</v>
      </c>
      <c r="I155" s="22">
        <v>5</v>
      </c>
      <c r="J155" s="22" t="str">
        <f t="shared" si="28"/>
        <v>Stable</v>
      </c>
      <c r="K155" s="31">
        <v>1.0900000000000001</v>
      </c>
      <c r="L155" s="24">
        <v>5</v>
      </c>
      <c r="M155" s="22" t="s">
        <v>61</v>
      </c>
      <c r="N155" s="22" t="str">
        <f t="shared" si="29"/>
        <v>High</v>
      </c>
      <c r="O155" t="str">
        <f>INDEX(NineBox,MATCH(N155,{"Low","Mid","High"},0),MATCH(M155,{"Low","Medium","High"},0))</f>
        <v>Star</v>
      </c>
      <c r="P155" s="28">
        <v>45743</v>
      </c>
      <c r="Q155" s="24">
        <f t="shared" si="30"/>
        <v>1.5112936344969199</v>
      </c>
      <c r="R155" s="22" t="str">
        <f t="shared" si="31"/>
        <v>Eligible</v>
      </c>
      <c r="S155" t="str">
        <f t="shared" si="32"/>
        <v>Meets rating and time-in-level criteria</v>
      </c>
      <c r="T155" s="22" t="s">
        <v>1687</v>
      </c>
    </row>
    <row r="156" spans="1:20" x14ac:dyDescent="0.3">
      <c r="A156" s="22" t="s">
        <v>656</v>
      </c>
      <c r="B156" s="29" t="str">
        <f t="shared" si="22"/>
        <v>Mary Singh</v>
      </c>
      <c r="C156" s="29" t="str">
        <f t="shared" si="23"/>
        <v>Ajay Patel</v>
      </c>
      <c r="D156" s="29" t="str">
        <f t="shared" si="24"/>
        <v>Human Resources</v>
      </c>
      <c r="E156" s="30" t="str">
        <f t="shared" si="25"/>
        <v>L2</v>
      </c>
      <c r="F156" s="30" t="str">
        <f t="shared" si="26"/>
        <v>Active</v>
      </c>
      <c r="G156" s="22">
        <v>3</v>
      </c>
      <c r="H156" t="str">
        <f t="shared" si="27"/>
        <v>Meets Expectations</v>
      </c>
      <c r="I156" s="22">
        <v>2</v>
      </c>
      <c r="J156" s="22" t="str">
        <f t="shared" si="28"/>
        <v>Improved</v>
      </c>
      <c r="K156" s="31">
        <v>0.67</v>
      </c>
      <c r="L156" s="24">
        <v>2.5</v>
      </c>
      <c r="M156" s="22" t="s">
        <v>60</v>
      </c>
      <c r="N156" s="22" t="str">
        <f t="shared" si="29"/>
        <v>Mid</v>
      </c>
      <c r="O156" t="str">
        <f>INDEX(NineBox,MATCH(N156,{"Low","Mid","High"},0),MATCH(M156,{"Low","Medium","High"},0))</f>
        <v>Core Player</v>
      </c>
      <c r="P156" s="28">
        <v>45810</v>
      </c>
      <c r="Q156" s="24">
        <f t="shared" si="30"/>
        <v>1.3278576317590691</v>
      </c>
      <c r="R156" s="22" t="str">
        <f t="shared" si="31"/>
        <v>Not Eligible</v>
      </c>
      <c r="S156" t="str">
        <f t="shared" si="32"/>
        <v>Rating below 4</v>
      </c>
      <c r="T156" s="22" t="s">
        <v>1687</v>
      </c>
    </row>
    <row r="157" spans="1:20" x14ac:dyDescent="0.3">
      <c r="A157" s="22" t="s">
        <v>660</v>
      </c>
      <c r="B157" s="29" t="str">
        <f t="shared" si="22"/>
        <v>Lakshmi Pillai</v>
      </c>
      <c r="C157" s="29" t="str">
        <f t="shared" si="23"/>
        <v>Kritika Pandey</v>
      </c>
      <c r="D157" s="29" t="str">
        <f t="shared" si="24"/>
        <v>Finance</v>
      </c>
      <c r="E157" s="30" t="str">
        <f t="shared" si="25"/>
        <v>L3</v>
      </c>
      <c r="F157" s="30" t="str">
        <f t="shared" si="26"/>
        <v>Active</v>
      </c>
      <c r="G157" s="22">
        <v>3</v>
      </c>
      <c r="H157" t="str">
        <f t="shared" si="27"/>
        <v>Meets Expectations</v>
      </c>
      <c r="I157" s="22">
        <v>2</v>
      </c>
      <c r="J157" s="22" t="str">
        <f t="shared" si="28"/>
        <v>Improved</v>
      </c>
      <c r="K157" s="31">
        <v>0.91</v>
      </c>
      <c r="L157" s="24">
        <v>2.9</v>
      </c>
      <c r="M157" s="22" t="s">
        <v>60</v>
      </c>
      <c r="N157" s="22" t="str">
        <f t="shared" si="29"/>
        <v>Mid</v>
      </c>
      <c r="O157" t="str">
        <f>INDEX(NineBox,MATCH(N157,{"Low","Mid","High"},0),MATCH(M157,{"Low","Medium","High"},0))</f>
        <v>Core Player</v>
      </c>
      <c r="P157" s="28">
        <v>45885</v>
      </c>
      <c r="Q157" s="24">
        <f t="shared" si="30"/>
        <v>1.1225188227241616</v>
      </c>
      <c r="R157" s="22" t="str">
        <f t="shared" si="31"/>
        <v>Not Eligible</v>
      </c>
      <c r="S157" t="str">
        <f t="shared" si="32"/>
        <v>Rating below 4</v>
      </c>
      <c r="T157" s="22" t="s">
        <v>1688</v>
      </c>
    </row>
    <row r="158" spans="1:20" x14ac:dyDescent="0.3">
      <c r="A158" s="22" t="s">
        <v>663</v>
      </c>
      <c r="B158" s="29" t="str">
        <f t="shared" si="22"/>
        <v>Varun Subramanian</v>
      </c>
      <c r="C158" s="29" t="str">
        <f t="shared" si="23"/>
        <v>Karan Verma</v>
      </c>
      <c r="D158" s="29" t="str">
        <f t="shared" si="24"/>
        <v>Data &amp; Analytics</v>
      </c>
      <c r="E158" s="30" t="str">
        <f t="shared" si="25"/>
        <v>L3</v>
      </c>
      <c r="F158" s="30" t="str">
        <f t="shared" si="26"/>
        <v>Active</v>
      </c>
      <c r="G158" s="22">
        <v>2</v>
      </c>
      <c r="H158" t="str">
        <f t="shared" si="27"/>
        <v>Needs Improvement</v>
      </c>
      <c r="I158" s="22">
        <v>3</v>
      </c>
      <c r="J158" s="22" t="str">
        <f t="shared" si="28"/>
        <v>Declined</v>
      </c>
      <c r="K158" s="31">
        <v>0.92</v>
      </c>
      <c r="L158" s="24">
        <v>1.9</v>
      </c>
      <c r="M158" s="22" t="s">
        <v>60</v>
      </c>
      <c r="N158" s="22" t="str">
        <f t="shared" si="29"/>
        <v>Low</v>
      </c>
      <c r="O158" t="str">
        <f>INDEX(NineBox,MATCH(N158,{"Low","Mid","High"},0),MATCH(M158,{"Low","Medium","High"},0))</f>
        <v>Inconsistent Player</v>
      </c>
      <c r="P158" s="28">
        <v>45473</v>
      </c>
      <c r="Q158" s="24">
        <f t="shared" si="30"/>
        <v>2.2505133470225873</v>
      </c>
      <c r="R158" s="22" t="str">
        <f t="shared" si="31"/>
        <v>Not Eligible</v>
      </c>
      <c r="S158" t="str">
        <f t="shared" si="32"/>
        <v>Rating below 4</v>
      </c>
      <c r="T158" s="22" t="s">
        <v>1687</v>
      </c>
    </row>
    <row r="159" spans="1:20" x14ac:dyDescent="0.3">
      <c r="A159" s="22" t="s">
        <v>122</v>
      </c>
      <c r="B159" s="29" t="str">
        <f t="shared" si="22"/>
        <v>Pallavi Shah</v>
      </c>
      <c r="C159" s="29" t="str">
        <f t="shared" si="23"/>
        <v>Tejaswini Naidu</v>
      </c>
      <c r="D159" s="29" t="str">
        <f t="shared" si="24"/>
        <v>Operations</v>
      </c>
      <c r="E159" s="30" t="str">
        <f t="shared" si="25"/>
        <v>L6</v>
      </c>
      <c r="F159" s="30" t="str">
        <f t="shared" si="26"/>
        <v>Active</v>
      </c>
      <c r="G159" s="22">
        <v>3</v>
      </c>
      <c r="H159" t="str">
        <f t="shared" si="27"/>
        <v>Meets Expectations</v>
      </c>
      <c r="I159" s="22">
        <v>3</v>
      </c>
      <c r="J159" s="22" t="str">
        <f t="shared" si="28"/>
        <v>Stable</v>
      </c>
      <c r="K159" s="31">
        <v>0.68</v>
      </c>
      <c r="L159" s="24">
        <v>3.1</v>
      </c>
      <c r="M159" s="22" t="s">
        <v>61</v>
      </c>
      <c r="N159" s="22" t="str">
        <f t="shared" si="29"/>
        <v>Mid</v>
      </c>
      <c r="O159" t="str">
        <f>INDEX(NineBox,MATCH(N159,{"Low","Mid","High"},0),MATCH(M159,{"Low","Medium","High"},0))</f>
        <v>Future Star</v>
      </c>
      <c r="P159" s="28">
        <v>46051</v>
      </c>
      <c r="Q159" s="24">
        <f t="shared" si="30"/>
        <v>0.66803559206023266</v>
      </c>
      <c r="R159" s="22" t="str">
        <f t="shared" si="31"/>
        <v>Not Eligible</v>
      </c>
      <c r="S159" t="str">
        <f t="shared" si="32"/>
        <v>Rating below 4</v>
      </c>
      <c r="T159" s="22" t="s">
        <v>1687</v>
      </c>
    </row>
    <row r="160" spans="1:20" x14ac:dyDescent="0.3">
      <c r="A160" s="22" t="s">
        <v>668</v>
      </c>
      <c r="B160" s="29" t="str">
        <f t="shared" si="22"/>
        <v>Sanjana Kamath</v>
      </c>
      <c r="C160" s="29" t="str">
        <f t="shared" si="23"/>
        <v>Ravi Prabhu</v>
      </c>
      <c r="D160" s="29" t="str">
        <f t="shared" si="24"/>
        <v>Finance</v>
      </c>
      <c r="E160" s="30" t="str">
        <f t="shared" si="25"/>
        <v>L2</v>
      </c>
      <c r="F160" s="30" t="str">
        <f t="shared" si="26"/>
        <v>Active</v>
      </c>
      <c r="G160" s="22">
        <v>3</v>
      </c>
      <c r="H160" t="str">
        <f t="shared" si="27"/>
        <v>Meets Expectations</v>
      </c>
      <c r="I160" s="22">
        <v>4</v>
      </c>
      <c r="J160" s="22" t="str">
        <f t="shared" si="28"/>
        <v>Declined</v>
      </c>
      <c r="K160" s="31">
        <v>0.88</v>
      </c>
      <c r="L160" s="24">
        <v>3.1</v>
      </c>
      <c r="M160" s="22" t="s">
        <v>60</v>
      </c>
      <c r="N160" s="22" t="str">
        <f t="shared" si="29"/>
        <v>Mid</v>
      </c>
      <c r="O160" t="str">
        <f>INDEX(NineBox,MATCH(N160,{"Low","Mid","High"},0),MATCH(M160,{"Low","Medium","High"},0))</f>
        <v>Core Player</v>
      </c>
      <c r="P160" s="28">
        <v>45933</v>
      </c>
      <c r="Q160" s="24">
        <f t="shared" si="30"/>
        <v>0.99110198494182067</v>
      </c>
      <c r="R160" s="22" t="str">
        <f t="shared" si="31"/>
        <v>Not Eligible</v>
      </c>
      <c r="S160" t="str">
        <f t="shared" si="32"/>
        <v>Rating below 4</v>
      </c>
      <c r="T160" s="22" t="s">
        <v>1687</v>
      </c>
    </row>
    <row r="161" spans="1:20" x14ac:dyDescent="0.3">
      <c r="A161" s="22" t="s">
        <v>672</v>
      </c>
      <c r="B161" s="29" t="str">
        <f t="shared" si="22"/>
        <v>Bhavana Varghese</v>
      </c>
      <c r="C161" s="29" t="str">
        <f t="shared" si="23"/>
        <v>Isha Verma</v>
      </c>
      <c r="D161" s="29" t="str">
        <f t="shared" si="24"/>
        <v>Customer Support</v>
      </c>
      <c r="E161" s="30" t="str">
        <f t="shared" si="25"/>
        <v>L4</v>
      </c>
      <c r="F161" s="30" t="str">
        <f t="shared" si="26"/>
        <v>Exited</v>
      </c>
      <c r="G161" s="22">
        <v>3</v>
      </c>
      <c r="H161" t="str">
        <f t="shared" si="27"/>
        <v>Meets Expectations</v>
      </c>
      <c r="I161" s="22">
        <v>3</v>
      </c>
      <c r="J161" s="22" t="str">
        <f t="shared" si="28"/>
        <v>Stable</v>
      </c>
      <c r="K161" s="31">
        <v>0.63</v>
      </c>
      <c r="L161" s="24">
        <v>3.6</v>
      </c>
      <c r="M161" s="22" t="s">
        <v>60</v>
      </c>
      <c r="N161" s="22" t="str">
        <f t="shared" si="29"/>
        <v>Mid</v>
      </c>
      <c r="O161" t="str">
        <f>INDEX(NineBox,MATCH(N161,{"Low","Mid","High"},0),MATCH(M161,{"Low","Medium","High"},0))</f>
        <v>Core Player</v>
      </c>
      <c r="P161" s="28">
        <v>45450</v>
      </c>
      <c r="Q161" s="24">
        <f t="shared" si="30"/>
        <v>2.3134839151266258</v>
      </c>
      <c r="R161" s="22" t="str">
        <f t="shared" si="31"/>
        <v>Not Eligible</v>
      </c>
      <c r="S161" t="str">
        <f t="shared" si="32"/>
        <v>Employee has exited</v>
      </c>
      <c r="T161" s="22" t="s">
        <v>1687</v>
      </c>
    </row>
    <row r="162" spans="1:20" x14ac:dyDescent="0.3">
      <c r="A162" s="22" t="s">
        <v>675</v>
      </c>
      <c r="B162" s="29" t="str">
        <f t="shared" si="22"/>
        <v>Tanvi Siddiqui</v>
      </c>
      <c r="C162" s="29" t="str">
        <f t="shared" si="23"/>
        <v>Madhuri Malhotra</v>
      </c>
      <c r="D162" s="29" t="str">
        <f t="shared" si="24"/>
        <v>Sales</v>
      </c>
      <c r="E162" s="30" t="str">
        <f t="shared" si="25"/>
        <v>L4</v>
      </c>
      <c r="F162" s="30" t="str">
        <f t="shared" si="26"/>
        <v>Active</v>
      </c>
      <c r="G162" s="22">
        <v>3</v>
      </c>
      <c r="H162" t="str">
        <f t="shared" si="27"/>
        <v>Meets Expectations</v>
      </c>
      <c r="I162" s="22">
        <v>3</v>
      </c>
      <c r="J162" s="22" t="str">
        <f t="shared" si="28"/>
        <v>Stable</v>
      </c>
      <c r="K162" s="31">
        <v>0.8</v>
      </c>
      <c r="L162" s="24">
        <v>2.4</v>
      </c>
      <c r="M162" s="22" t="s">
        <v>59</v>
      </c>
      <c r="N162" s="22" t="str">
        <f t="shared" si="29"/>
        <v>Mid</v>
      </c>
      <c r="O162" t="str">
        <f>INDEX(NineBox,MATCH(N162,{"Low","Mid","High"},0),MATCH(M162,{"Low","Medium","High"},0))</f>
        <v>Effective Contributor</v>
      </c>
      <c r="P162" s="28">
        <v>45589</v>
      </c>
      <c r="Q162" s="24">
        <f t="shared" si="30"/>
        <v>1.9329226557152634</v>
      </c>
      <c r="R162" s="22" t="str">
        <f t="shared" si="31"/>
        <v>Not Eligible</v>
      </c>
      <c r="S162" t="str">
        <f t="shared" si="32"/>
        <v>Rating below 4</v>
      </c>
      <c r="T162" s="22" t="s">
        <v>1687</v>
      </c>
    </row>
    <row r="163" spans="1:20" x14ac:dyDescent="0.3">
      <c r="A163" s="22" t="s">
        <v>678</v>
      </c>
      <c r="B163" s="29" t="str">
        <f t="shared" si="22"/>
        <v>Aditi Siddiqui</v>
      </c>
      <c r="C163" s="29" t="str">
        <f t="shared" si="23"/>
        <v>Tejaswini Hegde</v>
      </c>
      <c r="D163" s="29" t="str">
        <f t="shared" si="24"/>
        <v>Engineering</v>
      </c>
      <c r="E163" s="30" t="str">
        <f t="shared" si="25"/>
        <v>L2</v>
      </c>
      <c r="F163" s="30" t="str">
        <f t="shared" si="26"/>
        <v>Active</v>
      </c>
      <c r="G163" s="22">
        <v>4</v>
      </c>
      <c r="H163" t="str">
        <f t="shared" si="27"/>
        <v>Exceeds Expectations</v>
      </c>
      <c r="I163" s="22">
        <v>4</v>
      </c>
      <c r="J163" s="22" t="str">
        <f t="shared" si="28"/>
        <v>Stable</v>
      </c>
      <c r="K163" s="31">
        <v>0.97</v>
      </c>
      <c r="L163" s="24">
        <v>3.3</v>
      </c>
      <c r="M163" s="22" t="s">
        <v>60</v>
      </c>
      <c r="N163" s="22" t="str">
        <f t="shared" si="29"/>
        <v>High</v>
      </c>
      <c r="O163" t="str">
        <f>INDEX(NineBox,MATCH(N163,{"Low","Mid","High"},0),MATCH(M163,{"Low","Medium","High"},0))</f>
        <v>High Performer</v>
      </c>
      <c r="P163" s="28">
        <v>45935</v>
      </c>
      <c r="Q163" s="24">
        <f t="shared" si="30"/>
        <v>0.98562628336755642</v>
      </c>
      <c r="R163" s="22" t="str">
        <f t="shared" si="31"/>
        <v>Not Eligible</v>
      </c>
      <c r="S163" t="str">
        <f t="shared" si="32"/>
        <v>Under 1.5 yrs in current level</v>
      </c>
      <c r="T163" s="22" t="s">
        <v>1687</v>
      </c>
    </row>
    <row r="164" spans="1:20" x14ac:dyDescent="0.3">
      <c r="A164" s="22" t="s">
        <v>681</v>
      </c>
      <c r="B164" s="29" t="str">
        <f t="shared" si="22"/>
        <v>Aditi Yadav</v>
      </c>
      <c r="C164" s="29" t="str">
        <f t="shared" si="23"/>
        <v>Swathi Mukherjee</v>
      </c>
      <c r="D164" s="29" t="str">
        <f t="shared" si="24"/>
        <v>Legal &amp; Compliance</v>
      </c>
      <c r="E164" s="30" t="str">
        <f t="shared" si="25"/>
        <v>L2</v>
      </c>
      <c r="F164" s="30" t="str">
        <f t="shared" si="26"/>
        <v>Active</v>
      </c>
      <c r="G164" s="22">
        <v>4</v>
      </c>
      <c r="H164" t="str">
        <f t="shared" si="27"/>
        <v>Exceeds Expectations</v>
      </c>
      <c r="I164" s="22">
        <v>4</v>
      </c>
      <c r="J164" s="22" t="str">
        <f t="shared" si="28"/>
        <v>Stable</v>
      </c>
      <c r="K164" s="31">
        <v>0.97</v>
      </c>
      <c r="L164" s="24">
        <v>4.3</v>
      </c>
      <c r="M164" s="22" t="s">
        <v>61</v>
      </c>
      <c r="N164" s="22" t="str">
        <f t="shared" si="29"/>
        <v>High</v>
      </c>
      <c r="O164" t="str">
        <f>INDEX(NineBox,MATCH(N164,{"Low","Mid","High"},0),MATCH(M164,{"Low","Medium","High"},0))</f>
        <v>Star</v>
      </c>
      <c r="P164" s="28">
        <v>45532</v>
      </c>
      <c r="Q164" s="24">
        <f t="shared" si="30"/>
        <v>2.0889801505817931</v>
      </c>
      <c r="R164" s="22" t="str">
        <f t="shared" si="31"/>
        <v>Eligible</v>
      </c>
      <c r="S164" t="str">
        <f t="shared" si="32"/>
        <v>Meets rating and time-in-level criteria</v>
      </c>
      <c r="T164" s="22" t="s">
        <v>1687</v>
      </c>
    </row>
    <row r="165" spans="1:20" x14ac:dyDescent="0.3">
      <c r="A165" s="22" t="s">
        <v>687</v>
      </c>
      <c r="B165" s="29" t="str">
        <f t="shared" si="22"/>
        <v>Gaurav Saxena</v>
      </c>
      <c r="C165" s="29" t="str">
        <f t="shared" si="23"/>
        <v>Nikhil Agarwal</v>
      </c>
      <c r="D165" s="29" t="str">
        <f t="shared" si="24"/>
        <v>Sales</v>
      </c>
      <c r="E165" s="30" t="str">
        <f t="shared" si="25"/>
        <v>L2</v>
      </c>
      <c r="F165" s="30" t="str">
        <f t="shared" si="26"/>
        <v>Active</v>
      </c>
      <c r="G165" s="22">
        <v>5</v>
      </c>
      <c r="H165" t="str">
        <f t="shared" si="27"/>
        <v>Outstanding</v>
      </c>
      <c r="I165" s="22">
        <v>5</v>
      </c>
      <c r="J165" s="22" t="str">
        <f t="shared" si="28"/>
        <v>Stable</v>
      </c>
      <c r="K165" s="31">
        <v>1.01</v>
      </c>
      <c r="L165" s="24">
        <v>4.5999999999999996</v>
      </c>
      <c r="M165" s="22" t="s">
        <v>60</v>
      </c>
      <c r="N165" s="22" t="str">
        <f t="shared" si="29"/>
        <v>High</v>
      </c>
      <c r="O165" t="str">
        <f>INDEX(NineBox,MATCH(N165,{"Low","Mid","High"},0),MATCH(M165,{"Low","Medium","High"},0))</f>
        <v>High Performer</v>
      </c>
      <c r="P165" s="28">
        <v>45054</v>
      </c>
      <c r="Q165" s="24">
        <f t="shared" si="30"/>
        <v>3.3976728268309375</v>
      </c>
      <c r="R165" s="22" t="str">
        <f t="shared" si="31"/>
        <v>Eligible</v>
      </c>
      <c r="S165" t="str">
        <f t="shared" si="32"/>
        <v>Meets rating and time-in-level criteria</v>
      </c>
      <c r="T165" s="22" t="s">
        <v>1687</v>
      </c>
    </row>
    <row r="166" spans="1:20" x14ac:dyDescent="0.3">
      <c r="A166" s="22" t="s">
        <v>690</v>
      </c>
      <c r="B166" s="29" t="str">
        <f t="shared" si="22"/>
        <v>Kiran Hegde</v>
      </c>
      <c r="C166" s="29" t="str">
        <f t="shared" si="23"/>
        <v>Srinivas Shah</v>
      </c>
      <c r="D166" s="29" t="str">
        <f t="shared" si="24"/>
        <v>Sales</v>
      </c>
      <c r="E166" s="30" t="str">
        <f t="shared" si="25"/>
        <v>L4</v>
      </c>
      <c r="F166" s="30" t="str">
        <f t="shared" si="26"/>
        <v>Active</v>
      </c>
      <c r="G166" s="22">
        <v>3</v>
      </c>
      <c r="H166" t="str">
        <f t="shared" si="27"/>
        <v>Meets Expectations</v>
      </c>
      <c r="I166" s="22">
        <v>4</v>
      </c>
      <c r="J166" s="22" t="str">
        <f t="shared" si="28"/>
        <v>Declined</v>
      </c>
      <c r="K166" s="31">
        <v>0.86</v>
      </c>
      <c r="L166" s="24">
        <v>2.7</v>
      </c>
      <c r="M166" s="22" t="s">
        <v>59</v>
      </c>
      <c r="N166" s="22" t="str">
        <f t="shared" si="29"/>
        <v>Mid</v>
      </c>
      <c r="O166" t="str">
        <f>INDEX(NineBox,MATCH(N166,{"Low","Mid","High"},0),MATCH(M166,{"Low","Medium","High"},0))</f>
        <v>Effective Contributor</v>
      </c>
      <c r="P166" s="28">
        <v>45579</v>
      </c>
      <c r="Q166" s="24">
        <f t="shared" si="30"/>
        <v>1.9603011635865846</v>
      </c>
      <c r="R166" s="22" t="str">
        <f t="shared" si="31"/>
        <v>Not Eligible</v>
      </c>
      <c r="S166" t="str">
        <f t="shared" si="32"/>
        <v>Rating below 4</v>
      </c>
      <c r="T166" s="22" t="s">
        <v>1687</v>
      </c>
    </row>
    <row r="167" spans="1:20" x14ac:dyDescent="0.3">
      <c r="A167" s="22" t="s">
        <v>693</v>
      </c>
      <c r="B167" s="29" t="str">
        <f t="shared" si="22"/>
        <v>Aditi Prabhu</v>
      </c>
      <c r="C167" s="29" t="str">
        <f t="shared" si="23"/>
        <v>Isha Jain</v>
      </c>
      <c r="D167" s="29" t="str">
        <f t="shared" si="24"/>
        <v>Engineering</v>
      </c>
      <c r="E167" s="30" t="str">
        <f t="shared" si="25"/>
        <v>L4</v>
      </c>
      <c r="F167" s="30" t="str">
        <f t="shared" si="26"/>
        <v>Active</v>
      </c>
      <c r="G167" s="22">
        <v>4</v>
      </c>
      <c r="H167" t="str">
        <f t="shared" si="27"/>
        <v>Exceeds Expectations</v>
      </c>
      <c r="I167" s="22">
        <v>4</v>
      </c>
      <c r="J167" s="22" t="str">
        <f t="shared" si="28"/>
        <v>Stable</v>
      </c>
      <c r="K167" s="31">
        <v>0.94</v>
      </c>
      <c r="L167" s="24">
        <v>3.6</v>
      </c>
      <c r="M167" s="22" t="s">
        <v>60</v>
      </c>
      <c r="N167" s="22" t="str">
        <f t="shared" si="29"/>
        <v>High</v>
      </c>
      <c r="O167" t="str">
        <f>INDEX(NineBox,MATCH(N167,{"Low","Mid","High"},0),MATCH(M167,{"Low","Medium","High"},0))</f>
        <v>High Performer</v>
      </c>
      <c r="P167" s="28">
        <v>45067</v>
      </c>
      <c r="Q167" s="24">
        <f t="shared" si="30"/>
        <v>3.3620807665982202</v>
      </c>
      <c r="R167" s="22" t="str">
        <f t="shared" si="31"/>
        <v>Eligible</v>
      </c>
      <c r="S167" t="str">
        <f t="shared" si="32"/>
        <v>Meets rating and time-in-level criteria</v>
      </c>
      <c r="T167" s="22" t="s">
        <v>1687</v>
      </c>
    </row>
    <row r="168" spans="1:20" x14ac:dyDescent="0.3">
      <c r="A168" s="22" t="s">
        <v>696</v>
      </c>
      <c r="B168" s="29" t="str">
        <f t="shared" si="22"/>
        <v>Sanjay Krishnan</v>
      </c>
      <c r="C168" s="29" t="str">
        <f t="shared" si="23"/>
        <v>Ramya Menon</v>
      </c>
      <c r="D168" s="29" t="str">
        <f t="shared" si="24"/>
        <v>Operations</v>
      </c>
      <c r="E168" s="30" t="str">
        <f t="shared" si="25"/>
        <v>L2</v>
      </c>
      <c r="F168" s="30" t="str">
        <f t="shared" si="26"/>
        <v>Exited</v>
      </c>
      <c r="G168" s="22">
        <v>4</v>
      </c>
      <c r="H168" t="str">
        <f t="shared" si="27"/>
        <v>Exceeds Expectations</v>
      </c>
      <c r="I168" s="22">
        <v>4</v>
      </c>
      <c r="J168" s="22" t="str">
        <f t="shared" si="28"/>
        <v>Stable</v>
      </c>
      <c r="K168" s="31">
        <v>0.99</v>
      </c>
      <c r="L168" s="24">
        <v>4.0999999999999996</v>
      </c>
      <c r="M168" s="22" t="s">
        <v>61</v>
      </c>
      <c r="N168" s="22" t="str">
        <f t="shared" si="29"/>
        <v>High</v>
      </c>
      <c r="O168" t="str">
        <f>INDEX(NineBox,MATCH(N168,{"Low","Mid","High"},0),MATCH(M168,{"Low","Medium","High"},0))</f>
        <v>Star</v>
      </c>
      <c r="P168" s="28">
        <v>45908</v>
      </c>
      <c r="Q168" s="24">
        <f t="shared" si="30"/>
        <v>1.0595482546201231</v>
      </c>
      <c r="R168" s="22" t="str">
        <f t="shared" si="31"/>
        <v>Not Eligible</v>
      </c>
      <c r="S168" t="str">
        <f t="shared" si="32"/>
        <v>Employee has exited</v>
      </c>
      <c r="T168" s="22" t="s">
        <v>1687</v>
      </c>
    </row>
    <row r="169" spans="1:20" x14ac:dyDescent="0.3">
      <c r="A169" s="22" t="s">
        <v>699</v>
      </c>
      <c r="B169" s="29" t="str">
        <f t="shared" si="22"/>
        <v>Priya Fernandes</v>
      </c>
      <c r="C169" s="29" t="str">
        <f t="shared" si="23"/>
        <v>Ramya Khanna</v>
      </c>
      <c r="D169" s="29" t="str">
        <f t="shared" si="24"/>
        <v>Legal &amp; Compliance</v>
      </c>
      <c r="E169" s="30" t="str">
        <f t="shared" si="25"/>
        <v>L2</v>
      </c>
      <c r="F169" s="30" t="str">
        <f t="shared" si="26"/>
        <v>Active</v>
      </c>
      <c r="G169" s="22">
        <v>3</v>
      </c>
      <c r="H169" t="str">
        <f t="shared" si="27"/>
        <v>Meets Expectations</v>
      </c>
      <c r="I169" s="22">
        <v>4</v>
      </c>
      <c r="J169" s="22" t="str">
        <f t="shared" si="28"/>
        <v>Declined</v>
      </c>
      <c r="K169" s="31">
        <v>0.82</v>
      </c>
      <c r="L169" s="24">
        <v>3.8</v>
      </c>
      <c r="M169" s="22" t="s">
        <v>60</v>
      </c>
      <c r="N169" s="22" t="str">
        <f t="shared" si="29"/>
        <v>Mid</v>
      </c>
      <c r="O169" t="str">
        <f>INDEX(NineBox,MATCH(N169,{"Low","Mid","High"},0),MATCH(M169,{"Low","Medium","High"},0))</f>
        <v>Core Player</v>
      </c>
      <c r="P169" s="28">
        <v>45979</v>
      </c>
      <c r="Q169" s="24">
        <f t="shared" si="30"/>
        <v>0.86516084873374399</v>
      </c>
      <c r="R169" s="22" t="str">
        <f t="shared" si="31"/>
        <v>Not Eligible</v>
      </c>
      <c r="S169" t="str">
        <f t="shared" si="32"/>
        <v>Rating below 4</v>
      </c>
      <c r="T169" s="22" t="s">
        <v>1687</v>
      </c>
    </row>
    <row r="170" spans="1:20" x14ac:dyDescent="0.3">
      <c r="A170" s="22" t="s">
        <v>702</v>
      </c>
      <c r="B170" s="29" t="str">
        <f t="shared" si="22"/>
        <v>Aniket Siddiqui</v>
      </c>
      <c r="C170" s="29" t="str">
        <f t="shared" si="23"/>
        <v>Bhavana Hegde</v>
      </c>
      <c r="D170" s="29" t="str">
        <f t="shared" si="24"/>
        <v>Engineering</v>
      </c>
      <c r="E170" s="30" t="str">
        <f t="shared" si="25"/>
        <v>L3</v>
      </c>
      <c r="F170" s="30" t="str">
        <f t="shared" si="26"/>
        <v>Active</v>
      </c>
      <c r="G170" s="22">
        <v>1</v>
      </c>
      <c r="H170" t="str">
        <f t="shared" si="27"/>
        <v>Unsatisfactory</v>
      </c>
      <c r="I170" s="22">
        <v>1</v>
      </c>
      <c r="J170" s="22" t="str">
        <f t="shared" si="28"/>
        <v>Stable</v>
      </c>
      <c r="K170" s="31">
        <v>0.52</v>
      </c>
      <c r="L170" s="24">
        <v>1.3</v>
      </c>
      <c r="M170" s="22" t="s">
        <v>59</v>
      </c>
      <c r="N170" s="22" t="str">
        <f t="shared" si="29"/>
        <v>Low</v>
      </c>
      <c r="O170" t="str">
        <f>INDEX(NineBox,MATCH(N170,{"Low","Mid","High"},0),MATCH(M170,{"Low","Medium","High"},0))</f>
        <v>Underperformer</v>
      </c>
      <c r="P170" s="28">
        <v>45073</v>
      </c>
      <c r="Q170" s="24">
        <f t="shared" si="30"/>
        <v>3.3456536618754278</v>
      </c>
      <c r="R170" s="22" t="str">
        <f t="shared" si="31"/>
        <v>Not Eligible</v>
      </c>
      <c r="S170" t="str">
        <f t="shared" si="32"/>
        <v>Rating below 4</v>
      </c>
      <c r="T170" s="22" t="s">
        <v>1687</v>
      </c>
    </row>
    <row r="171" spans="1:20" x14ac:dyDescent="0.3">
      <c r="A171" s="22" t="s">
        <v>705</v>
      </c>
      <c r="B171" s="29" t="str">
        <f t="shared" si="22"/>
        <v>Deepak Saxena</v>
      </c>
      <c r="C171" s="29" t="str">
        <f t="shared" si="23"/>
        <v>Isha Jain</v>
      </c>
      <c r="D171" s="29" t="str">
        <f t="shared" si="24"/>
        <v>Engineering</v>
      </c>
      <c r="E171" s="30" t="str">
        <f t="shared" si="25"/>
        <v>L2</v>
      </c>
      <c r="F171" s="30" t="str">
        <f t="shared" si="26"/>
        <v>Active</v>
      </c>
      <c r="G171" s="22">
        <v>3</v>
      </c>
      <c r="H171" t="str">
        <f t="shared" si="27"/>
        <v>Meets Expectations</v>
      </c>
      <c r="I171" s="22">
        <v>3</v>
      </c>
      <c r="J171" s="22" t="str">
        <f t="shared" si="28"/>
        <v>Stable</v>
      </c>
      <c r="K171" s="31">
        <v>0.89</v>
      </c>
      <c r="L171" s="24">
        <v>2.9</v>
      </c>
      <c r="M171" s="22" t="s">
        <v>61</v>
      </c>
      <c r="N171" s="22" t="str">
        <f t="shared" si="29"/>
        <v>Mid</v>
      </c>
      <c r="O171" t="str">
        <f>INDEX(NineBox,MATCH(N171,{"Low","Mid","High"},0),MATCH(M171,{"Low","Medium","High"},0))</f>
        <v>Future Star</v>
      </c>
      <c r="P171" s="28">
        <v>45096</v>
      </c>
      <c r="Q171" s="24">
        <f t="shared" si="30"/>
        <v>3.2826830937713893</v>
      </c>
      <c r="R171" s="22" t="str">
        <f t="shared" si="31"/>
        <v>Not Eligible</v>
      </c>
      <c r="S171" t="str">
        <f t="shared" si="32"/>
        <v>Rating below 4</v>
      </c>
      <c r="T171" s="22" t="s">
        <v>1687</v>
      </c>
    </row>
    <row r="172" spans="1:20" x14ac:dyDescent="0.3">
      <c r="A172" s="22" t="s">
        <v>708</v>
      </c>
      <c r="B172" s="29" t="str">
        <f t="shared" si="22"/>
        <v>Kritika Gowda</v>
      </c>
      <c r="C172" s="29" t="str">
        <f t="shared" si="23"/>
        <v>Isha Chatterjee</v>
      </c>
      <c r="D172" s="29" t="str">
        <f t="shared" si="24"/>
        <v>Marketing</v>
      </c>
      <c r="E172" s="30" t="str">
        <f t="shared" si="25"/>
        <v>L3</v>
      </c>
      <c r="F172" s="30" t="str">
        <f t="shared" si="26"/>
        <v>Active</v>
      </c>
      <c r="G172" s="22">
        <v>3</v>
      </c>
      <c r="H172" t="str">
        <f t="shared" si="27"/>
        <v>Meets Expectations</v>
      </c>
      <c r="I172" s="22">
        <v>2</v>
      </c>
      <c r="J172" s="22" t="str">
        <f t="shared" si="28"/>
        <v>Improved</v>
      </c>
      <c r="K172" s="31">
        <v>0.81</v>
      </c>
      <c r="L172" s="24">
        <v>3.7</v>
      </c>
      <c r="M172" s="22" t="s">
        <v>60</v>
      </c>
      <c r="N172" s="22" t="str">
        <f t="shared" si="29"/>
        <v>Mid</v>
      </c>
      <c r="O172" t="str">
        <f>INDEX(NineBox,MATCH(N172,{"Low","Mid","High"},0),MATCH(M172,{"Low","Medium","High"},0))</f>
        <v>Core Player</v>
      </c>
      <c r="P172" s="28">
        <v>45098</v>
      </c>
      <c r="Q172" s="24">
        <f t="shared" si="30"/>
        <v>3.2772073921971252</v>
      </c>
      <c r="R172" s="22" t="str">
        <f t="shared" si="31"/>
        <v>Not Eligible</v>
      </c>
      <c r="S172" t="str">
        <f t="shared" si="32"/>
        <v>Rating below 4</v>
      </c>
      <c r="T172" s="22" t="s">
        <v>1687</v>
      </c>
    </row>
    <row r="173" spans="1:20" x14ac:dyDescent="0.3">
      <c r="A173" s="22" t="s">
        <v>711</v>
      </c>
      <c r="B173" s="29" t="str">
        <f t="shared" si="22"/>
        <v>Sai Desai</v>
      </c>
      <c r="C173" s="29" t="str">
        <f t="shared" si="23"/>
        <v>Srinivas Shah</v>
      </c>
      <c r="D173" s="29" t="str">
        <f t="shared" si="24"/>
        <v>Sales</v>
      </c>
      <c r="E173" s="30" t="str">
        <f t="shared" si="25"/>
        <v>L4</v>
      </c>
      <c r="F173" s="30" t="str">
        <f t="shared" si="26"/>
        <v>Active</v>
      </c>
      <c r="G173" s="22">
        <v>4</v>
      </c>
      <c r="H173" t="str">
        <f t="shared" si="27"/>
        <v>Exceeds Expectations</v>
      </c>
      <c r="I173" s="22">
        <v>4</v>
      </c>
      <c r="J173" s="22" t="str">
        <f t="shared" si="28"/>
        <v>Stable</v>
      </c>
      <c r="K173" s="31">
        <v>0.81</v>
      </c>
      <c r="L173" s="24">
        <v>3.9</v>
      </c>
      <c r="M173" s="22" t="s">
        <v>61</v>
      </c>
      <c r="N173" s="22" t="str">
        <f t="shared" si="29"/>
        <v>High</v>
      </c>
      <c r="O173" t="str">
        <f>INDEX(NineBox,MATCH(N173,{"Low","Mid","High"},0),MATCH(M173,{"Low","Medium","High"},0))</f>
        <v>Star</v>
      </c>
      <c r="P173" s="28">
        <v>45478</v>
      </c>
      <c r="Q173" s="24">
        <f t="shared" si="30"/>
        <v>2.236824093086927</v>
      </c>
      <c r="R173" s="22" t="str">
        <f t="shared" si="31"/>
        <v>Eligible</v>
      </c>
      <c r="S173" t="str">
        <f t="shared" si="32"/>
        <v>Meets rating and time-in-level criteria</v>
      </c>
      <c r="T173" s="22" t="s">
        <v>1687</v>
      </c>
    </row>
    <row r="174" spans="1:20" x14ac:dyDescent="0.3">
      <c r="A174" s="22" t="s">
        <v>714</v>
      </c>
      <c r="B174" s="29" t="str">
        <f t="shared" si="22"/>
        <v>Rashmi Kulkarni</v>
      </c>
      <c r="C174" s="29" t="str">
        <f t="shared" si="23"/>
        <v>Isha Chatterjee</v>
      </c>
      <c r="D174" s="29" t="str">
        <f t="shared" si="24"/>
        <v>Marketing</v>
      </c>
      <c r="E174" s="30" t="str">
        <f t="shared" si="25"/>
        <v>L3</v>
      </c>
      <c r="F174" s="30" t="str">
        <f t="shared" si="26"/>
        <v>Active</v>
      </c>
      <c r="G174" s="22">
        <v>4</v>
      </c>
      <c r="H174" t="str">
        <f t="shared" si="27"/>
        <v>Exceeds Expectations</v>
      </c>
      <c r="I174" s="22">
        <v>3</v>
      </c>
      <c r="J174" s="22" t="str">
        <f t="shared" si="28"/>
        <v>Improved</v>
      </c>
      <c r="K174" s="31">
        <v>0.85</v>
      </c>
      <c r="L174" s="24">
        <v>4.3</v>
      </c>
      <c r="M174" s="22" t="s">
        <v>61</v>
      </c>
      <c r="N174" s="22" t="str">
        <f t="shared" si="29"/>
        <v>High</v>
      </c>
      <c r="O174" t="str">
        <f>INDEX(NineBox,MATCH(N174,{"Low","Mid","High"},0),MATCH(M174,{"Low","Medium","High"},0))</f>
        <v>Star</v>
      </c>
      <c r="P174" s="28">
        <v>45764</v>
      </c>
      <c r="Q174" s="24">
        <f t="shared" si="30"/>
        <v>1.4537987679671458</v>
      </c>
      <c r="R174" s="22" t="str">
        <f t="shared" si="31"/>
        <v>Not Eligible</v>
      </c>
      <c r="S174" t="str">
        <f t="shared" si="32"/>
        <v>Under 1.5 yrs in current level</v>
      </c>
      <c r="T174" s="22" t="s">
        <v>1687</v>
      </c>
    </row>
    <row r="175" spans="1:20" x14ac:dyDescent="0.3">
      <c r="A175" s="22" t="s">
        <v>717</v>
      </c>
      <c r="B175" s="29" t="str">
        <f t="shared" si="22"/>
        <v>Nikhil Desai</v>
      </c>
      <c r="C175" s="29" t="str">
        <f t="shared" si="23"/>
        <v>Ankit Khanna</v>
      </c>
      <c r="D175" s="29" t="str">
        <f t="shared" si="24"/>
        <v>Operations</v>
      </c>
      <c r="E175" s="30" t="str">
        <f t="shared" si="25"/>
        <v>L2</v>
      </c>
      <c r="F175" s="30" t="str">
        <f t="shared" si="26"/>
        <v>Active</v>
      </c>
      <c r="G175" s="22">
        <v>1</v>
      </c>
      <c r="H175" t="str">
        <f t="shared" si="27"/>
        <v>Unsatisfactory</v>
      </c>
      <c r="I175" s="22">
        <v>2</v>
      </c>
      <c r="J175" s="22" t="str">
        <f t="shared" si="28"/>
        <v>Declined</v>
      </c>
      <c r="K175" s="31">
        <v>0.73</v>
      </c>
      <c r="L175" s="24">
        <v>1.6</v>
      </c>
      <c r="M175" s="22" t="s">
        <v>60</v>
      </c>
      <c r="N175" s="22" t="str">
        <f t="shared" si="29"/>
        <v>Low</v>
      </c>
      <c r="O175" t="str">
        <f>INDEX(NineBox,MATCH(N175,{"Low","Mid","High"},0),MATCH(M175,{"Low","Medium","High"},0))</f>
        <v>Inconsistent Player</v>
      </c>
      <c r="P175" s="28">
        <v>45116</v>
      </c>
      <c r="Q175" s="24">
        <f t="shared" si="30"/>
        <v>3.2279260780287475</v>
      </c>
      <c r="R175" s="22" t="str">
        <f t="shared" si="31"/>
        <v>Not Eligible</v>
      </c>
      <c r="S175" t="str">
        <f t="shared" si="32"/>
        <v>Rating below 4</v>
      </c>
      <c r="T175" s="22" t="s">
        <v>1688</v>
      </c>
    </row>
    <row r="176" spans="1:20" x14ac:dyDescent="0.3">
      <c r="A176" s="22" t="s">
        <v>720</v>
      </c>
      <c r="B176" s="29" t="str">
        <f t="shared" si="22"/>
        <v>Ananya Sharma</v>
      </c>
      <c r="C176" s="29" t="str">
        <f t="shared" si="23"/>
        <v>Akash Das</v>
      </c>
      <c r="D176" s="29" t="str">
        <f t="shared" si="24"/>
        <v>Human Resources</v>
      </c>
      <c r="E176" s="30" t="str">
        <f t="shared" si="25"/>
        <v>L2</v>
      </c>
      <c r="F176" s="30" t="str">
        <f t="shared" si="26"/>
        <v>Active</v>
      </c>
      <c r="G176" s="22">
        <v>4</v>
      </c>
      <c r="H176" t="str">
        <f t="shared" si="27"/>
        <v>Exceeds Expectations</v>
      </c>
      <c r="I176" s="22">
        <v>3</v>
      </c>
      <c r="J176" s="22" t="str">
        <f t="shared" si="28"/>
        <v>Improved</v>
      </c>
      <c r="K176" s="31">
        <v>1.02</v>
      </c>
      <c r="L176" s="24">
        <v>4.4000000000000004</v>
      </c>
      <c r="M176" s="22" t="s">
        <v>60</v>
      </c>
      <c r="N176" s="22" t="str">
        <f t="shared" si="29"/>
        <v>High</v>
      </c>
      <c r="O176" t="str">
        <f>INDEX(NineBox,MATCH(N176,{"Low","Mid","High"},0),MATCH(M176,{"Low","Medium","High"},0))</f>
        <v>High Performer</v>
      </c>
      <c r="P176" s="28">
        <v>45118</v>
      </c>
      <c r="Q176" s="24">
        <f t="shared" si="30"/>
        <v>3.2224503764544834</v>
      </c>
      <c r="R176" s="22" t="str">
        <f t="shared" si="31"/>
        <v>Eligible</v>
      </c>
      <c r="S176" t="str">
        <f t="shared" si="32"/>
        <v>Meets rating and time-in-level criteria</v>
      </c>
      <c r="T176" s="22" t="s">
        <v>1687</v>
      </c>
    </row>
    <row r="177" spans="1:20" x14ac:dyDescent="0.3">
      <c r="A177" s="22" t="s">
        <v>723</v>
      </c>
      <c r="B177" s="29" t="str">
        <f t="shared" si="22"/>
        <v>Manish Khanna</v>
      </c>
      <c r="C177" s="29" t="str">
        <f t="shared" si="23"/>
        <v>Imran Joshi</v>
      </c>
      <c r="D177" s="29" t="str">
        <f t="shared" si="24"/>
        <v>Customer Support</v>
      </c>
      <c r="E177" s="30" t="str">
        <f t="shared" si="25"/>
        <v>L3</v>
      </c>
      <c r="F177" s="30" t="str">
        <f t="shared" si="26"/>
        <v>Active</v>
      </c>
      <c r="G177" s="22">
        <v>4</v>
      </c>
      <c r="H177" t="str">
        <f t="shared" si="27"/>
        <v>Exceeds Expectations</v>
      </c>
      <c r="I177" s="22">
        <v>4</v>
      </c>
      <c r="J177" s="22" t="str">
        <f t="shared" si="28"/>
        <v>Stable</v>
      </c>
      <c r="K177" s="31">
        <v>1.03</v>
      </c>
      <c r="L177" s="24">
        <v>3.5</v>
      </c>
      <c r="M177" s="22" t="s">
        <v>60</v>
      </c>
      <c r="N177" s="22" t="str">
        <f t="shared" si="29"/>
        <v>High</v>
      </c>
      <c r="O177" t="str">
        <f>INDEX(NineBox,MATCH(N177,{"Low","Mid","High"},0),MATCH(M177,{"Low","Medium","High"},0))</f>
        <v>High Performer</v>
      </c>
      <c r="P177" s="28">
        <v>45562</v>
      </c>
      <c r="Q177" s="24">
        <f t="shared" si="30"/>
        <v>2.0068446269678302</v>
      </c>
      <c r="R177" s="22" t="str">
        <f t="shared" si="31"/>
        <v>Eligible</v>
      </c>
      <c r="S177" t="str">
        <f t="shared" si="32"/>
        <v>Meets rating and time-in-level criteria</v>
      </c>
      <c r="T177" s="22" t="s">
        <v>1687</v>
      </c>
    </row>
    <row r="178" spans="1:20" x14ac:dyDescent="0.3">
      <c r="A178" s="22" t="s">
        <v>728</v>
      </c>
      <c r="B178" s="29" t="str">
        <f t="shared" si="22"/>
        <v>Vinay Malhotra</v>
      </c>
      <c r="C178" s="29" t="str">
        <f t="shared" si="23"/>
        <v>Vidya Chatterjee</v>
      </c>
      <c r="D178" s="29" t="str">
        <f t="shared" si="24"/>
        <v>Customer Support</v>
      </c>
      <c r="E178" s="30" t="str">
        <f t="shared" si="25"/>
        <v>L3</v>
      </c>
      <c r="F178" s="30" t="str">
        <f t="shared" si="26"/>
        <v>Active</v>
      </c>
      <c r="G178" s="22">
        <v>5</v>
      </c>
      <c r="H178" t="str">
        <f t="shared" si="27"/>
        <v>Outstanding</v>
      </c>
      <c r="I178" s="22">
        <v>5</v>
      </c>
      <c r="J178" s="22" t="str">
        <f t="shared" si="28"/>
        <v>Stable</v>
      </c>
      <c r="K178" s="31">
        <v>1.06</v>
      </c>
      <c r="L178" s="24">
        <v>4.2</v>
      </c>
      <c r="M178" s="22" t="s">
        <v>61</v>
      </c>
      <c r="N178" s="22" t="str">
        <f t="shared" si="29"/>
        <v>High</v>
      </c>
      <c r="O178" t="str">
        <f>INDEX(NineBox,MATCH(N178,{"Low","Mid","High"},0),MATCH(M178,{"Low","Medium","High"},0))</f>
        <v>Star</v>
      </c>
      <c r="P178" s="28">
        <v>45121</v>
      </c>
      <c r="Q178" s="24">
        <f t="shared" si="30"/>
        <v>3.2142368240930868</v>
      </c>
      <c r="R178" s="22" t="str">
        <f t="shared" si="31"/>
        <v>Eligible</v>
      </c>
      <c r="S178" t="str">
        <f t="shared" si="32"/>
        <v>Meets rating and time-in-level criteria</v>
      </c>
      <c r="T178" s="22" t="s">
        <v>1687</v>
      </c>
    </row>
    <row r="179" spans="1:20" x14ac:dyDescent="0.3">
      <c r="A179" s="22" t="s">
        <v>731</v>
      </c>
      <c r="B179" s="29" t="str">
        <f t="shared" si="22"/>
        <v>Sai Kumar</v>
      </c>
      <c r="C179" s="29" t="str">
        <f t="shared" si="23"/>
        <v>Nandini Fernandes</v>
      </c>
      <c r="D179" s="29" t="str">
        <f t="shared" si="24"/>
        <v>Operations</v>
      </c>
      <c r="E179" s="30" t="str">
        <f t="shared" si="25"/>
        <v>L4</v>
      </c>
      <c r="F179" s="30" t="str">
        <f t="shared" si="26"/>
        <v>Active</v>
      </c>
      <c r="G179" s="22">
        <v>4</v>
      </c>
      <c r="H179" t="str">
        <f t="shared" si="27"/>
        <v>Exceeds Expectations</v>
      </c>
      <c r="I179" s="22">
        <v>4</v>
      </c>
      <c r="J179" s="22" t="str">
        <f t="shared" si="28"/>
        <v>Stable</v>
      </c>
      <c r="K179" s="31">
        <v>0.94</v>
      </c>
      <c r="L179" s="24">
        <v>3.5</v>
      </c>
      <c r="M179" s="22" t="s">
        <v>60</v>
      </c>
      <c r="N179" s="22" t="str">
        <f t="shared" si="29"/>
        <v>High</v>
      </c>
      <c r="O179" t="str">
        <f>INDEX(NineBox,MATCH(N179,{"Low","Mid","High"},0),MATCH(M179,{"Low","Medium","High"},0))</f>
        <v>High Performer</v>
      </c>
      <c r="P179" s="28">
        <v>45763</v>
      </c>
      <c r="Q179" s="24">
        <f t="shared" si="30"/>
        <v>1.4565366187542779</v>
      </c>
      <c r="R179" s="22" t="str">
        <f t="shared" si="31"/>
        <v>Not Eligible</v>
      </c>
      <c r="S179" t="str">
        <f t="shared" si="32"/>
        <v>Under 1.5 yrs in current level</v>
      </c>
      <c r="T179" s="22" t="s">
        <v>1687</v>
      </c>
    </row>
    <row r="180" spans="1:20" x14ac:dyDescent="0.3">
      <c r="A180" s="22" t="s">
        <v>734</v>
      </c>
      <c r="B180" s="29" t="str">
        <f t="shared" si="22"/>
        <v>Zara Chatterjee</v>
      </c>
      <c r="C180" s="29" t="str">
        <f t="shared" si="23"/>
        <v>Anjali Iyer</v>
      </c>
      <c r="D180" s="29" t="str">
        <f t="shared" si="24"/>
        <v>Customer Support</v>
      </c>
      <c r="E180" s="30" t="str">
        <f t="shared" si="25"/>
        <v>L2</v>
      </c>
      <c r="F180" s="30" t="str">
        <f t="shared" si="26"/>
        <v>Active</v>
      </c>
      <c r="G180" s="22">
        <v>2</v>
      </c>
      <c r="H180" t="str">
        <f t="shared" si="27"/>
        <v>Needs Improvement</v>
      </c>
      <c r="I180" s="22">
        <v>2</v>
      </c>
      <c r="J180" s="22" t="str">
        <f t="shared" si="28"/>
        <v>Stable</v>
      </c>
      <c r="K180" s="31">
        <v>0.65</v>
      </c>
      <c r="L180" s="24">
        <v>1.8</v>
      </c>
      <c r="M180" s="22" t="s">
        <v>59</v>
      </c>
      <c r="N180" s="22" t="str">
        <f t="shared" si="29"/>
        <v>Low</v>
      </c>
      <c r="O180" t="str">
        <f>INDEX(NineBox,MATCH(N180,{"Low","Mid","High"},0),MATCH(M180,{"Low","Medium","High"},0))</f>
        <v>Underperformer</v>
      </c>
      <c r="P180" s="28">
        <v>45936</v>
      </c>
      <c r="Q180" s="24">
        <f t="shared" si="30"/>
        <v>0.98288843258042435</v>
      </c>
      <c r="R180" s="22" t="str">
        <f t="shared" si="31"/>
        <v>Not Eligible</v>
      </c>
      <c r="S180" t="str">
        <f t="shared" si="32"/>
        <v>Rating below 4</v>
      </c>
      <c r="T180" s="22" t="s">
        <v>1687</v>
      </c>
    </row>
    <row r="181" spans="1:20" x14ac:dyDescent="0.3">
      <c r="A181" s="22" t="s">
        <v>737</v>
      </c>
      <c r="B181" s="29" t="str">
        <f t="shared" si="22"/>
        <v>Venkat Subramanian</v>
      </c>
      <c r="C181" s="29" t="str">
        <f t="shared" si="23"/>
        <v>Amit Kumar</v>
      </c>
      <c r="D181" s="29" t="str">
        <f t="shared" si="24"/>
        <v>Operations</v>
      </c>
      <c r="E181" s="30" t="str">
        <f t="shared" si="25"/>
        <v>L2</v>
      </c>
      <c r="F181" s="30" t="str">
        <f t="shared" si="26"/>
        <v>Exited</v>
      </c>
      <c r="G181" s="22">
        <v>4</v>
      </c>
      <c r="H181" t="str">
        <f t="shared" si="27"/>
        <v>Exceeds Expectations</v>
      </c>
      <c r="I181" s="22">
        <v>4</v>
      </c>
      <c r="J181" s="22" t="str">
        <f t="shared" si="28"/>
        <v>Stable</v>
      </c>
      <c r="K181" s="31">
        <v>0.92</v>
      </c>
      <c r="L181" s="24">
        <v>3.8</v>
      </c>
      <c r="M181" s="22" t="s">
        <v>59</v>
      </c>
      <c r="N181" s="22" t="str">
        <f t="shared" si="29"/>
        <v>High</v>
      </c>
      <c r="O181" t="str">
        <f>INDEX(NineBox,MATCH(N181,{"Low","Mid","High"},0),MATCH(M181,{"Low","Medium","High"},0))</f>
        <v>Trusted Professional</v>
      </c>
      <c r="P181" s="28">
        <v>45137</v>
      </c>
      <c r="Q181" s="24">
        <f t="shared" si="30"/>
        <v>3.1704312114989732</v>
      </c>
      <c r="R181" s="22" t="str">
        <f t="shared" si="31"/>
        <v>Not Eligible</v>
      </c>
      <c r="S181" t="str">
        <f t="shared" si="32"/>
        <v>Employee has exited</v>
      </c>
      <c r="T181" s="22" t="s">
        <v>1687</v>
      </c>
    </row>
    <row r="182" spans="1:20" x14ac:dyDescent="0.3">
      <c r="A182" s="22" t="s">
        <v>740</v>
      </c>
      <c r="B182" s="29" t="str">
        <f t="shared" si="22"/>
        <v>Radhika Saxena</v>
      </c>
      <c r="C182" s="29" t="str">
        <f t="shared" si="23"/>
        <v>Ravi Prabhu</v>
      </c>
      <c r="D182" s="29" t="str">
        <f t="shared" si="24"/>
        <v>Finance</v>
      </c>
      <c r="E182" s="30" t="str">
        <f t="shared" si="25"/>
        <v>L3</v>
      </c>
      <c r="F182" s="30" t="str">
        <f t="shared" si="26"/>
        <v>Active</v>
      </c>
      <c r="G182" s="22">
        <v>3</v>
      </c>
      <c r="H182" t="str">
        <f t="shared" si="27"/>
        <v>Meets Expectations</v>
      </c>
      <c r="I182" s="22">
        <v>3</v>
      </c>
      <c r="J182" s="22" t="str">
        <f t="shared" si="28"/>
        <v>Stable</v>
      </c>
      <c r="K182" s="31">
        <v>0.88</v>
      </c>
      <c r="L182" s="24">
        <v>3.6</v>
      </c>
      <c r="M182" s="22" t="s">
        <v>61</v>
      </c>
      <c r="N182" s="22" t="str">
        <f t="shared" si="29"/>
        <v>Mid</v>
      </c>
      <c r="O182" t="str">
        <f>INDEX(NineBox,MATCH(N182,{"Low","Mid","High"},0),MATCH(M182,{"Low","Medium","High"},0))</f>
        <v>Future Star</v>
      </c>
      <c r="P182" s="28">
        <v>45137</v>
      </c>
      <c r="Q182" s="24">
        <f t="shared" si="30"/>
        <v>3.1704312114989732</v>
      </c>
      <c r="R182" s="22" t="str">
        <f t="shared" si="31"/>
        <v>Not Eligible</v>
      </c>
      <c r="S182" t="str">
        <f t="shared" si="32"/>
        <v>Rating below 4</v>
      </c>
      <c r="T182" s="22" t="s">
        <v>1687</v>
      </c>
    </row>
    <row r="183" spans="1:20" x14ac:dyDescent="0.3">
      <c r="A183" s="22" t="s">
        <v>743</v>
      </c>
      <c r="B183" s="29" t="str">
        <f t="shared" si="22"/>
        <v>Revathi Pandey</v>
      </c>
      <c r="C183" s="29" t="str">
        <f t="shared" si="23"/>
        <v>Ajay Patel</v>
      </c>
      <c r="D183" s="29" t="str">
        <f t="shared" si="24"/>
        <v>Human Resources</v>
      </c>
      <c r="E183" s="30" t="str">
        <f t="shared" si="25"/>
        <v>L2</v>
      </c>
      <c r="F183" s="30" t="str">
        <f t="shared" si="26"/>
        <v>Active</v>
      </c>
      <c r="G183" s="22">
        <v>4</v>
      </c>
      <c r="H183" t="str">
        <f t="shared" si="27"/>
        <v>Exceeds Expectations</v>
      </c>
      <c r="I183" s="22">
        <v>4</v>
      </c>
      <c r="J183" s="22" t="str">
        <f t="shared" si="28"/>
        <v>Stable</v>
      </c>
      <c r="K183" s="31">
        <v>0.84</v>
      </c>
      <c r="L183" s="24">
        <v>3.7</v>
      </c>
      <c r="M183" s="22" t="s">
        <v>61</v>
      </c>
      <c r="N183" s="22" t="str">
        <f t="shared" si="29"/>
        <v>High</v>
      </c>
      <c r="O183" t="str">
        <f>INDEX(NineBox,MATCH(N183,{"Low","Mid","High"},0),MATCH(M183,{"Low","Medium","High"},0))</f>
        <v>Star</v>
      </c>
      <c r="P183" s="28">
        <v>45951</v>
      </c>
      <c r="Q183" s="24">
        <f t="shared" si="30"/>
        <v>0.94182067077344289</v>
      </c>
      <c r="R183" s="22" t="str">
        <f t="shared" si="31"/>
        <v>Not Eligible</v>
      </c>
      <c r="S183" t="str">
        <f t="shared" si="32"/>
        <v>Under 1.5 yrs in current level</v>
      </c>
      <c r="T183" s="22" t="s">
        <v>1687</v>
      </c>
    </row>
    <row r="184" spans="1:20" x14ac:dyDescent="0.3">
      <c r="A184" s="22" t="s">
        <v>746</v>
      </c>
      <c r="B184" s="29" t="str">
        <f t="shared" si="22"/>
        <v>Tarun Pandey</v>
      </c>
      <c r="C184" s="29" t="str">
        <f t="shared" si="23"/>
        <v>Arun Mukherjee</v>
      </c>
      <c r="D184" s="29" t="str">
        <f t="shared" si="24"/>
        <v>Data &amp; Analytics</v>
      </c>
      <c r="E184" s="30" t="str">
        <f t="shared" si="25"/>
        <v>L2</v>
      </c>
      <c r="F184" s="30" t="str">
        <f t="shared" si="26"/>
        <v>Active</v>
      </c>
      <c r="G184" s="22">
        <v>4</v>
      </c>
      <c r="H184" t="str">
        <f t="shared" si="27"/>
        <v>Exceeds Expectations</v>
      </c>
      <c r="I184" s="22">
        <v>3</v>
      </c>
      <c r="J184" s="22" t="str">
        <f t="shared" si="28"/>
        <v>Improved</v>
      </c>
      <c r="K184" s="31">
        <v>0.92</v>
      </c>
      <c r="L184" s="24">
        <v>4</v>
      </c>
      <c r="M184" s="22" t="s">
        <v>61</v>
      </c>
      <c r="N184" s="22" t="str">
        <f t="shared" si="29"/>
        <v>High</v>
      </c>
      <c r="O184" t="str">
        <f>INDEX(NineBox,MATCH(N184,{"Low","Mid","High"},0),MATCH(M184,{"Low","Medium","High"},0))</f>
        <v>Star</v>
      </c>
      <c r="P184" s="28">
        <v>45149</v>
      </c>
      <c r="Q184" s="24">
        <f t="shared" si="30"/>
        <v>3.137577002053388</v>
      </c>
      <c r="R184" s="22" t="str">
        <f t="shared" si="31"/>
        <v>Eligible</v>
      </c>
      <c r="S184" t="str">
        <f t="shared" si="32"/>
        <v>Meets rating and time-in-level criteria</v>
      </c>
      <c r="T184" s="22" t="s">
        <v>1687</v>
      </c>
    </row>
    <row r="185" spans="1:20" x14ac:dyDescent="0.3">
      <c r="A185" s="22" t="s">
        <v>750</v>
      </c>
      <c r="B185" s="29" t="str">
        <f t="shared" si="22"/>
        <v>Amit Shah</v>
      </c>
      <c r="C185" s="29" t="str">
        <f t="shared" si="23"/>
        <v>Pallavi Shah</v>
      </c>
      <c r="D185" s="29" t="str">
        <f t="shared" si="24"/>
        <v>Operations</v>
      </c>
      <c r="E185" s="30" t="str">
        <f t="shared" si="25"/>
        <v>L2</v>
      </c>
      <c r="F185" s="30" t="str">
        <f t="shared" si="26"/>
        <v>Active</v>
      </c>
      <c r="G185" s="22">
        <v>3</v>
      </c>
      <c r="H185" t="str">
        <f t="shared" si="27"/>
        <v>Meets Expectations</v>
      </c>
      <c r="I185" s="22">
        <v>3</v>
      </c>
      <c r="J185" s="22" t="str">
        <f t="shared" si="28"/>
        <v>Stable</v>
      </c>
      <c r="K185" s="31">
        <v>0.78</v>
      </c>
      <c r="L185" s="24">
        <v>3.4</v>
      </c>
      <c r="M185" s="22" t="s">
        <v>59</v>
      </c>
      <c r="N185" s="22" t="str">
        <f t="shared" si="29"/>
        <v>Mid</v>
      </c>
      <c r="O185" t="str">
        <f>INDEX(NineBox,MATCH(N185,{"Low","Mid","High"},0),MATCH(M185,{"Low","Medium","High"},0))</f>
        <v>Effective Contributor</v>
      </c>
      <c r="P185" s="28">
        <v>45157</v>
      </c>
      <c r="Q185" s="24">
        <f t="shared" si="30"/>
        <v>3.1156741957563314</v>
      </c>
      <c r="R185" s="22" t="str">
        <f t="shared" si="31"/>
        <v>Not Eligible</v>
      </c>
      <c r="S185" t="str">
        <f t="shared" si="32"/>
        <v>Rating below 4</v>
      </c>
      <c r="T185" s="22" t="s">
        <v>1687</v>
      </c>
    </row>
    <row r="186" spans="1:20" x14ac:dyDescent="0.3">
      <c r="A186" s="22" t="s">
        <v>753</v>
      </c>
      <c r="B186" s="29" t="str">
        <f t="shared" si="22"/>
        <v>Arjun Nair</v>
      </c>
      <c r="C186" s="29" t="str">
        <f t="shared" si="23"/>
        <v>Nandini Iyer</v>
      </c>
      <c r="D186" s="29" t="str">
        <f t="shared" si="24"/>
        <v>Marketing</v>
      </c>
      <c r="E186" s="30" t="str">
        <f t="shared" si="25"/>
        <v>L2</v>
      </c>
      <c r="F186" s="30" t="str">
        <f t="shared" si="26"/>
        <v>Active</v>
      </c>
      <c r="G186" s="22">
        <v>3</v>
      </c>
      <c r="H186" t="str">
        <f t="shared" si="27"/>
        <v>Meets Expectations</v>
      </c>
      <c r="I186" s="22">
        <v>3</v>
      </c>
      <c r="J186" s="22" t="str">
        <f t="shared" si="28"/>
        <v>Stable</v>
      </c>
      <c r="K186" s="31">
        <v>0.89</v>
      </c>
      <c r="L186" s="24">
        <v>3.3</v>
      </c>
      <c r="M186" s="22" t="s">
        <v>60</v>
      </c>
      <c r="N186" s="22" t="str">
        <f t="shared" si="29"/>
        <v>Mid</v>
      </c>
      <c r="O186" t="str">
        <f>INDEX(NineBox,MATCH(N186,{"Low","Mid","High"},0),MATCH(M186,{"Low","Medium","High"},0))</f>
        <v>Core Player</v>
      </c>
      <c r="P186" s="28">
        <v>45157</v>
      </c>
      <c r="Q186" s="24">
        <f t="shared" si="30"/>
        <v>3.1156741957563314</v>
      </c>
      <c r="R186" s="22" t="str">
        <f t="shared" si="31"/>
        <v>Not Eligible</v>
      </c>
      <c r="S186" t="str">
        <f t="shared" si="32"/>
        <v>Rating below 4</v>
      </c>
      <c r="T186" s="22" t="s">
        <v>1687</v>
      </c>
    </row>
    <row r="187" spans="1:20" x14ac:dyDescent="0.3">
      <c r="A187" s="22" t="s">
        <v>756</v>
      </c>
      <c r="B187" s="29" t="str">
        <f t="shared" si="22"/>
        <v>Yash Das</v>
      </c>
      <c r="C187" s="29" t="str">
        <f t="shared" si="23"/>
        <v>Mansi Pillai</v>
      </c>
      <c r="D187" s="29" t="str">
        <f t="shared" si="24"/>
        <v>Product</v>
      </c>
      <c r="E187" s="30" t="str">
        <f t="shared" si="25"/>
        <v>L2</v>
      </c>
      <c r="F187" s="30" t="str">
        <f t="shared" si="26"/>
        <v>Active</v>
      </c>
      <c r="G187" s="22">
        <v>1</v>
      </c>
      <c r="H187" t="str">
        <f t="shared" si="27"/>
        <v>Unsatisfactory</v>
      </c>
      <c r="I187" s="22">
        <v>1</v>
      </c>
      <c r="J187" s="22" t="str">
        <f t="shared" si="28"/>
        <v>Stable</v>
      </c>
      <c r="K187" s="31">
        <v>0.53</v>
      </c>
      <c r="L187" s="24">
        <v>1</v>
      </c>
      <c r="M187" s="22" t="s">
        <v>59</v>
      </c>
      <c r="N187" s="22" t="str">
        <f t="shared" si="29"/>
        <v>Low</v>
      </c>
      <c r="O187" t="str">
        <f>INDEX(NineBox,MATCH(N187,{"Low","Mid","High"},0),MATCH(M187,{"Low","Medium","High"},0))</f>
        <v>Underperformer</v>
      </c>
      <c r="P187" s="28">
        <v>45892</v>
      </c>
      <c r="Q187" s="24">
        <f t="shared" si="30"/>
        <v>1.1033538672142369</v>
      </c>
      <c r="R187" s="22" t="str">
        <f t="shared" si="31"/>
        <v>Not Eligible</v>
      </c>
      <c r="S187" t="str">
        <f t="shared" si="32"/>
        <v>Rating below 4</v>
      </c>
      <c r="T187" s="22" t="s">
        <v>1687</v>
      </c>
    </row>
    <row r="188" spans="1:20" x14ac:dyDescent="0.3">
      <c r="A188" s="22" t="s">
        <v>759</v>
      </c>
      <c r="B188" s="29" t="str">
        <f t="shared" si="22"/>
        <v>Manish Siddiqui</v>
      </c>
      <c r="C188" s="29" t="str">
        <f t="shared" si="23"/>
        <v>Swathi Mukherjee</v>
      </c>
      <c r="D188" s="29" t="str">
        <f t="shared" si="24"/>
        <v>Legal &amp; Compliance</v>
      </c>
      <c r="E188" s="30" t="str">
        <f t="shared" si="25"/>
        <v>L2</v>
      </c>
      <c r="F188" s="30" t="str">
        <f t="shared" si="26"/>
        <v>Active</v>
      </c>
      <c r="G188" s="22">
        <v>4</v>
      </c>
      <c r="H188" t="str">
        <f t="shared" si="27"/>
        <v>Exceeds Expectations</v>
      </c>
      <c r="I188" s="22">
        <v>4</v>
      </c>
      <c r="J188" s="22" t="str">
        <f t="shared" si="28"/>
        <v>Stable</v>
      </c>
      <c r="K188" s="31">
        <v>0.93</v>
      </c>
      <c r="L188" s="24">
        <v>3.7</v>
      </c>
      <c r="M188" s="22" t="s">
        <v>60</v>
      </c>
      <c r="N188" s="22" t="str">
        <f t="shared" si="29"/>
        <v>High</v>
      </c>
      <c r="O188" t="str">
        <f>INDEX(NineBox,MATCH(N188,{"Low","Mid","High"},0),MATCH(M188,{"Low","Medium","High"},0))</f>
        <v>High Performer</v>
      </c>
      <c r="P188" s="28">
        <v>45164</v>
      </c>
      <c r="Q188" s="24">
        <f t="shared" si="30"/>
        <v>3.0965092402464065</v>
      </c>
      <c r="R188" s="22" t="str">
        <f t="shared" si="31"/>
        <v>Eligible</v>
      </c>
      <c r="S188" t="str">
        <f t="shared" si="32"/>
        <v>Meets rating and time-in-level criteria</v>
      </c>
      <c r="T188" s="22" t="s">
        <v>1687</v>
      </c>
    </row>
    <row r="189" spans="1:20" x14ac:dyDescent="0.3">
      <c r="A189" s="22" t="s">
        <v>762</v>
      </c>
      <c r="B189" s="29" t="str">
        <f t="shared" si="22"/>
        <v>Gaurav Ansari</v>
      </c>
      <c r="C189" s="29" t="str">
        <f t="shared" si="23"/>
        <v>Ajay Patel</v>
      </c>
      <c r="D189" s="29" t="str">
        <f t="shared" si="24"/>
        <v>Human Resources</v>
      </c>
      <c r="E189" s="30" t="str">
        <f t="shared" si="25"/>
        <v>L3</v>
      </c>
      <c r="F189" s="30" t="str">
        <f t="shared" si="26"/>
        <v>Active</v>
      </c>
      <c r="G189" s="22">
        <v>3</v>
      </c>
      <c r="H189" t="str">
        <f t="shared" si="27"/>
        <v>Meets Expectations</v>
      </c>
      <c r="I189" s="22">
        <v>2</v>
      </c>
      <c r="J189" s="22" t="str">
        <f t="shared" si="28"/>
        <v>Improved</v>
      </c>
      <c r="K189" s="31">
        <v>0.84</v>
      </c>
      <c r="L189" s="24">
        <v>2.2999999999999998</v>
      </c>
      <c r="M189" s="22" t="s">
        <v>60</v>
      </c>
      <c r="N189" s="22" t="str">
        <f t="shared" si="29"/>
        <v>Mid</v>
      </c>
      <c r="O189" t="str">
        <f>INDEX(NineBox,MATCH(N189,{"Low","Mid","High"},0),MATCH(M189,{"Low","Medium","High"},0))</f>
        <v>Core Player</v>
      </c>
      <c r="P189" s="28">
        <v>45182</v>
      </c>
      <c r="Q189" s="24">
        <f t="shared" si="30"/>
        <v>3.0472279260780288</v>
      </c>
      <c r="R189" s="22" t="str">
        <f t="shared" si="31"/>
        <v>Not Eligible</v>
      </c>
      <c r="S189" t="str">
        <f t="shared" si="32"/>
        <v>Rating below 4</v>
      </c>
      <c r="T189" s="22" t="s">
        <v>1687</v>
      </c>
    </row>
    <row r="190" spans="1:20" x14ac:dyDescent="0.3">
      <c r="A190" s="22" t="s">
        <v>416</v>
      </c>
      <c r="B190" s="29" t="str">
        <f t="shared" si="22"/>
        <v>Ramya Menon</v>
      </c>
      <c r="C190" s="29" t="str">
        <f t="shared" si="23"/>
        <v>Pallavi Shah</v>
      </c>
      <c r="D190" s="29" t="str">
        <f t="shared" si="24"/>
        <v>Operations</v>
      </c>
      <c r="E190" s="30" t="str">
        <f t="shared" si="25"/>
        <v>L5</v>
      </c>
      <c r="F190" s="30" t="str">
        <f t="shared" si="26"/>
        <v>Active</v>
      </c>
      <c r="G190" s="22">
        <v>5</v>
      </c>
      <c r="H190" t="str">
        <f t="shared" si="27"/>
        <v>Outstanding</v>
      </c>
      <c r="I190" s="22">
        <v>4</v>
      </c>
      <c r="J190" s="22" t="str">
        <f t="shared" si="28"/>
        <v>Improved</v>
      </c>
      <c r="K190" s="31">
        <v>1.08</v>
      </c>
      <c r="L190" s="24">
        <v>5</v>
      </c>
      <c r="M190" s="22" t="s">
        <v>61</v>
      </c>
      <c r="N190" s="22" t="str">
        <f t="shared" si="29"/>
        <v>High</v>
      </c>
      <c r="O190" t="str">
        <f>INDEX(NineBox,MATCH(N190,{"Low","Mid","High"},0),MATCH(M190,{"Low","Medium","High"},0))</f>
        <v>Star</v>
      </c>
      <c r="P190" s="28">
        <v>45678</v>
      </c>
      <c r="Q190" s="24">
        <f t="shared" si="30"/>
        <v>1.6892539356605065</v>
      </c>
      <c r="R190" s="22" t="str">
        <f t="shared" si="31"/>
        <v>Eligible</v>
      </c>
      <c r="S190" t="str">
        <f t="shared" si="32"/>
        <v>Meets rating and time-in-level criteria</v>
      </c>
      <c r="T190" s="22" t="s">
        <v>1687</v>
      </c>
    </row>
    <row r="191" spans="1:20" x14ac:dyDescent="0.3">
      <c r="A191" s="22" t="s">
        <v>766</v>
      </c>
      <c r="B191" s="29" t="str">
        <f t="shared" si="22"/>
        <v>Imran Kapoor</v>
      </c>
      <c r="C191" s="29" t="str">
        <f t="shared" si="23"/>
        <v>Ankit Khanna</v>
      </c>
      <c r="D191" s="29" t="str">
        <f t="shared" si="24"/>
        <v>Operations</v>
      </c>
      <c r="E191" s="30" t="str">
        <f t="shared" si="25"/>
        <v>L2</v>
      </c>
      <c r="F191" s="30" t="str">
        <f t="shared" si="26"/>
        <v>Active</v>
      </c>
      <c r="G191" s="22">
        <v>4</v>
      </c>
      <c r="H191" t="str">
        <f t="shared" si="27"/>
        <v>Exceeds Expectations</v>
      </c>
      <c r="I191" s="22">
        <v>5</v>
      </c>
      <c r="J191" s="22" t="str">
        <f t="shared" si="28"/>
        <v>Declined</v>
      </c>
      <c r="K191" s="31">
        <v>0.81</v>
      </c>
      <c r="L191" s="24">
        <v>4.2</v>
      </c>
      <c r="M191" s="22" t="s">
        <v>61</v>
      </c>
      <c r="N191" s="22" t="str">
        <f t="shared" si="29"/>
        <v>High</v>
      </c>
      <c r="O191" t="str">
        <f>INDEX(NineBox,MATCH(N191,{"Low","Mid","High"},0),MATCH(M191,{"Low","Medium","High"},0))</f>
        <v>Star</v>
      </c>
      <c r="P191" s="28">
        <v>46152</v>
      </c>
      <c r="Q191" s="24">
        <f t="shared" si="30"/>
        <v>0.39151266255989048</v>
      </c>
      <c r="R191" s="22" t="str">
        <f t="shared" si="31"/>
        <v>Not Eligible</v>
      </c>
      <c r="S191" t="str">
        <f t="shared" si="32"/>
        <v>Under 1.5 yrs in current level</v>
      </c>
      <c r="T191" s="22" t="s">
        <v>1687</v>
      </c>
    </row>
    <row r="192" spans="1:20" x14ac:dyDescent="0.3">
      <c r="A192" s="22" t="s">
        <v>769</v>
      </c>
      <c r="B192" s="29" t="str">
        <f t="shared" si="22"/>
        <v>Pooja Choudhary</v>
      </c>
      <c r="C192" s="29" t="str">
        <f t="shared" si="23"/>
        <v>Kavya Krishnan</v>
      </c>
      <c r="D192" s="29" t="str">
        <f t="shared" si="24"/>
        <v>Sales</v>
      </c>
      <c r="E192" s="30" t="str">
        <f t="shared" si="25"/>
        <v>L4</v>
      </c>
      <c r="F192" s="30" t="str">
        <f t="shared" si="26"/>
        <v>Active</v>
      </c>
      <c r="G192" s="22">
        <v>2</v>
      </c>
      <c r="H192" t="str">
        <f t="shared" si="27"/>
        <v>Needs Improvement</v>
      </c>
      <c r="I192" s="22">
        <v>2</v>
      </c>
      <c r="J192" s="22" t="str">
        <f t="shared" si="28"/>
        <v>Stable</v>
      </c>
      <c r="K192" s="31">
        <v>0.67</v>
      </c>
      <c r="L192" s="24">
        <v>2</v>
      </c>
      <c r="M192" s="22" t="s">
        <v>61</v>
      </c>
      <c r="N192" s="22" t="str">
        <f t="shared" si="29"/>
        <v>Low</v>
      </c>
      <c r="O192" t="str">
        <f>INDEX(NineBox,MATCH(N192,{"Low","Mid","High"},0),MATCH(M192,{"Low","Medium","High"},0))</f>
        <v>Rough Diamond</v>
      </c>
      <c r="P192" s="28">
        <v>45213</v>
      </c>
      <c r="Q192" s="24">
        <f t="shared" si="30"/>
        <v>2.9623545516769334</v>
      </c>
      <c r="R192" s="22" t="str">
        <f t="shared" si="31"/>
        <v>Not Eligible</v>
      </c>
      <c r="S192" t="str">
        <f t="shared" si="32"/>
        <v>Rating below 4</v>
      </c>
      <c r="T192" s="22" t="s">
        <v>1687</v>
      </c>
    </row>
    <row r="193" spans="1:20" x14ac:dyDescent="0.3">
      <c r="A193" s="22" t="s">
        <v>772</v>
      </c>
      <c r="B193" s="29" t="str">
        <f t="shared" si="22"/>
        <v>Ayesha Mishra</v>
      </c>
      <c r="C193" s="29" t="str">
        <f t="shared" si="23"/>
        <v>Nikhil Agarwal</v>
      </c>
      <c r="D193" s="29" t="str">
        <f t="shared" si="24"/>
        <v>Sales</v>
      </c>
      <c r="E193" s="30" t="str">
        <f t="shared" si="25"/>
        <v>L3</v>
      </c>
      <c r="F193" s="30" t="str">
        <f t="shared" si="26"/>
        <v>Active</v>
      </c>
      <c r="G193" s="22">
        <v>4</v>
      </c>
      <c r="H193" t="str">
        <f t="shared" si="27"/>
        <v>Exceeds Expectations</v>
      </c>
      <c r="I193" s="22">
        <v>3</v>
      </c>
      <c r="J193" s="22" t="str">
        <f t="shared" si="28"/>
        <v>Improved</v>
      </c>
      <c r="K193" s="31">
        <v>0.94</v>
      </c>
      <c r="L193" s="24">
        <v>4.0999999999999996</v>
      </c>
      <c r="M193" s="22" t="s">
        <v>60</v>
      </c>
      <c r="N193" s="22" t="str">
        <f t="shared" si="29"/>
        <v>High</v>
      </c>
      <c r="O193" t="str">
        <f>INDEX(NineBox,MATCH(N193,{"Low","Mid","High"},0),MATCH(M193,{"Low","Medium","High"},0))</f>
        <v>High Performer</v>
      </c>
      <c r="P193" s="28">
        <v>45215</v>
      </c>
      <c r="Q193" s="24">
        <f t="shared" si="30"/>
        <v>2.9568788501026693</v>
      </c>
      <c r="R193" s="22" t="str">
        <f t="shared" si="31"/>
        <v>Eligible</v>
      </c>
      <c r="S193" t="str">
        <f t="shared" si="32"/>
        <v>Meets rating and time-in-level criteria</v>
      </c>
      <c r="T193" s="22" t="s">
        <v>1687</v>
      </c>
    </row>
    <row r="194" spans="1:20" x14ac:dyDescent="0.3">
      <c r="A194" s="22" t="s">
        <v>775</v>
      </c>
      <c r="B194" s="29" t="str">
        <f t="shared" ref="B194:B257" si="33">INDEX(M_Name,MATCH($A194,M_ID,0))</f>
        <v>Rajesh Kapoor</v>
      </c>
      <c r="C194" s="29" t="str">
        <f t="shared" ref="C194:C257" si="34">INDEX(M_Mgr,MATCH($A194,M_ID,0))</f>
        <v>Kavya Krishnan</v>
      </c>
      <c r="D194" s="29" t="str">
        <f t="shared" ref="D194:D257" si="35">INDEX(M_Dept,MATCH($A194,M_ID,0))</f>
        <v>Sales</v>
      </c>
      <c r="E194" s="30" t="str">
        <f t="shared" ref="E194:E257" si="36">INDEX(M_Level,MATCH($A194,M_ID,0))</f>
        <v>L2</v>
      </c>
      <c r="F194" s="30" t="str">
        <f t="shared" ref="F194:F257" si="37">INDEX(M_Status,MATCH($A194,M_ID,0))</f>
        <v>Exited</v>
      </c>
      <c r="G194" s="22">
        <v>1</v>
      </c>
      <c r="H194" t="str">
        <f t="shared" ref="H194:H257" si="38">INDEX(RatingLbl,MATCH(G194,RatingNo,0))</f>
        <v>Unsatisfactory</v>
      </c>
      <c r="I194" s="22">
        <v>1</v>
      </c>
      <c r="J194" s="22" t="str">
        <f t="shared" ref="J194:J257" si="39">IF(G194&gt;I194,"Improved",IF(G194&lt;I194,"Declined","Stable"))</f>
        <v>Stable</v>
      </c>
      <c r="K194" s="31">
        <v>0.65</v>
      </c>
      <c r="L194" s="24">
        <v>1.4</v>
      </c>
      <c r="M194" s="22" t="s">
        <v>60</v>
      </c>
      <c r="N194" s="22" t="str">
        <f t="shared" ref="N194:N257" si="40">IF(G194&gt;=4,"High",IF(G194=3,"Mid","Low"))</f>
        <v>Low</v>
      </c>
      <c r="O194" t="str">
        <f>INDEX(NineBox,MATCH(N194,{"Low","Mid","High"},0),MATCH(M194,{"Low","Medium","High"},0))</f>
        <v>Inconsistent Player</v>
      </c>
      <c r="P194" s="28">
        <v>45787</v>
      </c>
      <c r="Q194" s="24">
        <f t="shared" ref="Q194:Q257" si="41">(AsOf-P194)/365.25</f>
        <v>1.3908281998631074</v>
      </c>
      <c r="R194" s="22" t="str">
        <f t="shared" ref="R194:R257" si="42">IF(F194="Exited","Not Eligible",IF(AND(G194&gt;=MinRating,Q194&gt;=MinYrs,VALUE(MID(E194,2,1))&lt;=MaxLvl),"Eligible","Not Eligible"))</f>
        <v>Not Eligible</v>
      </c>
      <c r="S194" t="str">
        <f t="shared" ref="S194:S257" si="43">IF(F194="Exited","Employee has exited",IF(R194="Eligible","Meets rating and time-in-level criteria",IF(VALUE(MID(E194,2,1))&gt;MaxLvl,"Already at top level",IF(G194&lt;MinRating,"Rating below "&amp;MinRating,"Under "&amp;MinYrs&amp;" yrs in current level"))))</f>
        <v>Employee has exited</v>
      </c>
      <c r="T194" s="22" t="s">
        <v>1687</v>
      </c>
    </row>
    <row r="195" spans="1:20" x14ac:dyDescent="0.3">
      <c r="A195" s="22" t="s">
        <v>201</v>
      </c>
      <c r="B195" s="29" t="str">
        <f t="shared" si="33"/>
        <v>Ashish Varghese</v>
      </c>
      <c r="C195" s="29" t="str">
        <f t="shared" si="34"/>
        <v>Akash Dsouza</v>
      </c>
      <c r="D195" s="29" t="str">
        <f t="shared" si="35"/>
        <v>Customer Support</v>
      </c>
      <c r="E195" s="30" t="str">
        <f t="shared" si="36"/>
        <v>L5</v>
      </c>
      <c r="F195" s="30" t="str">
        <f t="shared" si="37"/>
        <v>Active</v>
      </c>
      <c r="G195" s="22">
        <v>4</v>
      </c>
      <c r="H195" t="str">
        <f t="shared" si="38"/>
        <v>Exceeds Expectations</v>
      </c>
      <c r="I195" s="22">
        <v>4</v>
      </c>
      <c r="J195" s="22" t="str">
        <f t="shared" si="39"/>
        <v>Stable</v>
      </c>
      <c r="K195" s="31">
        <v>0.83</v>
      </c>
      <c r="L195" s="24">
        <v>5</v>
      </c>
      <c r="M195" s="22" t="s">
        <v>60</v>
      </c>
      <c r="N195" s="22" t="str">
        <f t="shared" si="40"/>
        <v>High</v>
      </c>
      <c r="O195" t="str">
        <f>INDEX(NineBox,MATCH(N195,{"Low","Mid","High"},0),MATCH(M195,{"Low","Medium","High"},0))</f>
        <v>High Performer</v>
      </c>
      <c r="P195" s="28">
        <v>45800</v>
      </c>
      <c r="Q195" s="24">
        <f t="shared" si="41"/>
        <v>1.3552361396303902</v>
      </c>
      <c r="R195" s="22" t="str">
        <f t="shared" si="42"/>
        <v>Not Eligible</v>
      </c>
      <c r="S195" t="str">
        <f t="shared" si="43"/>
        <v>Under 1.5 yrs in current level</v>
      </c>
      <c r="T195" s="22" t="s">
        <v>1687</v>
      </c>
    </row>
    <row r="196" spans="1:20" x14ac:dyDescent="0.3">
      <c r="A196" s="22" t="s">
        <v>779</v>
      </c>
      <c r="B196" s="29" t="str">
        <f t="shared" si="33"/>
        <v>Pallavi Das</v>
      </c>
      <c r="C196" s="29" t="str">
        <f t="shared" si="34"/>
        <v>Ravi Prabhu</v>
      </c>
      <c r="D196" s="29" t="str">
        <f t="shared" si="35"/>
        <v>Finance</v>
      </c>
      <c r="E196" s="30" t="str">
        <f t="shared" si="36"/>
        <v>L2</v>
      </c>
      <c r="F196" s="30" t="str">
        <f t="shared" si="37"/>
        <v>Active</v>
      </c>
      <c r="G196" s="22">
        <v>3</v>
      </c>
      <c r="H196" t="str">
        <f t="shared" si="38"/>
        <v>Meets Expectations</v>
      </c>
      <c r="I196" s="22">
        <v>3</v>
      </c>
      <c r="J196" s="22" t="str">
        <f t="shared" si="39"/>
        <v>Stable</v>
      </c>
      <c r="K196" s="31">
        <v>0.87</v>
      </c>
      <c r="L196" s="24">
        <v>3.2</v>
      </c>
      <c r="M196" s="22" t="s">
        <v>60</v>
      </c>
      <c r="N196" s="22" t="str">
        <f t="shared" si="40"/>
        <v>Mid</v>
      </c>
      <c r="O196" t="str">
        <f>INDEX(NineBox,MATCH(N196,{"Low","Mid","High"},0),MATCH(M196,{"Low","Medium","High"},0))</f>
        <v>Core Player</v>
      </c>
      <c r="P196" s="28">
        <v>45963</v>
      </c>
      <c r="Q196" s="24">
        <f t="shared" si="41"/>
        <v>0.90896646132785763</v>
      </c>
      <c r="R196" s="22" t="str">
        <f t="shared" si="42"/>
        <v>Not Eligible</v>
      </c>
      <c r="S196" t="str">
        <f t="shared" si="43"/>
        <v>Rating below 4</v>
      </c>
      <c r="T196" s="22" t="s">
        <v>1687</v>
      </c>
    </row>
    <row r="197" spans="1:20" x14ac:dyDescent="0.3">
      <c r="A197" s="22" t="s">
        <v>782</v>
      </c>
      <c r="B197" s="29" t="str">
        <f t="shared" si="33"/>
        <v>Vikas Bansal</v>
      </c>
      <c r="C197" s="29" t="str">
        <f t="shared" si="34"/>
        <v>Tejaswini Hegde</v>
      </c>
      <c r="D197" s="29" t="str">
        <f t="shared" si="35"/>
        <v>Engineering</v>
      </c>
      <c r="E197" s="30" t="str">
        <f t="shared" si="36"/>
        <v>L4</v>
      </c>
      <c r="F197" s="30" t="str">
        <f t="shared" si="37"/>
        <v>Active</v>
      </c>
      <c r="G197" s="22">
        <v>3</v>
      </c>
      <c r="H197" t="str">
        <f t="shared" si="38"/>
        <v>Meets Expectations</v>
      </c>
      <c r="I197" s="22">
        <v>4</v>
      </c>
      <c r="J197" s="22" t="str">
        <f t="shared" si="39"/>
        <v>Declined</v>
      </c>
      <c r="K197" s="31">
        <v>0.85</v>
      </c>
      <c r="L197" s="24">
        <v>3.1</v>
      </c>
      <c r="M197" s="22" t="s">
        <v>61</v>
      </c>
      <c r="N197" s="22" t="str">
        <f t="shared" si="40"/>
        <v>Mid</v>
      </c>
      <c r="O197" t="str">
        <f>INDEX(NineBox,MATCH(N197,{"Low","Mid","High"},0),MATCH(M197,{"Low","Medium","High"},0))</f>
        <v>Future Star</v>
      </c>
      <c r="P197" s="28">
        <v>45222</v>
      </c>
      <c r="Q197" s="24">
        <f t="shared" si="41"/>
        <v>2.9377138945927448</v>
      </c>
      <c r="R197" s="22" t="str">
        <f t="shared" si="42"/>
        <v>Not Eligible</v>
      </c>
      <c r="S197" t="str">
        <f t="shared" si="43"/>
        <v>Rating below 4</v>
      </c>
      <c r="T197" s="22" t="s">
        <v>1687</v>
      </c>
    </row>
    <row r="198" spans="1:20" x14ac:dyDescent="0.3">
      <c r="A198" s="22" t="s">
        <v>785</v>
      </c>
      <c r="B198" s="29" t="str">
        <f t="shared" si="33"/>
        <v>Mansi Naidu</v>
      </c>
      <c r="C198" s="29" t="str">
        <f t="shared" si="34"/>
        <v>Ramya Khanna</v>
      </c>
      <c r="D198" s="29" t="str">
        <f t="shared" si="35"/>
        <v>Legal &amp; Compliance</v>
      </c>
      <c r="E198" s="30" t="str">
        <f t="shared" si="36"/>
        <v>L3</v>
      </c>
      <c r="F198" s="30" t="str">
        <f t="shared" si="37"/>
        <v>Active</v>
      </c>
      <c r="G198" s="22">
        <v>1</v>
      </c>
      <c r="H198" t="str">
        <f t="shared" si="38"/>
        <v>Unsatisfactory</v>
      </c>
      <c r="I198" s="22">
        <v>1</v>
      </c>
      <c r="J198" s="22" t="str">
        <f t="shared" si="39"/>
        <v>Stable</v>
      </c>
      <c r="K198" s="31">
        <v>0.57999999999999996</v>
      </c>
      <c r="L198" s="24">
        <v>1</v>
      </c>
      <c r="M198" s="22" t="s">
        <v>61</v>
      </c>
      <c r="N198" s="22" t="str">
        <f t="shared" si="40"/>
        <v>Low</v>
      </c>
      <c r="O198" t="str">
        <f>INDEX(NineBox,MATCH(N198,{"Low","Mid","High"},0),MATCH(M198,{"Low","Medium","High"},0))</f>
        <v>Rough Diamond</v>
      </c>
      <c r="P198" s="28">
        <v>45225</v>
      </c>
      <c r="Q198" s="24">
        <f t="shared" si="41"/>
        <v>2.9295003422313486</v>
      </c>
      <c r="R198" s="22" t="str">
        <f t="shared" si="42"/>
        <v>Not Eligible</v>
      </c>
      <c r="S198" t="str">
        <f t="shared" si="43"/>
        <v>Rating below 4</v>
      </c>
      <c r="T198" s="22" t="s">
        <v>1687</v>
      </c>
    </row>
    <row r="199" spans="1:20" x14ac:dyDescent="0.3">
      <c r="A199" s="22" t="s">
        <v>788</v>
      </c>
      <c r="B199" s="29" t="str">
        <f t="shared" si="33"/>
        <v>Siddharth Dsouza</v>
      </c>
      <c r="C199" s="29" t="str">
        <f t="shared" si="34"/>
        <v>Yash Raghavan</v>
      </c>
      <c r="D199" s="29" t="str">
        <f t="shared" si="35"/>
        <v>Sales</v>
      </c>
      <c r="E199" s="30" t="str">
        <f t="shared" si="36"/>
        <v>L3</v>
      </c>
      <c r="F199" s="30" t="str">
        <f t="shared" si="37"/>
        <v>Active</v>
      </c>
      <c r="G199" s="22">
        <v>3</v>
      </c>
      <c r="H199" t="str">
        <f t="shared" si="38"/>
        <v>Meets Expectations</v>
      </c>
      <c r="I199" s="22">
        <v>3</v>
      </c>
      <c r="J199" s="22" t="str">
        <f t="shared" si="39"/>
        <v>Stable</v>
      </c>
      <c r="K199" s="31">
        <v>0.79</v>
      </c>
      <c r="L199" s="24">
        <v>2.7</v>
      </c>
      <c r="M199" s="22" t="s">
        <v>60</v>
      </c>
      <c r="N199" s="22" t="str">
        <f t="shared" si="40"/>
        <v>Mid</v>
      </c>
      <c r="O199" t="str">
        <f>INDEX(NineBox,MATCH(N199,{"Low","Mid","High"},0),MATCH(M199,{"Low","Medium","High"},0))</f>
        <v>Core Player</v>
      </c>
      <c r="P199" s="28">
        <v>46016</v>
      </c>
      <c r="Q199" s="24">
        <f t="shared" si="41"/>
        <v>0.76386036960985626</v>
      </c>
      <c r="R199" s="22" t="str">
        <f t="shared" si="42"/>
        <v>Not Eligible</v>
      </c>
      <c r="S199" t="str">
        <f t="shared" si="43"/>
        <v>Rating below 4</v>
      </c>
      <c r="T199" s="22" t="s">
        <v>1687</v>
      </c>
    </row>
    <row r="200" spans="1:20" x14ac:dyDescent="0.3">
      <c r="A200" s="22" t="s">
        <v>791</v>
      </c>
      <c r="B200" s="29" t="str">
        <f t="shared" si="33"/>
        <v>Anjali Bansal</v>
      </c>
      <c r="C200" s="29" t="str">
        <f t="shared" si="34"/>
        <v>Amit Kumar</v>
      </c>
      <c r="D200" s="29" t="str">
        <f t="shared" si="35"/>
        <v>Operations</v>
      </c>
      <c r="E200" s="30" t="str">
        <f t="shared" si="36"/>
        <v>L3</v>
      </c>
      <c r="F200" s="30" t="str">
        <f t="shared" si="37"/>
        <v>Active</v>
      </c>
      <c r="G200" s="22">
        <v>2</v>
      </c>
      <c r="H200" t="str">
        <f t="shared" si="38"/>
        <v>Needs Improvement</v>
      </c>
      <c r="I200" s="22">
        <v>1</v>
      </c>
      <c r="J200" s="22" t="str">
        <f t="shared" si="39"/>
        <v>Improved</v>
      </c>
      <c r="K200" s="31">
        <v>0.59</v>
      </c>
      <c r="L200" s="24">
        <v>1.5</v>
      </c>
      <c r="M200" s="22" t="s">
        <v>60</v>
      </c>
      <c r="N200" s="22" t="str">
        <f t="shared" si="40"/>
        <v>Low</v>
      </c>
      <c r="O200" t="str">
        <f>INDEX(NineBox,MATCH(N200,{"Low","Mid","High"},0),MATCH(M200,{"Low","Medium","High"},0))</f>
        <v>Inconsistent Player</v>
      </c>
      <c r="P200" s="28">
        <v>45908</v>
      </c>
      <c r="Q200" s="24">
        <f t="shared" si="41"/>
        <v>1.0595482546201231</v>
      </c>
      <c r="R200" s="22" t="str">
        <f t="shared" si="42"/>
        <v>Not Eligible</v>
      </c>
      <c r="S200" t="str">
        <f t="shared" si="43"/>
        <v>Rating below 4</v>
      </c>
      <c r="T200" s="22" t="s">
        <v>1687</v>
      </c>
    </row>
    <row r="201" spans="1:20" x14ac:dyDescent="0.3">
      <c r="A201" s="22" t="s">
        <v>794</v>
      </c>
      <c r="B201" s="29" t="str">
        <f t="shared" si="33"/>
        <v>Arun Jain</v>
      </c>
      <c r="C201" s="29" t="str">
        <f t="shared" si="34"/>
        <v>Ajay Kumar</v>
      </c>
      <c r="D201" s="29" t="str">
        <f t="shared" si="35"/>
        <v>Operations</v>
      </c>
      <c r="E201" s="30" t="str">
        <f t="shared" si="36"/>
        <v>L4</v>
      </c>
      <c r="F201" s="30" t="str">
        <f t="shared" si="37"/>
        <v>Active</v>
      </c>
      <c r="G201" s="22">
        <v>1</v>
      </c>
      <c r="H201" t="str">
        <f t="shared" si="38"/>
        <v>Unsatisfactory</v>
      </c>
      <c r="I201" s="22">
        <v>1</v>
      </c>
      <c r="J201" s="22" t="str">
        <f t="shared" si="39"/>
        <v>Stable</v>
      </c>
      <c r="K201" s="31">
        <v>0.65</v>
      </c>
      <c r="L201" s="24">
        <v>2.4</v>
      </c>
      <c r="M201" s="22" t="s">
        <v>61</v>
      </c>
      <c r="N201" s="22" t="str">
        <f t="shared" si="40"/>
        <v>Low</v>
      </c>
      <c r="O201" t="str">
        <f>INDEX(NineBox,MATCH(N201,{"Low","Mid","High"},0),MATCH(M201,{"Low","Medium","High"},0))</f>
        <v>Rough Diamond</v>
      </c>
      <c r="P201" s="28">
        <v>45238</v>
      </c>
      <c r="Q201" s="24">
        <f t="shared" si="41"/>
        <v>2.8939082819986313</v>
      </c>
      <c r="R201" s="22" t="str">
        <f t="shared" si="42"/>
        <v>Not Eligible</v>
      </c>
      <c r="S201" t="str">
        <f t="shared" si="43"/>
        <v>Rating below 4</v>
      </c>
      <c r="T201" s="22" t="s">
        <v>1687</v>
      </c>
    </row>
    <row r="202" spans="1:20" x14ac:dyDescent="0.3">
      <c r="A202" s="22" t="s">
        <v>797</v>
      </c>
      <c r="B202" s="29" t="str">
        <f t="shared" si="33"/>
        <v>Anjali Shah</v>
      </c>
      <c r="C202" s="29" t="str">
        <f t="shared" si="34"/>
        <v>Aishwarya Mukherjee</v>
      </c>
      <c r="D202" s="29" t="str">
        <f t="shared" si="35"/>
        <v>Marketing</v>
      </c>
      <c r="E202" s="30" t="str">
        <f t="shared" si="36"/>
        <v>L3</v>
      </c>
      <c r="F202" s="30" t="str">
        <f t="shared" si="37"/>
        <v>Active</v>
      </c>
      <c r="G202" s="22">
        <v>5</v>
      </c>
      <c r="H202" t="str">
        <f t="shared" si="38"/>
        <v>Outstanding</v>
      </c>
      <c r="I202" s="22">
        <v>5</v>
      </c>
      <c r="J202" s="22" t="str">
        <f t="shared" si="39"/>
        <v>Stable</v>
      </c>
      <c r="K202" s="31">
        <v>1.08</v>
      </c>
      <c r="L202" s="24">
        <v>5</v>
      </c>
      <c r="M202" s="22" t="s">
        <v>61</v>
      </c>
      <c r="N202" s="22" t="str">
        <f t="shared" si="40"/>
        <v>High</v>
      </c>
      <c r="O202" t="str">
        <f>INDEX(NineBox,MATCH(N202,{"Low","Mid","High"},0),MATCH(M202,{"Low","Medium","High"},0))</f>
        <v>Star</v>
      </c>
      <c r="P202" s="28">
        <v>45814</v>
      </c>
      <c r="Q202" s="24">
        <f t="shared" si="41"/>
        <v>1.3169062286105406</v>
      </c>
      <c r="R202" s="22" t="str">
        <f t="shared" si="42"/>
        <v>Not Eligible</v>
      </c>
      <c r="S202" t="str">
        <f t="shared" si="43"/>
        <v>Under 1.5 yrs in current level</v>
      </c>
      <c r="T202" s="22" t="s">
        <v>1687</v>
      </c>
    </row>
    <row r="203" spans="1:20" x14ac:dyDescent="0.3">
      <c r="A203" s="22" t="s">
        <v>800</v>
      </c>
      <c r="B203" s="29" t="str">
        <f t="shared" si="33"/>
        <v>Ankit Mukherjee</v>
      </c>
      <c r="C203" s="29" t="str">
        <f t="shared" si="34"/>
        <v>Trisha Jain</v>
      </c>
      <c r="D203" s="29" t="str">
        <f t="shared" si="35"/>
        <v>Data &amp; Analytics</v>
      </c>
      <c r="E203" s="30" t="str">
        <f t="shared" si="36"/>
        <v>L2</v>
      </c>
      <c r="F203" s="30" t="str">
        <f t="shared" si="37"/>
        <v>Active</v>
      </c>
      <c r="G203" s="22">
        <v>2</v>
      </c>
      <c r="H203" t="str">
        <f t="shared" si="38"/>
        <v>Needs Improvement</v>
      </c>
      <c r="I203" s="22">
        <v>2</v>
      </c>
      <c r="J203" s="22" t="str">
        <f t="shared" si="39"/>
        <v>Stable</v>
      </c>
      <c r="K203" s="31">
        <v>0.64</v>
      </c>
      <c r="L203" s="24">
        <v>2</v>
      </c>
      <c r="M203" s="22" t="s">
        <v>61</v>
      </c>
      <c r="N203" s="22" t="str">
        <f t="shared" si="40"/>
        <v>Low</v>
      </c>
      <c r="O203" t="str">
        <f>INDEX(NineBox,MATCH(N203,{"Low","Mid","High"},0),MATCH(M203,{"Low","Medium","High"},0))</f>
        <v>Rough Diamond</v>
      </c>
      <c r="P203" s="28">
        <v>45992</v>
      </c>
      <c r="Q203" s="24">
        <f t="shared" si="41"/>
        <v>0.82956878850102667</v>
      </c>
      <c r="R203" s="22" t="str">
        <f t="shared" si="42"/>
        <v>Not Eligible</v>
      </c>
      <c r="S203" t="str">
        <f t="shared" si="43"/>
        <v>Rating below 4</v>
      </c>
      <c r="T203" s="22" t="s">
        <v>1687</v>
      </c>
    </row>
    <row r="204" spans="1:20" x14ac:dyDescent="0.3">
      <c r="A204" s="22" t="s">
        <v>803</v>
      </c>
      <c r="B204" s="29" t="str">
        <f t="shared" si="33"/>
        <v>Anjali Rao</v>
      </c>
      <c r="C204" s="29" t="str">
        <f t="shared" si="34"/>
        <v>Vidya Chatterjee</v>
      </c>
      <c r="D204" s="29" t="str">
        <f t="shared" si="35"/>
        <v>Customer Support</v>
      </c>
      <c r="E204" s="30" t="str">
        <f t="shared" si="36"/>
        <v>L3</v>
      </c>
      <c r="F204" s="30" t="str">
        <f t="shared" si="37"/>
        <v>Active</v>
      </c>
      <c r="G204" s="22">
        <v>3</v>
      </c>
      <c r="H204" t="str">
        <f t="shared" si="38"/>
        <v>Meets Expectations</v>
      </c>
      <c r="I204" s="22">
        <v>3</v>
      </c>
      <c r="J204" s="22" t="str">
        <f t="shared" si="39"/>
        <v>Stable</v>
      </c>
      <c r="K204" s="31">
        <v>0.69</v>
      </c>
      <c r="L204" s="24">
        <v>2.2999999999999998</v>
      </c>
      <c r="M204" s="22" t="s">
        <v>60</v>
      </c>
      <c r="N204" s="22" t="str">
        <f t="shared" si="40"/>
        <v>Mid</v>
      </c>
      <c r="O204" t="str">
        <f>INDEX(NineBox,MATCH(N204,{"Low","Mid","High"},0),MATCH(M204,{"Low","Medium","High"},0))</f>
        <v>Core Player</v>
      </c>
      <c r="P204" s="28">
        <v>45675</v>
      </c>
      <c r="Q204" s="24">
        <f t="shared" si="41"/>
        <v>1.6974674880219027</v>
      </c>
      <c r="R204" s="22" t="str">
        <f t="shared" si="42"/>
        <v>Not Eligible</v>
      </c>
      <c r="S204" t="str">
        <f t="shared" si="43"/>
        <v>Rating below 4</v>
      </c>
      <c r="T204" s="22" t="s">
        <v>1687</v>
      </c>
    </row>
    <row r="205" spans="1:20" x14ac:dyDescent="0.3">
      <c r="A205" s="22" t="s">
        <v>806</v>
      </c>
      <c r="B205" s="29" t="str">
        <f t="shared" si="33"/>
        <v>Anand Shetty</v>
      </c>
      <c r="C205" s="29" t="str">
        <f t="shared" si="34"/>
        <v>Nandini Iyer</v>
      </c>
      <c r="D205" s="29" t="str">
        <f t="shared" si="35"/>
        <v>Marketing</v>
      </c>
      <c r="E205" s="30" t="str">
        <f t="shared" si="36"/>
        <v>L4</v>
      </c>
      <c r="F205" s="30" t="str">
        <f t="shared" si="37"/>
        <v>Active</v>
      </c>
      <c r="G205" s="22">
        <v>2</v>
      </c>
      <c r="H205" t="str">
        <f t="shared" si="38"/>
        <v>Needs Improvement</v>
      </c>
      <c r="I205" s="22">
        <v>1</v>
      </c>
      <c r="J205" s="22" t="str">
        <f t="shared" si="39"/>
        <v>Improved</v>
      </c>
      <c r="K205" s="31">
        <v>0.65</v>
      </c>
      <c r="L205" s="24">
        <v>2</v>
      </c>
      <c r="M205" s="22" t="s">
        <v>60</v>
      </c>
      <c r="N205" s="22" t="str">
        <f t="shared" si="40"/>
        <v>Low</v>
      </c>
      <c r="O205" t="str">
        <f>INDEX(NineBox,MATCH(N205,{"Low","Mid","High"},0),MATCH(M205,{"Low","Medium","High"},0))</f>
        <v>Inconsistent Player</v>
      </c>
      <c r="P205" s="28">
        <v>45267</v>
      </c>
      <c r="Q205" s="24">
        <f t="shared" si="41"/>
        <v>2.8145106091718</v>
      </c>
      <c r="R205" s="22" t="str">
        <f t="shared" si="42"/>
        <v>Not Eligible</v>
      </c>
      <c r="S205" t="str">
        <f t="shared" si="43"/>
        <v>Rating below 4</v>
      </c>
      <c r="T205" s="22" t="s">
        <v>1687</v>
      </c>
    </row>
    <row r="206" spans="1:20" x14ac:dyDescent="0.3">
      <c r="A206" s="22" t="s">
        <v>195</v>
      </c>
      <c r="B206" s="29" t="str">
        <f t="shared" si="33"/>
        <v>Srinivas Shah</v>
      </c>
      <c r="C206" s="29" t="str">
        <f t="shared" si="34"/>
        <v>Gayatri Tiwari</v>
      </c>
      <c r="D206" s="29" t="str">
        <f t="shared" si="35"/>
        <v>Sales</v>
      </c>
      <c r="E206" s="30" t="str">
        <f t="shared" si="36"/>
        <v>L5</v>
      </c>
      <c r="F206" s="30" t="str">
        <f t="shared" si="37"/>
        <v>Active</v>
      </c>
      <c r="G206" s="22">
        <v>3</v>
      </c>
      <c r="H206" t="str">
        <f t="shared" si="38"/>
        <v>Meets Expectations</v>
      </c>
      <c r="I206" s="22">
        <v>3</v>
      </c>
      <c r="J206" s="22" t="str">
        <f t="shared" si="39"/>
        <v>Stable</v>
      </c>
      <c r="K206" s="31">
        <v>0.81</v>
      </c>
      <c r="L206" s="24">
        <v>1.9</v>
      </c>
      <c r="M206" s="22" t="s">
        <v>60</v>
      </c>
      <c r="N206" s="22" t="str">
        <f t="shared" si="40"/>
        <v>Mid</v>
      </c>
      <c r="O206" t="str">
        <f>INDEX(NineBox,MATCH(N206,{"Low","Mid","High"},0),MATCH(M206,{"Low","Medium","High"},0))</f>
        <v>Core Player</v>
      </c>
      <c r="P206" s="28">
        <v>45869</v>
      </c>
      <c r="Q206" s="24">
        <f t="shared" si="41"/>
        <v>1.1663244353182751</v>
      </c>
      <c r="R206" s="22" t="str">
        <f t="shared" si="42"/>
        <v>Not Eligible</v>
      </c>
      <c r="S206" t="str">
        <f t="shared" si="43"/>
        <v>Rating below 4</v>
      </c>
      <c r="T206" s="22" t="s">
        <v>1687</v>
      </c>
    </row>
    <row r="207" spans="1:20" x14ac:dyDescent="0.3">
      <c r="A207" s="22" t="s">
        <v>810</v>
      </c>
      <c r="B207" s="29" t="str">
        <f t="shared" si="33"/>
        <v>Meera Chatterjee</v>
      </c>
      <c r="C207" s="29" t="str">
        <f t="shared" si="34"/>
        <v>Vikram Verma</v>
      </c>
      <c r="D207" s="29" t="str">
        <f t="shared" si="35"/>
        <v>Engineering</v>
      </c>
      <c r="E207" s="30" t="str">
        <f t="shared" si="36"/>
        <v>L3</v>
      </c>
      <c r="F207" s="30" t="str">
        <f t="shared" si="37"/>
        <v>Active</v>
      </c>
      <c r="G207" s="22">
        <v>4</v>
      </c>
      <c r="H207" t="str">
        <f t="shared" si="38"/>
        <v>Exceeds Expectations</v>
      </c>
      <c r="I207" s="22">
        <v>4</v>
      </c>
      <c r="J207" s="22" t="str">
        <f t="shared" si="39"/>
        <v>Stable</v>
      </c>
      <c r="K207" s="31">
        <v>0.89</v>
      </c>
      <c r="L207" s="24">
        <v>4.2</v>
      </c>
      <c r="M207" s="22" t="s">
        <v>60</v>
      </c>
      <c r="N207" s="22" t="str">
        <f t="shared" si="40"/>
        <v>High</v>
      </c>
      <c r="O207" t="str">
        <f>INDEX(NineBox,MATCH(N207,{"Low","Mid","High"},0),MATCH(M207,{"Low","Medium","High"},0))</f>
        <v>High Performer</v>
      </c>
      <c r="P207" s="28">
        <v>46083</v>
      </c>
      <c r="Q207" s="24">
        <f t="shared" si="41"/>
        <v>0.58042436687200549</v>
      </c>
      <c r="R207" s="22" t="str">
        <f t="shared" si="42"/>
        <v>Not Eligible</v>
      </c>
      <c r="S207" t="str">
        <f t="shared" si="43"/>
        <v>Under 1.5 yrs in current level</v>
      </c>
      <c r="T207" s="22" t="s">
        <v>1687</v>
      </c>
    </row>
    <row r="208" spans="1:20" x14ac:dyDescent="0.3">
      <c r="A208" s="22" t="s">
        <v>813</v>
      </c>
      <c r="B208" s="29" t="str">
        <f t="shared" si="33"/>
        <v>Tejaswini Nair</v>
      </c>
      <c r="C208" s="29" t="str">
        <f t="shared" si="34"/>
        <v>Ravi Prabhu</v>
      </c>
      <c r="D208" s="29" t="str">
        <f t="shared" si="35"/>
        <v>Finance</v>
      </c>
      <c r="E208" s="30" t="str">
        <f t="shared" si="36"/>
        <v>L3</v>
      </c>
      <c r="F208" s="30" t="str">
        <f t="shared" si="37"/>
        <v>Exited</v>
      </c>
      <c r="G208" s="22">
        <v>5</v>
      </c>
      <c r="H208" t="str">
        <f t="shared" si="38"/>
        <v>Outstanding</v>
      </c>
      <c r="I208" s="22">
        <v>5</v>
      </c>
      <c r="J208" s="22" t="str">
        <f t="shared" si="39"/>
        <v>Stable</v>
      </c>
      <c r="K208" s="31">
        <v>1.08</v>
      </c>
      <c r="L208" s="24">
        <v>5</v>
      </c>
      <c r="M208" s="22" t="s">
        <v>61</v>
      </c>
      <c r="N208" s="22" t="str">
        <f t="shared" si="40"/>
        <v>High</v>
      </c>
      <c r="O208" t="str">
        <f>INDEX(NineBox,MATCH(N208,{"Low","Mid","High"},0),MATCH(M208,{"Low","Medium","High"},0))</f>
        <v>Star</v>
      </c>
      <c r="P208" s="28">
        <v>46004</v>
      </c>
      <c r="Q208" s="24">
        <f t="shared" si="41"/>
        <v>0.79671457905544152</v>
      </c>
      <c r="R208" s="22" t="str">
        <f t="shared" si="42"/>
        <v>Not Eligible</v>
      </c>
      <c r="S208" t="str">
        <f t="shared" si="43"/>
        <v>Employee has exited</v>
      </c>
      <c r="T208" s="22" t="s">
        <v>1688</v>
      </c>
    </row>
    <row r="209" spans="1:20" x14ac:dyDescent="0.3">
      <c r="A209" s="22" t="s">
        <v>816</v>
      </c>
      <c r="B209" s="29" t="str">
        <f t="shared" si="33"/>
        <v>Ashish Fernandes</v>
      </c>
      <c r="C209" s="29" t="str">
        <f t="shared" si="34"/>
        <v>Madhuri Menon</v>
      </c>
      <c r="D209" s="29" t="str">
        <f t="shared" si="35"/>
        <v>Engineering</v>
      </c>
      <c r="E209" s="30" t="str">
        <f t="shared" si="36"/>
        <v>L2</v>
      </c>
      <c r="F209" s="30" t="str">
        <f t="shared" si="37"/>
        <v>Active</v>
      </c>
      <c r="G209" s="22">
        <v>3</v>
      </c>
      <c r="H209" t="str">
        <f t="shared" si="38"/>
        <v>Meets Expectations</v>
      </c>
      <c r="I209" s="22">
        <v>3</v>
      </c>
      <c r="J209" s="22" t="str">
        <f t="shared" si="39"/>
        <v>Stable</v>
      </c>
      <c r="K209" s="31">
        <v>0.91</v>
      </c>
      <c r="L209" s="24">
        <v>3.1</v>
      </c>
      <c r="M209" s="22" t="s">
        <v>60</v>
      </c>
      <c r="N209" s="22" t="str">
        <f t="shared" si="40"/>
        <v>Mid</v>
      </c>
      <c r="O209" t="str">
        <f>INDEX(NineBox,MATCH(N209,{"Low","Mid","High"},0),MATCH(M209,{"Low","Medium","High"},0))</f>
        <v>Core Player</v>
      </c>
      <c r="P209" s="28">
        <v>46114</v>
      </c>
      <c r="Q209" s="24">
        <f t="shared" si="41"/>
        <v>0.49555099247091033</v>
      </c>
      <c r="R209" s="22" t="str">
        <f t="shared" si="42"/>
        <v>Not Eligible</v>
      </c>
      <c r="S209" t="str">
        <f t="shared" si="43"/>
        <v>Rating below 4</v>
      </c>
      <c r="T209" s="22" t="s">
        <v>1687</v>
      </c>
    </row>
    <row r="210" spans="1:20" x14ac:dyDescent="0.3">
      <c r="A210" s="22" t="s">
        <v>819</v>
      </c>
      <c r="B210" s="29" t="str">
        <f t="shared" si="33"/>
        <v>Ritu Hegde</v>
      </c>
      <c r="C210" s="29" t="str">
        <f t="shared" si="34"/>
        <v>Anand Naidu</v>
      </c>
      <c r="D210" s="29" t="str">
        <f t="shared" si="35"/>
        <v>Customer Support</v>
      </c>
      <c r="E210" s="30" t="str">
        <f t="shared" si="36"/>
        <v>L3</v>
      </c>
      <c r="F210" s="30" t="str">
        <f t="shared" si="37"/>
        <v>Active</v>
      </c>
      <c r="G210" s="22">
        <v>2</v>
      </c>
      <c r="H210" t="str">
        <f t="shared" si="38"/>
        <v>Needs Improvement</v>
      </c>
      <c r="I210" s="22">
        <v>2</v>
      </c>
      <c r="J210" s="22" t="str">
        <f t="shared" si="39"/>
        <v>Stable</v>
      </c>
      <c r="K210" s="31">
        <v>0.7</v>
      </c>
      <c r="L210" s="24">
        <v>2.4</v>
      </c>
      <c r="M210" s="22" t="s">
        <v>59</v>
      </c>
      <c r="N210" s="22" t="str">
        <f t="shared" si="40"/>
        <v>Low</v>
      </c>
      <c r="O210" t="str">
        <f>INDEX(NineBox,MATCH(N210,{"Low","Mid","High"},0),MATCH(M210,{"Low","Medium","High"},0))</f>
        <v>Underperformer</v>
      </c>
      <c r="P210" s="28">
        <v>45287</v>
      </c>
      <c r="Q210" s="24">
        <f t="shared" si="41"/>
        <v>2.7597535934291582</v>
      </c>
      <c r="R210" s="22" t="str">
        <f t="shared" si="42"/>
        <v>Not Eligible</v>
      </c>
      <c r="S210" t="str">
        <f t="shared" si="43"/>
        <v>Rating below 4</v>
      </c>
      <c r="T210" s="22" t="s">
        <v>1688</v>
      </c>
    </row>
    <row r="211" spans="1:20" x14ac:dyDescent="0.3">
      <c r="A211" s="22" t="s">
        <v>824</v>
      </c>
      <c r="B211" s="29" t="str">
        <f t="shared" si="33"/>
        <v>Srinivas Kumar</v>
      </c>
      <c r="C211" s="29" t="str">
        <f t="shared" si="34"/>
        <v>Trisha Malhotra</v>
      </c>
      <c r="D211" s="29" t="str">
        <f t="shared" si="35"/>
        <v>Product</v>
      </c>
      <c r="E211" s="30" t="str">
        <f t="shared" si="36"/>
        <v>L3</v>
      </c>
      <c r="F211" s="30" t="str">
        <f t="shared" si="37"/>
        <v>Active</v>
      </c>
      <c r="G211" s="22">
        <v>5</v>
      </c>
      <c r="H211" t="str">
        <f t="shared" si="38"/>
        <v>Outstanding</v>
      </c>
      <c r="I211" s="22">
        <v>5</v>
      </c>
      <c r="J211" s="22" t="str">
        <f t="shared" si="39"/>
        <v>Stable</v>
      </c>
      <c r="K211" s="31">
        <v>1.2</v>
      </c>
      <c r="L211" s="24">
        <v>4.8</v>
      </c>
      <c r="M211" s="22" t="s">
        <v>60</v>
      </c>
      <c r="N211" s="22" t="str">
        <f t="shared" si="40"/>
        <v>High</v>
      </c>
      <c r="O211" t="str">
        <f>INDEX(NineBox,MATCH(N211,{"Low","Mid","High"},0),MATCH(M211,{"Low","Medium","High"},0))</f>
        <v>High Performer</v>
      </c>
      <c r="P211" s="28">
        <v>45290</v>
      </c>
      <c r="Q211" s="24">
        <f t="shared" si="41"/>
        <v>2.751540041067762</v>
      </c>
      <c r="R211" s="22" t="str">
        <f t="shared" si="42"/>
        <v>Eligible</v>
      </c>
      <c r="S211" t="str">
        <f t="shared" si="43"/>
        <v>Meets rating and time-in-level criteria</v>
      </c>
      <c r="T211" s="22" t="s">
        <v>1687</v>
      </c>
    </row>
    <row r="212" spans="1:20" x14ac:dyDescent="0.3">
      <c r="A212" s="22" t="s">
        <v>827</v>
      </c>
      <c r="B212" s="29" t="str">
        <f t="shared" si="33"/>
        <v>Tarun Das</v>
      </c>
      <c r="C212" s="29" t="str">
        <f t="shared" si="34"/>
        <v>Imran Joshi</v>
      </c>
      <c r="D212" s="29" t="str">
        <f t="shared" si="35"/>
        <v>Customer Support</v>
      </c>
      <c r="E212" s="30" t="str">
        <f t="shared" si="36"/>
        <v>L2</v>
      </c>
      <c r="F212" s="30" t="str">
        <f t="shared" si="37"/>
        <v>Exited</v>
      </c>
      <c r="G212" s="22">
        <v>5</v>
      </c>
      <c r="H212" t="str">
        <f t="shared" si="38"/>
        <v>Outstanding</v>
      </c>
      <c r="I212" s="22">
        <v>5</v>
      </c>
      <c r="J212" s="22" t="str">
        <f t="shared" si="39"/>
        <v>Stable</v>
      </c>
      <c r="K212" s="31">
        <v>0.96</v>
      </c>
      <c r="L212" s="24">
        <v>5</v>
      </c>
      <c r="M212" s="22" t="s">
        <v>59</v>
      </c>
      <c r="N212" s="22" t="str">
        <f t="shared" si="40"/>
        <v>High</v>
      </c>
      <c r="O212" t="str">
        <f>INDEX(NineBox,MATCH(N212,{"Low","Mid","High"},0),MATCH(M212,{"Low","Medium","High"},0))</f>
        <v>Trusted Professional</v>
      </c>
      <c r="P212" s="28">
        <v>45912</v>
      </c>
      <c r="Q212" s="24">
        <f t="shared" si="41"/>
        <v>1.0485968514715949</v>
      </c>
      <c r="R212" s="22" t="str">
        <f t="shared" si="42"/>
        <v>Not Eligible</v>
      </c>
      <c r="S212" t="str">
        <f t="shared" si="43"/>
        <v>Employee has exited</v>
      </c>
      <c r="T212" s="22" t="s">
        <v>1687</v>
      </c>
    </row>
    <row r="213" spans="1:20" x14ac:dyDescent="0.3">
      <c r="A213" s="22" t="s">
        <v>830</v>
      </c>
      <c r="B213" s="29" t="str">
        <f t="shared" si="33"/>
        <v>Arun Kamath</v>
      </c>
      <c r="C213" s="29" t="str">
        <f t="shared" si="34"/>
        <v>Mansi Pillai</v>
      </c>
      <c r="D213" s="29" t="str">
        <f t="shared" si="35"/>
        <v>Product</v>
      </c>
      <c r="E213" s="30" t="str">
        <f t="shared" si="36"/>
        <v>L2</v>
      </c>
      <c r="F213" s="30" t="str">
        <f t="shared" si="37"/>
        <v>Active</v>
      </c>
      <c r="G213" s="22">
        <v>3</v>
      </c>
      <c r="H213" t="str">
        <f t="shared" si="38"/>
        <v>Meets Expectations</v>
      </c>
      <c r="I213" s="22">
        <v>3</v>
      </c>
      <c r="J213" s="22" t="str">
        <f t="shared" si="39"/>
        <v>Stable</v>
      </c>
      <c r="K213" s="31">
        <v>0.89</v>
      </c>
      <c r="L213" s="24">
        <v>2.6</v>
      </c>
      <c r="M213" s="22" t="s">
        <v>59</v>
      </c>
      <c r="N213" s="22" t="str">
        <f t="shared" si="40"/>
        <v>Mid</v>
      </c>
      <c r="O213" t="str">
        <f>INDEX(NineBox,MATCH(N213,{"Low","Mid","High"},0),MATCH(M213,{"Low","Medium","High"},0))</f>
        <v>Effective Contributor</v>
      </c>
      <c r="P213" s="28">
        <v>45298</v>
      </c>
      <c r="Q213" s="24">
        <f t="shared" si="41"/>
        <v>2.729637234770705</v>
      </c>
      <c r="R213" s="22" t="str">
        <f t="shared" si="42"/>
        <v>Not Eligible</v>
      </c>
      <c r="S213" t="str">
        <f t="shared" si="43"/>
        <v>Rating below 4</v>
      </c>
      <c r="T213" s="22" t="s">
        <v>1687</v>
      </c>
    </row>
    <row r="214" spans="1:20" x14ac:dyDescent="0.3">
      <c r="A214" s="22" t="s">
        <v>362</v>
      </c>
      <c r="B214" s="29" t="str">
        <f t="shared" si="33"/>
        <v>Vikram Verma</v>
      </c>
      <c r="C214" s="29" t="str">
        <f t="shared" si="34"/>
        <v>Aishwarya Khan</v>
      </c>
      <c r="D214" s="29" t="str">
        <f t="shared" si="35"/>
        <v>Engineering</v>
      </c>
      <c r="E214" s="30" t="str">
        <f t="shared" si="36"/>
        <v>L6</v>
      </c>
      <c r="F214" s="30" t="str">
        <f t="shared" si="37"/>
        <v>Active</v>
      </c>
      <c r="G214" s="22">
        <v>5</v>
      </c>
      <c r="H214" t="str">
        <f t="shared" si="38"/>
        <v>Outstanding</v>
      </c>
      <c r="I214" s="22">
        <v>4</v>
      </c>
      <c r="J214" s="22" t="str">
        <f t="shared" si="39"/>
        <v>Improved</v>
      </c>
      <c r="K214" s="31">
        <v>1.18</v>
      </c>
      <c r="L214" s="24">
        <v>5</v>
      </c>
      <c r="M214" s="22" t="s">
        <v>61</v>
      </c>
      <c r="N214" s="22" t="str">
        <f t="shared" si="40"/>
        <v>High</v>
      </c>
      <c r="O214" t="str">
        <f>INDEX(NineBox,MATCH(N214,{"Low","Mid","High"},0),MATCH(M214,{"Low","Medium","High"},0))</f>
        <v>Star</v>
      </c>
      <c r="P214" s="28">
        <v>46076</v>
      </c>
      <c r="Q214" s="24">
        <f t="shared" si="41"/>
        <v>0.59958932238193019</v>
      </c>
      <c r="R214" s="22" t="str">
        <f t="shared" si="42"/>
        <v>Not Eligible</v>
      </c>
      <c r="S214" t="str">
        <f t="shared" si="43"/>
        <v>Under 1.5 yrs in current level</v>
      </c>
      <c r="T214" s="22" t="s">
        <v>1687</v>
      </c>
    </row>
    <row r="215" spans="1:20" x14ac:dyDescent="0.3">
      <c r="A215" s="22" t="s">
        <v>835</v>
      </c>
      <c r="B215" s="29" t="str">
        <f t="shared" si="33"/>
        <v>Kunal Subramanian</v>
      </c>
      <c r="C215" s="29" t="str">
        <f t="shared" si="34"/>
        <v>Akash Das</v>
      </c>
      <c r="D215" s="29" t="str">
        <f t="shared" si="35"/>
        <v>Human Resources</v>
      </c>
      <c r="E215" s="30" t="str">
        <f t="shared" si="36"/>
        <v>L2</v>
      </c>
      <c r="F215" s="30" t="str">
        <f t="shared" si="37"/>
        <v>Exited</v>
      </c>
      <c r="G215" s="22">
        <v>4</v>
      </c>
      <c r="H215" t="str">
        <f t="shared" si="38"/>
        <v>Exceeds Expectations</v>
      </c>
      <c r="I215" s="22">
        <v>3</v>
      </c>
      <c r="J215" s="22" t="str">
        <f t="shared" si="39"/>
        <v>Improved</v>
      </c>
      <c r="K215" s="31">
        <v>0.87</v>
      </c>
      <c r="L215" s="24">
        <v>4.0999999999999996</v>
      </c>
      <c r="M215" s="22" t="s">
        <v>60</v>
      </c>
      <c r="N215" s="22" t="str">
        <f t="shared" si="40"/>
        <v>High</v>
      </c>
      <c r="O215" t="str">
        <f>INDEX(NineBox,MATCH(N215,{"Low","Mid","High"},0),MATCH(M215,{"Low","Medium","High"},0))</f>
        <v>High Performer</v>
      </c>
      <c r="P215" s="28">
        <v>46089</v>
      </c>
      <c r="Q215" s="24">
        <f t="shared" si="41"/>
        <v>0.56399726214921286</v>
      </c>
      <c r="R215" s="22" t="str">
        <f t="shared" si="42"/>
        <v>Not Eligible</v>
      </c>
      <c r="S215" t="str">
        <f t="shared" si="43"/>
        <v>Employee has exited</v>
      </c>
      <c r="T215" s="22" t="s">
        <v>1688</v>
      </c>
    </row>
    <row r="216" spans="1:20" x14ac:dyDescent="0.3">
      <c r="A216" s="22" t="s">
        <v>838</v>
      </c>
      <c r="B216" s="29" t="str">
        <f t="shared" si="33"/>
        <v>Krishna Siddiqui</v>
      </c>
      <c r="C216" s="29" t="str">
        <f t="shared" si="34"/>
        <v>Trisha Malhotra</v>
      </c>
      <c r="D216" s="29" t="str">
        <f t="shared" si="35"/>
        <v>Product</v>
      </c>
      <c r="E216" s="30" t="str">
        <f t="shared" si="36"/>
        <v>L2</v>
      </c>
      <c r="F216" s="30" t="str">
        <f t="shared" si="37"/>
        <v>Active</v>
      </c>
      <c r="G216" s="22">
        <v>2</v>
      </c>
      <c r="H216" t="str">
        <f t="shared" si="38"/>
        <v>Needs Improvement</v>
      </c>
      <c r="I216" s="22">
        <v>2</v>
      </c>
      <c r="J216" s="22" t="str">
        <f t="shared" si="39"/>
        <v>Stable</v>
      </c>
      <c r="K216" s="31">
        <v>0.71</v>
      </c>
      <c r="L216" s="24">
        <v>3.8</v>
      </c>
      <c r="M216" s="22" t="s">
        <v>59</v>
      </c>
      <c r="N216" s="22" t="str">
        <f t="shared" si="40"/>
        <v>Low</v>
      </c>
      <c r="O216" t="str">
        <f>INDEX(NineBox,MATCH(N216,{"Low","Mid","High"},0),MATCH(M216,{"Low","Medium","High"},0))</f>
        <v>Underperformer</v>
      </c>
      <c r="P216" s="28">
        <v>45314</v>
      </c>
      <c r="Q216" s="24">
        <f t="shared" si="41"/>
        <v>2.6858316221765914</v>
      </c>
      <c r="R216" s="22" t="str">
        <f t="shared" si="42"/>
        <v>Not Eligible</v>
      </c>
      <c r="S216" t="str">
        <f t="shared" si="43"/>
        <v>Rating below 4</v>
      </c>
      <c r="T216" s="22" t="s">
        <v>1687</v>
      </c>
    </row>
    <row r="217" spans="1:20" x14ac:dyDescent="0.3">
      <c r="A217" s="22" t="s">
        <v>841</v>
      </c>
      <c r="B217" s="29" t="str">
        <f t="shared" si="33"/>
        <v>Bhavana Siddiqui</v>
      </c>
      <c r="C217" s="29" t="str">
        <f t="shared" si="34"/>
        <v>Madhuri Menon</v>
      </c>
      <c r="D217" s="29" t="str">
        <f t="shared" si="35"/>
        <v>Engineering</v>
      </c>
      <c r="E217" s="30" t="str">
        <f t="shared" si="36"/>
        <v>L2</v>
      </c>
      <c r="F217" s="30" t="str">
        <f t="shared" si="37"/>
        <v>Active</v>
      </c>
      <c r="G217" s="22">
        <v>3</v>
      </c>
      <c r="H217" t="str">
        <f t="shared" si="38"/>
        <v>Meets Expectations</v>
      </c>
      <c r="I217" s="22">
        <v>4</v>
      </c>
      <c r="J217" s="22" t="str">
        <f t="shared" si="39"/>
        <v>Declined</v>
      </c>
      <c r="K217" s="31">
        <v>0.81</v>
      </c>
      <c r="L217" s="24">
        <v>2.9</v>
      </c>
      <c r="M217" s="22" t="s">
        <v>60</v>
      </c>
      <c r="N217" s="22" t="str">
        <f t="shared" si="40"/>
        <v>Mid</v>
      </c>
      <c r="O217" t="str">
        <f>INDEX(NineBox,MATCH(N217,{"Low","Mid","High"},0),MATCH(M217,{"Low","Medium","High"},0))</f>
        <v>Core Player</v>
      </c>
      <c r="P217" s="28">
        <v>45316</v>
      </c>
      <c r="Q217" s="24">
        <f t="shared" si="41"/>
        <v>2.6803559206023273</v>
      </c>
      <c r="R217" s="22" t="str">
        <f t="shared" si="42"/>
        <v>Not Eligible</v>
      </c>
      <c r="S217" t="str">
        <f t="shared" si="43"/>
        <v>Rating below 4</v>
      </c>
      <c r="T217" s="22" t="s">
        <v>1687</v>
      </c>
    </row>
    <row r="218" spans="1:20" x14ac:dyDescent="0.3">
      <c r="A218" s="22" t="s">
        <v>844</v>
      </c>
      <c r="B218" s="29" t="str">
        <f t="shared" si="33"/>
        <v>Krishna Pillai</v>
      </c>
      <c r="C218" s="29" t="str">
        <f t="shared" si="34"/>
        <v>Kavya Krishnan</v>
      </c>
      <c r="D218" s="29" t="str">
        <f t="shared" si="35"/>
        <v>Sales</v>
      </c>
      <c r="E218" s="30" t="str">
        <f t="shared" si="36"/>
        <v>L3</v>
      </c>
      <c r="F218" s="30" t="str">
        <f t="shared" si="37"/>
        <v>Active</v>
      </c>
      <c r="G218" s="22">
        <v>3</v>
      </c>
      <c r="H218" t="str">
        <f t="shared" si="38"/>
        <v>Meets Expectations</v>
      </c>
      <c r="I218" s="22">
        <v>3</v>
      </c>
      <c r="J218" s="22" t="str">
        <f t="shared" si="39"/>
        <v>Stable</v>
      </c>
      <c r="K218" s="31">
        <v>0.72</v>
      </c>
      <c r="L218" s="24">
        <v>2.4</v>
      </c>
      <c r="M218" s="22" t="s">
        <v>59</v>
      </c>
      <c r="N218" s="22" t="str">
        <f t="shared" si="40"/>
        <v>Mid</v>
      </c>
      <c r="O218" t="str">
        <f>INDEX(NineBox,MATCH(N218,{"Low","Mid","High"},0),MATCH(M218,{"Low","Medium","High"},0))</f>
        <v>Effective Contributor</v>
      </c>
      <c r="P218" s="28">
        <v>45333</v>
      </c>
      <c r="Q218" s="24">
        <f t="shared" si="41"/>
        <v>2.6338124572210813</v>
      </c>
      <c r="R218" s="22" t="str">
        <f t="shared" si="42"/>
        <v>Not Eligible</v>
      </c>
      <c r="S218" t="str">
        <f t="shared" si="43"/>
        <v>Rating below 4</v>
      </c>
      <c r="T218" s="22" t="s">
        <v>1687</v>
      </c>
    </row>
    <row r="219" spans="1:20" x14ac:dyDescent="0.3">
      <c r="A219" s="22" t="s">
        <v>847</v>
      </c>
      <c r="B219" s="29" t="str">
        <f t="shared" si="33"/>
        <v>Nisha Subramanian</v>
      </c>
      <c r="C219" s="29" t="str">
        <f t="shared" si="34"/>
        <v>Vidya Chatterjee</v>
      </c>
      <c r="D219" s="29" t="str">
        <f t="shared" si="35"/>
        <v>Customer Support</v>
      </c>
      <c r="E219" s="30" t="str">
        <f t="shared" si="36"/>
        <v>L3</v>
      </c>
      <c r="F219" s="30" t="str">
        <f t="shared" si="37"/>
        <v>Active</v>
      </c>
      <c r="G219" s="22">
        <v>4</v>
      </c>
      <c r="H219" t="str">
        <f t="shared" si="38"/>
        <v>Exceeds Expectations</v>
      </c>
      <c r="I219" s="22">
        <v>5</v>
      </c>
      <c r="J219" s="22" t="str">
        <f t="shared" si="39"/>
        <v>Declined</v>
      </c>
      <c r="K219" s="31">
        <v>1.01</v>
      </c>
      <c r="L219" s="24">
        <v>4.0999999999999996</v>
      </c>
      <c r="M219" s="22" t="s">
        <v>60</v>
      </c>
      <c r="N219" s="22" t="str">
        <f t="shared" si="40"/>
        <v>High</v>
      </c>
      <c r="O219" t="str">
        <f>INDEX(NineBox,MATCH(N219,{"Low","Mid","High"},0),MATCH(M219,{"Low","Medium","High"},0))</f>
        <v>High Performer</v>
      </c>
      <c r="P219" s="28">
        <v>45342</v>
      </c>
      <c r="Q219" s="24">
        <f t="shared" si="41"/>
        <v>2.6091718001368926</v>
      </c>
      <c r="R219" s="22" t="str">
        <f t="shared" si="42"/>
        <v>Eligible</v>
      </c>
      <c r="S219" t="str">
        <f t="shared" si="43"/>
        <v>Meets rating and time-in-level criteria</v>
      </c>
      <c r="T219" s="22" t="s">
        <v>1687</v>
      </c>
    </row>
    <row r="220" spans="1:20" x14ac:dyDescent="0.3">
      <c r="A220" s="22" t="s">
        <v>850</v>
      </c>
      <c r="B220" s="29" t="str">
        <f t="shared" si="33"/>
        <v>Neha Patel</v>
      </c>
      <c r="C220" s="29" t="str">
        <f t="shared" si="34"/>
        <v>Isha Verma</v>
      </c>
      <c r="D220" s="29" t="str">
        <f t="shared" si="35"/>
        <v>Customer Support</v>
      </c>
      <c r="E220" s="30" t="str">
        <f t="shared" si="36"/>
        <v>L3</v>
      </c>
      <c r="F220" s="30" t="str">
        <f t="shared" si="37"/>
        <v>Active</v>
      </c>
      <c r="G220" s="22">
        <v>4</v>
      </c>
      <c r="H220" t="str">
        <f t="shared" si="38"/>
        <v>Exceeds Expectations</v>
      </c>
      <c r="I220" s="22">
        <v>3</v>
      </c>
      <c r="J220" s="22" t="str">
        <f t="shared" si="39"/>
        <v>Improved</v>
      </c>
      <c r="K220" s="31">
        <v>0.88</v>
      </c>
      <c r="L220" s="24">
        <v>3.7</v>
      </c>
      <c r="M220" s="22" t="s">
        <v>61</v>
      </c>
      <c r="N220" s="22" t="str">
        <f t="shared" si="40"/>
        <v>High</v>
      </c>
      <c r="O220" t="str">
        <f>INDEX(NineBox,MATCH(N220,{"Low","Mid","High"},0),MATCH(M220,{"Low","Medium","High"},0))</f>
        <v>Star</v>
      </c>
      <c r="P220" s="28">
        <v>46175</v>
      </c>
      <c r="Q220" s="24">
        <f t="shared" si="41"/>
        <v>0.32854209445585214</v>
      </c>
      <c r="R220" s="22" t="str">
        <f t="shared" si="42"/>
        <v>Not Eligible</v>
      </c>
      <c r="S220" t="str">
        <f t="shared" si="43"/>
        <v>Under 1.5 yrs in current level</v>
      </c>
      <c r="T220" s="22" t="s">
        <v>1687</v>
      </c>
    </row>
    <row r="221" spans="1:20" x14ac:dyDescent="0.3">
      <c r="A221" s="22" t="s">
        <v>853</v>
      </c>
      <c r="B221" s="29" t="str">
        <f t="shared" si="33"/>
        <v>Madhuri Choudhary</v>
      </c>
      <c r="C221" s="29" t="str">
        <f t="shared" si="34"/>
        <v>Kritika Pandey</v>
      </c>
      <c r="D221" s="29" t="str">
        <f t="shared" si="35"/>
        <v>Finance</v>
      </c>
      <c r="E221" s="30" t="str">
        <f t="shared" si="36"/>
        <v>L3</v>
      </c>
      <c r="F221" s="30" t="str">
        <f t="shared" si="37"/>
        <v>Active</v>
      </c>
      <c r="G221" s="22">
        <v>4</v>
      </c>
      <c r="H221" t="str">
        <f t="shared" si="38"/>
        <v>Exceeds Expectations</v>
      </c>
      <c r="I221" s="22">
        <v>3</v>
      </c>
      <c r="J221" s="22" t="str">
        <f t="shared" si="39"/>
        <v>Improved</v>
      </c>
      <c r="K221" s="31">
        <v>0.86</v>
      </c>
      <c r="L221" s="24">
        <v>4.4000000000000004</v>
      </c>
      <c r="M221" s="22" t="s">
        <v>59</v>
      </c>
      <c r="N221" s="22" t="str">
        <f t="shared" si="40"/>
        <v>High</v>
      </c>
      <c r="O221" t="str">
        <f>INDEX(NineBox,MATCH(N221,{"Low","Mid","High"},0),MATCH(M221,{"Low","Medium","High"},0))</f>
        <v>Trusted Professional</v>
      </c>
      <c r="P221" s="28">
        <v>46052</v>
      </c>
      <c r="Q221" s="24">
        <f t="shared" si="41"/>
        <v>0.6652977412731006</v>
      </c>
      <c r="R221" s="22" t="str">
        <f t="shared" si="42"/>
        <v>Not Eligible</v>
      </c>
      <c r="S221" t="str">
        <f t="shared" si="43"/>
        <v>Under 1.5 yrs in current level</v>
      </c>
      <c r="T221" s="22" t="s">
        <v>1687</v>
      </c>
    </row>
    <row r="222" spans="1:20" x14ac:dyDescent="0.3">
      <c r="A222" s="22" t="s">
        <v>856</v>
      </c>
      <c r="B222" s="29" t="str">
        <f t="shared" si="33"/>
        <v>Sai Khanna</v>
      </c>
      <c r="C222" s="29" t="str">
        <f t="shared" si="34"/>
        <v>Vikas Singh</v>
      </c>
      <c r="D222" s="29" t="str">
        <f t="shared" si="35"/>
        <v>Engineering</v>
      </c>
      <c r="E222" s="30" t="str">
        <f t="shared" si="36"/>
        <v>L2</v>
      </c>
      <c r="F222" s="30" t="str">
        <f t="shared" si="37"/>
        <v>Active</v>
      </c>
      <c r="G222" s="22">
        <v>2</v>
      </c>
      <c r="H222" t="str">
        <f t="shared" si="38"/>
        <v>Needs Improvement</v>
      </c>
      <c r="I222" s="22">
        <v>2</v>
      </c>
      <c r="J222" s="22" t="str">
        <f t="shared" si="39"/>
        <v>Stable</v>
      </c>
      <c r="K222" s="31">
        <v>0.74</v>
      </c>
      <c r="L222" s="24">
        <v>2.2999999999999998</v>
      </c>
      <c r="M222" s="22" t="s">
        <v>60</v>
      </c>
      <c r="N222" s="22" t="str">
        <f t="shared" si="40"/>
        <v>Low</v>
      </c>
      <c r="O222" t="str">
        <f>INDEX(NineBox,MATCH(N222,{"Low","Mid","High"},0),MATCH(M222,{"Low","Medium","High"},0))</f>
        <v>Inconsistent Player</v>
      </c>
      <c r="P222" s="28">
        <v>45365</v>
      </c>
      <c r="Q222" s="24">
        <f t="shared" si="41"/>
        <v>2.5462012320328542</v>
      </c>
      <c r="R222" s="22" t="str">
        <f t="shared" si="42"/>
        <v>Not Eligible</v>
      </c>
      <c r="S222" t="str">
        <f t="shared" si="43"/>
        <v>Rating below 4</v>
      </c>
      <c r="T222" s="22" t="s">
        <v>1687</v>
      </c>
    </row>
    <row r="223" spans="1:20" x14ac:dyDescent="0.3">
      <c r="A223" s="22" t="s">
        <v>859</v>
      </c>
      <c r="B223" s="29" t="str">
        <f t="shared" si="33"/>
        <v>Karan Varghese</v>
      </c>
      <c r="C223" s="29" t="str">
        <f t="shared" si="34"/>
        <v>Yash Shah</v>
      </c>
      <c r="D223" s="29" t="str">
        <f t="shared" si="35"/>
        <v>Operations</v>
      </c>
      <c r="E223" s="30" t="str">
        <f t="shared" si="36"/>
        <v>L4</v>
      </c>
      <c r="F223" s="30" t="str">
        <f t="shared" si="37"/>
        <v>Active</v>
      </c>
      <c r="G223" s="22">
        <v>4</v>
      </c>
      <c r="H223" t="str">
        <f t="shared" si="38"/>
        <v>Exceeds Expectations</v>
      </c>
      <c r="I223" s="22">
        <v>4</v>
      </c>
      <c r="J223" s="22" t="str">
        <f t="shared" si="39"/>
        <v>Stable</v>
      </c>
      <c r="K223" s="31">
        <v>0.93</v>
      </c>
      <c r="L223" s="24">
        <v>3.2</v>
      </c>
      <c r="M223" s="22" t="s">
        <v>60</v>
      </c>
      <c r="N223" s="22" t="str">
        <f t="shared" si="40"/>
        <v>High</v>
      </c>
      <c r="O223" t="str">
        <f>INDEX(NineBox,MATCH(N223,{"Low","Mid","High"},0),MATCH(M223,{"Low","Medium","High"},0))</f>
        <v>High Performer</v>
      </c>
      <c r="P223" s="28">
        <v>45367</v>
      </c>
      <c r="Q223" s="24">
        <f t="shared" si="41"/>
        <v>2.5407255304585901</v>
      </c>
      <c r="R223" s="22" t="str">
        <f t="shared" si="42"/>
        <v>Eligible</v>
      </c>
      <c r="S223" t="str">
        <f t="shared" si="43"/>
        <v>Meets rating and time-in-level criteria</v>
      </c>
      <c r="T223" s="22" t="s">
        <v>1687</v>
      </c>
    </row>
    <row r="224" spans="1:20" x14ac:dyDescent="0.3">
      <c r="A224" s="22" t="s">
        <v>862</v>
      </c>
      <c r="B224" s="29" t="str">
        <f t="shared" si="33"/>
        <v>Meera Kumar</v>
      </c>
      <c r="C224" s="29" t="str">
        <f t="shared" si="34"/>
        <v>Nandini Iyer</v>
      </c>
      <c r="D224" s="29" t="str">
        <f t="shared" si="35"/>
        <v>Marketing</v>
      </c>
      <c r="E224" s="30" t="str">
        <f t="shared" si="36"/>
        <v>L2</v>
      </c>
      <c r="F224" s="30" t="str">
        <f t="shared" si="37"/>
        <v>Active</v>
      </c>
      <c r="G224" s="22">
        <v>3</v>
      </c>
      <c r="H224" t="str">
        <f t="shared" si="38"/>
        <v>Meets Expectations</v>
      </c>
      <c r="I224" s="22">
        <v>2</v>
      </c>
      <c r="J224" s="22" t="str">
        <f t="shared" si="39"/>
        <v>Improved</v>
      </c>
      <c r="K224" s="31">
        <v>0.88</v>
      </c>
      <c r="L224" s="24">
        <v>3.2</v>
      </c>
      <c r="M224" s="22" t="s">
        <v>60</v>
      </c>
      <c r="N224" s="22" t="str">
        <f t="shared" si="40"/>
        <v>Mid</v>
      </c>
      <c r="O224" t="str">
        <f>INDEX(NineBox,MATCH(N224,{"Low","Mid","High"},0),MATCH(M224,{"Low","Medium","High"},0))</f>
        <v>Core Player</v>
      </c>
      <c r="P224" s="28">
        <v>45796</v>
      </c>
      <c r="Q224" s="24">
        <f t="shared" si="41"/>
        <v>1.3661875427789185</v>
      </c>
      <c r="R224" s="22" t="str">
        <f t="shared" si="42"/>
        <v>Not Eligible</v>
      </c>
      <c r="S224" t="str">
        <f t="shared" si="43"/>
        <v>Rating below 4</v>
      </c>
      <c r="T224" s="22" t="s">
        <v>1687</v>
      </c>
    </row>
    <row r="225" spans="1:20" x14ac:dyDescent="0.3">
      <c r="A225" s="22" t="s">
        <v>865</v>
      </c>
      <c r="B225" s="29" t="str">
        <f t="shared" si="33"/>
        <v>Aditya Bose</v>
      </c>
      <c r="C225" s="29" t="str">
        <f t="shared" si="34"/>
        <v>Arun Mukherjee</v>
      </c>
      <c r="D225" s="29" t="str">
        <f t="shared" si="35"/>
        <v>Data &amp; Analytics</v>
      </c>
      <c r="E225" s="30" t="str">
        <f t="shared" si="36"/>
        <v>L2</v>
      </c>
      <c r="F225" s="30" t="str">
        <f t="shared" si="37"/>
        <v>Active</v>
      </c>
      <c r="G225" s="22">
        <v>3</v>
      </c>
      <c r="H225" t="str">
        <f t="shared" si="38"/>
        <v>Meets Expectations</v>
      </c>
      <c r="I225" s="22">
        <v>4</v>
      </c>
      <c r="J225" s="22" t="str">
        <f t="shared" si="39"/>
        <v>Declined</v>
      </c>
      <c r="K225" s="31">
        <v>0.88</v>
      </c>
      <c r="L225" s="24">
        <v>2.7</v>
      </c>
      <c r="M225" s="22" t="s">
        <v>60</v>
      </c>
      <c r="N225" s="22" t="str">
        <f t="shared" si="40"/>
        <v>Mid</v>
      </c>
      <c r="O225" t="str">
        <f>INDEX(NineBox,MATCH(N225,{"Low","Mid","High"},0),MATCH(M225,{"Low","Medium","High"},0))</f>
        <v>Core Player</v>
      </c>
      <c r="P225" s="28">
        <v>45369</v>
      </c>
      <c r="Q225" s="24">
        <f t="shared" si="41"/>
        <v>2.5352498288843259</v>
      </c>
      <c r="R225" s="22" t="str">
        <f t="shared" si="42"/>
        <v>Not Eligible</v>
      </c>
      <c r="S225" t="str">
        <f t="shared" si="43"/>
        <v>Rating below 4</v>
      </c>
      <c r="T225" s="22" t="s">
        <v>1687</v>
      </c>
    </row>
    <row r="226" spans="1:20" x14ac:dyDescent="0.3">
      <c r="A226" s="22" t="s">
        <v>384</v>
      </c>
      <c r="B226" s="29" t="str">
        <f t="shared" si="33"/>
        <v>Nandini Fernandes</v>
      </c>
      <c r="C226" s="29" t="str">
        <f t="shared" si="34"/>
        <v>Pallavi Shah</v>
      </c>
      <c r="D226" s="29" t="str">
        <f t="shared" si="35"/>
        <v>Operations</v>
      </c>
      <c r="E226" s="30" t="str">
        <f t="shared" si="36"/>
        <v>L5</v>
      </c>
      <c r="F226" s="30" t="str">
        <f t="shared" si="37"/>
        <v>Active</v>
      </c>
      <c r="G226" s="22">
        <v>5</v>
      </c>
      <c r="H226" t="str">
        <f t="shared" si="38"/>
        <v>Outstanding</v>
      </c>
      <c r="I226" s="22">
        <v>4</v>
      </c>
      <c r="J226" s="22" t="str">
        <f t="shared" si="39"/>
        <v>Improved</v>
      </c>
      <c r="K226" s="31">
        <v>1.1100000000000001</v>
      </c>
      <c r="L226" s="24">
        <v>5</v>
      </c>
      <c r="M226" s="22" t="s">
        <v>60</v>
      </c>
      <c r="N226" s="22" t="str">
        <f t="shared" si="40"/>
        <v>High</v>
      </c>
      <c r="O226" t="str">
        <f>INDEX(NineBox,MATCH(N226,{"Low","Mid","High"},0),MATCH(M226,{"Low","Medium","High"},0))</f>
        <v>High Performer</v>
      </c>
      <c r="P226" s="28">
        <v>45829</v>
      </c>
      <c r="Q226" s="24">
        <f t="shared" si="41"/>
        <v>1.2758384668035592</v>
      </c>
      <c r="R226" s="22" t="str">
        <f t="shared" si="42"/>
        <v>Not Eligible</v>
      </c>
      <c r="S226" t="str">
        <f t="shared" si="43"/>
        <v>Under 1.5 yrs in current level</v>
      </c>
      <c r="T226" s="22" t="s">
        <v>1687</v>
      </c>
    </row>
    <row r="227" spans="1:20" x14ac:dyDescent="0.3">
      <c r="A227" s="22" t="s">
        <v>869</v>
      </c>
      <c r="B227" s="29" t="str">
        <f t="shared" si="33"/>
        <v>Revathi Thomas</v>
      </c>
      <c r="C227" s="29" t="str">
        <f t="shared" si="34"/>
        <v>Ankit Khanna</v>
      </c>
      <c r="D227" s="29" t="str">
        <f t="shared" si="35"/>
        <v>Operations</v>
      </c>
      <c r="E227" s="30" t="str">
        <f t="shared" si="36"/>
        <v>L2</v>
      </c>
      <c r="F227" s="30" t="str">
        <f t="shared" si="37"/>
        <v>Active</v>
      </c>
      <c r="G227" s="22">
        <v>5</v>
      </c>
      <c r="H227" t="str">
        <f t="shared" si="38"/>
        <v>Outstanding</v>
      </c>
      <c r="I227" s="22">
        <v>4</v>
      </c>
      <c r="J227" s="22" t="str">
        <f t="shared" si="39"/>
        <v>Improved</v>
      </c>
      <c r="K227" s="31">
        <v>1.07</v>
      </c>
      <c r="L227" s="24">
        <v>5</v>
      </c>
      <c r="M227" s="22" t="s">
        <v>60</v>
      </c>
      <c r="N227" s="22" t="str">
        <f t="shared" si="40"/>
        <v>High</v>
      </c>
      <c r="O227" t="str">
        <f>INDEX(NineBox,MATCH(N227,{"Low","Mid","High"},0),MATCH(M227,{"Low","Medium","High"},0))</f>
        <v>High Performer</v>
      </c>
      <c r="P227" s="28">
        <v>45851</v>
      </c>
      <c r="Q227" s="24">
        <f t="shared" si="41"/>
        <v>1.215605749486653</v>
      </c>
      <c r="R227" s="22" t="str">
        <f t="shared" si="42"/>
        <v>Not Eligible</v>
      </c>
      <c r="S227" t="str">
        <f t="shared" si="43"/>
        <v>Under 1.5 yrs in current level</v>
      </c>
      <c r="T227" s="22" t="s">
        <v>1687</v>
      </c>
    </row>
    <row r="228" spans="1:20" x14ac:dyDescent="0.3">
      <c r="A228" s="22" t="s">
        <v>872</v>
      </c>
      <c r="B228" s="29" t="str">
        <f t="shared" si="33"/>
        <v>Akash Bose</v>
      </c>
      <c r="C228" s="29" t="str">
        <f t="shared" si="34"/>
        <v>Gaurav Fernandes</v>
      </c>
      <c r="D228" s="29" t="str">
        <f t="shared" si="35"/>
        <v>Engineering</v>
      </c>
      <c r="E228" s="30" t="str">
        <f t="shared" si="36"/>
        <v>L4</v>
      </c>
      <c r="F228" s="30" t="str">
        <f t="shared" si="37"/>
        <v>Active</v>
      </c>
      <c r="G228" s="22">
        <v>4</v>
      </c>
      <c r="H228" t="str">
        <f t="shared" si="38"/>
        <v>Exceeds Expectations</v>
      </c>
      <c r="I228" s="22">
        <v>4</v>
      </c>
      <c r="J228" s="22" t="str">
        <f t="shared" si="39"/>
        <v>Stable</v>
      </c>
      <c r="K228" s="31">
        <v>0.83</v>
      </c>
      <c r="L228" s="24">
        <v>4.4000000000000004</v>
      </c>
      <c r="M228" s="22" t="s">
        <v>61</v>
      </c>
      <c r="N228" s="22" t="str">
        <f t="shared" si="40"/>
        <v>High</v>
      </c>
      <c r="O228" t="str">
        <f>INDEX(NineBox,MATCH(N228,{"Low","Mid","High"},0),MATCH(M228,{"Low","Medium","High"},0))</f>
        <v>Star</v>
      </c>
      <c r="P228" s="28">
        <v>45963</v>
      </c>
      <c r="Q228" s="24">
        <f t="shared" si="41"/>
        <v>0.90896646132785763</v>
      </c>
      <c r="R228" s="22" t="str">
        <f t="shared" si="42"/>
        <v>Not Eligible</v>
      </c>
      <c r="S228" t="str">
        <f t="shared" si="43"/>
        <v>Under 1.5 yrs in current level</v>
      </c>
      <c r="T228" s="22" t="s">
        <v>1687</v>
      </c>
    </row>
    <row r="229" spans="1:20" x14ac:dyDescent="0.3">
      <c r="A229" s="22" t="s">
        <v>875</v>
      </c>
      <c r="B229" s="29" t="str">
        <f t="shared" si="33"/>
        <v>Venkat Menon</v>
      </c>
      <c r="C229" s="29" t="str">
        <f t="shared" si="34"/>
        <v>Nandini Fernandes</v>
      </c>
      <c r="D229" s="29" t="str">
        <f t="shared" si="35"/>
        <v>Operations</v>
      </c>
      <c r="E229" s="30" t="str">
        <f t="shared" si="36"/>
        <v>L3</v>
      </c>
      <c r="F229" s="30" t="str">
        <f t="shared" si="37"/>
        <v>Active</v>
      </c>
      <c r="G229" s="22">
        <v>4</v>
      </c>
      <c r="H229" t="str">
        <f t="shared" si="38"/>
        <v>Exceeds Expectations</v>
      </c>
      <c r="I229" s="22">
        <v>4</v>
      </c>
      <c r="J229" s="22" t="str">
        <f t="shared" si="39"/>
        <v>Stable</v>
      </c>
      <c r="K229" s="31">
        <v>0.94</v>
      </c>
      <c r="L229" s="24">
        <v>4.0999999999999996</v>
      </c>
      <c r="M229" s="22" t="s">
        <v>61</v>
      </c>
      <c r="N229" s="22" t="str">
        <f t="shared" si="40"/>
        <v>High</v>
      </c>
      <c r="O229" t="str">
        <f>INDEX(NineBox,MATCH(N229,{"Low","Mid","High"},0),MATCH(M229,{"Low","Medium","High"},0))</f>
        <v>Star</v>
      </c>
      <c r="P229" s="28">
        <v>45385</v>
      </c>
      <c r="Q229" s="24">
        <f t="shared" si="41"/>
        <v>2.4914442162902124</v>
      </c>
      <c r="R229" s="22" t="str">
        <f t="shared" si="42"/>
        <v>Eligible</v>
      </c>
      <c r="S229" t="str">
        <f t="shared" si="43"/>
        <v>Meets rating and time-in-level criteria</v>
      </c>
      <c r="T229" s="22" t="s">
        <v>1687</v>
      </c>
    </row>
    <row r="230" spans="1:20" x14ac:dyDescent="0.3">
      <c r="A230" s="22" t="s">
        <v>878</v>
      </c>
      <c r="B230" s="29" t="str">
        <f t="shared" si="33"/>
        <v>Vikram Shah</v>
      </c>
      <c r="C230" s="29" t="str">
        <f t="shared" si="34"/>
        <v>Isha Verma</v>
      </c>
      <c r="D230" s="29" t="str">
        <f t="shared" si="35"/>
        <v>Customer Support</v>
      </c>
      <c r="E230" s="30" t="str">
        <f t="shared" si="36"/>
        <v>L3</v>
      </c>
      <c r="F230" s="30" t="str">
        <f t="shared" si="37"/>
        <v>Active</v>
      </c>
      <c r="G230" s="22">
        <v>3</v>
      </c>
      <c r="H230" t="str">
        <f t="shared" si="38"/>
        <v>Meets Expectations</v>
      </c>
      <c r="I230" s="22">
        <v>4</v>
      </c>
      <c r="J230" s="22" t="str">
        <f t="shared" si="39"/>
        <v>Declined</v>
      </c>
      <c r="K230" s="31">
        <v>0.75</v>
      </c>
      <c r="L230" s="24">
        <v>3.6</v>
      </c>
      <c r="M230" s="22" t="s">
        <v>60</v>
      </c>
      <c r="N230" s="22" t="str">
        <f t="shared" si="40"/>
        <v>Mid</v>
      </c>
      <c r="O230" t="str">
        <f>INDEX(NineBox,MATCH(N230,{"Low","Mid","High"},0),MATCH(M230,{"Low","Medium","High"},0))</f>
        <v>Core Player</v>
      </c>
      <c r="P230" s="28">
        <v>45385</v>
      </c>
      <c r="Q230" s="24">
        <f t="shared" si="41"/>
        <v>2.4914442162902124</v>
      </c>
      <c r="R230" s="22" t="str">
        <f t="shared" si="42"/>
        <v>Not Eligible</v>
      </c>
      <c r="S230" t="str">
        <f t="shared" si="43"/>
        <v>Rating below 4</v>
      </c>
      <c r="T230" s="22" t="s">
        <v>1687</v>
      </c>
    </row>
    <row r="231" spans="1:20" x14ac:dyDescent="0.3">
      <c r="A231" s="22" t="s">
        <v>881</v>
      </c>
      <c r="B231" s="29" t="str">
        <f t="shared" si="33"/>
        <v>Sneha Chatterjee</v>
      </c>
      <c r="C231" s="29" t="str">
        <f t="shared" si="34"/>
        <v>Yash Raghavan</v>
      </c>
      <c r="D231" s="29" t="str">
        <f t="shared" si="35"/>
        <v>Sales</v>
      </c>
      <c r="E231" s="30" t="str">
        <f t="shared" si="36"/>
        <v>L2</v>
      </c>
      <c r="F231" s="30" t="str">
        <f t="shared" si="37"/>
        <v>Active</v>
      </c>
      <c r="G231" s="22">
        <v>4</v>
      </c>
      <c r="H231" t="str">
        <f t="shared" si="38"/>
        <v>Exceeds Expectations</v>
      </c>
      <c r="I231" s="22">
        <v>4</v>
      </c>
      <c r="J231" s="22" t="str">
        <f t="shared" si="39"/>
        <v>Stable</v>
      </c>
      <c r="K231" s="31">
        <v>0.83</v>
      </c>
      <c r="L231" s="24">
        <v>4.2</v>
      </c>
      <c r="M231" s="22" t="s">
        <v>61</v>
      </c>
      <c r="N231" s="22" t="str">
        <f t="shared" si="40"/>
        <v>High</v>
      </c>
      <c r="O231" t="str">
        <f>INDEX(NineBox,MATCH(N231,{"Low","Mid","High"},0),MATCH(M231,{"Low","Medium","High"},0))</f>
        <v>Star</v>
      </c>
      <c r="P231" s="28">
        <v>46156</v>
      </c>
      <c r="Q231" s="24">
        <f t="shared" si="41"/>
        <v>0.3805612594113621</v>
      </c>
      <c r="R231" s="22" t="str">
        <f t="shared" si="42"/>
        <v>Not Eligible</v>
      </c>
      <c r="S231" t="str">
        <f t="shared" si="43"/>
        <v>Under 1.5 yrs in current level</v>
      </c>
      <c r="T231" s="22" t="s">
        <v>1687</v>
      </c>
    </row>
    <row r="232" spans="1:20" x14ac:dyDescent="0.3">
      <c r="A232" s="22" t="s">
        <v>884</v>
      </c>
      <c r="B232" s="29" t="str">
        <f t="shared" si="33"/>
        <v>Lakshmi Raghavan</v>
      </c>
      <c r="C232" s="29" t="str">
        <f t="shared" si="34"/>
        <v>Gaurav Fernandes</v>
      </c>
      <c r="D232" s="29" t="str">
        <f t="shared" si="35"/>
        <v>Engineering</v>
      </c>
      <c r="E232" s="30" t="str">
        <f t="shared" si="36"/>
        <v>L3</v>
      </c>
      <c r="F232" s="30" t="str">
        <f t="shared" si="37"/>
        <v>Active</v>
      </c>
      <c r="G232" s="22">
        <v>3</v>
      </c>
      <c r="H232" t="str">
        <f t="shared" si="38"/>
        <v>Meets Expectations</v>
      </c>
      <c r="I232" s="22">
        <v>3</v>
      </c>
      <c r="J232" s="22" t="str">
        <f t="shared" si="39"/>
        <v>Stable</v>
      </c>
      <c r="K232" s="31">
        <v>0.81</v>
      </c>
      <c r="L232" s="24">
        <v>2.8</v>
      </c>
      <c r="M232" s="22" t="s">
        <v>60</v>
      </c>
      <c r="N232" s="22" t="str">
        <f t="shared" si="40"/>
        <v>Mid</v>
      </c>
      <c r="O232" t="str">
        <f>INDEX(NineBox,MATCH(N232,{"Low","Mid","High"},0),MATCH(M232,{"Low","Medium","High"},0))</f>
        <v>Core Player</v>
      </c>
      <c r="P232" s="28">
        <v>45841</v>
      </c>
      <c r="Q232" s="24">
        <f t="shared" si="41"/>
        <v>1.2429842573579739</v>
      </c>
      <c r="R232" s="22" t="str">
        <f t="shared" si="42"/>
        <v>Not Eligible</v>
      </c>
      <c r="S232" t="str">
        <f t="shared" si="43"/>
        <v>Rating below 4</v>
      </c>
      <c r="T232" s="22" t="s">
        <v>1687</v>
      </c>
    </row>
    <row r="233" spans="1:20" x14ac:dyDescent="0.3">
      <c r="A233" s="22" t="s">
        <v>887</v>
      </c>
      <c r="B233" s="29" t="str">
        <f t="shared" si="33"/>
        <v>Nisha Reddy</v>
      </c>
      <c r="C233" s="29" t="str">
        <f t="shared" si="34"/>
        <v>Isha Verma</v>
      </c>
      <c r="D233" s="29" t="str">
        <f t="shared" si="35"/>
        <v>Customer Support</v>
      </c>
      <c r="E233" s="30" t="str">
        <f t="shared" si="36"/>
        <v>L1</v>
      </c>
      <c r="F233" s="30" t="str">
        <f t="shared" si="37"/>
        <v>Active</v>
      </c>
      <c r="G233" s="22">
        <v>2</v>
      </c>
      <c r="H233" t="str">
        <f t="shared" si="38"/>
        <v>Needs Improvement</v>
      </c>
      <c r="I233" s="22">
        <v>3</v>
      </c>
      <c r="J233" s="22" t="str">
        <f t="shared" si="39"/>
        <v>Declined</v>
      </c>
      <c r="K233" s="31">
        <v>0.64</v>
      </c>
      <c r="L233" s="24">
        <v>3.3</v>
      </c>
      <c r="M233" s="22" t="s">
        <v>60</v>
      </c>
      <c r="N233" s="22" t="str">
        <f t="shared" si="40"/>
        <v>Low</v>
      </c>
      <c r="O233" t="str">
        <f>INDEX(NineBox,MATCH(N233,{"Low","Mid","High"},0),MATCH(M233,{"Low","Medium","High"},0))</f>
        <v>Inconsistent Player</v>
      </c>
      <c r="P233" s="28">
        <v>45392</v>
      </c>
      <c r="Q233" s="24">
        <f t="shared" si="41"/>
        <v>2.4722792607802875</v>
      </c>
      <c r="R233" s="22" t="str">
        <f t="shared" si="42"/>
        <v>Not Eligible</v>
      </c>
      <c r="S233" t="str">
        <f t="shared" si="43"/>
        <v>Rating below 4</v>
      </c>
      <c r="T233" s="22" t="s">
        <v>1687</v>
      </c>
    </row>
    <row r="234" spans="1:20" x14ac:dyDescent="0.3">
      <c r="A234" s="22" t="s">
        <v>891</v>
      </c>
      <c r="B234" s="29" t="str">
        <f t="shared" si="33"/>
        <v>Anand Yadav</v>
      </c>
      <c r="C234" s="29" t="str">
        <f t="shared" si="34"/>
        <v>Sachin Shetty</v>
      </c>
      <c r="D234" s="29" t="str">
        <f t="shared" si="35"/>
        <v>Product</v>
      </c>
      <c r="E234" s="30" t="str">
        <f t="shared" si="36"/>
        <v>L1</v>
      </c>
      <c r="F234" s="30" t="str">
        <f t="shared" si="37"/>
        <v>Active</v>
      </c>
      <c r="G234" s="22">
        <v>2</v>
      </c>
      <c r="H234" t="str">
        <f t="shared" si="38"/>
        <v>Needs Improvement</v>
      </c>
      <c r="I234" s="22">
        <v>2</v>
      </c>
      <c r="J234" s="22" t="str">
        <f t="shared" si="39"/>
        <v>Stable</v>
      </c>
      <c r="K234" s="31">
        <v>0.88</v>
      </c>
      <c r="L234" s="24">
        <v>3.1</v>
      </c>
      <c r="M234" s="22" t="s">
        <v>60</v>
      </c>
      <c r="N234" s="22" t="str">
        <f t="shared" si="40"/>
        <v>Low</v>
      </c>
      <c r="O234" t="str">
        <f>INDEX(NineBox,MATCH(N234,{"Low","Mid","High"},0),MATCH(M234,{"Low","Medium","High"},0))</f>
        <v>Inconsistent Player</v>
      </c>
      <c r="P234" s="28">
        <v>45949</v>
      </c>
      <c r="Q234" s="24">
        <f t="shared" si="41"/>
        <v>0.94729637234770703</v>
      </c>
      <c r="R234" s="22" t="str">
        <f t="shared" si="42"/>
        <v>Not Eligible</v>
      </c>
      <c r="S234" t="str">
        <f t="shared" si="43"/>
        <v>Rating below 4</v>
      </c>
      <c r="T234" s="22" t="s">
        <v>1687</v>
      </c>
    </row>
    <row r="235" spans="1:20" x14ac:dyDescent="0.3">
      <c r="A235" s="22" t="s">
        <v>895</v>
      </c>
      <c r="B235" s="29" t="str">
        <f t="shared" si="33"/>
        <v>Arun Gupta</v>
      </c>
      <c r="C235" s="29" t="str">
        <f t="shared" si="34"/>
        <v>Nandini Iyer</v>
      </c>
      <c r="D235" s="29" t="str">
        <f t="shared" si="35"/>
        <v>Marketing</v>
      </c>
      <c r="E235" s="30" t="str">
        <f t="shared" si="36"/>
        <v>L1</v>
      </c>
      <c r="F235" s="30" t="str">
        <f t="shared" si="37"/>
        <v>Exited</v>
      </c>
      <c r="G235" s="22">
        <v>3</v>
      </c>
      <c r="H235" t="str">
        <f t="shared" si="38"/>
        <v>Meets Expectations</v>
      </c>
      <c r="I235" s="22">
        <v>2</v>
      </c>
      <c r="J235" s="22" t="str">
        <f t="shared" si="39"/>
        <v>Improved</v>
      </c>
      <c r="K235" s="31">
        <v>0.7</v>
      </c>
      <c r="L235" s="24">
        <v>1.8</v>
      </c>
      <c r="M235" s="22" t="s">
        <v>59</v>
      </c>
      <c r="N235" s="22" t="str">
        <f t="shared" si="40"/>
        <v>Mid</v>
      </c>
      <c r="O235" t="str">
        <f>INDEX(NineBox,MATCH(N235,{"Low","Mid","High"},0),MATCH(M235,{"Low","Medium","High"},0))</f>
        <v>Effective Contributor</v>
      </c>
      <c r="P235" s="28">
        <v>45843</v>
      </c>
      <c r="Q235" s="24">
        <f t="shared" si="41"/>
        <v>1.2375085557837098</v>
      </c>
      <c r="R235" s="22" t="str">
        <f t="shared" si="42"/>
        <v>Not Eligible</v>
      </c>
      <c r="S235" t="str">
        <f t="shared" si="43"/>
        <v>Employee has exited</v>
      </c>
      <c r="T235" s="22" t="s">
        <v>1687</v>
      </c>
    </row>
    <row r="236" spans="1:20" x14ac:dyDescent="0.3">
      <c r="A236" s="22" t="s">
        <v>899</v>
      </c>
      <c r="B236" s="29" t="str">
        <f t="shared" si="33"/>
        <v>Sanjay Chatterjee</v>
      </c>
      <c r="C236" s="29" t="str">
        <f t="shared" si="34"/>
        <v>Nandini Fernandes</v>
      </c>
      <c r="D236" s="29" t="str">
        <f t="shared" si="35"/>
        <v>Operations</v>
      </c>
      <c r="E236" s="30" t="str">
        <f t="shared" si="36"/>
        <v>L1</v>
      </c>
      <c r="F236" s="30" t="str">
        <f t="shared" si="37"/>
        <v>Active</v>
      </c>
      <c r="G236" s="22">
        <v>2</v>
      </c>
      <c r="H236" t="str">
        <f t="shared" si="38"/>
        <v>Needs Improvement</v>
      </c>
      <c r="I236" s="22">
        <v>1</v>
      </c>
      <c r="J236" s="22" t="str">
        <f t="shared" si="39"/>
        <v>Improved</v>
      </c>
      <c r="K236" s="31">
        <v>0.61</v>
      </c>
      <c r="L236" s="24">
        <v>2.2999999999999998</v>
      </c>
      <c r="M236" s="22" t="s">
        <v>59</v>
      </c>
      <c r="N236" s="22" t="str">
        <f t="shared" si="40"/>
        <v>Low</v>
      </c>
      <c r="O236" t="str">
        <f>INDEX(NineBox,MATCH(N236,{"Low","Mid","High"},0),MATCH(M236,{"Low","Medium","High"},0))</f>
        <v>Underperformer</v>
      </c>
      <c r="P236" s="28">
        <v>45929</v>
      </c>
      <c r="Q236" s="24">
        <f t="shared" si="41"/>
        <v>1.0020533880903491</v>
      </c>
      <c r="R236" s="22" t="str">
        <f t="shared" si="42"/>
        <v>Not Eligible</v>
      </c>
      <c r="S236" t="str">
        <f t="shared" si="43"/>
        <v>Rating below 4</v>
      </c>
      <c r="T236" s="22" t="s">
        <v>1687</v>
      </c>
    </row>
    <row r="237" spans="1:20" x14ac:dyDescent="0.3">
      <c r="A237" s="22" t="s">
        <v>514</v>
      </c>
      <c r="B237" s="29" t="str">
        <f t="shared" si="33"/>
        <v>Sachin Shetty</v>
      </c>
      <c r="C237" s="29" t="str">
        <f t="shared" si="34"/>
        <v>Trisha Patel</v>
      </c>
      <c r="D237" s="29" t="str">
        <f t="shared" si="35"/>
        <v>Product</v>
      </c>
      <c r="E237" s="30" t="str">
        <f t="shared" si="36"/>
        <v>L5</v>
      </c>
      <c r="F237" s="30" t="str">
        <f t="shared" si="37"/>
        <v>Active</v>
      </c>
      <c r="G237" s="22">
        <v>5</v>
      </c>
      <c r="H237" t="str">
        <f t="shared" si="38"/>
        <v>Outstanding</v>
      </c>
      <c r="I237" s="22">
        <v>5</v>
      </c>
      <c r="J237" s="22" t="str">
        <f t="shared" si="39"/>
        <v>Stable</v>
      </c>
      <c r="K237" s="31">
        <v>1.1200000000000001</v>
      </c>
      <c r="L237" s="24">
        <v>4.9000000000000004</v>
      </c>
      <c r="M237" s="22" t="s">
        <v>61</v>
      </c>
      <c r="N237" s="22" t="str">
        <f t="shared" si="40"/>
        <v>High</v>
      </c>
      <c r="O237" t="str">
        <f>INDEX(NineBox,MATCH(N237,{"Low","Mid","High"},0),MATCH(M237,{"Low","Medium","High"},0))</f>
        <v>Star</v>
      </c>
      <c r="P237" s="28">
        <v>45916</v>
      </c>
      <c r="Q237" s="24">
        <f t="shared" si="41"/>
        <v>1.0376454483230664</v>
      </c>
      <c r="R237" s="22" t="str">
        <f t="shared" si="42"/>
        <v>Not Eligible</v>
      </c>
      <c r="S237" t="str">
        <f t="shared" si="43"/>
        <v>Under 1.5 yrs in current level</v>
      </c>
      <c r="T237" s="22" t="s">
        <v>1688</v>
      </c>
    </row>
    <row r="238" spans="1:20" x14ac:dyDescent="0.3">
      <c r="A238" s="22" t="s">
        <v>904</v>
      </c>
      <c r="B238" s="29" t="str">
        <f t="shared" si="33"/>
        <v>Sanjana Mukherjee</v>
      </c>
      <c r="C238" s="29" t="str">
        <f t="shared" si="34"/>
        <v>Vikas Singh</v>
      </c>
      <c r="D238" s="29" t="str">
        <f t="shared" si="35"/>
        <v>Engineering</v>
      </c>
      <c r="E238" s="30" t="str">
        <f t="shared" si="36"/>
        <v>L2</v>
      </c>
      <c r="F238" s="30" t="str">
        <f t="shared" si="37"/>
        <v>Active</v>
      </c>
      <c r="G238" s="22">
        <v>4</v>
      </c>
      <c r="H238" t="str">
        <f t="shared" si="38"/>
        <v>Exceeds Expectations</v>
      </c>
      <c r="I238" s="22">
        <v>5</v>
      </c>
      <c r="J238" s="22" t="str">
        <f t="shared" si="39"/>
        <v>Declined</v>
      </c>
      <c r="K238" s="31">
        <v>0.86</v>
      </c>
      <c r="L238" s="24">
        <v>3.2</v>
      </c>
      <c r="M238" s="22" t="s">
        <v>61</v>
      </c>
      <c r="N238" s="22" t="str">
        <f t="shared" si="40"/>
        <v>High</v>
      </c>
      <c r="O238" t="str">
        <f>INDEX(NineBox,MATCH(N238,{"Low","Mid","High"},0),MATCH(M238,{"Low","Medium","High"},0))</f>
        <v>Star</v>
      </c>
      <c r="P238" s="28">
        <v>45405</v>
      </c>
      <c r="Q238" s="24">
        <f t="shared" si="41"/>
        <v>2.4366872005475702</v>
      </c>
      <c r="R238" s="22" t="str">
        <f t="shared" si="42"/>
        <v>Eligible</v>
      </c>
      <c r="S238" t="str">
        <f t="shared" si="43"/>
        <v>Meets rating and time-in-level criteria</v>
      </c>
      <c r="T238" s="22" t="s">
        <v>1687</v>
      </c>
    </row>
    <row r="239" spans="1:20" x14ac:dyDescent="0.3">
      <c r="A239" s="22" t="s">
        <v>129</v>
      </c>
      <c r="B239" s="29" t="str">
        <f t="shared" si="33"/>
        <v>Nandini Iyer</v>
      </c>
      <c r="C239" s="29" t="str">
        <f t="shared" si="34"/>
        <v>Aishwarya Mukherjee</v>
      </c>
      <c r="D239" s="29" t="str">
        <f t="shared" si="35"/>
        <v>Marketing</v>
      </c>
      <c r="E239" s="30" t="str">
        <f t="shared" si="36"/>
        <v>L5</v>
      </c>
      <c r="F239" s="30" t="str">
        <f t="shared" si="37"/>
        <v>Active</v>
      </c>
      <c r="G239" s="22">
        <v>2</v>
      </c>
      <c r="H239" t="str">
        <f t="shared" si="38"/>
        <v>Needs Improvement</v>
      </c>
      <c r="I239" s="22">
        <v>2</v>
      </c>
      <c r="J239" s="22" t="str">
        <f t="shared" si="39"/>
        <v>Stable</v>
      </c>
      <c r="K239" s="31">
        <v>0.73</v>
      </c>
      <c r="L239" s="24">
        <v>1.8</v>
      </c>
      <c r="M239" s="22" t="s">
        <v>60</v>
      </c>
      <c r="N239" s="22" t="str">
        <f t="shared" si="40"/>
        <v>Low</v>
      </c>
      <c r="O239" t="str">
        <f>INDEX(NineBox,MATCH(N239,{"Low","Mid","High"},0),MATCH(M239,{"Low","Medium","High"},0))</f>
        <v>Inconsistent Player</v>
      </c>
      <c r="P239" s="28">
        <v>45977</v>
      </c>
      <c r="Q239" s="24">
        <f t="shared" si="41"/>
        <v>0.87063655030800824</v>
      </c>
      <c r="R239" s="22" t="str">
        <f t="shared" si="42"/>
        <v>Not Eligible</v>
      </c>
      <c r="S239" t="str">
        <f t="shared" si="43"/>
        <v>Rating below 4</v>
      </c>
      <c r="T239" s="22" t="s">
        <v>1687</v>
      </c>
    </row>
    <row r="240" spans="1:20" x14ac:dyDescent="0.3">
      <c r="A240" s="22" t="s">
        <v>908</v>
      </c>
      <c r="B240" s="29" t="str">
        <f t="shared" si="33"/>
        <v>Sakshi Mukherjee</v>
      </c>
      <c r="C240" s="29" t="str">
        <f t="shared" si="34"/>
        <v>Prakash Desai</v>
      </c>
      <c r="D240" s="29" t="str">
        <f t="shared" si="35"/>
        <v>Engineering</v>
      </c>
      <c r="E240" s="30" t="str">
        <f t="shared" si="36"/>
        <v>L1</v>
      </c>
      <c r="F240" s="30" t="str">
        <f t="shared" si="37"/>
        <v>Exited</v>
      </c>
      <c r="G240" s="22">
        <v>3</v>
      </c>
      <c r="H240" t="str">
        <f t="shared" si="38"/>
        <v>Meets Expectations</v>
      </c>
      <c r="I240" s="22">
        <v>3</v>
      </c>
      <c r="J240" s="22" t="str">
        <f t="shared" si="39"/>
        <v>Stable</v>
      </c>
      <c r="K240" s="31">
        <v>0.83</v>
      </c>
      <c r="L240" s="24">
        <v>3.1</v>
      </c>
      <c r="M240" s="22" t="s">
        <v>60</v>
      </c>
      <c r="N240" s="22" t="str">
        <f t="shared" si="40"/>
        <v>Mid</v>
      </c>
      <c r="O240" t="str">
        <f>INDEX(NineBox,MATCH(N240,{"Low","Mid","High"},0),MATCH(M240,{"Low","Medium","High"},0))</f>
        <v>Core Player</v>
      </c>
      <c r="P240" s="28">
        <v>45412</v>
      </c>
      <c r="Q240" s="24">
        <f t="shared" si="41"/>
        <v>2.4175222450376452</v>
      </c>
      <c r="R240" s="22" t="str">
        <f t="shared" si="42"/>
        <v>Not Eligible</v>
      </c>
      <c r="S240" t="str">
        <f t="shared" si="43"/>
        <v>Employee has exited</v>
      </c>
      <c r="T240" s="22" t="s">
        <v>1687</v>
      </c>
    </row>
    <row r="241" spans="1:20" x14ac:dyDescent="0.3">
      <c r="A241" s="22" t="s">
        <v>912</v>
      </c>
      <c r="B241" s="29" t="str">
        <f t="shared" si="33"/>
        <v>Ramya Khan</v>
      </c>
      <c r="C241" s="29" t="str">
        <f t="shared" si="34"/>
        <v>Swathi Mukherjee</v>
      </c>
      <c r="D241" s="29" t="str">
        <f t="shared" si="35"/>
        <v>Legal &amp; Compliance</v>
      </c>
      <c r="E241" s="30" t="str">
        <f t="shared" si="36"/>
        <v>L4</v>
      </c>
      <c r="F241" s="30" t="str">
        <f t="shared" si="37"/>
        <v>Active</v>
      </c>
      <c r="G241" s="22">
        <v>5</v>
      </c>
      <c r="H241" t="str">
        <f t="shared" si="38"/>
        <v>Outstanding</v>
      </c>
      <c r="I241" s="22">
        <v>5</v>
      </c>
      <c r="J241" s="22" t="str">
        <f t="shared" si="39"/>
        <v>Stable</v>
      </c>
      <c r="K241" s="31">
        <v>1.06</v>
      </c>
      <c r="L241" s="24">
        <v>5</v>
      </c>
      <c r="M241" s="22" t="s">
        <v>61</v>
      </c>
      <c r="N241" s="22" t="str">
        <f t="shared" si="40"/>
        <v>High</v>
      </c>
      <c r="O241" t="str">
        <f>INDEX(NineBox,MATCH(N241,{"Low","Mid","High"},0),MATCH(M241,{"Low","Medium","High"},0))</f>
        <v>Star</v>
      </c>
      <c r="P241" s="28">
        <v>45416</v>
      </c>
      <c r="Q241" s="24">
        <f t="shared" si="41"/>
        <v>2.406570841889117</v>
      </c>
      <c r="R241" s="22" t="str">
        <f t="shared" si="42"/>
        <v>Eligible</v>
      </c>
      <c r="S241" t="str">
        <f t="shared" si="43"/>
        <v>Meets rating and time-in-level criteria</v>
      </c>
      <c r="T241" s="22" t="s">
        <v>1688</v>
      </c>
    </row>
    <row r="242" spans="1:20" x14ac:dyDescent="0.3">
      <c r="A242" s="22" t="s">
        <v>727</v>
      </c>
      <c r="B242" s="29" t="str">
        <f t="shared" si="33"/>
        <v>Imran Joshi</v>
      </c>
      <c r="C242" s="29" t="str">
        <f t="shared" si="34"/>
        <v>Akash Dsouza</v>
      </c>
      <c r="D242" s="29" t="str">
        <f t="shared" si="35"/>
        <v>Customer Support</v>
      </c>
      <c r="E242" s="30" t="str">
        <f t="shared" si="36"/>
        <v>L5</v>
      </c>
      <c r="F242" s="30" t="str">
        <f t="shared" si="37"/>
        <v>Active</v>
      </c>
      <c r="G242" s="22">
        <v>5</v>
      </c>
      <c r="H242" t="str">
        <f t="shared" si="38"/>
        <v>Outstanding</v>
      </c>
      <c r="I242" s="22">
        <v>5</v>
      </c>
      <c r="J242" s="22" t="str">
        <f t="shared" si="39"/>
        <v>Stable</v>
      </c>
      <c r="K242" s="31">
        <v>1.07</v>
      </c>
      <c r="L242" s="24">
        <v>5</v>
      </c>
      <c r="M242" s="22" t="s">
        <v>61</v>
      </c>
      <c r="N242" s="22" t="str">
        <f t="shared" si="40"/>
        <v>High</v>
      </c>
      <c r="O242" t="str">
        <f>INDEX(NineBox,MATCH(N242,{"Low","Mid","High"},0),MATCH(M242,{"Low","Medium","High"},0))</f>
        <v>Star</v>
      </c>
      <c r="P242" s="28">
        <v>45419</v>
      </c>
      <c r="Q242" s="24">
        <f t="shared" si="41"/>
        <v>2.3983572895277208</v>
      </c>
      <c r="R242" s="22" t="str">
        <f t="shared" si="42"/>
        <v>Eligible</v>
      </c>
      <c r="S242" t="str">
        <f t="shared" si="43"/>
        <v>Meets rating and time-in-level criteria</v>
      </c>
      <c r="T242" s="22" t="s">
        <v>1687</v>
      </c>
    </row>
    <row r="243" spans="1:20" x14ac:dyDescent="0.3">
      <c r="A243" s="22" t="s">
        <v>917</v>
      </c>
      <c r="B243" s="29" t="str">
        <f t="shared" si="33"/>
        <v>Aarav Das</v>
      </c>
      <c r="C243" s="29" t="str">
        <f t="shared" si="34"/>
        <v>Isha Jain</v>
      </c>
      <c r="D243" s="29" t="str">
        <f t="shared" si="35"/>
        <v>Engineering</v>
      </c>
      <c r="E243" s="30" t="str">
        <f t="shared" si="36"/>
        <v>L2</v>
      </c>
      <c r="F243" s="30" t="str">
        <f t="shared" si="37"/>
        <v>Active</v>
      </c>
      <c r="G243" s="22">
        <v>3</v>
      </c>
      <c r="H243" t="str">
        <f t="shared" si="38"/>
        <v>Meets Expectations</v>
      </c>
      <c r="I243" s="22">
        <v>3</v>
      </c>
      <c r="J243" s="22" t="str">
        <f t="shared" si="39"/>
        <v>Stable</v>
      </c>
      <c r="K243" s="31">
        <v>0.79</v>
      </c>
      <c r="L243" s="24">
        <v>2.5</v>
      </c>
      <c r="M243" s="22" t="s">
        <v>60</v>
      </c>
      <c r="N243" s="22" t="str">
        <f t="shared" si="40"/>
        <v>Mid</v>
      </c>
      <c r="O243" t="str">
        <f>INDEX(NineBox,MATCH(N243,{"Low","Mid","High"},0),MATCH(M243,{"Low","Medium","High"},0))</f>
        <v>Core Player</v>
      </c>
      <c r="P243" s="28">
        <v>45963</v>
      </c>
      <c r="Q243" s="24">
        <f t="shared" si="41"/>
        <v>0.90896646132785763</v>
      </c>
      <c r="R243" s="22" t="str">
        <f t="shared" si="42"/>
        <v>Not Eligible</v>
      </c>
      <c r="S243" t="str">
        <f t="shared" si="43"/>
        <v>Rating below 4</v>
      </c>
      <c r="T243" s="22" t="s">
        <v>1687</v>
      </c>
    </row>
    <row r="244" spans="1:20" x14ac:dyDescent="0.3">
      <c r="A244" s="22" t="s">
        <v>920</v>
      </c>
      <c r="B244" s="29" t="str">
        <f t="shared" si="33"/>
        <v>Tanvi Yadav</v>
      </c>
      <c r="C244" s="29" t="str">
        <f t="shared" si="34"/>
        <v>Imran Joshi</v>
      </c>
      <c r="D244" s="29" t="str">
        <f t="shared" si="35"/>
        <v>Customer Support</v>
      </c>
      <c r="E244" s="30" t="str">
        <f t="shared" si="36"/>
        <v>L4</v>
      </c>
      <c r="F244" s="30" t="str">
        <f t="shared" si="37"/>
        <v>Active</v>
      </c>
      <c r="G244" s="22">
        <v>5</v>
      </c>
      <c r="H244" t="str">
        <f t="shared" si="38"/>
        <v>Outstanding</v>
      </c>
      <c r="I244" s="22">
        <v>5</v>
      </c>
      <c r="J244" s="22" t="str">
        <f t="shared" si="39"/>
        <v>Stable</v>
      </c>
      <c r="K244" s="31">
        <v>1.1599999999999999</v>
      </c>
      <c r="L244" s="24">
        <v>5</v>
      </c>
      <c r="M244" s="22" t="s">
        <v>61</v>
      </c>
      <c r="N244" s="22" t="str">
        <f t="shared" si="40"/>
        <v>High</v>
      </c>
      <c r="O244" t="str">
        <f>INDEX(NineBox,MATCH(N244,{"Low","Mid","High"},0),MATCH(M244,{"Low","Medium","High"},0))</f>
        <v>Star</v>
      </c>
      <c r="P244" s="28">
        <v>45422</v>
      </c>
      <c r="Q244" s="24">
        <f t="shared" si="41"/>
        <v>2.3901437371663246</v>
      </c>
      <c r="R244" s="22" t="str">
        <f t="shared" si="42"/>
        <v>Eligible</v>
      </c>
      <c r="S244" t="str">
        <f t="shared" si="43"/>
        <v>Meets rating and time-in-level criteria</v>
      </c>
      <c r="T244" s="22" t="s">
        <v>1687</v>
      </c>
    </row>
    <row r="245" spans="1:20" x14ac:dyDescent="0.3">
      <c r="A245" s="22" t="s">
        <v>923</v>
      </c>
      <c r="B245" s="29" t="str">
        <f t="shared" si="33"/>
        <v>Yash Joshi</v>
      </c>
      <c r="C245" s="29" t="str">
        <f t="shared" si="34"/>
        <v>Amit Kumar</v>
      </c>
      <c r="D245" s="29" t="str">
        <f t="shared" si="35"/>
        <v>Operations</v>
      </c>
      <c r="E245" s="30" t="str">
        <f t="shared" si="36"/>
        <v>L1</v>
      </c>
      <c r="F245" s="30" t="str">
        <f t="shared" si="37"/>
        <v>Active</v>
      </c>
      <c r="G245" s="22">
        <v>3</v>
      </c>
      <c r="H245" t="str">
        <f t="shared" si="38"/>
        <v>Meets Expectations</v>
      </c>
      <c r="I245" s="22">
        <v>3</v>
      </c>
      <c r="J245" s="22" t="str">
        <f t="shared" si="39"/>
        <v>Stable</v>
      </c>
      <c r="K245" s="31">
        <v>0.8</v>
      </c>
      <c r="L245" s="24">
        <v>2.5</v>
      </c>
      <c r="M245" s="22" t="s">
        <v>61</v>
      </c>
      <c r="N245" s="22" t="str">
        <f t="shared" si="40"/>
        <v>Mid</v>
      </c>
      <c r="O245" t="str">
        <f>INDEX(NineBox,MATCH(N245,{"Low","Mid","High"},0),MATCH(M245,{"Low","Medium","High"},0))</f>
        <v>Future Star</v>
      </c>
      <c r="P245" s="28">
        <v>45423</v>
      </c>
      <c r="Q245" s="24">
        <f t="shared" si="41"/>
        <v>2.3874058863791925</v>
      </c>
      <c r="R245" s="22" t="str">
        <f t="shared" si="42"/>
        <v>Not Eligible</v>
      </c>
      <c r="S245" t="str">
        <f t="shared" si="43"/>
        <v>Rating below 4</v>
      </c>
      <c r="T245" s="22" t="s">
        <v>1687</v>
      </c>
    </row>
    <row r="246" spans="1:20" x14ac:dyDescent="0.3">
      <c r="A246" s="22" t="s">
        <v>926</v>
      </c>
      <c r="B246" s="29" t="str">
        <f t="shared" si="33"/>
        <v>Rajesh Raghavan</v>
      </c>
      <c r="C246" s="29" t="str">
        <f t="shared" si="34"/>
        <v>Ramya Khanna</v>
      </c>
      <c r="D246" s="29" t="str">
        <f t="shared" si="35"/>
        <v>Legal &amp; Compliance</v>
      </c>
      <c r="E246" s="30" t="str">
        <f t="shared" si="36"/>
        <v>L3</v>
      </c>
      <c r="F246" s="30" t="str">
        <f t="shared" si="37"/>
        <v>Exited</v>
      </c>
      <c r="G246" s="22">
        <v>3</v>
      </c>
      <c r="H246" t="str">
        <f t="shared" si="38"/>
        <v>Meets Expectations</v>
      </c>
      <c r="I246" s="22">
        <v>4</v>
      </c>
      <c r="J246" s="22" t="str">
        <f t="shared" si="39"/>
        <v>Declined</v>
      </c>
      <c r="K246" s="31">
        <v>0.84</v>
      </c>
      <c r="L246" s="24">
        <v>3</v>
      </c>
      <c r="M246" s="22" t="s">
        <v>61</v>
      </c>
      <c r="N246" s="22" t="str">
        <f t="shared" si="40"/>
        <v>Mid</v>
      </c>
      <c r="O246" t="str">
        <f>INDEX(NineBox,MATCH(N246,{"Low","Mid","High"},0),MATCH(M246,{"Low","Medium","High"},0))</f>
        <v>Future Star</v>
      </c>
      <c r="P246" s="28">
        <v>45423</v>
      </c>
      <c r="Q246" s="24">
        <f t="shared" si="41"/>
        <v>2.3874058863791925</v>
      </c>
      <c r="R246" s="22" t="str">
        <f t="shared" si="42"/>
        <v>Not Eligible</v>
      </c>
      <c r="S246" t="str">
        <f t="shared" si="43"/>
        <v>Employee has exited</v>
      </c>
      <c r="T246" s="22" t="s">
        <v>1687</v>
      </c>
    </row>
    <row r="247" spans="1:20" x14ac:dyDescent="0.3">
      <c r="A247" s="22" t="s">
        <v>929</v>
      </c>
      <c r="B247" s="29" t="str">
        <f t="shared" si="33"/>
        <v>Pranav Gupta</v>
      </c>
      <c r="C247" s="29" t="str">
        <f t="shared" si="34"/>
        <v>Isha Chatterjee</v>
      </c>
      <c r="D247" s="29" t="str">
        <f t="shared" si="35"/>
        <v>Marketing</v>
      </c>
      <c r="E247" s="30" t="str">
        <f t="shared" si="36"/>
        <v>L1</v>
      </c>
      <c r="F247" s="30" t="str">
        <f t="shared" si="37"/>
        <v>Active</v>
      </c>
      <c r="G247" s="22">
        <v>3</v>
      </c>
      <c r="H247" t="str">
        <f t="shared" si="38"/>
        <v>Meets Expectations</v>
      </c>
      <c r="I247" s="22">
        <v>3</v>
      </c>
      <c r="J247" s="22" t="str">
        <f t="shared" si="39"/>
        <v>Stable</v>
      </c>
      <c r="K247" s="31">
        <v>0.72</v>
      </c>
      <c r="L247" s="24">
        <v>3.3</v>
      </c>
      <c r="M247" s="22" t="s">
        <v>60</v>
      </c>
      <c r="N247" s="22" t="str">
        <f t="shared" si="40"/>
        <v>Mid</v>
      </c>
      <c r="O247" t="str">
        <f>INDEX(NineBox,MATCH(N247,{"Low","Mid","High"},0),MATCH(M247,{"Low","Medium","High"},0))</f>
        <v>Core Player</v>
      </c>
      <c r="P247" s="28">
        <v>45426</v>
      </c>
      <c r="Q247" s="24">
        <f t="shared" si="41"/>
        <v>2.3791923340177958</v>
      </c>
      <c r="R247" s="22" t="str">
        <f t="shared" si="42"/>
        <v>Not Eligible</v>
      </c>
      <c r="S247" t="str">
        <f t="shared" si="43"/>
        <v>Rating below 4</v>
      </c>
      <c r="T247" s="22" t="s">
        <v>1687</v>
      </c>
    </row>
    <row r="248" spans="1:20" x14ac:dyDescent="0.3">
      <c r="A248" s="22" t="s">
        <v>104</v>
      </c>
      <c r="B248" s="29" t="str">
        <f t="shared" si="33"/>
        <v>Yamini Nair</v>
      </c>
      <c r="C248" s="29" t="str">
        <f t="shared" si="34"/>
        <v>Aishwarya Khan</v>
      </c>
      <c r="D248" s="29" t="str">
        <f t="shared" si="35"/>
        <v>Engineering</v>
      </c>
      <c r="E248" s="30" t="str">
        <f t="shared" si="36"/>
        <v>L6</v>
      </c>
      <c r="F248" s="30" t="str">
        <f t="shared" si="37"/>
        <v>Active</v>
      </c>
      <c r="G248" s="22">
        <v>3</v>
      </c>
      <c r="H248" t="str">
        <f t="shared" si="38"/>
        <v>Meets Expectations</v>
      </c>
      <c r="I248" s="22">
        <v>3</v>
      </c>
      <c r="J248" s="22" t="str">
        <f t="shared" si="39"/>
        <v>Stable</v>
      </c>
      <c r="K248" s="31">
        <v>0.79</v>
      </c>
      <c r="L248" s="24">
        <v>3.6</v>
      </c>
      <c r="M248" s="22" t="s">
        <v>61</v>
      </c>
      <c r="N248" s="22" t="str">
        <f t="shared" si="40"/>
        <v>Mid</v>
      </c>
      <c r="O248" t="str">
        <f>INDEX(NineBox,MATCH(N248,{"Low","Mid","High"},0),MATCH(M248,{"Low","Medium","High"},0))</f>
        <v>Future Star</v>
      </c>
      <c r="P248" s="28">
        <v>46092</v>
      </c>
      <c r="Q248" s="24">
        <f t="shared" si="41"/>
        <v>0.55578370978781655</v>
      </c>
      <c r="R248" s="22" t="str">
        <f t="shared" si="42"/>
        <v>Not Eligible</v>
      </c>
      <c r="S248" t="str">
        <f t="shared" si="43"/>
        <v>Rating below 4</v>
      </c>
      <c r="T248" s="22" t="s">
        <v>1687</v>
      </c>
    </row>
    <row r="249" spans="1:20" x14ac:dyDescent="0.3">
      <c r="A249" s="22" t="s">
        <v>933</v>
      </c>
      <c r="B249" s="29" t="str">
        <f t="shared" si="33"/>
        <v>Ravi Khanna</v>
      </c>
      <c r="C249" s="29" t="str">
        <f t="shared" si="34"/>
        <v>Akash Das</v>
      </c>
      <c r="D249" s="29" t="str">
        <f t="shared" si="35"/>
        <v>Human Resources</v>
      </c>
      <c r="E249" s="30" t="str">
        <f t="shared" si="36"/>
        <v>L1</v>
      </c>
      <c r="F249" s="30" t="str">
        <f t="shared" si="37"/>
        <v>Active</v>
      </c>
      <c r="G249" s="22">
        <v>3</v>
      </c>
      <c r="H249" t="str">
        <f t="shared" si="38"/>
        <v>Meets Expectations</v>
      </c>
      <c r="I249" s="22">
        <v>3</v>
      </c>
      <c r="J249" s="22" t="str">
        <f t="shared" si="39"/>
        <v>Stable</v>
      </c>
      <c r="K249" s="31">
        <v>0.83</v>
      </c>
      <c r="L249" s="24">
        <v>3.9</v>
      </c>
      <c r="M249" s="22" t="s">
        <v>59</v>
      </c>
      <c r="N249" s="22" t="str">
        <f t="shared" si="40"/>
        <v>Mid</v>
      </c>
      <c r="O249" t="str">
        <f>INDEX(NineBox,MATCH(N249,{"Low","Mid","High"},0),MATCH(M249,{"Low","Medium","High"},0))</f>
        <v>Effective Contributor</v>
      </c>
      <c r="P249" s="28">
        <v>46122</v>
      </c>
      <c r="Q249" s="24">
        <f t="shared" si="41"/>
        <v>0.47364818617385351</v>
      </c>
      <c r="R249" s="22" t="str">
        <f t="shared" si="42"/>
        <v>Not Eligible</v>
      </c>
      <c r="S249" t="str">
        <f t="shared" si="43"/>
        <v>Rating below 4</v>
      </c>
      <c r="T249" s="22" t="s">
        <v>1687</v>
      </c>
    </row>
    <row r="250" spans="1:20" x14ac:dyDescent="0.3">
      <c r="A250" s="22" t="s">
        <v>937</v>
      </c>
      <c r="B250" s="29" t="str">
        <f t="shared" si="33"/>
        <v>Vishal Kamath</v>
      </c>
      <c r="C250" s="29" t="str">
        <f t="shared" si="34"/>
        <v>Yash Shah</v>
      </c>
      <c r="D250" s="29" t="str">
        <f t="shared" si="35"/>
        <v>Operations</v>
      </c>
      <c r="E250" s="30" t="str">
        <f t="shared" si="36"/>
        <v>L3</v>
      </c>
      <c r="F250" s="30" t="str">
        <f t="shared" si="37"/>
        <v>Active</v>
      </c>
      <c r="G250" s="22">
        <v>3</v>
      </c>
      <c r="H250" t="str">
        <f t="shared" si="38"/>
        <v>Meets Expectations</v>
      </c>
      <c r="I250" s="22">
        <v>3</v>
      </c>
      <c r="J250" s="22" t="str">
        <f t="shared" si="39"/>
        <v>Stable</v>
      </c>
      <c r="K250" s="31">
        <v>0.73</v>
      </c>
      <c r="L250" s="24">
        <v>3.3</v>
      </c>
      <c r="M250" s="22" t="s">
        <v>60</v>
      </c>
      <c r="N250" s="22" t="str">
        <f t="shared" si="40"/>
        <v>Mid</v>
      </c>
      <c r="O250" t="str">
        <f>INDEX(NineBox,MATCH(N250,{"Low","Mid","High"},0),MATCH(M250,{"Low","Medium","High"},0))</f>
        <v>Core Player</v>
      </c>
      <c r="P250" s="28">
        <v>45862</v>
      </c>
      <c r="Q250" s="24">
        <f t="shared" si="41"/>
        <v>1.1854893908281998</v>
      </c>
      <c r="R250" s="22" t="str">
        <f t="shared" si="42"/>
        <v>Not Eligible</v>
      </c>
      <c r="S250" t="str">
        <f t="shared" si="43"/>
        <v>Rating below 4</v>
      </c>
      <c r="T250" s="22" t="s">
        <v>1687</v>
      </c>
    </row>
    <row r="251" spans="1:20" x14ac:dyDescent="0.3">
      <c r="A251" s="22" t="s">
        <v>940</v>
      </c>
      <c r="B251" s="29" t="str">
        <f t="shared" si="33"/>
        <v>Arjun Mishra</v>
      </c>
      <c r="C251" s="29" t="str">
        <f t="shared" si="34"/>
        <v>Kritika Pandey</v>
      </c>
      <c r="D251" s="29" t="str">
        <f t="shared" si="35"/>
        <v>Finance</v>
      </c>
      <c r="E251" s="30" t="str">
        <f t="shared" si="36"/>
        <v>L1</v>
      </c>
      <c r="F251" s="30" t="str">
        <f t="shared" si="37"/>
        <v>Active</v>
      </c>
      <c r="G251" s="22">
        <v>3</v>
      </c>
      <c r="H251" t="str">
        <f t="shared" si="38"/>
        <v>Meets Expectations</v>
      </c>
      <c r="I251" s="22">
        <v>2</v>
      </c>
      <c r="J251" s="22" t="str">
        <f t="shared" si="39"/>
        <v>Improved</v>
      </c>
      <c r="K251" s="31">
        <v>0.75</v>
      </c>
      <c r="L251" s="24">
        <v>2.7</v>
      </c>
      <c r="M251" s="22" t="s">
        <v>60</v>
      </c>
      <c r="N251" s="22" t="str">
        <f t="shared" si="40"/>
        <v>Mid</v>
      </c>
      <c r="O251" t="str">
        <f>INDEX(NineBox,MATCH(N251,{"Low","Mid","High"},0),MATCH(M251,{"Low","Medium","High"},0))</f>
        <v>Core Player</v>
      </c>
      <c r="P251" s="28">
        <v>45934</v>
      </c>
      <c r="Q251" s="24">
        <f t="shared" si="41"/>
        <v>0.9883641341546886</v>
      </c>
      <c r="R251" s="22" t="str">
        <f t="shared" si="42"/>
        <v>Not Eligible</v>
      </c>
      <c r="S251" t="str">
        <f t="shared" si="43"/>
        <v>Rating below 4</v>
      </c>
      <c r="T251" s="22" t="s">
        <v>1687</v>
      </c>
    </row>
    <row r="252" spans="1:20" x14ac:dyDescent="0.3">
      <c r="A252" s="22" t="s">
        <v>944</v>
      </c>
      <c r="B252" s="29" t="str">
        <f t="shared" si="33"/>
        <v>Manish Shetty</v>
      </c>
      <c r="C252" s="29" t="str">
        <f t="shared" si="34"/>
        <v>Arun Mukherjee</v>
      </c>
      <c r="D252" s="29" t="str">
        <f t="shared" si="35"/>
        <v>Data &amp; Analytics</v>
      </c>
      <c r="E252" s="30" t="str">
        <f t="shared" si="36"/>
        <v>L1</v>
      </c>
      <c r="F252" s="30" t="str">
        <f t="shared" si="37"/>
        <v>Active</v>
      </c>
      <c r="G252" s="22">
        <v>3</v>
      </c>
      <c r="H252" t="str">
        <f t="shared" si="38"/>
        <v>Meets Expectations</v>
      </c>
      <c r="I252" s="22">
        <v>2</v>
      </c>
      <c r="J252" s="22" t="str">
        <f t="shared" si="39"/>
        <v>Improved</v>
      </c>
      <c r="K252" s="31">
        <v>0.72</v>
      </c>
      <c r="L252" s="24">
        <v>3.6</v>
      </c>
      <c r="M252" s="22" t="s">
        <v>59</v>
      </c>
      <c r="N252" s="22" t="str">
        <f t="shared" si="40"/>
        <v>Mid</v>
      </c>
      <c r="O252" t="str">
        <f>INDEX(NineBox,MATCH(N252,{"Low","Mid","High"},0),MATCH(M252,{"Low","Medium","High"},0))</f>
        <v>Effective Contributor</v>
      </c>
      <c r="P252" s="28">
        <v>46108</v>
      </c>
      <c r="Q252" s="24">
        <f t="shared" si="41"/>
        <v>0.51197809719370291</v>
      </c>
      <c r="R252" s="22" t="str">
        <f t="shared" si="42"/>
        <v>Not Eligible</v>
      </c>
      <c r="S252" t="str">
        <f t="shared" si="43"/>
        <v>Rating below 4</v>
      </c>
      <c r="T252" s="22" t="s">
        <v>1687</v>
      </c>
    </row>
    <row r="253" spans="1:20" x14ac:dyDescent="0.3">
      <c r="A253" s="22" t="s">
        <v>948</v>
      </c>
      <c r="B253" s="29" t="str">
        <f t="shared" si="33"/>
        <v>Anusha Verma</v>
      </c>
      <c r="C253" s="29" t="str">
        <f t="shared" si="34"/>
        <v>Nandini Iyer</v>
      </c>
      <c r="D253" s="29" t="str">
        <f t="shared" si="35"/>
        <v>Marketing</v>
      </c>
      <c r="E253" s="30" t="str">
        <f t="shared" si="36"/>
        <v>L1</v>
      </c>
      <c r="F253" s="30" t="str">
        <f t="shared" si="37"/>
        <v>Active</v>
      </c>
      <c r="G253" s="22">
        <v>3</v>
      </c>
      <c r="H253" t="str">
        <f t="shared" si="38"/>
        <v>Meets Expectations</v>
      </c>
      <c r="I253" s="22">
        <v>3</v>
      </c>
      <c r="J253" s="22" t="str">
        <f t="shared" si="39"/>
        <v>Stable</v>
      </c>
      <c r="K253" s="31">
        <v>0.79</v>
      </c>
      <c r="L253" s="24">
        <v>3.1</v>
      </c>
      <c r="M253" s="22" t="s">
        <v>60</v>
      </c>
      <c r="N253" s="22" t="str">
        <f t="shared" si="40"/>
        <v>Mid</v>
      </c>
      <c r="O253" t="str">
        <f>INDEX(NineBox,MATCH(N253,{"Low","Mid","High"},0),MATCH(M253,{"Low","Medium","High"},0))</f>
        <v>Core Player</v>
      </c>
      <c r="P253" s="28">
        <v>45449</v>
      </c>
      <c r="Q253" s="24">
        <f t="shared" si="41"/>
        <v>2.3162217659137578</v>
      </c>
      <c r="R253" s="22" t="str">
        <f t="shared" si="42"/>
        <v>Not Eligible</v>
      </c>
      <c r="S253" t="str">
        <f t="shared" si="43"/>
        <v>Rating below 4</v>
      </c>
      <c r="T253" s="22" t="s">
        <v>1688</v>
      </c>
    </row>
    <row r="254" spans="1:20" x14ac:dyDescent="0.3">
      <c r="A254" s="22" t="s">
        <v>951</v>
      </c>
      <c r="B254" s="29" t="str">
        <f t="shared" si="33"/>
        <v>Swathi Banerjee</v>
      </c>
      <c r="C254" s="29" t="str">
        <f t="shared" si="34"/>
        <v>Madhuri Menon</v>
      </c>
      <c r="D254" s="29" t="str">
        <f t="shared" si="35"/>
        <v>Engineering</v>
      </c>
      <c r="E254" s="30" t="str">
        <f t="shared" si="36"/>
        <v>L2</v>
      </c>
      <c r="F254" s="30" t="str">
        <f t="shared" si="37"/>
        <v>Exited</v>
      </c>
      <c r="G254" s="22">
        <v>2</v>
      </c>
      <c r="H254" t="str">
        <f t="shared" si="38"/>
        <v>Needs Improvement</v>
      </c>
      <c r="I254" s="22">
        <v>2</v>
      </c>
      <c r="J254" s="22" t="str">
        <f t="shared" si="39"/>
        <v>Stable</v>
      </c>
      <c r="K254" s="31">
        <v>0.51</v>
      </c>
      <c r="L254" s="24">
        <v>1.8</v>
      </c>
      <c r="M254" s="22" t="s">
        <v>60</v>
      </c>
      <c r="N254" s="22" t="str">
        <f t="shared" si="40"/>
        <v>Low</v>
      </c>
      <c r="O254" t="str">
        <f>INDEX(NineBox,MATCH(N254,{"Low","Mid","High"},0),MATCH(M254,{"Low","Medium","High"},0))</f>
        <v>Inconsistent Player</v>
      </c>
      <c r="P254" s="28">
        <v>45460</v>
      </c>
      <c r="Q254" s="24">
        <f t="shared" si="41"/>
        <v>2.2861054072553046</v>
      </c>
      <c r="R254" s="22" t="str">
        <f t="shared" si="42"/>
        <v>Not Eligible</v>
      </c>
      <c r="S254" t="str">
        <f t="shared" si="43"/>
        <v>Employee has exited</v>
      </c>
      <c r="T254" s="22" t="s">
        <v>1687</v>
      </c>
    </row>
    <row r="255" spans="1:20" x14ac:dyDescent="0.3">
      <c r="A255" s="22" t="s">
        <v>954</v>
      </c>
      <c r="B255" s="29" t="str">
        <f t="shared" si="33"/>
        <v>Aniket Bansal</v>
      </c>
      <c r="C255" s="29" t="str">
        <f t="shared" si="34"/>
        <v>Ajay Kumar</v>
      </c>
      <c r="D255" s="29" t="str">
        <f t="shared" si="35"/>
        <v>Operations</v>
      </c>
      <c r="E255" s="30" t="str">
        <f t="shared" si="36"/>
        <v>L2</v>
      </c>
      <c r="F255" s="30" t="str">
        <f t="shared" si="37"/>
        <v>Active</v>
      </c>
      <c r="G255" s="22">
        <v>2</v>
      </c>
      <c r="H255" t="str">
        <f t="shared" si="38"/>
        <v>Needs Improvement</v>
      </c>
      <c r="I255" s="22">
        <v>2</v>
      </c>
      <c r="J255" s="22" t="str">
        <f t="shared" si="39"/>
        <v>Stable</v>
      </c>
      <c r="K255" s="31">
        <v>0.53</v>
      </c>
      <c r="L255" s="24">
        <v>1.7</v>
      </c>
      <c r="M255" s="22" t="s">
        <v>60</v>
      </c>
      <c r="N255" s="22" t="str">
        <f t="shared" si="40"/>
        <v>Low</v>
      </c>
      <c r="O255" t="str">
        <f>INDEX(NineBox,MATCH(N255,{"Low","Mid","High"},0),MATCH(M255,{"Low","Medium","High"},0))</f>
        <v>Inconsistent Player</v>
      </c>
      <c r="P255" s="28">
        <v>45470</v>
      </c>
      <c r="Q255" s="24">
        <f t="shared" si="41"/>
        <v>2.2587268993839835</v>
      </c>
      <c r="R255" s="22" t="str">
        <f t="shared" si="42"/>
        <v>Not Eligible</v>
      </c>
      <c r="S255" t="str">
        <f t="shared" si="43"/>
        <v>Rating below 4</v>
      </c>
      <c r="T255" s="22" t="s">
        <v>1687</v>
      </c>
    </row>
    <row r="256" spans="1:20" x14ac:dyDescent="0.3">
      <c r="A256" s="22" t="s">
        <v>957</v>
      </c>
      <c r="B256" s="29" t="str">
        <f t="shared" si="33"/>
        <v>Sneha Desai</v>
      </c>
      <c r="C256" s="29" t="str">
        <f t="shared" si="34"/>
        <v>Sachin Shetty</v>
      </c>
      <c r="D256" s="29" t="str">
        <f t="shared" si="35"/>
        <v>Product</v>
      </c>
      <c r="E256" s="30" t="str">
        <f t="shared" si="36"/>
        <v>L1</v>
      </c>
      <c r="F256" s="30" t="str">
        <f t="shared" si="37"/>
        <v>Active</v>
      </c>
      <c r="G256" s="22">
        <v>4</v>
      </c>
      <c r="H256" t="str">
        <f t="shared" si="38"/>
        <v>Exceeds Expectations</v>
      </c>
      <c r="I256" s="22">
        <v>4</v>
      </c>
      <c r="J256" s="22" t="str">
        <f t="shared" si="39"/>
        <v>Stable</v>
      </c>
      <c r="K256" s="31">
        <v>1.02</v>
      </c>
      <c r="L256" s="24">
        <v>4.4000000000000004</v>
      </c>
      <c r="M256" s="22" t="s">
        <v>61</v>
      </c>
      <c r="N256" s="22" t="str">
        <f t="shared" si="40"/>
        <v>High</v>
      </c>
      <c r="O256" t="str">
        <f>INDEX(NineBox,MATCH(N256,{"Low","Mid","High"},0),MATCH(M256,{"Low","Medium","High"},0))</f>
        <v>Star</v>
      </c>
      <c r="P256" s="28">
        <v>46101</v>
      </c>
      <c r="Q256" s="24">
        <f t="shared" si="41"/>
        <v>0.53114305270362761</v>
      </c>
      <c r="R256" s="22" t="str">
        <f t="shared" si="42"/>
        <v>Not Eligible</v>
      </c>
      <c r="S256" t="str">
        <f t="shared" si="43"/>
        <v>Under 1.5 yrs in current level</v>
      </c>
      <c r="T256" s="22" t="s">
        <v>1687</v>
      </c>
    </row>
    <row r="257" spans="1:20" x14ac:dyDescent="0.3">
      <c r="A257" s="22" t="s">
        <v>960</v>
      </c>
      <c r="B257" s="29" t="str">
        <f t="shared" si="33"/>
        <v>Deepak Chatterjee</v>
      </c>
      <c r="C257" s="29" t="str">
        <f t="shared" si="34"/>
        <v>Amit Kumar</v>
      </c>
      <c r="D257" s="29" t="str">
        <f t="shared" si="35"/>
        <v>Operations</v>
      </c>
      <c r="E257" s="30" t="str">
        <f t="shared" si="36"/>
        <v>L2</v>
      </c>
      <c r="F257" s="30" t="str">
        <f t="shared" si="37"/>
        <v>Active</v>
      </c>
      <c r="G257" s="22">
        <v>4</v>
      </c>
      <c r="H257" t="str">
        <f t="shared" si="38"/>
        <v>Exceeds Expectations</v>
      </c>
      <c r="I257" s="22">
        <v>4</v>
      </c>
      <c r="J257" s="22" t="str">
        <f t="shared" si="39"/>
        <v>Stable</v>
      </c>
      <c r="K257" s="31">
        <v>0.84</v>
      </c>
      <c r="L257" s="24">
        <v>4.9000000000000004</v>
      </c>
      <c r="M257" s="22" t="s">
        <v>60</v>
      </c>
      <c r="N257" s="22" t="str">
        <f t="shared" si="40"/>
        <v>High</v>
      </c>
      <c r="O257" t="str">
        <f>INDEX(NineBox,MATCH(N257,{"Low","Mid","High"},0),MATCH(M257,{"Low","Medium","High"},0))</f>
        <v>High Performer</v>
      </c>
      <c r="P257" s="28">
        <v>45951</v>
      </c>
      <c r="Q257" s="24">
        <f t="shared" si="41"/>
        <v>0.94182067077344289</v>
      </c>
      <c r="R257" s="22" t="str">
        <f t="shared" si="42"/>
        <v>Not Eligible</v>
      </c>
      <c r="S257" t="str">
        <f t="shared" si="43"/>
        <v>Under 1.5 yrs in current level</v>
      </c>
      <c r="T257" s="22" t="s">
        <v>1687</v>
      </c>
    </row>
    <row r="258" spans="1:20" x14ac:dyDescent="0.3">
      <c r="A258" s="22" t="s">
        <v>963</v>
      </c>
      <c r="B258" s="29" t="str">
        <f t="shared" ref="B258:B321" si="44">INDEX(M_Name,MATCH($A258,M_ID,0))</f>
        <v>Ankit Menon</v>
      </c>
      <c r="C258" s="29" t="str">
        <f t="shared" ref="C258:C321" si="45">INDEX(M_Mgr,MATCH($A258,M_ID,0))</f>
        <v>Trisha Malhotra</v>
      </c>
      <c r="D258" s="29" t="str">
        <f t="shared" ref="D258:D321" si="46">INDEX(M_Dept,MATCH($A258,M_ID,0))</f>
        <v>Product</v>
      </c>
      <c r="E258" s="30" t="str">
        <f t="shared" ref="E258:E321" si="47">INDEX(M_Level,MATCH($A258,M_ID,0))</f>
        <v>L2</v>
      </c>
      <c r="F258" s="30" t="str">
        <f t="shared" ref="F258:F321" si="48">INDEX(M_Status,MATCH($A258,M_ID,0))</f>
        <v>Active</v>
      </c>
      <c r="G258" s="22">
        <v>4</v>
      </c>
      <c r="H258" t="str">
        <f t="shared" ref="H258:H321" si="49">INDEX(RatingLbl,MATCH(G258,RatingNo,0))</f>
        <v>Exceeds Expectations</v>
      </c>
      <c r="I258" s="22">
        <v>5</v>
      </c>
      <c r="J258" s="22" t="str">
        <f t="shared" ref="J258:J321" si="50">IF(G258&gt;I258,"Improved",IF(G258&lt;I258,"Declined","Stable"))</f>
        <v>Declined</v>
      </c>
      <c r="K258" s="31">
        <v>0.82</v>
      </c>
      <c r="L258" s="24">
        <v>3.4</v>
      </c>
      <c r="M258" s="22" t="s">
        <v>60</v>
      </c>
      <c r="N258" s="22" t="str">
        <f t="shared" ref="N258:N321" si="51">IF(G258&gt;=4,"High",IF(G258=3,"Mid","Low"))</f>
        <v>High</v>
      </c>
      <c r="O258" t="str">
        <f>INDEX(NineBox,MATCH(N258,{"Low","Mid","High"},0),MATCH(M258,{"Low","Medium","High"},0))</f>
        <v>High Performer</v>
      </c>
      <c r="P258" s="28">
        <v>46123</v>
      </c>
      <c r="Q258" s="24">
        <f t="shared" ref="Q258:Q321" si="52">(AsOf-P258)/365.25</f>
        <v>0.47091033538672145</v>
      </c>
      <c r="R258" s="22" t="str">
        <f t="shared" ref="R258:R321" si="53">IF(F258="Exited","Not Eligible",IF(AND(G258&gt;=MinRating,Q258&gt;=MinYrs,VALUE(MID(E258,2,1))&lt;=MaxLvl),"Eligible","Not Eligible"))</f>
        <v>Not Eligible</v>
      </c>
      <c r="S258" t="str">
        <f t="shared" ref="S258:S321" si="54">IF(F258="Exited","Employee has exited",IF(R258="Eligible","Meets rating and time-in-level criteria",IF(VALUE(MID(E258,2,1))&gt;MaxLvl,"Already at top level",IF(G258&lt;MinRating,"Rating below "&amp;MinRating,"Under "&amp;MinYrs&amp;" yrs in current level"))))</f>
        <v>Under 1.5 yrs in current level</v>
      </c>
      <c r="T258" s="22" t="s">
        <v>1687</v>
      </c>
    </row>
    <row r="259" spans="1:20" x14ac:dyDescent="0.3">
      <c r="A259" s="22" t="s">
        <v>966</v>
      </c>
      <c r="B259" s="29" t="str">
        <f t="shared" si="44"/>
        <v>Abhishek Choudhary</v>
      </c>
      <c r="C259" s="29" t="str">
        <f t="shared" si="45"/>
        <v>Arun Mukherjee</v>
      </c>
      <c r="D259" s="29" t="str">
        <f t="shared" si="46"/>
        <v>Data &amp; Analytics</v>
      </c>
      <c r="E259" s="30" t="str">
        <f t="shared" si="47"/>
        <v>L1</v>
      </c>
      <c r="F259" s="30" t="str">
        <f t="shared" si="48"/>
        <v>Active</v>
      </c>
      <c r="G259" s="22">
        <v>4</v>
      </c>
      <c r="H259" t="str">
        <f t="shared" si="49"/>
        <v>Exceeds Expectations</v>
      </c>
      <c r="I259" s="22">
        <v>4</v>
      </c>
      <c r="J259" s="22" t="str">
        <f t="shared" si="50"/>
        <v>Stable</v>
      </c>
      <c r="K259" s="31">
        <v>0.9</v>
      </c>
      <c r="L259" s="24">
        <v>4</v>
      </c>
      <c r="M259" s="22" t="s">
        <v>61</v>
      </c>
      <c r="N259" s="22" t="str">
        <f t="shared" si="51"/>
        <v>High</v>
      </c>
      <c r="O259" t="str">
        <f>INDEX(NineBox,MATCH(N259,{"Low","Mid","High"},0),MATCH(M259,{"Low","Medium","High"},0))</f>
        <v>Star</v>
      </c>
      <c r="P259" s="28">
        <v>45476</v>
      </c>
      <c r="Q259" s="24">
        <f t="shared" si="52"/>
        <v>2.2422997946611911</v>
      </c>
      <c r="R259" s="22" t="str">
        <f t="shared" si="53"/>
        <v>Eligible</v>
      </c>
      <c r="S259" t="str">
        <f t="shared" si="54"/>
        <v>Meets rating and time-in-level criteria</v>
      </c>
      <c r="T259" s="22" t="s">
        <v>1687</v>
      </c>
    </row>
    <row r="260" spans="1:20" x14ac:dyDescent="0.3">
      <c r="A260" s="22" t="s">
        <v>969</v>
      </c>
      <c r="B260" s="29" t="str">
        <f t="shared" si="44"/>
        <v>Priyanka Gowda</v>
      </c>
      <c r="C260" s="29" t="str">
        <f t="shared" si="45"/>
        <v>Fatima Choudhary</v>
      </c>
      <c r="D260" s="29" t="str">
        <f t="shared" si="46"/>
        <v>Engineering</v>
      </c>
      <c r="E260" s="30" t="str">
        <f t="shared" si="47"/>
        <v>L2</v>
      </c>
      <c r="F260" s="30" t="str">
        <f t="shared" si="48"/>
        <v>Active</v>
      </c>
      <c r="G260" s="22">
        <v>3</v>
      </c>
      <c r="H260" t="str">
        <f t="shared" si="49"/>
        <v>Meets Expectations</v>
      </c>
      <c r="I260" s="22">
        <v>3</v>
      </c>
      <c r="J260" s="22" t="str">
        <f t="shared" si="50"/>
        <v>Stable</v>
      </c>
      <c r="K260" s="31">
        <v>0.87</v>
      </c>
      <c r="L260" s="24">
        <v>3.4</v>
      </c>
      <c r="M260" s="22" t="s">
        <v>61</v>
      </c>
      <c r="N260" s="22" t="str">
        <f t="shared" si="51"/>
        <v>Mid</v>
      </c>
      <c r="O260" t="str">
        <f>INDEX(NineBox,MATCH(N260,{"Low","Mid","High"},0),MATCH(M260,{"Low","Medium","High"},0))</f>
        <v>Future Star</v>
      </c>
      <c r="P260" s="28">
        <v>46017</v>
      </c>
      <c r="Q260" s="24">
        <f t="shared" si="52"/>
        <v>0.76112251882272419</v>
      </c>
      <c r="R260" s="22" t="str">
        <f t="shared" si="53"/>
        <v>Not Eligible</v>
      </c>
      <c r="S260" t="str">
        <f t="shared" si="54"/>
        <v>Rating below 4</v>
      </c>
      <c r="T260" s="22" t="s">
        <v>1687</v>
      </c>
    </row>
    <row r="261" spans="1:20" x14ac:dyDescent="0.3">
      <c r="A261" s="22" t="s">
        <v>643</v>
      </c>
      <c r="B261" s="29" t="str">
        <f t="shared" si="44"/>
        <v>Pooja Khanna</v>
      </c>
      <c r="C261" s="29" t="str">
        <f t="shared" si="45"/>
        <v>Vikram Joshi</v>
      </c>
      <c r="D261" s="29" t="str">
        <f t="shared" si="46"/>
        <v>Customer Support</v>
      </c>
      <c r="E261" s="30" t="str">
        <f t="shared" si="47"/>
        <v>L6</v>
      </c>
      <c r="F261" s="30" t="str">
        <f t="shared" si="48"/>
        <v>Active</v>
      </c>
      <c r="G261" s="22">
        <v>3</v>
      </c>
      <c r="H261" t="str">
        <f t="shared" si="49"/>
        <v>Meets Expectations</v>
      </c>
      <c r="I261" s="22">
        <v>2</v>
      </c>
      <c r="J261" s="22" t="str">
        <f t="shared" si="50"/>
        <v>Improved</v>
      </c>
      <c r="K261" s="31">
        <v>0.84</v>
      </c>
      <c r="L261" s="24">
        <v>4</v>
      </c>
      <c r="M261" s="22" t="s">
        <v>59</v>
      </c>
      <c r="N261" s="22" t="str">
        <f t="shared" si="51"/>
        <v>Mid</v>
      </c>
      <c r="O261" t="str">
        <f>INDEX(NineBox,MATCH(N261,{"Low","Mid","High"},0),MATCH(M261,{"Low","Medium","High"},0))</f>
        <v>Effective Contributor</v>
      </c>
      <c r="P261" s="28">
        <v>45907</v>
      </c>
      <c r="Q261" s="24">
        <f t="shared" si="52"/>
        <v>1.0622861054072552</v>
      </c>
      <c r="R261" s="22" t="str">
        <f t="shared" si="53"/>
        <v>Not Eligible</v>
      </c>
      <c r="S261" t="str">
        <f t="shared" si="54"/>
        <v>Rating below 4</v>
      </c>
      <c r="T261" s="22" t="s">
        <v>1687</v>
      </c>
    </row>
    <row r="262" spans="1:20" x14ac:dyDescent="0.3">
      <c r="A262" s="22" t="s">
        <v>973</v>
      </c>
      <c r="B262" s="29" t="str">
        <f t="shared" si="44"/>
        <v>Priya Krishnan</v>
      </c>
      <c r="C262" s="29" t="str">
        <f t="shared" si="45"/>
        <v>Ankit Khanna</v>
      </c>
      <c r="D262" s="29" t="str">
        <f t="shared" si="46"/>
        <v>Operations</v>
      </c>
      <c r="E262" s="30" t="str">
        <f t="shared" si="47"/>
        <v>L2</v>
      </c>
      <c r="F262" s="30" t="str">
        <f t="shared" si="48"/>
        <v>Active</v>
      </c>
      <c r="G262" s="22">
        <v>5</v>
      </c>
      <c r="H262" t="str">
        <f t="shared" si="49"/>
        <v>Outstanding</v>
      </c>
      <c r="I262" s="22">
        <v>5</v>
      </c>
      <c r="J262" s="22" t="str">
        <f t="shared" si="50"/>
        <v>Stable</v>
      </c>
      <c r="K262" s="31">
        <v>1</v>
      </c>
      <c r="L262" s="24">
        <v>4.2</v>
      </c>
      <c r="M262" s="22" t="s">
        <v>60</v>
      </c>
      <c r="N262" s="22" t="str">
        <f t="shared" si="51"/>
        <v>High</v>
      </c>
      <c r="O262" t="str">
        <f>INDEX(NineBox,MATCH(N262,{"Low","Mid","High"},0),MATCH(M262,{"Low","Medium","High"},0))</f>
        <v>High Performer</v>
      </c>
      <c r="P262" s="28">
        <v>45482</v>
      </c>
      <c r="Q262" s="24">
        <f t="shared" si="52"/>
        <v>2.2258726899383983</v>
      </c>
      <c r="R262" s="22" t="str">
        <f t="shared" si="53"/>
        <v>Eligible</v>
      </c>
      <c r="S262" t="str">
        <f t="shared" si="54"/>
        <v>Meets rating and time-in-level criteria</v>
      </c>
      <c r="T262" s="22" t="s">
        <v>1687</v>
      </c>
    </row>
    <row r="263" spans="1:20" x14ac:dyDescent="0.3">
      <c r="A263" s="22" t="s">
        <v>976</v>
      </c>
      <c r="B263" s="29" t="str">
        <f t="shared" si="44"/>
        <v>Kritika Bose</v>
      </c>
      <c r="C263" s="29" t="str">
        <f t="shared" si="45"/>
        <v>Nandini Iyer</v>
      </c>
      <c r="D263" s="29" t="str">
        <f t="shared" si="46"/>
        <v>Marketing</v>
      </c>
      <c r="E263" s="30" t="str">
        <f t="shared" si="47"/>
        <v>L2</v>
      </c>
      <c r="F263" s="30" t="str">
        <f t="shared" si="48"/>
        <v>Active</v>
      </c>
      <c r="G263" s="22">
        <v>2</v>
      </c>
      <c r="H263" t="str">
        <f t="shared" si="49"/>
        <v>Needs Improvement</v>
      </c>
      <c r="I263" s="22">
        <v>1</v>
      </c>
      <c r="J263" s="22" t="str">
        <f t="shared" si="50"/>
        <v>Improved</v>
      </c>
      <c r="K263" s="31">
        <v>0.8</v>
      </c>
      <c r="L263" s="24">
        <v>2.2000000000000002</v>
      </c>
      <c r="M263" s="22" t="s">
        <v>60</v>
      </c>
      <c r="N263" s="22" t="str">
        <f t="shared" si="51"/>
        <v>Low</v>
      </c>
      <c r="O263" t="str">
        <f>INDEX(NineBox,MATCH(N263,{"Low","Mid","High"},0),MATCH(M263,{"Low","Medium","High"},0))</f>
        <v>Inconsistent Player</v>
      </c>
      <c r="P263" s="28">
        <v>45980</v>
      </c>
      <c r="Q263" s="24">
        <f t="shared" si="52"/>
        <v>0.86242299794661192</v>
      </c>
      <c r="R263" s="22" t="str">
        <f t="shared" si="53"/>
        <v>Not Eligible</v>
      </c>
      <c r="S263" t="str">
        <f t="shared" si="54"/>
        <v>Rating below 4</v>
      </c>
      <c r="T263" s="22" t="s">
        <v>1687</v>
      </c>
    </row>
    <row r="264" spans="1:20" x14ac:dyDescent="0.3">
      <c r="A264" s="22" t="s">
        <v>979</v>
      </c>
      <c r="B264" s="29" t="str">
        <f t="shared" si="44"/>
        <v>Trisha Hegde</v>
      </c>
      <c r="C264" s="29" t="str">
        <f t="shared" si="45"/>
        <v>Kavya Krishnan</v>
      </c>
      <c r="D264" s="29" t="str">
        <f t="shared" si="46"/>
        <v>Sales</v>
      </c>
      <c r="E264" s="30" t="str">
        <f t="shared" si="47"/>
        <v>L3</v>
      </c>
      <c r="F264" s="30" t="str">
        <f t="shared" si="48"/>
        <v>Active</v>
      </c>
      <c r="G264" s="22">
        <v>3</v>
      </c>
      <c r="H264" t="str">
        <f t="shared" si="49"/>
        <v>Meets Expectations</v>
      </c>
      <c r="I264" s="22">
        <v>2</v>
      </c>
      <c r="J264" s="22" t="str">
        <f t="shared" si="50"/>
        <v>Improved</v>
      </c>
      <c r="K264" s="31">
        <v>0.81</v>
      </c>
      <c r="L264" s="24">
        <v>2.1</v>
      </c>
      <c r="M264" s="22" t="s">
        <v>61</v>
      </c>
      <c r="N264" s="22" t="str">
        <f t="shared" si="51"/>
        <v>Mid</v>
      </c>
      <c r="O264" t="str">
        <f>INDEX(NineBox,MATCH(N264,{"Low","Mid","High"},0),MATCH(M264,{"Low","Medium","High"},0))</f>
        <v>Future Star</v>
      </c>
      <c r="P264" s="28">
        <v>45954</v>
      </c>
      <c r="Q264" s="24">
        <f t="shared" si="52"/>
        <v>0.93360711841204658</v>
      </c>
      <c r="R264" s="22" t="str">
        <f t="shared" si="53"/>
        <v>Not Eligible</v>
      </c>
      <c r="S264" t="str">
        <f t="shared" si="54"/>
        <v>Rating below 4</v>
      </c>
      <c r="T264" s="22" t="s">
        <v>1687</v>
      </c>
    </row>
    <row r="265" spans="1:20" x14ac:dyDescent="0.3">
      <c r="A265" s="22" t="s">
        <v>982</v>
      </c>
      <c r="B265" s="29" t="str">
        <f t="shared" si="44"/>
        <v>Manish Mukherjee</v>
      </c>
      <c r="C265" s="29" t="str">
        <f t="shared" si="45"/>
        <v>Vikas Singh</v>
      </c>
      <c r="D265" s="29" t="str">
        <f t="shared" si="46"/>
        <v>Engineering</v>
      </c>
      <c r="E265" s="30" t="str">
        <f t="shared" si="47"/>
        <v>L2</v>
      </c>
      <c r="F265" s="30" t="str">
        <f t="shared" si="48"/>
        <v>Active</v>
      </c>
      <c r="G265" s="22">
        <v>3</v>
      </c>
      <c r="H265" t="str">
        <f t="shared" si="49"/>
        <v>Meets Expectations</v>
      </c>
      <c r="I265" s="22">
        <v>2</v>
      </c>
      <c r="J265" s="22" t="str">
        <f t="shared" si="50"/>
        <v>Improved</v>
      </c>
      <c r="K265" s="31">
        <v>0.89</v>
      </c>
      <c r="L265" s="24">
        <v>3.7</v>
      </c>
      <c r="M265" s="22" t="s">
        <v>60</v>
      </c>
      <c r="N265" s="22" t="str">
        <f t="shared" si="51"/>
        <v>Mid</v>
      </c>
      <c r="O265" t="str">
        <f>INDEX(NineBox,MATCH(N265,{"Low","Mid","High"},0),MATCH(M265,{"Low","Medium","High"},0))</f>
        <v>Core Player</v>
      </c>
      <c r="P265" s="28">
        <v>45489</v>
      </c>
      <c r="Q265" s="24">
        <f t="shared" si="52"/>
        <v>2.2067077344284738</v>
      </c>
      <c r="R265" s="22" t="str">
        <f t="shared" si="53"/>
        <v>Not Eligible</v>
      </c>
      <c r="S265" t="str">
        <f t="shared" si="54"/>
        <v>Rating below 4</v>
      </c>
      <c r="T265" s="22" t="s">
        <v>1687</v>
      </c>
    </row>
    <row r="266" spans="1:20" x14ac:dyDescent="0.3">
      <c r="A266" s="22" t="s">
        <v>502</v>
      </c>
      <c r="B266" s="29" t="str">
        <f t="shared" si="44"/>
        <v>Kritika Pandey</v>
      </c>
      <c r="C266" s="29" t="str">
        <f t="shared" si="45"/>
        <v>Karan Patel</v>
      </c>
      <c r="D266" s="29" t="str">
        <f t="shared" si="46"/>
        <v>Finance</v>
      </c>
      <c r="E266" s="30" t="str">
        <f t="shared" si="47"/>
        <v>L5</v>
      </c>
      <c r="F266" s="30" t="str">
        <f t="shared" si="48"/>
        <v>Active</v>
      </c>
      <c r="G266" s="22">
        <v>4</v>
      </c>
      <c r="H266" t="str">
        <f t="shared" si="49"/>
        <v>Exceeds Expectations</v>
      </c>
      <c r="I266" s="22">
        <v>5</v>
      </c>
      <c r="J266" s="22" t="str">
        <f t="shared" si="50"/>
        <v>Declined</v>
      </c>
      <c r="K266" s="31">
        <v>0.94</v>
      </c>
      <c r="L266" s="24">
        <v>4.5999999999999996</v>
      </c>
      <c r="M266" s="22" t="s">
        <v>59</v>
      </c>
      <c r="N266" s="22" t="str">
        <f t="shared" si="51"/>
        <v>High</v>
      </c>
      <c r="O266" t="str">
        <f>INDEX(NineBox,MATCH(N266,{"Low","Mid","High"},0),MATCH(M266,{"Low","Medium","High"},0))</f>
        <v>Trusted Professional</v>
      </c>
      <c r="P266" s="28">
        <v>45490</v>
      </c>
      <c r="Q266" s="24">
        <f t="shared" si="52"/>
        <v>2.2039698836413417</v>
      </c>
      <c r="R266" s="22" t="str">
        <f t="shared" si="53"/>
        <v>Eligible</v>
      </c>
      <c r="S266" t="str">
        <f t="shared" si="54"/>
        <v>Meets rating and time-in-level criteria</v>
      </c>
      <c r="T266" s="22" t="s">
        <v>1687</v>
      </c>
    </row>
    <row r="267" spans="1:20" x14ac:dyDescent="0.3">
      <c r="A267" s="22" t="s">
        <v>987</v>
      </c>
      <c r="B267" s="29" t="str">
        <f t="shared" si="44"/>
        <v>Manish Krishnan</v>
      </c>
      <c r="C267" s="29" t="str">
        <f t="shared" si="45"/>
        <v>Ravi Prabhu</v>
      </c>
      <c r="D267" s="29" t="str">
        <f t="shared" si="46"/>
        <v>Finance</v>
      </c>
      <c r="E267" s="30" t="str">
        <f t="shared" si="47"/>
        <v>L2</v>
      </c>
      <c r="F267" s="30" t="str">
        <f t="shared" si="48"/>
        <v>Active</v>
      </c>
      <c r="G267" s="22">
        <v>3</v>
      </c>
      <c r="H267" t="str">
        <f t="shared" si="49"/>
        <v>Meets Expectations</v>
      </c>
      <c r="I267" s="22">
        <v>3</v>
      </c>
      <c r="J267" s="22" t="str">
        <f t="shared" si="50"/>
        <v>Stable</v>
      </c>
      <c r="K267" s="31">
        <v>0.86</v>
      </c>
      <c r="L267" s="24">
        <v>2.9</v>
      </c>
      <c r="M267" s="22" t="s">
        <v>60</v>
      </c>
      <c r="N267" s="22" t="str">
        <f t="shared" si="51"/>
        <v>Mid</v>
      </c>
      <c r="O267" t="str">
        <f>INDEX(NineBox,MATCH(N267,{"Low","Mid","High"},0),MATCH(M267,{"Low","Medium","High"},0))</f>
        <v>Core Player</v>
      </c>
      <c r="P267" s="28">
        <v>45500</v>
      </c>
      <c r="Q267" s="24">
        <f t="shared" si="52"/>
        <v>2.1765913757700206</v>
      </c>
      <c r="R267" s="22" t="str">
        <f t="shared" si="53"/>
        <v>Not Eligible</v>
      </c>
      <c r="S267" t="str">
        <f t="shared" si="54"/>
        <v>Rating below 4</v>
      </c>
      <c r="T267" s="22" t="s">
        <v>1687</v>
      </c>
    </row>
    <row r="268" spans="1:20" x14ac:dyDescent="0.3">
      <c r="A268" s="22" t="s">
        <v>990</v>
      </c>
      <c r="B268" s="29" t="str">
        <f t="shared" si="44"/>
        <v>Abhishek Malhotra</v>
      </c>
      <c r="C268" s="29" t="str">
        <f t="shared" si="45"/>
        <v>Prakash Desai</v>
      </c>
      <c r="D268" s="29" t="str">
        <f t="shared" si="46"/>
        <v>Engineering</v>
      </c>
      <c r="E268" s="30" t="str">
        <f t="shared" si="47"/>
        <v>L2</v>
      </c>
      <c r="F268" s="30" t="str">
        <f t="shared" si="48"/>
        <v>Active</v>
      </c>
      <c r="G268" s="22">
        <v>4</v>
      </c>
      <c r="H268" t="str">
        <f t="shared" si="49"/>
        <v>Exceeds Expectations</v>
      </c>
      <c r="I268" s="22">
        <v>4</v>
      </c>
      <c r="J268" s="22" t="str">
        <f t="shared" si="50"/>
        <v>Stable</v>
      </c>
      <c r="K268" s="31">
        <v>1.07</v>
      </c>
      <c r="L268" s="24">
        <v>3.5</v>
      </c>
      <c r="M268" s="22" t="s">
        <v>60</v>
      </c>
      <c r="N268" s="22" t="str">
        <f t="shared" si="51"/>
        <v>High</v>
      </c>
      <c r="O268" t="str">
        <f>INDEX(NineBox,MATCH(N268,{"Low","Mid","High"},0),MATCH(M268,{"Low","Medium","High"},0))</f>
        <v>High Performer</v>
      </c>
      <c r="P268" s="28">
        <v>45503</v>
      </c>
      <c r="Q268" s="24">
        <f t="shared" si="52"/>
        <v>2.1683778234086244</v>
      </c>
      <c r="R268" s="22" t="str">
        <f t="shared" si="53"/>
        <v>Eligible</v>
      </c>
      <c r="S268" t="str">
        <f t="shared" si="54"/>
        <v>Meets rating and time-in-level criteria</v>
      </c>
      <c r="T268" s="22" t="s">
        <v>1687</v>
      </c>
    </row>
    <row r="269" spans="1:20" x14ac:dyDescent="0.3">
      <c r="A269" s="22" t="s">
        <v>993</v>
      </c>
      <c r="B269" s="29" t="str">
        <f t="shared" si="44"/>
        <v>Kunal Agarwal</v>
      </c>
      <c r="C269" s="29" t="str">
        <f t="shared" si="45"/>
        <v>Gaurav Fernandes</v>
      </c>
      <c r="D269" s="29" t="str">
        <f t="shared" si="46"/>
        <v>Engineering</v>
      </c>
      <c r="E269" s="30" t="str">
        <f t="shared" si="47"/>
        <v>L2</v>
      </c>
      <c r="F269" s="30" t="str">
        <f t="shared" si="48"/>
        <v>Exited</v>
      </c>
      <c r="G269" s="22">
        <v>3</v>
      </c>
      <c r="H269" t="str">
        <f t="shared" si="49"/>
        <v>Meets Expectations</v>
      </c>
      <c r="I269" s="22">
        <v>2</v>
      </c>
      <c r="J269" s="22" t="str">
        <f t="shared" si="50"/>
        <v>Improved</v>
      </c>
      <c r="K269" s="31">
        <v>0.84</v>
      </c>
      <c r="L269" s="24">
        <v>3.4</v>
      </c>
      <c r="M269" s="22" t="s">
        <v>60</v>
      </c>
      <c r="N269" s="22" t="str">
        <f t="shared" si="51"/>
        <v>Mid</v>
      </c>
      <c r="O269" t="str">
        <f>INDEX(NineBox,MATCH(N269,{"Low","Mid","High"},0),MATCH(M269,{"Low","Medium","High"},0))</f>
        <v>Core Player</v>
      </c>
      <c r="P269" s="28">
        <v>45505</v>
      </c>
      <c r="Q269" s="24">
        <f t="shared" si="52"/>
        <v>2.1629021218343598</v>
      </c>
      <c r="R269" s="22" t="str">
        <f t="shared" si="53"/>
        <v>Not Eligible</v>
      </c>
      <c r="S269" t="str">
        <f t="shared" si="54"/>
        <v>Employee has exited</v>
      </c>
      <c r="T269" s="22" t="s">
        <v>1687</v>
      </c>
    </row>
    <row r="270" spans="1:20" x14ac:dyDescent="0.3">
      <c r="A270" s="22" t="s">
        <v>996</v>
      </c>
      <c r="B270" s="29" t="str">
        <f t="shared" si="44"/>
        <v>Kunal Pillai</v>
      </c>
      <c r="C270" s="29" t="str">
        <f t="shared" si="45"/>
        <v>Madhuri Menon</v>
      </c>
      <c r="D270" s="29" t="str">
        <f t="shared" si="46"/>
        <v>Engineering</v>
      </c>
      <c r="E270" s="30" t="str">
        <f t="shared" si="47"/>
        <v>L1</v>
      </c>
      <c r="F270" s="30" t="str">
        <f t="shared" si="48"/>
        <v>Active</v>
      </c>
      <c r="G270" s="22">
        <v>3</v>
      </c>
      <c r="H270" t="str">
        <f t="shared" si="49"/>
        <v>Meets Expectations</v>
      </c>
      <c r="I270" s="22">
        <v>2</v>
      </c>
      <c r="J270" s="22" t="str">
        <f t="shared" si="50"/>
        <v>Improved</v>
      </c>
      <c r="K270" s="31">
        <v>0.81</v>
      </c>
      <c r="L270" s="24">
        <v>2.6</v>
      </c>
      <c r="M270" s="22" t="s">
        <v>60</v>
      </c>
      <c r="N270" s="22" t="str">
        <f t="shared" si="51"/>
        <v>Mid</v>
      </c>
      <c r="O270" t="str">
        <f>INDEX(NineBox,MATCH(N270,{"Low","Mid","High"},0),MATCH(M270,{"Low","Medium","High"},0))</f>
        <v>Core Player</v>
      </c>
      <c r="P270" s="28">
        <v>45506</v>
      </c>
      <c r="Q270" s="24">
        <f t="shared" si="52"/>
        <v>2.1601642710472277</v>
      </c>
      <c r="R270" s="22" t="str">
        <f t="shared" si="53"/>
        <v>Not Eligible</v>
      </c>
      <c r="S270" t="str">
        <f t="shared" si="54"/>
        <v>Rating below 4</v>
      </c>
      <c r="T270" s="22" t="s">
        <v>1687</v>
      </c>
    </row>
    <row r="271" spans="1:20" x14ac:dyDescent="0.3">
      <c r="A271" s="22" t="s">
        <v>999</v>
      </c>
      <c r="B271" s="29" t="str">
        <f t="shared" si="44"/>
        <v>Varsha Patel</v>
      </c>
      <c r="C271" s="29" t="str">
        <f t="shared" si="45"/>
        <v>Ashish Varghese</v>
      </c>
      <c r="D271" s="29" t="str">
        <f t="shared" si="46"/>
        <v>Customer Support</v>
      </c>
      <c r="E271" s="30" t="str">
        <f t="shared" si="47"/>
        <v>L2</v>
      </c>
      <c r="F271" s="30" t="str">
        <f t="shared" si="48"/>
        <v>Active</v>
      </c>
      <c r="G271" s="22">
        <v>3</v>
      </c>
      <c r="H271" t="str">
        <f t="shared" si="49"/>
        <v>Meets Expectations</v>
      </c>
      <c r="I271" s="22">
        <v>3</v>
      </c>
      <c r="J271" s="22" t="str">
        <f t="shared" si="50"/>
        <v>Stable</v>
      </c>
      <c r="K271" s="31">
        <v>0.78</v>
      </c>
      <c r="L271" s="24">
        <v>2.4</v>
      </c>
      <c r="M271" s="22" t="s">
        <v>59</v>
      </c>
      <c r="N271" s="22" t="str">
        <f t="shared" si="51"/>
        <v>Mid</v>
      </c>
      <c r="O271" t="str">
        <f>INDEX(NineBox,MATCH(N271,{"Low","Mid","High"},0),MATCH(M271,{"Low","Medium","High"},0))</f>
        <v>Effective Contributor</v>
      </c>
      <c r="P271" s="28">
        <v>45506</v>
      </c>
      <c r="Q271" s="24">
        <f t="shared" si="52"/>
        <v>2.1601642710472277</v>
      </c>
      <c r="R271" s="22" t="str">
        <f t="shared" si="53"/>
        <v>Not Eligible</v>
      </c>
      <c r="S271" t="str">
        <f t="shared" si="54"/>
        <v>Rating below 4</v>
      </c>
      <c r="T271" s="22" t="s">
        <v>1687</v>
      </c>
    </row>
    <row r="272" spans="1:20" x14ac:dyDescent="0.3">
      <c r="A272" s="22" t="s">
        <v>1002</v>
      </c>
      <c r="B272" s="29" t="str">
        <f t="shared" si="44"/>
        <v>Ananya Desai</v>
      </c>
      <c r="C272" s="29" t="str">
        <f t="shared" si="45"/>
        <v>Nandini Iyer</v>
      </c>
      <c r="D272" s="29" t="str">
        <f t="shared" si="46"/>
        <v>Marketing</v>
      </c>
      <c r="E272" s="30" t="str">
        <f t="shared" si="47"/>
        <v>L2</v>
      </c>
      <c r="F272" s="30" t="str">
        <f t="shared" si="48"/>
        <v>Active</v>
      </c>
      <c r="G272" s="22">
        <v>2</v>
      </c>
      <c r="H272" t="str">
        <f t="shared" si="49"/>
        <v>Needs Improvement</v>
      </c>
      <c r="I272" s="22">
        <v>2</v>
      </c>
      <c r="J272" s="22" t="str">
        <f t="shared" si="50"/>
        <v>Stable</v>
      </c>
      <c r="K272" s="31">
        <v>0.56000000000000005</v>
      </c>
      <c r="L272" s="24">
        <v>2.2000000000000002</v>
      </c>
      <c r="M272" s="22" t="s">
        <v>60</v>
      </c>
      <c r="N272" s="22" t="str">
        <f t="shared" si="51"/>
        <v>Low</v>
      </c>
      <c r="O272" t="str">
        <f>INDEX(NineBox,MATCH(N272,{"Low","Mid","High"},0),MATCH(M272,{"Low","Medium","High"},0))</f>
        <v>Inconsistent Player</v>
      </c>
      <c r="P272" s="28">
        <v>45506</v>
      </c>
      <c r="Q272" s="24">
        <f t="shared" si="52"/>
        <v>2.1601642710472277</v>
      </c>
      <c r="R272" s="22" t="str">
        <f t="shared" si="53"/>
        <v>Not Eligible</v>
      </c>
      <c r="S272" t="str">
        <f t="shared" si="54"/>
        <v>Rating below 4</v>
      </c>
      <c r="T272" s="22" t="s">
        <v>1687</v>
      </c>
    </row>
    <row r="273" spans="1:20" x14ac:dyDescent="0.3">
      <c r="A273" s="22" t="s">
        <v>1005</v>
      </c>
      <c r="B273" s="29" t="str">
        <f t="shared" si="44"/>
        <v>Vinay Agarwal</v>
      </c>
      <c r="C273" s="29" t="str">
        <f t="shared" si="45"/>
        <v>Yash Raghavan</v>
      </c>
      <c r="D273" s="29" t="str">
        <f t="shared" si="46"/>
        <v>Sales</v>
      </c>
      <c r="E273" s="30" t="str">
        <f t="shared" si="47"/>
        <v>L2</v>
      </c>
      <c r="F273" s="30" t="str">
        <f t="shared" si="48"/>
        <v>Active</v>
      </c>
      <c r="G273" s="22">
        <v>3</v>
      </c>
      <c r="H273" t="str">
        <f t="shared" si="49"/>
        <v>Meets Expectations</v>
      </c>
      <c r="I273" s="22">
        <v>3</v>
      </c>
      <c r="J273" s="22" t="str">
        <f t="shared" si="50"/>
        <v>Stable</v>
      </c>
      <c r="K273" s="31">
        <v>0.77</v>
      </c>
      <c r="L273" s="24">
        <v>4</v>
      </c>
      <c r="M273" s="22" t="s">
        <v>59</v>
      </c>
      <c r="N273" s="22" t="str">
        <f t="shared" si="51"/>
        <v>Mid</v>
      </c>
      <c r="O273" t="str">
        <f>INDEX(NineBox,MATCH(N273,{"Low","Mid","High"},0),MATCH(M273,{"Low","Medium","High"},0))</f>
        <v>Effective Contributor</v>
      </c>
      <c r="P273" s="28">
        <v>45509</v>
      </c>
      <c r="Q273" s="24">
        <f t="shared" si="52"/>
        <v>2.1519507186858315</v>
      </c>
      <c r="R273" s="22" t="str">
        <f t="shared" si="53"/>
        <v>Not Eligible</v>
      </c>
      <c r="S273" t="str">
        <f t="shared" si="54"/>
        <v>Rating below 4</v>
      </c>
      <c r="T273" s="22" t="s">
        <v>1687</v>
      </c>
    </row>
    <row r="274" spans="1:20" x14ac:dyDescent="0.3">
      <c r="A274" s="22" t="s">
        <v>308</v>
      </c>
      <c r="B274" s="29" t="str">
        <f t="shared" si="44"/>
        <v>Aishwarya Fernandes</v>
      </c>
      <c r="C274" s="29" t="str">
        <f t="shared" si="45"/>
        <v>Arvind Rao (CEO)</v>
      </c>
      <c r="D274" s="29" t="str">
        <f t="shared" si="46"/>
        <v>Data &amp; Analytics</v>
      </c>
      <c r="E274" s="30" t="str">
        <f t="shared" si="47"/>
        <v>L7</v>
      </c>
      <c r="F274" s="30" t="str">
        <f t="shared" si="48"/>
        <v>Active</v>
      </c>
      <c r="G274" s="22">
        <v>4</v>
      </c>
      <c r="H274" t="str">
        <f t="shared" si="49"/>
        <v>Exceeds Expectations</v>
      </c>
      <c r="I274" s="22">
        <v>4</v>
      </c>
      <c r="J274" s="22" t="str">
        <f t="shared" si="50"/>
        <v>Stable</v>
      </c>
      <c r="K274" s="31">
        <v>1</v>
      </c>
      <c r="L274" s="24">
        <v>3.8</v>
      </c>
      <c r="M274" s="22" t="s">
        <v>59</v>
      </c>
      <c r="N274" s="22" t="str">
        <f t="shared" si="51"/>
        <v>High</v>
      </c>
      <c r="O274" t="str">
        <f>INDEX(NineBox,MATCH(N274,{"Low","Mid","High"},0),MATCH(M274,{"Low","Medium","High"},0))</f>
        <v>Trusted Professional</v>
      </c>
      <c r="P274" s="28">
        <v>45514</v>
      </c>
      <c r="Q274" s="24">
        <f t="shared" si="52"/>
        <v>2.1382614647501712</v>
      </c>
      <c r="R274" s="22" t="str">
        <f t="shared" si="53"/>
        <v>Not Eligible</v>
      </c>
      <c r="S274" t="str">
        <f t="shared" si="54"/>
        <v>Already at top level</v>
      </c>
      <c r="T274" s="22" t="s">
        <v>1687</v>
      </c>
    </row>
    <row r="275" spans="1:20" x14ac:dyDescent="0.3">
      <c r="A275" s="22" t="s">
        <v>1010</v>
      </c>
      <c r="B275" s="29" t="str">
        <f t="shared" si="44"/>
        <v>Joseph Gowda</v>
      </c>
      <c r="C275" s="29" t="str">
        <f t="shared" si="45"/>
        <v>Nandini Fernandes</v>
      </c>
      <c r="D275" s="29" t="str">
        <f t="shared" si="46"/>
        <v>Operations</v>
      </c>
      <c r="E275" s="30" t="str">
        <f t="shared" si="47"/>
        <v>L1</v>
      </c>
      <c r="F275" s="30" t="str">
        <f t="shared" si="48"/>
        <v>Active</v>
      </c>
      <c r="G275" s="22">
        <v>4</v>
      </c>
      <c r="H275" t="str">
        <f t="shared" si="49"/>
        <v>Exceeds Expectations</v>
      </c>
      <c r="I275" s="22">
        <v>4</v>
      </c>
      <c r="J275" s="22" t="str">
        <f t="shared" si="50"/>
        <v>Stable</v>
      </c>
      <c r="K275" s="31">
        <v>0.82</v>
      </c>
      <c r="L275" s="24">
        <v>4.3</v>
      </c>
      <c r="M275" s="22" t="s">
        <v>59</v>
      </c>
      <c r="N275" s="22" t="str">
        <f t="shared" si="51"/>
        <v>High</v>
      </c>
      <c r="O275" t="str">
        <f>INDEX(NineBox,MATCH(N275,{"Low","Mid","High"},0),MATCH(M275,{"Low","Medium","High"},0))</f>
        <v>Trusted Professional</v>
      </c>
      <c r="P275" s="28">
        <v>45517</v>
      </c>
      <c r="Q275" s="24">
        <f t="shared" si="52"/>
        <v>2.130047912388775</v>
      </c>
      <c r="R275" s="22" t="str">
        <f t="shared" si="53"/>
        <v>Eligible</v>
      </c>
      <c r="S275" t="str">
        <f t="shared" si="54"/>
        <v>Meets rating and time-in-level criteria</v>
      </c>
      <c r="T275" s="22" t="s">
        <v>1687</v>
      </c>
    </row>
    <row r="276" spans="1:20" x14ac:dyDescent="0.3">
      <c r="A276" s="22" t="s">
        <v>1013</v>
      </c>
      <c r="B276" s="29" t="str">
        <f t="shared" si="44"/>
        <v>Akash Patel</v>
      </c>
      <c r="C276" s="29" t="str">
        <f t="shared" si="45"/>
        <v>Vidya Chatterjee</v>
      </c>
      <c r="D276" s="29" t="str">
        <f t="shared" si="46"/>
        <v>Customer Support</v>
      </c>
      <c r="E276" s="30" t="str">
        <f t="shared" si="47"/>
        <v>L2</v>
      </c>
      <c r="F276" s="30" t="str">
        <f t="shared" si="48"/>
        <v>Active</v>
      </c>
      <c r="G276" s="22">
        <v>3</v>
      </c>
      <c r="H276" t="str">
        <f t="shared" si="49"/>
        <v>Meets Expectations</v>
      </c>
      <c r="I276" s="22">
        <v>4</v>
      </c>
      <c r="J276" s="22" t="str">
        <f t="shared" si="50"/>
        <v>Declined</v>
      </c>
      <c r="K276" s="31">
        <v>0.94</v>
      </c>
      <c r="L276" s="24">
        <v>2.9</v>
      </c>
      <c r="M276" s="22" t="s">
        <v>61</v>
      </c>
      <c r="N276" s="22" t="str">
        <f t="shared" si="51"/>
        <v>Mid</v>
      </c>
      <c r="O276" t="str">
        <f>INDEX(NineBox,MATCH(N276,{"Low","Mid","High"},0),MATCH(M276,{"Low","Medium","High"},0))</f>
        <v>Future Star</v>
      </c>
      <c r="P276" s="28">
        <v>45517</v>
      </c>
      <c r="Q276" s="24">
        <f t="shared" si="52"/>
        <v>2.130047912388775</v>
      </c>
      <c r="R276" s="22" t="str">
        <f t="shared" si="53"/>
        <v>Not Eligible</v>
      </c>
      <c r="S276" t="str">
        <f t="shared" si="54"/>
        <v>Rating below 4</v>
      </c>
      <c r="T276" s="22" t="s">
        <v>1687</v>
      </c>
    </row>
    <row r="277" spans="1:20" x14ac:dyDescent="0.3">
      <c r="A277" s="22" t="s">
        <v>1016</v>
      </c>
      <c r="B277" s="29" t="str">
        <f t="shared" si="44"/>
        <v>Pooja Kamath</v>
      </c>
      <c r="C277" s="29" t="str">
        <f t="shared" si="45"/>
        <v>Anjali Iyer</v>
      </c>
      <c r="D277" s="29" t="str">
        <f t="shared" si="46"/>
        <v>Customer Support</v>
      </c>
      <c r="E277" s="30" t="str">
        <f t="shared" si="47"/>
        <v>L2</v>
      </c>
      <c r="F277" s="30" t="str">
        <f t="shared" si="48"/>
        <v>Active</v>
      </c>
      <c r="G277" s="22">
        <v>3</v>
      </c>
      <c r="H277" t="str">
        <f t="shared" si="49"/>
        <v>Meets Expectations</v>
      </c>
      <c r="I277" s="22">
        <v>3</v>
      </c>
      <c r="J277" s="22" t="str">
        <f t="shared" si="50"/>
        <v>Stable</v>
      </c>
      <c r="K277" s="31">
        <v>0.75</v>
      </c>
      <c r="L277" s="24">
        <v>3.6</v>
      </c>
      <c r="M277" s="22" t="s">
        <v>61</v>
      </c>
      <c r="N277" s="22" t="str">
        <f t="shared" si="51"/>
        <v>Mid</v>
      </c>
      <c r="O277" t="str">
        <f>INDEX(NineBox,MATCH(N277,{"Low","Mid","High"},0),MATCH(M277,{"Low","Medium","High"},0))</f>
        <v>Future Star</v>
      </c>
      <c r="P277" s="28">
        <v>45523</v>
      </c>
      <c r="Q277" s="24">
        <f t="shared" si="52"/>
        <v>2.1136208076659821</v>
      </c>
      <c r="R277" s="22" t="str">
        <f t="shared" si="53"/>
        <v>Not Eligible</v>
      </c>
      <c r="S277" t="str">
        <f t="shared" si="54"/>
        <v>Rating below 4</v>
      </c>
      <c r="T277" s="22" t="s">
        <v>1687</v>
      </c>
    </row>
    <row r="278" spans="1:20" x14ac:dyDescent="0.3">
      <c r="A278" s="22" t="s">
        <v>1019</v>
      </c>
      <c r="B278" s="29" t="str">
        <f t="shared" si="44"/>
        <v>Ankit Joshi</v>
      </c>
      <c r="C278" s="29" t="str">
        <f t="shared" si="45"/>
        <v>Anjali Iyer</v>
      </c>
      <c r="D278" s="29" t="str">
        <f t="shared" si="46"/>
        <v>Customer Support</v>
      </c>
      <c r="E278" s="30" t="str">
        <f t="shared" si="47"/>
        <v>L1</v>
      </c>
      <c r="F278" s="30" t="str">
        <f t="shared" si="48"/>
        <v>Active</v>
      </c>
      <c r="G278" s="22">
        <v>4</v>
      </c>
      <c r="H278" t="str">
        <f t="shared" si="49"/>
        <v>Exceeds Expectations</v>
      </c>
      <c r="I278" s="22">
        <v>4</v>
      </c>
      <c r="J278" s="22" t="str">
        <f t="shared" si="50"/>
        <v>Stable</v>
      </c>
      <c r="K278" s="31">
        <v>0.91</v>
      </c>
      <c r="L278" s="24">
        <v>4.8</v>
      </c>
      <c r="M278" s="22" t="s">
        <v>60</v>
      </c>
      <c r="N278" s="22" t="str">
        <f t="shared" si="51"/>
        <v>High</v>
      </c>
      <c r="O278" t="str">
        <f>INDEX(NineBox,MATCH(N278,{"Low","Mid","High"},0),MATCH(M278,{"Low","Medium","High"},0))</f>
        <v>High Performer</v>
      </c>
      <c r="P278" s="28">
        <v>45526</v>
      </c>
      <c r="Q278" s="24">
        <f t="shared" si="52"/>
        <v>2.1054072553045859</v>
      </c>
      <c r="R278" s="22" t="str">
        <f t="shared" si="53"/>
        <v>Eligible</v>
      </c>
      <c r="S278" t="str">
        <f t="shared" si="54"/>
        <v>Meets rating and time-in-level criteria</v>
      </c>
      <c r="T278" s="22" t="s">
        <v>1687</v>
      </c>
    </row>
    <row r="279" spans="1:20" x14ac:dyDescent="0.3">
      <c r="A279" s="22" t="s">
        <v>1022</v>
      </c>
      <c r="B279" s="29" t="str">
        <f t="shared" si="44"/>
        <v>Vikas Raghavan</v>
      </c>
      <c r="C279" s="29" t="str">
        <f t="shared" si="45"/>
        <v>Ankit Khanna</v>
      </c>
      <c r="D279" s="29" t="str">
        <f t="shared" si="46"/>
        <v>Operations</v>
      </c>
      <c r="E279" s="30" t="str">
        <f t="shared" si="47"/>
        <v>L1</v>
      </c>
      <c r="F279" s="30" t="str">
        <f t="shared" si="48"/>
        <v>Active</v>
      </c>
      <c r="G279" s="22">
        <v>4</v>
      </c>
      <c r="H279" t="str">
        <f t="shared" si="49"/>
        <v>Exceeds Expectations</v>
      </c>
      <c r="I279" s="22">
        <v>4</v>
      </c>
      <c r="J279" s="22" t="str">
        <f t="shared" si="50"/>
        <v>Stable</v>
      </c>
      <c r="K279" s="31">
        <v>0.86</v>
      </c>
      <c r="L279" s="24">
        <v>4.5999999999999996</v>
      </c>
      <c r="M279" s="22" t="s">
        <v>61</v>
      </c>
      <c r="N279" s="22" t="str">
        <f t="shared" si="51"/>
        <v>High</v>
      </c>
      <c r="O279" t="str">
        <f>INDEX(NineBox,MATCH(N279,{"Low","Mid","High"},0),MATCH(M279,{"Low","Medium","High"},0))</f>
        <v>Star</v>
      </c>
      <c r="P279" s="28">
        <v>45527</v>
      </c>
      <c r="Q279" s="24">
        <f t="shared" si="52"/>
        <v>2.1026694045174539</v>
      </c>
      <c r="R279" s="22" t="str">
        <f t="shared" si="53"/>
        <v>Eligible</v>
      </c>
      <c r="S279" t="str">
        <f t="shared" si="54"/>
        <v>Meets rating and time-in-level criteria</v>
      </c>
      <c r="T279" s="22" t="s">
        <v>1688</v>
      </c>
    </row>
    <row r="280" spans="1:20" x14ac:dyDescent="0.3">
      <c r="A280" s="22" t="s">
        <v>434</v>
      </c>
      <c r="B280" s="29" t="str">
        <f t="shared" si="44"/>
        <v>Karan Verma</v>
      </c>
      <c r="C280" s="29" t="str">
        <f t="shared" si="45"/>
        <v>Trisha Jain</v>
      </c>
      <c r="D280" s="29" t="str">
        <f t="shared" si="46"/>
        <v>Data &amp; Analytics</v>
      </c>
      <c r="E280" s="30" t="str">
        <f t="shared" si="47"/>
        <v>L5</v>
      </c>
      <c r="F280" s="30" t="str">
        <f t="shared" si="48"/>
        <v>Active</v>
      </c>
      <c r="G280" s="22">
        <v>3</v>
      </c>
      <c r="H280" t="str">
        <f t="shared" si="49"/>
        <v>Meets Expectations</v>
      </c>
      <c r="I280" s="22">
        <v>3</v>
      </c>
      <c r="J280" s="22" t="str">
        <f t="shared" si="50"/>
        <v>Stable</v>
      </c>
      <c r="K280" s="31">
        <v>0.81</v>
      </c>
      <c r="L280" s="24">
        <v>2.8</v>
      </c>
      <c r="M280" s="22" t="s">
        <v>60</v>
      </c>
      <c r="N280" s="22" t="str">
        <f t="shared" si="51"/>
        <v>Mid</v>
      </c>
      <c r="O280" t="str">
        <f>INDEX(NineBox,MATCH(N280,{"Low","Mid","High"},0),MATCH(M280,{"Low","Medium","High"},0))</f>
        <v>Core Player</v>
      </c>
      <c r="P280" s="28">
        <v>45531</v>
      </c>
      <c r="Q280" s="24">
        <f t="shared" si="52"/>
        <v>2.0917180013689256</v>
      </c>
      <c r="R280" s="22" t="str">
        <f t="shared" si="53"/>
        <v>Not Eligible</v>
      </c>
      <c r="S280" t="str">
        <f t="shared" si="54"/>
        <v>Rating below 4</v>
      </c>
      <c r="T280" s="22" t="s">
        <v>1687</v>
      </c>
    </row>
    <row r="281" spans="1:20" x14ac:dyDescent="0.3">
      <c r="A281" s="22" t="s">
        <v>1026</v>
      </c>
      <c r="B281" s="29" t="str">
        <f t="shared" si="44"/>
        <v>Tanvi Kamath</v>
      </c>
      <c r="C281" s="29" t="str">
        <f t="shared" si="45"/>
        <v>Ravi Prabhu</v>
      </c>
      <c r="D281" s="29" t="str">
        <f t="shared" si="46"/>
        <v>Finance</v>
      </c>
      <c r="E281" s="30" t="str">
        <f t="shared" si="47"/>
        <v>L3</v>
      </c>
      <c r="F281" s="30" t="str">
        <f t="shared" si="48"/>
        <v>Exited</v>
      </c>
      <c r="G281" s="22">
        <v>4</v>
      </c>
      <c r="H281" t="str">
        <f t="shared" si="49"/>
        <v>Exceeds Expectations</v>
      </c>
      <c r="I281" s="22">
        <v>4</v>
      </c>
      <c r="J281" s="22" t="str">
        <f t="shared" si="50"/>
        <v>Stable</v>
      </c>
      <c r="K281" s="31">
        <v>1.06</v>
      </c>
      <c r="L281" s="24">
        <v>4.2</v>
      </c>
      <c r="M281" s="22" t="s">
        <v>61</v>
      </c>
      <c r="N281" s="22" t="str">
        <f t="shared" si="51"/>
        <v>High</v>
      </c>
      <c r="O281" t="str">
        <f>INDEX(NineBox,MATCH(N281,{"Low","Mid","High"},0),MATCH(M281,{"Low","Medium","High"},0))</f>
        <v>Star</v>
      </c>
      <c r="P281" s="28">
        <v>45537</v>
      </c>
      <c r="Q281" s="24">
        <f t="shared" si="52"/>
        <v>2.0752908966461328</v>
      </c>
      <c r="R281" s="22" t="str">
        <f t="shared" si="53"/>
        <v>Not Eligible</v>
      </c>
      <c r="S281" t="str">
        <f t="shared" si="54"/>
        <v>Employee has exited</v>
      </c>
      <c r="T281" s="22" t="s">
        <v>1687</v>
      </c>
    </row>
    <row r="282" spans="1:20" x14ac:dyDescent="0.3">
      <c r="A282" s="22" t="s">
        <v>1029</v>
      </c>
      <c r="B282" s="29" t="str">
        <f t="shared" si="44"/>
        <v>Srinivas Nair</v>
      </c>
      <c r="C282" s="29" t="str">
        <f t="shared" si="45"/>
        <v>Vidya Chatterjee</v>
      </c>
      <c r="D282" s="29" t="str">
        <f t="shared" si="46"/>
        <v>Customer Support</v>
      </c>
      <c r="E282" s="30" t="str">
        <f t="shared" si="47"/>
        <v>L2</v>
      </c>
      <c r="F282" s="30" t="str">
        <f t="shared" si="48"/>
        <v>Active</v>
      </c>
      <c r="G282" s="22">
        <v>1</v>
      </c>
      <c r="H282" t="str">
        <f t="shared" si="49"/>
        <v>Unsatisfactory</v>
      </c>
      <c r="I282" s="22">
        <v>1</v>
      </c>
      <c r="J282" s="22" t="str">
        <f t="shared" si="50"/>
        <v>Stable</v>
      </c>
      <c r="K282" s="31">
        <v>0.48</v>
      </c>
      <c r="L282" s="24">
        <v>1.5</v>
      </c>
      <c r="M282" s="22" t="s">
        <v>59</v>
      </c>
      <c r="N282" s="22" t="str">
        <f t="shared" si="51"/>
        <v>Low</v>
      </c>
      <c r="O282" t="str">
        <f>INDEX(NineBox,MATCH(N282,{"Low","Mid","High"},0),MATCH(M282,{"Low","Medium","High"},0))</f>
        <v>Underperformer</v>
      </c>
      <c r="P282" s="28">
        <v>45544</v>
      </c>
      <c r="Q282" s="24">
        <f t="shared" si="52"/>
        <v>2.0561259411362083</v>
      </c>
      <c r="R282" s="22" t="str">
        <f t="shared" si="53"/>
        <v>Not Eligible</v>
      </c>
      <c r="S282" t="str">
        <f t="shared" si="54"/>
        <v>Rating below 4</v>
      </c>
      <c r="T282" s="22" t="s">
        <v>1687</v>
      </c>
    </row>
    <row r="283" spans="1:20" x14ac:dyDescent="0.3">
      <c r="A283" s="22" t="s">
        <v>1032</v>
      </c>
      <c r="B283" s="29" t="str">
        <f t="shared" si="44"/>
        <v>Priya Mishra</v>
      </c>
      <c r="C283" s="29" t="str">
        <f t="shared" si="45"/>
        <v>Anand Naidu</v>
      </c>
      <c r="D283" s="29" t="str">
        <f t="shared" si="46"/>
        <v>Customer Support</v>
      </c>
      <c r="E283" s="30" t="str">
        <f t="shared" si="47"/>
        <v>L2</v>
      </c>
      <c r="F283" s="30" t="str">
        <f t="shared" si="48"/>
        <v>Active</v>
      </c>
      <c r="G283" s="22">
        <v>2</v>
      </c>
      <c r="H283" t="str">
        <f t="shared" si="49"/>
        <v>Needs Improvement</v>
      </c>
      <c r="I283" s="22">
        <v>1</v>
      </c>
      <c r="J283" s="22" t="str">
        <f t="shared" si="50"/>
        <v>Improved</v>
      </c>
      <c r="K283" s="31">
        <v>0.64</v>
      </c>
      <c r="L283" s="24">
        <v>1.5</v>
      </c>
      <c r="M283" s="22" t="s">
        <v>59</v>
      </c>
      <c r="N283" s="22" t="str">
        <f t="shared" si="51"/>
        <v>Low</v>
      </c>
      <c r="O283" t="str">
        <f>INDEX(NineBox,MATCH(N283,{"Low","Mid","High"},0),MATCH(M283,{"Low","Medium","High"},0))</f>
        <v>Underperformer</v>
      </c>
      <c r="P283" s="28">
        <v>45549</v>
      </c>
      <c r="Q283" s="24">
        <f t="shared" si="52"/>
        <v>2.0424366872005475</v>
      </c>
      <c r="R283" s="22" t="str">
        <f t="shared" si="53"/>
        <v>Not Eligible</v>
      </c>
      <c r="S283" t="str">
        <f t="shared" si="54"/>
        <v>Rating below 4</v>
      </c>
      <c r="T283" s="22" t="s">
        <v>1687</v>
      </c>
    </row>
    <row r="284" spans="1:20" x14ac:dyDescent="0.3">
      <c r="A284" s="22" t="s">
        <v>1035</v>
      </c>
      <c r="B284" s="29" t="str">
        <f t="shared" si="44"/>
        <v>Isha Khanna</v>
      </c>
      <c r="C284" s="29" t="str">
        <f t="shared" si="45"/>
        <v>Sachin Shetty</v>
      </c>
      <c r="D284" s="29" t="str">
        <f t="shared" si="46"/>
        <v>Product</v>
      </c>
      <c r="E284" s="30" t="str">
        <f t="shared" si="47"/>
        <v>L2</v>
      </c>
      <c r="F284" s="30" t="str">
        <f t="shared" si="48"/>
        <v>Exited</v>
      </c>
      <c r="G284" s="22">
        <v>3</v>
      </c>
      <c r="H284" t="str">
        <f t="shared" si="49"/>
        <v>Meets Expectations</v>
      </c>
      <c r="I284" s="22">
        <v>3</v>
      </c>
      <c r="J284" s="22" t="str">
        <f t="shared" si="50"/>
        <v>Stable</v>
      </c>
      <c r="K284" s="31">
        <v>0.75</v>
      </c>
      <c r="L284" s="24">
        <v>3</v>
      </c>
      <c r="M284" s="22" t="s">
        <v>60</v>
      </c>
      <c r="N284" s="22" t="str">
        <f t="shared" si="51"/>
        <v>Mid</v>
      </c>
      <c r="O284" t="str">
        <f>INDEX(NineBox,MATCH(N284,{"Low","Mid","High"},0),MATCH(M284,{"Low","Medium","High"},0))</f>
        <v>Core Player</v>
      </c>
      <c r="P284" s="28">
        <v>45554</v>
      </c>
      <c r="Q284" s="24">
        <f t="shared" si="52"/>
        <v>2.0287474332648872</v>
      </c>
      <c r="R284" s="22" t="str">
        <f t="shared" si="53"/>
        <v>Not Eligible</v>
      </c>
      <c r="S284" t="str">
        <f t="shared" si="54"/>
        <v>Employee has exited</v>
      </c>
      <c r="T284" s="22" t="s">
        <v>1687</v>
      </c>
    </row>
    <row r="285" spans="1:20" x14ac:dyDescent="0.3">
      <c r="A285" s="22" t="s">
        <v>1038</v>
      </c>
      <c r="B285" s="29" t="str">
        <f t="shared" si="44"/>
        <v>Kunal Fernandes</v>
      </c>
      <c r="C285" s="29" t="str">
        <f t="shared" si="45"/>
        <v>Imran Joshi</v>
      </c>
      <c r="D285" s="29" t="str">
        <f t="shared" si="46"/>
        <v>Customer Support</v>
      </c>
      <c r="E285" s="30" t="str">
        <f t="shared" si="47"/>
        <v>L4</v>
      </c>
      <c r="F285" s="30" t="str">
        <f t="shared" si="48"/>
        <v>Exited</v>
      </c>
      <c r="G285" s="22">
        <v>3</v>
      </c>
      <c r="H285" t="str">
        <f t="shared" si="49"/>
        <v>Meets Expectations</v>
      </c>
      <c r="I285" s="22">
        <v>2</v>
      </c>
      <c r="J285" s="22" t="str">
        <f t="shared" si="50"/>
        <v>Improved</v>
      </c>
      <c r="K285" s="31">
        <v>0.97</v>
      </c>
      <c r="L285" s="24">
        <v>2.9</v>
      </c>
      <c r="M285" s="22" t="s">
        <v>59</v>
      </c>
      <c r="N285" s="22" t="str">
        <f t="shared" si="51"/>
        <v>Mid</v>
      </c>
      <c r="O285" t="str">
        <f>INDEX(NineBox,MATCH(N285,{"Low","Mid","High"},0),MATCH(M285,{"Low","Medium","High"},0))</f>
        <v>Effective Contributor</v>
      </c>
      <c r="P285" s="28">
        <v>45567</v>
      </c>
      <c r="Q285" s="24">
        <f t="shared" si="52"/>
        <v>1.9931553730321698</v>
      </c>
      <c r="R285" s="22" t="str">
        <f t="shared" si="53"/>
        <v>Not Eligible</v>
      </c>
      <c r="S285" t="str">
        <f t="shared" si="54"/>
        <v>Employee has exited</v>
      </c>
      <c r="T285" s="22" t="s">
        <v>1687</v>
      </c>
    </row>
    <row r="286" spans="1:20" x14ac:dyDescent="0.3">
      <c r="A286" s="22" t="s">
        <v>1041</v>
      </c>
      <c r="B286" s="29" t="str">
        <f t="shared" si="44"/>
        <v>Tarun Siddiqui</v>
      </c>
      <c r="C286" s="29" t="str">
        <f t="shared" si="45"/>
        <v>Ravi Prabhu</v>
      </c>
      <c r="D286" s="29" t="str">
        <f t="shared" si="46"/>
        <v>Finance</v>
      </c>
      <c r="E286" s="30" t="str">
        <f t="shared" si="47"/>
        <v>L1</v>
      </c>
      <c r="F286" s="30" t="str">
        <f t="shared" si="48"/>
        <v>Active</v>
      </c>
      <c r="G286" s="22">
        <v>4</v>
      </c>
      <c r="H286" t="str">
        <f t="shared" si="49"/>
        <v>Exceeds Expectations</v>
      </c>
      <c r="I286" s="22">
        <v>4</v>
      </c>
      <c r="J286" s="22" t="str">
        <f t="shared" si="50"/>
        <v>Stable</v>
      </c>
      <c r="K286" s="31">
        <v>0.91</v>
      </c>
      <c r="L286" s="24">
        <v>4</v>
      </c>
      <c r="M286" s="22" t="s">
        <v>60</v>
      </c>
      <c r="N286" s="22" t="str">
        <f t="shared" si="51"/>
        <v>High</v>
      </c>
      <c r="O286" t="str">
        <f>INDEX(NineBox,MATCH(N286,{"Low","Mid","High"},0),MATCH(M286,{"Low","Medium","High"},0))</f>
        <v>High Performer</v>
      </c>
      <c r="P286" s="28">
        <v>45570</v>
      </c>
      <c r="Q286" s="24">
        <f t="shared" si="52"/>
        <v>1.9849418206707734</v>
      </c>
      <c r="R286" s="22" t="str">
        <f t="shared" si="53"/>
        <v>Eligible</v>
      </c>
      <c r="S286" t="str">
        <f t="shared" si="54"/>
        <v>Meets rating and time-in-level criteria</v>
      </c>
      <c r="T286" s="22" t="s">
        <v>1687</v>
      </c>
    </row>
    <row r="287" spans="1:20" x14ac:dyDescent="0.3">
      <c r="A287" s="22" t="s">
        <v>1044</v>
      </c>
      <c r="B287" s="29" t="str">
        <f t="shared" si="44"/>
        <v>Farhan Thomas</v>
      </c>
      <c r="C287" s="29" t="str">
        <f t="shared" si="45"/>
        <v>Tejaswini Hegde</v>
      </c>
      <c r="D287" s="29" t="str">
        <f t="shared" si="46"/>
        <v>Engineering</v>
      </c>
      <c r="E287" s="30" t="str">
        <f t="shared" si="47"/>
        <v>L1</v>
      </c>
      <c r="F287" s="30" t="str">
        <f t="shared" si="48"/>
        <v>Active</v>
      </c>
      <c r="G287" s="22">
        <v>3</v>
      </c>
      <c r="H287" t="str">
        <f t="shared" si="49"/>
        <v>Meets Expectations</v>
      </c>
      <c r="I287" s="22">
        <v>3</v>
      </c>
      <c r="J287" s="22" t="str">
        <f t="shared" si="50"/>
        <v>Stable</v>
      </c>
      <c r="K287" s="31">
        <v>0.77</v>
      </c>
      <c r="L287" s="24">
        <v>3</v>
      </c>
      <c r="M287" s="22" t="s">
        <v>60</v>
      </c>
      <c r="N287" s="22" t="str">
        <f t="shared" si="51"/>
        <v>Mid</v>
      </c>
      <c r="O287" t="str">
        <f>INDEX(NineBox,MATCH(N287,{"Low","Mid","High"},0),MATCH(M287,{"Low","Medium","High"},0))</f>
        <v>Core Player</v>
      </c>
      <c r="P287" s="28">
        <v>45572</v>
      </c>
      <c r="Q287" s="24">
        <f t="shared" si="52"/>
        <v>1.9794661190965093</v>
      </c>
      <c r="R287" s="22" t="str">
        <f t="shared" si="53"/>
        <v>Not Eligible</v>
      </c>
      <c r="S287" t="str">
        <f t="shared" si="54"/>
        <v>Rating below 4</v>
      </c>
      <c r="T287" s="22" t="s">
        <v>1687</v>
      </c>
    </row>
    <row r="288" spans="1:20" x14ac:dyDescent="0.3">
      <c r="A288" s="22" t="s">
        <v>1047</v>
      </c>
      <c r="B288" s="29" t="str">
        <f t="shared" si="44"/>
        <v>Sai Iyer</v>
      </c>
      <c r="C288" s="29" t="str">
        <f t="shared" si="45"/>
        <v>Madhuri Malhotra</v>
      </c>
      <c r="D288" s="29" t="str">
        <f t="shared" si="46"/>
        <v>Sales</v>
      </c>
      <c r="E288" s="30" t="str">
        <f t="shared" si="47"/>
        <v>L2</v>
      </c>
      <c r="F288" s="30" t="str">
        <f t="shared" si="48"/>
        <v>Active</v>
      </c>
      <c r="G288" s="22">
        <v>2</v>
      </c>
      <c r="H288" t="str">
        <f t="shared" si="49"/>
        <v>Needs Improvement</v>
      </c>
      <c r="I288" s="22">
        <v>2</v>
      </c>
      <c r="J288" s="22" t="str">
        <f t="shared" si="50"/>
        <v>Stable</v>
      </c>
      <c r="K288" s="31">
        <v>0.62</v>
      </c>
      <c r="L288" s="24">
        <v>1.4</v>
      </c>
      <c r="M288" s="22" t="s">
        <v>60</v>
      </c>
      <c r="N288" s="22" t="str">
        <f t="shared" si="51"/>
        <v>Low</v>
      </c>
      <c r="O288" t="str">
        <f>INDEX(NineBox,MATCH(N288,{"Low","Mid","High"},0),MATCH(M288,{"Low","Medium","High"},0))</f>
        <v>Inconsistent Player</v>
      </c>
      <c r="P288" s="28">
        <v>45574</v>
      </c>
      <c r="Q288" s="24">
        <f t="shared" si="52"/>
        <v>1.9739904175222451</v>
      </c>
      <c r="R288" s="22" t="str">
        <f t="shared" si="53"/>
        <v>Not Eligible</v>
      </c>
      <c r="S288" t="str">
        <f t="shared" si="54"/>
        <v>Rating below 4</v>
      </c>
      <c r="T288" s="22" t="s">
        <v>1687</v>
      </c>
    </row>
    <row r="289" spans="1:20" x14ac:dyDescent="0.3">
      <c r="A289" s="22" t="s">
        <v>1050</v>
      </c>
      <c r="B289" s="29" t="str">
        <f t="shared" si="44"/>
        <v>Joseph Pandey</v>
      </c>
      <c r="C289" s="29" t="str">
        <f t="shared" si="45"/>
        <v>Nandini Fernandes</v>
      </c>
      <c r="D289" s="29" t="str">
        <f t="shared" si="46"/>
        <v>Operations</v>
      </c>
      <c r="E289" s="30" t="str">
        <f t="shared" si="47"/>
        <v>L1</v>
      </c>
      <c r="F289" s="30" t="str">
        <f t="shared" si="48"/>
        <v>Active</v>
      </c>
      <c r="G289" s="22">
        <v>4</v>
      </c>
      <c r="H289" t="str">
        <f t="shared" si="49"/>
        <v>Exceeds Expectations</v>
      </c>
      <c r="I289" s="22">
        <v>5</v>
      </c>
      <c r="J289" s="22" t="str">
        <f t="shared" si="50"/>
        <v>Declined</v>
      </c>
      <c r="K289" s="31">
        <v>0.99</v>
      </c>
      <c r="L289" s="24">
        <v>4.0999999999999996</v>
      </c>
      <c r="M289" s="22" t="s">
        <v>60</v>
      </c>
      <c r="N289" s="22" t="str">
        <f t="shared" si="51"/>
        <v>High</v>
      </c>
      <c r="O289" t="str">
        <f>INDEX(NineBox,MATCH(N289,{"Low","Mid","High"},0),MATCH(M289,{"Low","Medium","High"},0))</f>
        <v>High Performer</v>
      </c>
      <c r="P289" s="28">
        <v>45579</v>
      </c>
      <c r="Q289" s="24">
        <f t="shared" si="52"/>
        <v>1.9603011635865846</v>
      </c>
      <c r="R289" s="22" t="str">
        <f t="shared" si="53"/>
        <v>Eligible</v>
      </c>
      <c r="S289" t="str">
        <f t="shared" si="54"/>
        <v>Meets rating and time-in-level criteria</v>
      </c>
      <c r="T289" s="22" t="s">
        <v>1687</v>
      </c>
    </row>
    <row r="290" spans="1:20" x14ac:dyDescent="0.3">
      <c r="A290" s="22" t="s">
        <v>1053</v>
      </c>
      <c r="B290" s="29" t="str">
        <f t="shared" si="44"/>
        <v>Tanvi Verma</v>
      </c>
      <c r="C290" s="29" t="str">
        <f t="shared" si="45"/>
        <v>Anjali Iyer</v>
      </c>
      <c r="D290" s="29" t="str">
        <f t="shared" si="46"/>
        <v>Customer Support</v>
      </c>
      <c r="E290" s="30" t="str">
        <f t="shared" si="47"/>
        <v>L2</v>
      </c>
      <c r="F290" s="30" t="str">
        <f t="shared" si="48"/>
        <v>Active</v>
      </c>
      <c r="G290" s="22">
        <v>4</v>
      </c>
      <c r="H290" t="str">
        <f t="shared" si="49"/>
        <v>Exceeds Expectations</v>
      </c>
      <c r="I290" s="22">
        <v>4</v>
      </c>
      <c r="J290" s="22" t="str">
        <f t="shared" si="50"/>
        <v>Stable</v>
      </c>
      <c r="K290" s="31">
        <v>0.92</v>
      </c>
      <c r="L290" s="24">
        <v>4.0999999999999996</v>
      </c>
      <c r="M290" s="22" t="s">
        <v>59</v>
      </c>
      <c r="N290" s="22" t="str">
        <f t="shared" si="51"/>
        <v>High</v>
      </c>
      <c r="O290" t="str">
        <f>INDEX(NineBox,MATCH(N290,{"Low","Mid","High"},0),MATCH(M290,{"Low","Medium","High"},0))</f>
        <v>Trusted Professional</v>
      </c>
      <c r="P290" s="28">
        <v>45589</v>
      </c>
      <c r="Q290" s="24">
        <f t="shared" si="52"/>
        <v>1.9329226557152634</v>
      </c>
      <c r="R290" s="22" t="str">
        <f t="shared" si="53"/>
        <v>Eligible</v>
      </c>
      <c r="S290" t="str">
        <f t="shared" si="54"/>
        <v>Meets rating and time-in-level criteria</v>
      </c>
      <c r="T290" s="22" t="s">
        <v>1687</v>
      </c>
    </row>
    <row r="291" spans="1:20" x14ac:dyDescent="0.3">
      <c r="A291" s="22" t="s">
        <v>1056</v>
      </c>
      <c r="B291" s="29" t="str">
        <f t="shared" si="44"/>
        <v>Revathi Das</v>
      </c>
      <c r="C291" s="29" t="str">
        <f t="shared" si="45"/>
        <v>Sachin Shetty</v>
      </c>
      <c r="D291" s="29" t="str">
        <f t="shared" si="46"/>
        <v>Product</v>
      </c>
      <c r="E291" s="30" t="str">
        <f t="shared" si="47"/>
        <v>L1</v>
      </c>
      <c r="F291" s="30" t="str">
        <f t="shared" si="48"/>
        <v>Active</v>
      </c>
      <c r="G291" s="22">
        <v>3</v>
      </c>
      <c r="H291" t="str">
        <f t="shared" si="49"/>
        <v>Meets Expectations</v>
      </c>
      <c r="I291" s="22">
        <v>4</v>
      </c>
      <c r="J291" s="22" t="str">
        <f t="shared" si="50"/>
        <v>Declined</v>
      </c>
      <c r="K291" s="31">
        <v>0.98</v>
      </c>
      <c r="L291" s="24">
        <v>3.2</v>
      </c>
      <c r="M291" s="22" t="s">
        <v>60</v>
      </c>
      <c r="N291" s="22" t="str">
        <f t="shared" si="51"/>
        <v>Mid</v>
      </c>
      <c r="O291" t="str">
        <f>INDEX(NineBox,MATCH(N291,{"Low","Mid","High"},0),MATCH(M291,{"Low","Medium","High"},0))</f>
        <v>Core Player</v>
      </c>
      <c r="P291" s="28">
        <v>45593</v>
      </c>
      <c r="Q291" s="24">
        <f t="shared" si="52"/>
        <v>1.9219712525667352</v>
      </c>
      <c r="R291" s="22" t="str">
        <f t="shared" si="53"/>
        <v>Not Eligible</v>
      </c>
      <c r="S291" t="str">
        <f t="shared" si="54"/>
        <v>Rating below 4</v>
      </c>
      <c r="T291" s="22" t="s">
        <v>1687</v>
      </c>
    </row>
    <row r="292" spans="1:20" x14ac:dyDescent="0.3">
      <c r="A292" s="22" t="s">
        <v>1059</v>
      </c>
      <c r="B292" s="29" t="str">
        <f t="shared" si="44"/>
        <v>Swathi Fernandes</v>
      </c>
      <c r="C292" s="29" t="str">
        <f t="shared" si="45"/>
        <v>Kavya Krishnan</v>
      </c>
      <c r="D292" s="29" t="str">
        <f t="shared" si="46"/>
        <v>Sales</v>
      </c>
      <c r="E292" s="30" t="str">
        <f t="shared" si="47"/>
        <v>L1</v>
      </c>
      <c r="F292" s="30" t="str">
        <f t="shared" si="48"/>
        <v>Active</v>
      </c>
      <c r="G292" s="22">
        <v>3</v>
      </c>
      <c r="H292" t="str">
        <f t="shared" si="49"/>
        <v>Meets Expectations</v>
      </c>
      <c r="I292" s="22">
        <v>3</v>
      </c>
      <c r="J292" s="22" t="str">
        <f t="shared" si="50"/>
        <v>Stable</v>
      </c>
      <c r="K292" s="31">
        <v>0.79</v>
      </c>
      <c r="L292" s="24">
        <v>3.1</v>
      </c>
      <c r="M292" s="22" t="s">
        <v>60</v>
      </c>
      <c r="N292" s="22" t="str">
        <f t="shared" si="51"/>
        <v>Mid</v>
      </c>
      <c r="O292" t="str">
        <f>INDEX(NineBox,MATCH(N292,{"Low","Mid","High"},0),MATCH(M292,{"Low","Medium","High"},0))</f>
        <v>Core Player</v>
      </c>
      <c r="P292" s="28">
        <v>45597</v>
      </c>
      <c r="Q292" s="24">
        <f t="shared" si="52"/>
        <v>1.9110198494182067</v>
      </c>
      <c r="R292" s="22" t="str">
        <f t="shared" si="53"/>
        <v>Not Eligible</v>
      </c>
      <c r="S292" t="str">
        <f t="shared" si="54"/>
        <v>Rating below 4</v>
      </c>
      <c r="T292" s="22" t="s">
        <v>1687</v>
      </c>
    </row>
    <row r="293" spans="1:20" x14ac:dyDescent="0.3">
      <c r="A293" s="22" t="s">
        <v>1063</v>
      </c>
      <c r="B293" s="29" t="str">
        <f t="shared" si="44"/>
        <v>Arjun Shetty</v>
      </c>
      <c r="C293" s="29" t="str">
        <f t="shared" si="45"/>
        <v>Harsh Siddiqui</v>
      </c>
      <c r="D293" s="29" t="str">
        <f t="shared" si="46"/>
        <v>Engineering</v>
      </c>
      <c r="E293" s="30" t="str">
        <f t="shared" si="47"/>
        <v>L1</v>
      </c>
      <c r="F293" s="30" t="str">
        <f t="shared" si="48"/>
        <v>Active</v>
      </c>
      <c r="G293" s="22">
        <v>3</v>
      </c>
      <c r="H293" t="str">
        <f t="shared" si="49"/>
        <v>Meets Expectations</v>
      </c>
      <c r="I293" s="22">
        <v>2</v>
      </c>
      <c r="J293" s="22" t="str">
        <f t="shared" si="50"/>
        <v>Improved</v>
      </c>
      <c r="K293" s="31">
        <v>0.83</v>
      </c>
      <c r="L293" s="24">
        <v>2.9</v>
      </c>
      <c r="M293" s="22" t="s">
        <v>60</v>
      </c>
      <c r="N293" s="22" t="str">
        <f t="shared" si="51"/>
        <v>Mid</v>
      </c>
      <c r="O293" t="str">
        <f>INDEX(NineBox,MATCH(N293,{"Low","Mid","High"},0),MATCH(M293,{"Low","Medium","High"},0))</f>
        <v>Core Player</v>
      </c>
      <c r="P293" s="28">
        <v>45606</v>
      </c>
      <c r="Q293" s="24">
        <f t="shared" si="52"/>
        <v>1.8863791923340179</v>
      </c>
      <c r="R293" s="22" t="str">
        <f t="shared" si="53"/>
        <v>Not Eligible</v>
      </c>
      <c r="S293" t="str">
        <f t="shared" si="54"/>
        <v>Rating below 4</v>
      </c>
      <c r="T293" s="22" t="s">
        <v>1687</v>
      </c>
    </row>
    <row r="294" spans="1:20" x14ac:dyDescent="0.3">
      <c r="A294" s="22" t="s">
        <v>1066</v>
      </c>
      <c r="B294" s="29" t="str">
        <f t="shared" si="44"/>
        <v>Ajay Jain</v>
      </c>
      <c r="C294" s="29" t="str">
        <f t="shared" si="45"/>
        <v>Anand Naidu</v>
      </c>
      <c r="D294" s="29" t="str">
        <f t="shared" si="46"/>
        <v>Customer Support</v>
      </c>
      <c r="E294" s="30" t="str">
        <f t="shared" si="47"/>
        <v>L2</v>
      </c>
      <c r="F294" s="30" t="str">
        <f t="shared" si="48"/>
        <v>Exited</v>
      </c>
      <c r="G294" s="22">
        <v>1</v>
      </c>
      <c r="H294" t="str">
        <f t="shared" si="49"/>
        <v>Unsatisfactory</v>
      </c>
      <c r="I294" s="22">
        <v>1</v>
      </c>
      <c r="J294" s="22" t="str">
        <f t="shared" si="50"/>
        <v>Stable</v>
      </c>
      <c r="K294" s="31">
        <v>0.68</v>
      </c>
      <c r="L294" s="24">
        <v>1.2</v>
      </c>
      <c r="M294" s="22" t="s">
        <v>59</v>
      </c>
      <c r="N294" s="22" t="str">
        <f t="shared" si="51"/>
        <v>Low</v>
      </c>
      <c r="O294" t="str">
        <f>INDEX(NineBox,MATCH(N294,{"Low","Mid","High"},0),MATCH(M294,{"Low","Medium","High"},0))</f>
        <v>Underperformer</v>
      </c>
      <c r="P294" s="28">
        <v>45612</v>
      </c>
      <c r="Q294" s="24">
        <f t="shared" si="52"/>
        <v>1.8699520876112252</v>
      </c>
      <c r="R294" s="22" t="str">
        <f t="shared" si="53"/>
        <v>Not Eligible</v>
      </c>
      <c r="S294" t="str">
        <f t="shared" si="54"/>
        <v>Employee has exited</v>
      </c>
      <c r="T294" s="22" t="s">
        <v>1687</v>
      </c>
    </row>
    <row r="295" spans="1:20" x14ac:dyDescent="0.3">
      <c r="A295" s="22" t="s">
        <v>1069</v>
      </c>
      <c r="B295" s="29" t="str">
        <f t="shared" si="44"/>
        <v>Rakesh Desai</v>
      </c>
      <c r="C295" s="29" t="str">
        <f t="shared" si="45"/>
        <v>Swathi Mukherjee</v>
      </c>
      <c r="D295" s="29" t="str">
        <f t="shared" si="46"/>
        <v>Legal &amp; Compliance</v>
      </c>
      <c r="E295" s="30" t="str">
        <f t="shared" si="47"/>
        <v>L4</v>
      </c>
      <c r="F295" s="30" t="str">
        <f t="shared" si="48"/>
        <v>Active</v>
      </c>
      <c r="G295" s="22">
        <v>3</v>
      </c>
      <c r="H295" t="str">
        <f t="shared" si="49"/>
        <v>Meets Expectations</v>
      </c>
      <c r="I295" s="22">
        <v>2</v>
      </c>
      <c r="J295" s="22" t="str">
        <f t="shared" si="50"/>
        <v>Improved</v>
      </c>
      <c r="K295" s="31">
        <v>0.77</v>
      </c>
      <c r="L295" s="24">
        <v>2.4</v>
      </c>
      <c r="M295" s="22" t="s">
        <v>61</v>
      </c>
      <c r="N295" s="22" t="str">
        <f t="shared" si="51"/>
        <v>Mid</v>
      </c>
      <c r="O295" t="str">
        <f>INDEX(NineBox,MATCH(N295,{"Low","Mid","High"},0),MATCH(M295,{"Low","Medium","High"},0))</f>
        <v>Future Star</v>
      </c>
      <c r="P295" s="28">
        <v>45612</v>
      </c>
      <c r="Q295" s="24">
        <f t="shared" si="52"/>
        <v>1.8699520876112252</v>
      </c>
      <c r="R295" s="22" t="str">
        <f t="shared" si="53"/>
        <v>Not Eligible</v>
      </c>
      <c r="S295" t="str">
        <f t="shared" si="54"/>
        <v>Rating below 4</v>
      </c>
      <c r="T295" s="22" t="s">
        <v>1687</v>
      </c>
    </row>
    <row r="296" spans="1:20" x14ac:dyDescent="0.3">
      <c r="A296" s="22" t="s">
        <v>1072</v>
      </c>
      <c r="B296" s="29" t="str">
        <f t="shared" si="44"/>
        <v>Sindhu Gowda</v>
      </c>
      <c r="C296" s="29" t="str">
        <f t="shared" si="45"/>
        <v>Ashish Varghese</v>
      </c>
      <c r="D296" s="29" t="str">
        <f t="shared" si="46"/>
        <v>Customer Support</v>
      </c>
      <c r="E296" s="30" t="str">
        <f t="shared" si="47"/>
        <v>L2</v>
      </c>
      <c r="F296" s="30" t="str">
        <f t="shared" si="48"/>
        <v>Exited</v>
      </c>
      <c r="G296" s="22">
        <v>3</v>
      </c>
      <c r="H296" t="str">
        <f t="shared" si="49"/>
        <v>Meets Expectations</v>
      </c>
      <c r="I296" s="22">
        <v>4</v>
      </c>
      <c r="J296" s="22" t="str">
        <f t="shared" si="50"/>
        <v>Declined</v>
      </c>
      <c r="K296" s="31">
        <v>0.89</v>
      </c>
      <c r="L296" s="24">
        <v>3.3</v>
      </c>
      <c r="M296" s="22" t="s">
        <v>60</v>
      </c>
      <c r="N296" s="22" t="str">
        <f t="shared" si="51"/>
        <v>Mid</v>
      </c>
      <c r="O296" t="str">
        <f>INDEX(NineBox,MATCH(N296,{"Low","Mid","High"},0),MATCH(M296,{"Low","Medium","High"},0))</f>
        <v>Core Player</v>
      </c>
      <c r="P296" s="28">
        <v>45613</v>
      </c>
      <c r="Q296" s="24">
        <f t="shared" si="52"/>
        <v>1.8672142368240932</v>
      </c>
      <c r="R296" s="22" t="str">
        <f t="shared" si="53"/>
        <v>Not Eligible</v>
      </c>
      <c r="S296" t="str">
        <f t="shared" si="54"/>
        <v>Employee has exited</v>
      </c>
      <c r="T296" s="22" t="s">
        <v>1687</v>
      </c>
    </row>
    <row r="297" spans="1:20" x14ac:dyDescent="0.3">
      <c r="A297" s="22" t="s">
        <v>1075</v>
      </c>
      <c r="B297" s="29" t="str">
        <f t="shared" si="44"/>
        <v>Farhan Shetty</v>
      </c>
      <c r="C297" s="29" t="str">
        <f t="shared" si="45"/>
        <v>Vikas Singh</v>
      </c>
      <c r="D297" s="29" t="str">
        <f t="shared" si="46"/>
        <v>Engineering</v>
      </c>
      <c r="E297" s="30" t="str">
        <f t="shared" si="47"/>
        <v>L2</v>
      </c>
      <c r="F297" s="30" t="str">
        <f t="shared" si="48"/>
        <v>Exited</v>
      </c>
      <c r="G297" s="22">
        <v>3</v>
      </c>
      <c r="H297" t="str">
        <f t="shared" si="49"/>
        <v>Meets Expectations</v>
      </c>
      <c r="I297" s="22">
        <v>3</v>
      </c>
      <c r="J297" s="22" t="str">
        <f t="shared" si="50"/>
        <v>Stable</v>
      </c>
      <c r="K297" s="31">
        <v>0.84</v>
      </c>
      <c r="L297" s="24">
        <v>3.4</v>
      </c>
      <c r="M297" s="22" t="s">
        <v>61</v>
      </c>
      <c r="N297" s="22" t="str">
        <f t="shared" si="51"/>
        <v>Mid</v>
      </c>
      <c r="O297" t="str">
        <f>INDEX(NineBox,MATCH(N297,{"Low","Mid","High"},0),MATCH(M297,{"Low","Medium","High"},0))</f>
        <v>Future Star</v>
      </c>
      <c r="P297" s="28">
        <v>45614</v>
      </c>
      <c r="Q297" s="24">
        <f t="shared" si="52"/>
        <v>1.8644763860369611</v>
      </c>
      <c r="R297" s="22" t="str">
        <f t="shared" si="53"/>
        <v>Not Eligible</v>
      </c>
      <c r="S297" t="str">
        <f t="shared" si="54"/>
        <v>Employee has exited</v>
      </c>
      <c r="T297" s="22" t="s">
        <v>1687</v>
      </c>
    </row>
    <row r="298" spans="1:20" x14ac:dyDescent="0.3">
      <c r="A298" s="22" t="s">
        <v>1078</v>
      </c>
      <c r="B298" s="29" t="str">
        <f t="shared" si="44"/>
        <v>Rakesh Patel</v>
      </c>
      <c r="C298" s="29" t="str">
        <f t="shared" si="45"/>
        <v>Vidya Chatterjee</v>
      </c>
      <c r="D298" s="29" t="str">
        <f t="shared" si="46"/>
        <v>Customer Support</v>
      </c>
      <c r="E298" s="30" t="str">
        <f t="shared" si="47"/>
        <v>L3</v>
      </c>
      <c r="F298" s="30" t="str">
        <f t="shared" si="48"/>
        <v>Active</v>
      </c>
      <c r="G298" s="22">
        <v>4</v>
      </c>
      <c r="H298" t="str">
        <f t="shared" si="49"/>
        <v>Exceeds Expectations</v>
      </c>
      <c r="I298" s="22">
        <v>3</v>
      </c>
      <c r="J298" s="22" t="str">
        <f t="shared" si="50"/>
        <v>Improved</v>
      </c>
      <c r="K298" s="31">
        <v>0.98</v>
      </c>
      <c r="L298" s="24">
        <v>3.5</v>
      </c>
      <c r="M298" s="22" t="s">
        <v>60</v>
      </c>
      <c r="N298" s="22" t="str">
        <f t="shared" si="51"/>
        <v>High</v>
      </c>
      <c r="O298" t="str">
        <f>INDEX(NineBox,MATCH(N298,{"Low","Mid","High"},0),MATCH(M298,{"Low","Medium","High"},0))</f>
        <v>High Performer</v>
      </c>
      <c r="P298" s="28">
        <v>45622</v>
      </c>
      <c r="Q298" s="24">
        <f t="shared" si="52"/>
        <v>1.8425735797399041</v>
      </c>
      <c r="R298" s="22" t="str">
        <f t="shared" si="53"/>
        <v>Eligible</v>
      </c>
      <c r="S298" t="str">
        <f t="shared" si="54"/>
        <v>Meets rating and time-in-level criteria</v>
      </c>
      <c r="T298" s="22" t="s">
        <v>1687</v>
      </c>
    </row>
    <row r="299" spans="1:20" x14ac:dyDescent="0.3">
      <c r="A299" s="22" t="s">
        <v>1081</v>
      </c>
      <c r="B299" s="29" t="str">
        <f t="shared" si="44"/>
        <v>Vikram Bose</v>
      </c>
      <c r="C299" s="29" t="str">
        <f t="shared" si="45"/>
        <v>Nikhil Agarwal</v>
      </c>
      <c r="D299" s="29" t="str">
        <f t="shared" si="46"/>
        <v>Sales</v>
      </c>
      <c r="E299" s="30" t="str">
        <f t="shared" si="47"/>
        <v>L2</v>
      </c>
      <c r="F299" s="30" t="str">
        <f t="shared" si="48"/>
        <v>Active</v>
      </c>
      <c r="G299" s="22">
        <v>5</v>
      </c>
      <c r="H299" t="str">
        <f t="shared" si="49"/>
        <v>Outstanding</v>
      </c>
      <c r="I299" s="22">
        <v>5</v>
      </c>
      <c r="J299" s="22" t="str">
        <f t="shared" si="50"/>
        <v>Stable</v>
      </c>
      <c r="K299" s="31">
        <v>1.0900000000000001</v>
      </c>
      <c r="L299" s="24">
        <v>4.3</v>
      </c>
      <c r="M299" s="22" t="s">
        <v>61</v>
      </c>
      <c r="N299" s="22" t="str">
        <f t="shared" si="51"/>
        <v>High</v>
      </c>
      <c r="O299" t="str">
        <f>INDEX(NineBox,MATCH(N299,{"Low","Mid","High"},0),MATCH(M299,{"Low","Medium","High"},0))</f>
        <v>Star</v>
      </c>
      <c r="P299" s="28">
        <v>45623</v>
      </c>
      <c r="Q299" s="24">
        <f t="shared" si="52"/>
        <v>1.839835728952772</v>
      </c>
      <c r="R299" s="22" t="str">
        <f t="shared" si="53"/>
        <v>Eligible</v>
      </c>
      <c r="S299" t="str">
        <f t="shared" si="54"/>
        <v>Meets rating and time-in-level criteria</v>
      </c>
      <c r="T299" s="22" t="s">
        <v>1687</v>
      </c>
    </row>
    <row r="300" spans="1:20" x14ac:dyDescent="0.3">
      <c r="A300" s="22" t="s">
        <v>1084</v>
      </c>
      <c r="B300" s="29" t="str">
        <f t="shared" si="44"/>
        <v>Sachin Singh</v>
      </c>
      <c r="C300" s="29" t="str">
        <f t="shared" si="45"/>
        <v>Ajay Patel</v>
      </c>
      <c r="D300" s="29" t="str">
        <f t="shared" si="46"/>
        <v>Human Resources</v>
      </c>
      <c r="E300" s="30" t="str">
        <f t="shared" si="47"/>
        <v>L2</v>
      </c>
      <c r="F300" s="30" t="str">
        <f t="shared" si="48"/>
        <v>Active</v>
      </c>
      <c r="G300" s="22">
        <v>3</v>
      </c>
      <c r="H300" t="str">
        <f t="shared" si="49"/>
        <v>Meets Expectations</v>
      </c>
      <c r="I300" s="22">
        <v>4</v>
      </c>
      <c r="J300" s="22" t="str">
        <f t="shared" si="50"/>
        <v>Declined</v>
      </c>
      <c r="K300" s="31">
        <v>0.79</v>
      </c>
      <c r="L300" s="24">
        <v>3.2</v>
      </c>
      <c r="M300" s="22" t="s">
        <v>61</v>
      </c>
      <c r="N300" s="22" t="str">
        <f t="shared" si="51"/>
        <v>Mid</v>
      </c>
      <c r="O300" t="str">
        <f>INDEX(NineBox,MATCH(N300,{"Low","Mid","High"},0),MATCH(M300,{"Low","Medium","High"},0))</f>
        <v>Future Star</v>
      </c>
      <c r="P300" s="28">
        <v>45624</v>
      </c>
      <c r="Q300" s="24">
        <f t="shared" si="52"/>
        <v>1.83709787816564</v>
      </c>
      <c r="R300" s="22" t="str">
        <f t="shared" si="53"/>
        <v>Not Eligible</v>
      </c>
      <c r="S300" t="str">
        <f t="shared" si="54"/>
        <v>Rating below 4</v>
      </c>
      <c r="T300" s="22" t="s">
        <v>1687</v>
      </c>
    </row>
    <row r="301" spans="1:20" x14ac:dyDescent="0.3">
      <c r="A301" s="22" t="s">
        <v>1087</v>
      </c>
      <c r="B301" s="29" t="str">
        <f t="shared" si="44"/>
        <v>Rajesh Krishnan</v>
      </c>
      <c r="C301" s="29" t="str">
        <f t="shared" si="45"/>
        <v>Amit Kumar</v>
      </c>
      <c r="D301" s="29" t="str">
        <f t="shared" si="46"/>
        <v>Operations</v>
      </c>
      <c r="E301" s="30" t="str">
        <f t="shared" si="47"/>
        <v>L3</v>
      </c>
      <c r="F301" s="30" t="str">
        <f t="shared" si="48"/>
        <v>Active</v>
      </c>
      <c r="G301" s="22">
        <v>3</v>
      </c>
      <c r="H301" t="str">
        <f t="shared" si="49"/>
        <v>Meets Expectations</v>
      </c>
      <c r="I301" s="22">
        <v>2</v>
      </c>
      <c r="J301" s="22" t="str">
        <f t="shared" si="50"/>
        <v>Improved</v>
      </c>
      <c r="K301" s="31">
        <v>0.77</v>
      </c>
      <c r="L301" s="24">
        <v>2.7</v>
      </c>
      <c r="M301" s="22" t="s">
        <v>61</v>
      </c>
      <c r="N301" s="22" t="str">
        <f t="shared" si="51"/>
        <v>Mid</v>
      </c>
      <c r="O301" t="str">
        <f>INDEX(NineBox,MATCH(N301,{"Low","Mid","High"},0),MATCH(M301,{"Low","Medium","High"},0))</f>
        <v>Future Star</v>
      </c>
      <c r="P301" s="28">
        <v>45626</v>
      </c>
      <c r="Q301" s="24">
        <f t="shared" si="52"/>
        <v>1.8316221765913758</v>
      </c>
      <c r="R301" s="22" t="str">
        <f t="shared" si="53"/>
        <v>Not Eligible</v>
      </c>
      <c r="S301" t="str">
        <f t="shared" si="54"/>
        <v>Rating below 4</v>
      </c>
      <c r="T301" s="22" t="s">
        <v>1687</v>
      </c>
    </row>
    <row r="302" spans="1:20" x14ac:dyDescent="0.3">
      <c r="A302" s="22" t="s">
        <v>1090</v>
      </c>
      <c r="B302" s="29" t="str">
        <f t="shared" si="44"/>
        <v>Gaurav Nair</v>
      </c>
      <c r="C302" s="29" t="str">
        <f t="shared" si="45"/>
        <v>Vikas Singh</v>
      </c>
      <c r="D302" s="29" t="str">
        <f t="shared" si="46"/>
        <v>Engineering</v>
      </c>
      <c r="E302" s="30" t="str">
        <f t="shared" si="47"/>
        <v>L1</v>
      </c>
      <c r="F302" s="30" t="str">
        <f t="shared" si="48"/>
        <v>Active</v>
      </c>
      <c r="G302" s="22">
        <v>3</v>
      </c>
      <c r="H302" t="str">
        <f t="shared" si="49"/>
        <v>Meets Expectations</v>
      </c>
      <c r="I302" s="22">
        <v>3</v>
      </c>
      <c r="J302" s="22" t="str">
        <f t="shared" si="50"/>
        <v>Stable</v>
      </c>
      <c r="K302" s="31">
        <v>0.76</v>
      </c>
      <c r="L302" s="24">
        <v>3.2</v>
      </c>
      <c r="M302" s="22" t="s">
        <v>60</v>
      </c>
      <c r="N302" s="22" t="str">
        <f t="shared" si="51"/>
        <v>Mid</v>
      </c>
      <c r="O302" t="str">
        <f>INDEX(NineBox,MATCH(N302,{"Low","Mid","High"},0),MATCH(M302,{"Low","Medium","High"},0))</f>
        <v>Core Player</v>
      </c>
      <c r="P302" s="28">
        <v>45630</v>
      </c>
      <c r="Q302" s="24">
        <f t="shared" si="52"/>
        <v>1.8206707734428473</v>
      </c>
      <c r="R302" s="22" t="str">
        <f t="shared" si="53"/>
        <v>Not Eligible</v>
      </c>
      <c r="S302" t="str">
        <f t="shared" si="54"/>
        <v>Rating below 4</v>
      </c>
      <c r="T302" s="22" t="s">
        <v>1687</v>
      </c>
    </row>
    <row r="303" spans="1:20" x14ac:dyDescent="0.3">
      <c r="A303" s="22" t="s">
        <v>1093</v>
      </c>
      <c r="B303" s="29" t="str">
        <f t="shared" si="44"/>
        <v>Shreya Thomas</v>
      </c>
      <c r="C303" s="29" t="str">
        <f t="shared" si="45"/>
        <v>Isha Chatterjee</v>
      </c>
      <c r="D303" s="29" t="str">
        <f t="shared" si="46"/>
        <v>Marketing</v>
      </c>
      <c r="E303" s="30" t="str">
        <f t="shared" si="47"/>
        <v>L3</v>
      </c>
      <c r="F303" s="30" t="str">
        <f t="shared" si="48"/>
        <v>Active</v>
      </c>
      <c r="G303" s="22">
        <v>3</v>
      </c>
      <c r="H303" t="str">
        <f t="shared" si="49"/>
        <v>Meets Expectations</v>
      </c>
      <c r="I303" s="22">
        <v>2</v>
      </c>
      <c r="J303" s="22" t="str">
        <f t="shared" si="50"/>
        <v>Improved</v>
      </c>
      <c r="K303" s="31">
        <v>0.74</v>
      </c>
      <c r="L303" s="24">
        <v>2.6</v>
      </c>
      <c r="M303" s="22" t="s">
        <v>59</v>
      </c>
      <c r="N303" s="22" t="str">
        <f t="shared" si="51"/>
        <v>Mid</v>
      </c>
      <c r="O303" t="str">
        <f>INDEX(NineBox,MATCH(N303,{"Low","Mid","High"},0),MATCH(M303,{"Low","Medium","High"},0))</f>
        <v>Effective Contributor</v>
      </c>
      <c r="P303" s="28">
        <v>45630</v>
      </c>
      <c r="Q303" s="24">
        <f t="shared" si="52"/>
        <v>1.8206707734428473</v>
      </c>
      <c r="R303" s="22" t="str">
        <f t="shared" si="53"/>
        <v>Not Eligible</v>
      </c>
      <c r="S303" t="str">
        <f t="shared" si="54"/>
        <v>Rating below 4</v>
      </c>
      <c r="T303" s="22" t="s">
        <v>1687</v>
      </c>
    </row>
    <row r="304" spans="1:20" x14ac:dyDescent="0.3">
      <c r="A304" s="22" t="s">
        <v>1096</v>
      </c>
      <c r="B304" s="29" t="str">
        <f t="shared" si="44"/>
        <v>Rakesh Thomas</v>
      </c>
      <c r="C304" s="29" t="str">
        <f t="shared" si="45"/>
        <v>Isha Jain</v>
      </c>
      <c r="D304" s="29" t="str">
        <f t="shared" si="46"/>
        <v>Engineering</v>
      </c>
      <c r="E304" s="30" t="str">
        <f t="shared" si="47"/>
        <v>L1</v>
      </c>
      <c r="F304" s="30" t="str">
        <f t="shared" si="48"/>
        <v>Active</v>
      </c>
      <c r="G304" s="22">
        <v>4</v>
      </c>
      <c r="H304" t="str">
        <f t="shared" si="49"/>
        <v>Exceeds Expectations</v>
      </c>
      <c r="I304" s="22">
        <v>4</v>
      </c>
      <c r="J304" s="22" t="str">
        <f t="shared" si="50"/>
        <v>Stable</v>
      </c>
      <c r="K304" s="31">
        <v>0.92</v>
      </c>
      <c r="L304" s="24">
        <v>4.7</v>
      </c>
      <c r="M304" s="22" t="s">
        <v>61</v>
      </c>
      <c r="N304" s="22" t="str">
        <f t="shared" si="51"/>
        <v>High</v>
      </c>
      <c r="O304" t="str">
        <f>INDEX(NineBox,MATCH(N304,{"Low","Mid","High"},0),MATCH(M304,{"Low","Medium","High"},0))</f>
        <v>Star</v>
      </c>
      <c r="P304" s="28">
        <v>45632</v>
      </c>
      <c r="Q304" s="24">
        <f t="shared" si="52"/>
        <v>1.8151950718685832</v>
      </c>
      <c r="R304" s="22" t="str">
        <f t="shared" si="53"/>
        <v>Eligible</v>
      </c>
      <c r="S304" t="str">
        <f t="shared" si="54"/>
        <v>Meets rating and time-in-level criteria</v>
      </c>
      <c r="T304" s="22" t="s">
        <v>1687</v>
      </c>
    </row>
    <row r="305" spans="1:20" x14ac:dyDescent="0.3">
      <c r="A305" s="22" t="s">
        <v>1099</v>
      </c>
      <c r="B305" s="29" t="str">
        <f t="shared" si="44"/>
        <v>Harini Khan</v>
      </c>
      <c r="C305" s="29" t="str">
        <f t="shared" si="45"/>
        <v>Srinivas Shah</v>
      </c>
      <c r="D305" s="29" t="str">
        <f t="shared" si="46"/>
        <v>Sales</v>
      </c>
      <c r="E305" s="30" t="str">
        <f t="shared" si="47"/>
        <v>L2</v>
      </c>
      <c r="F305" s="30" t="str">
        <f t="shared" si="48"/>
        <v>Active</v>
      </c>
      <c r="G305" s="22">
        <v>5</v>
      </c>
      <c r="H305" t="str">
        <f t="shared" si="49"/>
        <v>Outstanding</v>
      </c>
      <c r="I305" s="22">
        <v>5</v>
      </c>
      <c r="J305" s="22" t="str">
        <f t="shared" si="50"/>
        <v>Stable</v>
      </c>
      <c r="K305" s="31">
        <v>1.05</v>
      </c>
      <c r="L305" s="24">
        <v>4.8</v>
      </c>
      <c r="M305" s="22" t="s">
        <v>60</v>
      </c>
      <c r="N305" s="22" t="str">
        <f t="shared" si="51"/>
        <v>High</v>
      </c>
      <c r="O305" t="str">
        <f>INDEX(NineBox,MATCH(N305,{"Low","Mid","High"},0),MATCH(M305,{"Low","Medium","High"},0))</f>
        <v>High Performer</v>
      </c>
      <c r="P305" s="28">
        <v>45632</v>
      </c>
      <c r="Q305" s="24">
        <f t="shared" si="52"/>
        <v>1.8151950718685832</v>
      </c>
      <c r="R305" s="22" t="str">
        <f t="shared" si="53"/>
        <v>Eligible</v>
      </c>
      <c r="S305" t="str">
        <f t="shared" si="54"/>
        <v>Meets rating and time-in-level criteria</v>
      </c>
      <c r="T305" s="22" t="s">
        <v>1687</v>
      </c>
    </row>
    <row r="306" spans="1:20" x14ac:dyDescent="0.3">
      <c r="A306" s="22" t="s">
        <v>1102</v>
      </c>
      <c r="B306" s="29" t="str">
        <f t="shared" si="44"/>
        <v>Abhishek Sharma</v>
      </c>
      <c r="C306" s="29" t="str">
        <f t="shared" si="45"/>
        <v>Nandini Fernandes</v>
      </c>
      <c r="D306" s="29" t="str">
        <f t="shared" si="46"/>
        <v>Operations</v>
      </c>
      <c r="E306" s="30" t="str">
        <f t="shared" si="47"/>
        <v>L4</v>
      </c>
      <c r="F306" s="30" t="str">
        <f t="shared" si="48"/>
        <v>Active</v>
      </c>
      <c r="G306" s="22">
        <v>3</v>
      </c>
      <c r="H306" t="str">
        <f t="shared" si="49"/>
        <v>Meets Expectations</v>
      </c>
      <c r="I306" s="22">
        <v>3</v>
      </c>
      <c r="J306" s="22" t="str">
        <f t="shared" si="50"/>
        <v>Stable</v>
      </c>
      <c r="K306" s="31">
        <v>0.86</v>
      </c>
      <c r="L306" s="24">
        <v>2.6</v>
      </c>
      <c r="M306" s="22" t="s">
        <v>61</v>
      </c>
      <c r="N306" s="22" t="str">
        <f t="shared" si="51"/>
        <v>Mid</v>
      </c>
      <c r="O306" t="str">
        <f>INDEX(NineBox,MATCH(N306,{"Low","Mid","High"},0),MATCH(M306,{"Low","Medium","High"},0))</f>
        <v>Future Star</v>
      </c>
      <c r="P306" s="28">
        <v>45645</v>
      </c>
      <c r="Q306" s="24">
        <f t="shared" si="52"/>
        <v>1.7796030116358659</v>
      </c>
      <c r="R306" s="22" t="str">
        <f t="shared" si="53"/>
        <v>Not Eligible</v>
      </c>
      <c r="S306" t="str">
        <f t="shared" si="54"/>
        <v>Rating below 4</v>
      </c>
      <c r="T306" s="22" t="s">
        <v>1687</v>
      </c>
    </row>
    <row r="307" spans="1:20" x14ac:dyDescent="0.3">
      <c r="A307" s="22" t="s">
        <v>1105</v>
      </c>
      <c r="B307" s="29" t="str">
        <f t="shared" si="44"/>
        <v>Ravi Pandey</v>
      </c>
      <c r="C307" s="29" t="str">
        <f t="shared" si="45"/>
        <v>Arun Mukherjee</v>
      </c>
      <c r="D307" s="29" t="str">
        <f t="shared" si="46"/>
        <v>Data &amp; Analytics</v>
      </c>
      <c r="E307" s="30" t="str">
        <f t="shared" si="47"/>
        <v>L3</v>
      </c>
      <c r="F307" s="30" t="str">
        <f t="shared" si="48"/>
        <v>Active</v>
      </c>
      <c r="G307" s="22">
        <v>4</v>
      </c>
      <c r="H307" t="str">
        <f t="shared" si="49"/>
        <v>Exceeds Expectations</v>
      </c>
      <c r="I307" s="22">
        <v>4</v>
      </c>
      <c r="J307" s="22" t="str">
        <f t="shared" si="50"/>
        <v>Stable</v>
      </c>
      <c r="K307" s="31">
        <v>0.92</v>
      </c>
      <c r="L307" s="24">
        <v>4.4000000000000004</v>
      </c>
      <c r="M307" s="22" t="s">
        <v>60</v>
      </c>
      <c r="N307" s="22" t="str">
        <f t="shared" si="51"/>
        <v>High</v>
      </c>
      <c r="O307" t="str">
        <f>INDEX(NineBox,MATCH(N307,{"Low","Mid","High"},0),MATCH(M307,{"Low","Medium","High"},0))</f>
        <v>High Performer</v>
      </c>
      <c r="P307" s="28">
        <v>45656</v>
      </c>
      <c r="Q307" s="24">
        <f t="shared" si="52"/>
        <v>1.7494866529774127</v>
      </c>
      <c r="R307" s="22" t="str">
        <f t="shared" si="53"/>
        <v>Eligible</v>
      </c>
      <c r="S307" t="str">
        <f t="shared" si="54"/>
        <v>Meets rating and time-in-level criteria</v>
      </c>
      <c r="T307" s="22" t="s">
        <v>1687</v>
      </c>
    </row>
    <row r="308" spans="1:20" x14ac:dyDescent="0.3">
      <c r="A308" s="22" t="s">
        <v>1108</v>
      </c>
      <c r="B308" s="29" t="str">
        <f t="shared" si="44"/>
        <v>Anjali Mehta</v>
      </c>
      <c r="C308" s="29" t="str">
        <f t="shared" si="45"/>
        <v>Gaurav Fernandes</v>
      </c>
      <c r="D308" s="29" t="str">
        <f t="shared" si="46"/>
        <v>Engineering</v>
      </c>
      <c r="E308" s="30" t="str">
        <f t="shared" si="47"/>
        <v>L3</v>
      </c>
      <c r="F308" s="30" t="str">
        <f t="shared" si="48"/>
        <v>Active</v>
      </c>
      <c r="G308" s="22">
        <v>3</v>
      </c>
      <c r="H308" t="str">
        <f t="shared" si="49"/>
        <v>Meets Expectations</v>
      </c>
      <c r="I308" s="22">
        <v>3</v>
      </c>
      <c r="J308" s="22" t="str">
        <f t="shared" si="50"/>
        <v>Stable</v>
      </c>
      <c r="K308" s="31">
        <v>0.85</v>
      </c>
      <c r="L308" s="24">
        <v>3.2</v>
      </c>
      <c r="M308" s="22" t="s">
        <v>60</v>
      </c>
      <c r="N308" s="22" t="str">
        <f t="shared" si="51"/>
        <v>Mid</v>
      </c>
      <c r="O308" t="str">
        <f>INDEX(NineBox,MATCH(N308,{"Low","Mid","High"},0),MATCH(M308,{"Low","Medium","High"},0))</f>
        <v>Core Player</v>
      </c>
      <c r="P308" s="28">
        <v>45657</v>
      </c>
      <c r="Q308" s="24">
        <f t="shared" si="52"/>
        <v>1.7467488021902806</v>
      </c>
      <c r="R308" s="22" t="str">
        <f t="shared" si="53"/>
        <v>Not Eligible</v>
      </c>
      <c r="S308" t="str">
        <f t="shared" si="54"/>
        <v>Rating below 4</v>
      </c>
      <c r="T308" s="22" t="s">
        <v>1687</v>
      </c>
    </row>
    <row r="309" spans="1:20" x14ac:dyDescent="0.3">
      <c r="A309" s="22" t="s">
        <v>1111</v>
      </c>
      <c r="B309" s="29" t="str">
        <f t="shared" si="44"/>
        <v>Sanjay Saxena</v>
      </c>
      <c r="C309" s="29" t="str">
        <f t="shared" si="45"/>
        <v>Anjali Iyer</v>
      </c>
      <c r="D309" s="29" t="str">
        <f t="shared" si="46"/>
        <v>Customer Support</v>
      </c>
      <c r="E309" s="30" t="str">
        <f t="shared" si="47"/>
        <v>L1</v>
      </c>
      <c r="F309" s="30" t="str">
        <f t="shared" si="48"/>
        <v>Active</v>
      </c>
      <c r="G309" s="22">
        <v>3</v>
      </c>
      <c r="H309" t="str">
        <f t="shared" si="49"/>
        <v>Meets Expectations</v>
      </c>
      <c r="I309" s="22">
        <v>4</v>
      </c>
      <c r="J309" s="22" t="str">
        <f t="shared" si="50"/>
        <v>Declined</v>
      </c>
      <c r="K309" s="31">
        <v>0.89</v>
      </c>
      <c r="L309" s="24">
        <v>3</v>
      </c>
      <c r="M309" s="22" t="s">
        <v>61</v>
      </c>
      <c r="N309" s="22" t="str">
        <f t="shared" si="51"/>
        <v>Mid</v>
      </c>
      <c r="O309" t="str">
        <f>INDEX(NineBox,MATCH(N309,{"Low","Mid","High"},0),MATCH(M309,{"Low","Medium","High"},0))</f>
        <v>Future Star</v>
      </c>
      <c r="P309" s="28">
        <v>45662</v>
      </c>
      <c r="Q309" s="24">
        <f t="shared" si="52"/>
        <v>1.7330595482546201</v>
      </c>
      <c r="R309" s="22" t="str">
        <f t="shared" si="53"/>
        <v>Not Eligible</v>
      </c>
      <c r="S309" t="str">
        <f t="shared" si="54"/>
        <v>Rating below 4</v>
      </c>
      <c r="T309" s="22" t="s">
        <v>1687</v>
      </c>
    </row>
    <row r="310" spans="1:20" x14ac:dyDescent="0.3">
      <c r="A310" s="22" t="s">
        <v>1114</v>
      </c>
      <c r="B310" s="29" t="str">
        <f t="shared" si="44"/>
        <v>Kunal Mukherjee</v>
      </c>
      <c r="C310" s="29" t="str">
        <f t="shared" si="45"/>
        <v>Tejaswini Hegde</v>
      </c>
      <c r="D310" s="29" t="str">
        <f t="shared" si="46"/>
        <v>Engineering</v>
      </c>
      <c r="E310" s="30" t="str">
        <f t="shared" si="47"/>
        <v>L1</v>
      </c>
      <c r="F310" s="30" t="str">
        <f t="shared" si="48"/>
        <v>Active</v>
      </c>
      <c r="G310" s="22">
        <v>3</v>
      </c>
      <c r="H310" t="str">
        <f t="shared" si="49"/>
        <v>Meets Expectations</v>
      </c>
      <c r="I310" s="22">
        <v>2</v>
      </c>
      <c r="J310" s="22" t="str">
        <f t="shared" si="50"/>
        <v>Improved</v>
      </c>
      <c r="K310" s="31">
        <v>0.8</v>
      </c>
      <c r="L310" s="24">
        <v>3.9</v>
      </c>
      <c r="M310" s="22" t="s">
        <v>60</v>
      </c>
      <c r="N310" s="22" t="str">
        <f t="shared" si="51"/>
        <v>Mid</v>
      </c>
      <c r="O310" t="str">
        <f>INDEX(NineBox,MATCH(N310,{"Low","Mid","High"},0),MATCH(M310,{"Low","Medium","High"},0))</f>
        <v>Core Player</v>
      </c>
      <c r="P310" s="28">
        <v>45669</v>
      </c>
      <c r="Q310" s="24">
        <f t="shared" si="52"/>
        <v>1.7138945927446954</v>
      </c>
      <c r="R310" s="22" t="str">
        <f t="shared" si="53"/>
        <v>Not Eligible</v>
      </c>
      <c r="S310" t="str">
        <f t="shared" si="54"/>
        <v>Rating below 4</v>
      </c>
      <c r="T310" s="22" t="s">
        <v>1687</v>
      </c>
    </row>
    <row r="311" spans="1:20" x14ac:dyDescent="0.3">
      <c r="A311" s="22" t="s">
        <v>685</v>
      </c>
      <c r="B311" s="29" t="str">
        <f t="shared" si="44"/>
        <v>Swathi Mukherjee</v>
      </c>
      <c r="C311" s="29" t="str">
        <f t="shared" si="45"/>
        <v>Lakshmi Subramanian</v>
      </c>
      <c r="D311" s="29" t="str">
        <f t="shared" si="46"/>
        <v>Legal &amp; Compliance</v>
      </c>
      <c r="E311" s="30" t="str">
        <f t="shared" si="47"/>
        <v>L5</v>
      </c>
      <c r="F311" s="30" t="str">
        <f t="shared" si="48"/>
        <v>Active</v>
      </c>
      <c r="G311" s="22">
        <v>4</v>
      </c>
      <c r="H311" t="str">
        <f t="shared" si="49"/>
        <v>Exceeds Expectations</v>
      </c>
      <c r="I311" s="22">
        <v>4</v>
      </c>
      <c r="J311" s="22" t="str">
        <f t="shared" si="50"/>
        <v>Stable</v>
      </c>
      <c r="K311" s="31">
        <v>0.94</v>
      </c>
      <c r="L311" s="24">
        <v>3.8</v>
      </c>
      <c r="M311" s="22" t="s">
        <v>61</v>
      </c>
      <c r="N311" s="22" t="str">
        <f t="shared" si="51"/>
        <v>High</v>
      </c>
      <c r="O311" t="str">
        <f>INDEX(NineBox,MATCH(N311,{"Low","Mid","High"},0),MATCH(M311,{"Low","Medium","High"},0))</f>
        <v>Star</v>
      </c>
      <c r="P311" s="28">
        <v>45669</v>
      </c>
      <c r="Q311" s="24">
        <f t="shared" si="52"/>
        <v>1.7138945927446954</v>
      </c>
      <c r="R311" s="22" t="str">
        <f t="shared" si="53"/>
        <v>Eligible</v>
      </c>
      <c r="S311" t="str">
        <f t="shared" si="54"/>
        <v>Meets rating and time-in-level criteria</v>
      </c>
      <c r="T311" s="22" t="s">
        <v>1687</v>
      </c>
    </row>
    <row r="312" spans="1:20" x14ac:dyDescent="0.3">
      <c r="A312" s="22" t="s">
        <v>1118</v>
      </c>
      <c r="B312" s="29" t="str">
        <f t="shared" si="44"/>
        <v>Tarun Tiwari</v>
      </c>
      <c r="C312" s="29" t="str">
        <f t="shared" si="45"/>
        <v>Madhuri Malhotra</v>
      </c>
      <c r="D312" s="29" t="str">
        <f t="shared" si="46"/>
        <v>Sales</v>
      </c>
      <c r="E312" s="30" t="str">
        <f t="shared" si="47"/>
        <v>L2</v>
      </c>
      <c r="F312" s="30" t="str">
        <f t="shared" si="48"/>
        <v>Active</v>
      </c>
      <c r="G312" s="22">
        <v>3</v>
      </c>
      <c r="H312" t="str">
        <f t="shared" si="49"/>
        <v>Meets Expectations</v>
      </c>
      <c r="I312" s="22">
        <v>2</v>
      </c>
      <c r="J312" s="22" t="str">
        <f t="shared" si="50"/>
        <v>Improved</v>
      </c>
      <c r="K312" s="31">
        <v>0.88</v>
      </c>
      <c r="L312" s="24">
        <v>2.7</v>
      </c>
      <c r="M312" s="22" t="s">
        <v>60</v>
      </c>
      <c r="N312" s="22" t="str">
        <f t="shared" si="51"/>
        <v>Mid</v>
      </c>
      <c r="O312" t="str">
        <f>INDEX(NineBox,MATCH(N312,{"Low","Mid","High"},0),MATCH(M312,{"Low","Medium","High"},0))</f>
        <v>Core Player</v>
      </c>
      <c r="P312" s="28">
        <v>45670</v>
      </c>
      <c r="Q312" s="24">
        <f t="shared" si="52"/>
        <v>1.7111567419575633</v>
      </c>
      <c r="R312" s="22" t="str">
        <f t="shared" si="53"/>
        <v>Not Eligible</v>
      </c>
      <c r="S312" t="str">
        <f t="shared" si="54"/>
        <v>Rating below 4</v>
      </c>
      <c r="T312" s="22" t="s">
        <v>1687</v>
      </c>
    </row>
    <row r="313" spans="1:20" x14ac:dyDescent="0.3">
      <c r="A313" s="22" t="s">
        <v>1121</v>
      </c>
      <c r="B313" s="29" t="str">
        <f t="shared" si="44"/>
        <v>Ritu Chatterjee</v>
      </c>
      <c r="C313" s="29" t="str">
        <f t="shared" si="45"/>
        <v>Pallavi Nair</v>
      </c>
      <c r="D313" s="29" t="str">
        <f t="shared" si="46"/>
        <v>Operations</v>
      </c>
      <c r="E313" s="30" t="str">
        <f t="shared" si="47"/>
        <v>L1</v>
      </c>
      <c r="F313" s="30" t="str">
        <f t="shared" si="48"/>
        <v>Active</v>
      </c>
      <c r="G313" s="22">
        <v>2</v>
      </c>
      <c r="H313" t="str">
        <f t="shared" si="49"/>
        <v>Needs Improvement</v>
      </c>
      <c r="I313" s="22">
        <v>2</v>
      </c>
      <c r="J313" s="22" t="str">
        <f t="shared" si="50"/>
        <v>Stable</v>
      </c>
      <c r="K313" s="31">
        <v>0.7</v>
      </c>
      <c r="L313" s="24">
        <v>2.6</v>
      </c>
      <c r="M313" s="22" t="s">
        <v>60</v>
      </c>
      <c r="N313" s="22" t="str">
        <f t="shared" si="51"/>
        <v>Low</v>
      </c>
      <c r="O313" t="str">
        <f>INDEX(NineBox,MATCH(N313,{"Low","Mid","High"},0),MATCH(M313,{"Low","Medium","High"},0))</f>
        <v>Inconsistent Player</v>
      </c>
      <c r="P313" s="28">
        <v>45672</v>
      </c>
      <c r="Q313" s="24">
        <f t="shared" si="52"/>
        <v>1.7056810403832992</v>
      </c>
      <c r="R313" s="22" t="str">
        <f t="shared" si="53"/>
        <v>Not Eligible</v>
      </c>
      <c r="S313" t="str">
        <f t="shared" si="54"/>
        <v>Rating below 4</v>
      </c>
      <c r="T313" s="22" t="s">
        <v>1687</v>
      </c>
    </row>
    <row r="314" spans="1:20" x14ac:dyDescent="0.3">
      <c r="A314" s="22" t="s">
        <v>1124</v>
      </c>
      <c r="B314" s="29" t="str">
        <f t="shared" si="44"/>
        <v>Mohit Bose</v>
      </c>
      <c r="C314" s="29" t="str">
        <f t="shared" si="45"/>
        <v>Vidya Chatterjee</v>
      </c>
      <c r="D314" s="29" t="str">
        <f t="shared" si="46"/>
        <v>Customer Support</v>
      </c>
      <c r="E314" s="30" t="str">
        <f t="shared" si="47"/>
        <v>L1</v>
      </c>
      <c r="F314" s="30" t="str">
        <f t="shared" si="48"/>
        <v>Active</v>
      </c>
      <c r="G314" s="22">
        <v>4</v>
      </c>
      <c r="H314" t="str">
        <f t="shared" si="49"/>
        <v>Exceeds Expectations</v>
      </c>
      <c r="I314" s="22">
        <v>5</v>
      </c>
      <c r="J314" s="22" t="str">
        <f t="shared" si="50"/>
        <v>Declined</v>
      </c>
      <c r="K314" s="31">
        <v>1.1100000000000001</v>
      </c>
      <c r="L314" s="24">
        <v>3.6</v>
      </c>
      <c r="M314" s="22" t="s">
        <v>60</v>
      </c>
      <c r="N314" s="22" t="str">
        <f t="shared" si="51"/>
        <v>High</v>
      </c>
      <c r="O314" t="str">
        <f>INDEX(NineBox,MATCH(N314,{"Low","Mid","High"},0),MATCH(M314,{"Low","Medium","High"},0))</f>
        <v>High Performer</v>
      </c>
      <c r="P314" s="28">
        <v>45675</v>
      </c>
      <c r="Q314" s="24">
        <f t="shared" si="52"/>
        <v>1.6974674880219027</v>
      </c>
      <c r="R314" s="22" t="str">
        <f t="shared" si="53"/>
        <v>Eligible</v>
      </c>
      <c r="S314" t="str">
        <f t="shared" si="54"/>
        <v>Meets rating and time-in-level criteria</v>
      </c>
      <c r="T314" s="22" t="s">
        <v>1687</v>
      </c>
    </row>
    <row r="315" spans="1:20" x14ac:dyDescent="0.3">
      <c r="A315" s="22" t="s">
        <v>1127</v>
      </c>
      <c r="B315" s="29" t="str">
        <f t="shared" si="44"/>
        <v>Sanjay Thomas</v>
      </c>
      <c r="C315" s="29" t="str">
        <f t="shared" si="45"/>
        <v>Lakshmi Subramanian</v>
      </c>
      <c r="D315" s="29" t="str">
        <f t="shared" si="46"/>
        <v>Legal &amp; Compliance</v>
      </c>
      <c r="E315" s="30" t="str">
        <f t="shared" si="47"/>
        <v>L1</v>
      </c>
      <c r="F315" s="30" t="str">
        <f t="shared" si="48"/>
        <v>Active</v>
      </c>
      <c r="G315" s="22">
        <v>3</v>
      </c>
      <c r="H315" t="str">
        <f t="shared" si="49"/>
        <v>Meets Expectations</v>
      </c>
      <c r="I315" s="22">
        <v>2</v>
      </c>
      <c r="J315" s="22" t="str">
        <f t="shared" si="50"/>
        <v>Improved</v>
      </c>
      <c r="K315" s="31">
        <v>0.82</v>
      </c>
      <c r="L315" s="24">
        <v>2.6</v>
      </c>
      <c r="M315" s="22" t="s">
        <v>61</v>
      </c>
      <c r="N315" s="22" t="str">
        <f t="shared" si="51"/>
        <v>Mid</v>
      </c>
      <c r="O315" t="str">
        <f>INDEX(NineBox,MATCH(N315,{"Low","Mid","High"},0),MATCH(M315,{"Low","Medium","High"},0))</f>
        <v>Future Star</v>
      </c>
      <c r="P315" s="28">
        <v>45677</v>
      </c>
      <c r="Q315" s="24">
        <f t="shared" si="52"/>
        <v>1.6919917864476386</v>
      </c>
      <c r="R315" s="22" t="str">
        <f t="shared" si="53"/>
        <v>Not Eligible</v>
      </c>
      <c r="S315" t="str">
        <f t="shared" si="54"/>
        <v>Rating below 4</v>
      </c>
      <c r="T315" s="22" t="s">
        <v>1687</v>
      </c>
    </row>
    <row r="316" spans="1:20" x14ac:dyDescent="0.3">
      <c r="A316" s="22" t="s">
        <v>1131</v>
      </c>
      <c r="B316" s="29" t="str">
        <f t="shared" si="44"/>
        <v>Revathi Fernandes</v>
      </c>
      <c r="C316" s="29" t="str">
        <f t="shared" si="45"/>
        <v>Ramya Khanna</v>
      </c>
      <c r="D316" s="29" t="str">
        <f t="shared" si="46"/>
        <v>Legal &amp; Compliance</v>
      </c>
      <c r="E316" s="30" t="str">
        <f t="shared" si="47"/>
        <v>L2</v>
      </c>
      <c r="F316" s="30" t="str">
        <f t="shared" si="48"/>
        <v>Active</v>
      </c>
      <c r="G316" s="22">
        <v>4</v>
      </c>
      <c r="H316" t="str">
        <f t="shared" si="49"/>
        <v>Exceeds Expectations</v>
      </c>
      <c r="I316" s="22">
        <v>4</v>
      </c>
      <c r="J316" s="22" t="str">
        <f t="shared" si="50"/>
        <v>Stable</v>
      </c>
      <c r="K316" s="31">
        <v>0.98</v>
      </c>
      <c r="L316" s="24">
        <v>3.9</v>
      </c>
      <c r="M316" s="22" t="s">
        <v>60</v>
      </c>
      <c r="N316" s="22" t="str">
        <f t="shared" si="51"/>
        <v>High</v>
      </c>
      <c r="O316" t="str">
        <f>INDEX(NineBox,MATCH(N316,{"Low","Mid","High"},0),MATCH(M316,{"Low","Medium","High"},0))</f>
        <v>High Performer</v>
      </c>
      <c r="P316" s="28">
        <v>45689</v>
      </c>
      <c r="Q316" s="24">
        <f t="shared" si="52"/>
        <v>1.6591375770020533</v>
      </c>
      <c r="R316" s="22" t="str">
        <f t="shared" si="53"/>
        <v>Eligible</v>
      </c>
      <c r="S316" t="str">
        <f t="shared" si="54"/>
        <v>Meets rating and time-in-level criteria</v>
      </c>
      <c r="T316" s="22" t="s">
        <v>1687</v>
      </c>
    </row>
    <row r="317" spans="1:20" x14ac:dyDescent="0.3">
      <c r="A317" s="22" t="s">
        <v>1134</v>
      </c>
      <c r="B317" s="29" t="str">
        <f t="shared" si="44"/>
        <v>Fatima Patel</v>
      </c>
      <c r="C317" s="29" t="str">
        <f t="shared" si="45"/>
        <v>Srinivas Shah</v>
      </c>
      <c r="D317" s="29" t="str">
        <f t="shared" si="46"/>
        <v>Sales</v>
      </c>
      <c r="E317" s="30" t="str">
        <f t="shared" si="47"/>
        <v>L1</v>
      </c>
      <c r="F317" s="30" t="str">
        <f t="shared" si="48"/>
        <v>Active</v>
      </c>
      <c r="G317" s="22">
        <v>3</v>
      </c>
      <c r="H317" t="str">
        <f t="shared" si="49"/>
        <v>Meets Expectations</v>
      </c>
      <c r="I317" s="22">
        <v>3</v>
      </c>
      <c r="J317" s="22" t="str">
        <f t="shared" si="50"/>
        <v>Stable</v>
      </c>
      <c r="K317" s="31">
        <v>0.81</v>
      </c>
      <c r="L317" s="24">
        <v>3.7</v>
      </c>
      <c r="M317" s="22" t="s">
        <v>60</v>
      </c>
      <c r="N317" s="22" t="str">
        <f t="shared" si="51"/>
        <v>Mid</v>
      </c>
      <c r="O317" t="str">
        <f>INDEX(NineBox,MATCH(N317,{"Low","Mid","High"},0),MATCH(M317,{"Low","Medium","High"},0))</f>
        <v>Core Player</v>
      </c>
      <c r="P317" s="28">
        <v>45690</v>
      </c>
      <c r="Q317" s="24">
        <f t="shared" si="52"/>
        <v>1.6563997262149213</v>
      </c>
      <c r="R317" s="22" t="str">
        <f t="shared" si="53"/>
        <v>Not Eligible</v>
      </c>
      <c r="S317" t="str">
        <f t="shared" si="54"/>
        <v>Rating below 4</v>
      </c>
      <c r="T317" s="22" t="s">
        <v>1687</v>
      </c>
    </row>
    <row r="318" spans="1:20" x14ac:dyDescent="0.3">
      <c r="A318" s="22" t="s">
        <v>1137</v>
      </c>
      <c r="B318" s="29" t="str">
        <f t="shared" si="44"/>
        <v>Nisha Choudhary</v>
      </c>
      <c r="C318" s="29" t="str">
        <f t="shared" si="45"/>
        <v>Kritika Pandey</v>
      </c>
      <c r="D318" s="29" t="str">
        <f t="shared" si="46"/>
        <v>Finance</v>
      </c>
      <c r="E318" s="30" t="str">
        <f t="shared" si="47"/>
        <v>L2</v>
      </c>
      <c r="F318" s="30" t="str">
        <f t="shared" si="48"/>
        <v>Active</v>
      </c>
      <c r="G318" s="22">
        <v>5</v>
      </c>
      <c r="H318" t="str">
        <f t="shared" si="49"/>
        <v>Outstanding</v>
      </c>
      <c r="I318" s="22">
        <v>5</v>
      </c>
      <c r="J318" s="22" t="str">
        <f t="shared" si="50"/>
        <v>Stable</v>
      </c>
      <c r="K318" s="31">
        <v>0.96</v>
      </c>
      <c r="L318" s="24">
        <v>4.8</v>
      </c>
      <c r="M318" s="22" t="s">
        <v>60</v>
      </c>
      <c r="N318" s="22" t="str">
        <f t="shared" si="51"/>
        <v>High</v>
      </c>
      <c r="O318" t="str">
        <f>INDEX(NineBox,MATCH(N318,{"Low","Mid","High"},0),MATCH(M318,{"Low","Medium","High"},0))</f>
        <v>High Performer</v>
      </c>
      <c r="P318" s="28">
        <v>45692</v>
      </c>
      <c r="Q318" s="24">
        <f t="shared" si="52"/>
        <v>1.6509240246406571</v>
      </c>
      <c r="R318" s="22" t="str">
        <f t="shared" si="53"/>
        <v>Eligible</v>
      </c>
      <c r="S318" t="str">
        <f t="shared" si="54"/>
        <v>Meets rating and time-in-level criteria</v>
      </c>
      <c r="T318" s="22" t="s">
        <v>1687</v>
      </c>
    </row>
    <row r="319" spans="1:20" x14ac:dyDescent="0.3">
      <c r="A319" s="22" t="s">
        <v>1140</v>
      </c>
      <c r="B319" s="29" t="str">
        <f t="shared" si="44"/>
        <v>Amit Desai</v>
      </c>
      <c r="C319" s="29" t="str">
        <f t="shared" si="45"/>
        <v>Isha Jain</v>
      </c>
      <c r="D319" s="29" t="str">
        <f t="shared" si="46"/>
        <v>Engineering</v>
      </c>
      <c r="E319" s="30" t="str">
        <f t="shared" si="47"/>
        <v>L2</v>
      </c>
      <c r="F319" s="30" t="str">
        <f t="shared" si="48"/>
        <v>Active</v>
      </c>
      <c r="G319" s="22">
        <v>4</v>
      </c>
      <c r="H319" t="str">
        <f t="shared" si="49"/>
        <v>Exceeds Expectations</v>
      </c>
      <c r="I319" s="22">
        <v>4</v>
      </c>
      <c r="J319" s="22" t="str">
        <f t="shared" si="50"/>
        <v>Stable</v>
      </c>
      <c r="K319" s="31">
        <v>0.85</v>
      </c>
      <c r="L319" s="24">
        <v>4.5999999999999996</v>
      </c>
      <c r="M319" s="22" t="s">
        <v>61</v>
      </c>
      <c r="N319" s="22" t="str">
        <f t="shared" si="51"/>
        <v>High</v>
      </c>
      <c r="O319" t="str">
        <f>INDEX(NineBox,MATCH(N319,{"Low","Mid","High"},0),MATCH(M319,{"Low","Medium","High"},0))</f>
        <v>Star</v>
      </c>
      <c r="P319" s="28">
        <v>45695</v>
      </c>
      <c r="Q319" s="24">
        <f t="shared" si="52"/>
        <v>1.6427104722792607</v>
      </c>
      <c r="R319" s="22" t="str">
        <f t="shared" si="53"/>
        <v>Eligible</v>
      </c>
      <c r="S319" t="str">
        <f t="shared" si="54"/>
        <v>Meets rating and time-in-level criteria</v>
      </c>
      <c r="T319" s="22" t="s">
        <v>1687</v>
      </c>
    </row>
    <row r="320" spans="1:20" x14ac:dyDescent="0.3">
      <c r="A320" s="22" t="s">
        <v>1143</v>
      </c>
      <c r="B320" s="29" t="str">
        <f t="shared" si="44"/>
        <v>Neha Siddiqui</v>
      </c>
      <c r="C320" s="29" t="str">
        <f t="shared" si="45"/>
        <v>Tejaswini Hegde</v>
      </c>
      <c r="D320" s="29" t="str">
        <f t="shared" si="46"/>
        <v>Engineering</v>
      </c>
      <c r="E320" s="30" t="str">
        <f t="shared" si="47"/>
        <v>L2</v>
      </c>
      <c r="F320" s="30" t="str">
        <f t="shared" si="48"/>
        <v>Active</v>
      </c>
      <c r="G320" s="22">
        <v>5</v>
      </c>
      <c r="H320" t="str">
        <f t="shared" si="49"/>
        <v>Outstanding</v>
      </c>
      <c r="I320" s="22">
        <v>5</v>
      </c>
      <c r="J320" s="22" t="str">
        <f t="shared" si="50"/>
        <v>Stable</v>
      </c>
      <c r="K320" s="31">
        <v>1.18</v>
      </c>
      <c r="L320" s="24">
        <v>5</v>
      </c>
      <c r="M320" s="22" t="s">
        <v>61</v>
      </c>
      <c r="N320" s="22" t="str">
        <f t="shared" si="51"/>
        <v>High</v>
      </c>
      <c r="O320" t="str">
        <f>INDEX(NineBox,MATCH(N320,{"Low","Mid","High"},0),MATCH(M320,{"Low","Medium","High"},0))</f>
        <v>Star</v>
      </c>
      <c r="P320" s="28">
        <v>45698</v>
      </c>
      <c r="Q320" s="24">
        <f t="shared" si="52"/>
        <v>1.6344969199178645</v>
      </c>
      <c r="R320" s="22" t="str">
        <f t="shared" si="53"/>
        <v>Eligible</v>
      </c>
      <c r="S320" t="str">
        <f t="shared" si="54"/>
        <v>Meets rating and time-in-level criteria</v>
      </c>
      <c r="T320" s="22" t="s">
        <v>1687</v>
      </c>
    </row>
    <row r="321" spans="1:20" x14ac:dyDescent="0.3">
      <c r="A321" s="22" t="s">
        <v>1146</v>
      </c>
      <c r="B321" s="29" t="str">
        <f t="shared" si="44"/>
        <v>Prakash Raghavan</v>
      </c>
      <c r="C321" s="29" t="str">
        <f t="shared" si="45"/>
        <v>Yash Shah</v>
      </c>
      <c r="D321" s="29" t="str">
        <f t="shared" si="46"/>
        <v>Operations</v>
      </c>
      <c r="E321" s="30" t="str">
        <f t="shared" si="47"/>
        <v>L2</v>
      </c>
      <c r="F321" s="30" t="str">
        <f t="shared" si="48"/>
        <v>Active</v>
      </c>
      <c r="G321" s="22">
        <v>5</v>
      </c>
      <c r="H321" t="str">
        <f t="shared" si="49"/>
        <v>Outstanding</v>
      </c>
      <c r="I321" s="22">
        <v>5</v>
      </c>
      <c r="J321" s="22" t="str">
        <f t="shared" si="50"/>
        <v>Stable</v>
      </c>
      <c r="K321" s="31">
        <v>1.05</v>
      </c>
      <c r="L321" s="24">
        <v>5</v>
      </c>
      <c r="M321" s="22" t="s">
        <v>61</v>
      </c>
      <c r="N321" s="22" t="str">
        <f t="shared" si="51"/>
        <v>High</v>
      </c>
      <c r="O321" t="str">
        <f>INDEX(NineBox,MATCH(N321,{"Low","Mid","High"},0),MATCH(M321,{"Low","Medium","High"},0))</f>
        <v>Star</v>
      </c>
      <c r="P321" s="28">
        <v>45701</v>
      </c>
      <c r="Q321" s="24">
        <f t="shared" si="52"/>
        <v>1.6262833675564681</v>
      </c>
      <c r="R321" s="22" t="str">
        <f t="shared" si="53"/>
        <v>Eligible</v>
      </c>
      <c r="S321" t="str">
        <f t="shared" si="54"/>
        <v>Meets rating and time-in-level criteria</v>
      </c>
      <c r="T321" s="22" t="s">
        <v>1687</v>
      </c>
    </row>
    <row r="322" spans="1:20" x14ac:dyDescent="0.3">
      <c r="A322" s="22" t="s">
        <v>1149</v>
      </c>
      <c r="B322" s="29" t="str">
        <f t="shared" ref="B322:B385" si="55">INDEX(M_Name,MATCH($A322,M_ID,0))</f>
        <v>Imran Gupta</v>
      </c>
      <c r="C322" s="29" t="str">
        <f t="shared" ref="C322:C385" si="56">INDEX(M_Mgr,MATCH($A322,M_ID,0))</f>
        <v>Yash Raghavan</v>
      </c>
      <c r="D322" s="29" t="str">
        <f t="shared" ref="D322:D385" si="57">INDEX(M_Dept,MATCH($A322,M_ID,0))</f>
        <v>Sales</v>
      </c>
      <c r="E322" s="30" t="str">
        <f t="shared" ref="E322:E385" si="58">INDEX(M_Level,MATCH($A322,M_ID,0))</f>
        <v>L4</v>
      </c>
      <c r="F322" s="30" t="str">
        <f t="shared" ref="F322:F385" si="59">INDEX(M_Status,MATCH($A322,M_ID,0))</f>
        <v>Active</v>
      </c>
      <c r="G322" s="22">
        <v>5</v>
      </c>
      <c r="H322" t="str">
        <f t="shared" ref="H322:H385" si="60">INDEX(RatingLbl,MATCH(G322,RatingNo,0))</f>
        <v>Outstanding</v>
      </c>
      <c r="I322" s="22">
        <v>4</v>
      </c>
      <c r="J322" s="22" t="str">
        <f t="shared" ref="J322:J385" si="61">IF(G322&gt;I322,"Improved",IF(G322&lt;I322,"Declined","Stable"))</f>
        <v>Improved</v>
      </c>
      <c r="K322" s="31">
        <v>0.99</v>
      </c>
      <c r="L322" s="24">
        <v>4.9000000000000004</v>
      </c>
      <c r="M322" s="22" t="s">
        <v>61</v>
      </c>
      <c r="N322" s="22" t="str">
        <f t="shared" ref="N322:N385" si="62">IF(G322&gt;=4,"High",IF(G322=3,"Mid","Low"))</f>
        <v>High</v>
      </c>
      <c r="O322" t="str">
        <f>INDEX(NineBox,MATCH(N322,{"Low","Mid","High"},0),MATCH(M322,{"Low","Medium","High"},0))</f>
        <v>Star</v>
      </c>
      <c r="P322" s="28">
        <v>45701</v>
      </c>
      <c r="Q322" s="24">
        <f t="shared" ref="Q322:Q385" si="63">(AsOf-P322)/365.25</f>
        <v>1.6262833675564681</v>
      </c>
      <c r="R322" s="22" t="str">
        <f t="shared" ref="R322:R385" si="64">IF(F322="Exited","Not Eligible",IF(AND(G322&gt;=MinRating,Q322&gt;=MinYrs,VALUE(MID(E322,2,1))&lt;=MaxLvl),"Eligible","Not Eligible"))</f>
        <v>Eligible</v>
      </c>
      <c r="S322" t="str">
        <f t="shared" ref="S322:S385" si="65">IF(F322="Exited","Employee has exited",IF(R322="Eligible","Meets rating and time-in-level criteria",IF(VALUE(MID(E322,2,1))&gt;MaxLvl,"Already at top level",IF(G322&lt;MinRating,"Rating below "&amp;MinRating,"Under "&amp;MinYrs&amp;" yrs in current level"))))</f>
        <v>Meets rating and time-in-level criteria</v>
      </c>
      <c r="T322" s="22" t="s">
        <v>1687</v>
      </c>
    </row>
    <row r="323" spans="1:20" x14ac:dyDescent="0.3">
      <c r="A323" s="22" t="s">
        <v>1152</v>
      </c>
      <c r="B323" s="29" t="str">
        <f t="shared" si="55"/>
        <v>Radhika Kapoor</v>
      </c>
      <c r="C323" s="29" t="str">
        <f t="shared" si="56"/>
        <v>Sachin Shetty</v>
      </c>
      <c r="D323" s="29" t="str">
        <f t="shared" si="57"/>
        <v>Product</v>
      </c>
      <c r="E323" s="30" t="str">
        <f t="shared" si="58"/>
        <v>L1</v>
      </c>
      <c r="F323" s="30" t="str">
        <f t="shared" si="59"/>
        <v>Active</v>
      </c>
      <c r="G323" s="22">
        <v>5</v>
      </c>
      <c r="H323" t="str">
        <f t="shared" si="60"/>
        <v>Outstanding</v>
      </c>
      <c r="I323" s="22">
        <v>5</v>
      </c>
      <c r="J323" s="22" t="str">
        <f t="shared" si="61"/>
        <v>Stable</v>
      </c>
      <c r="K323" s="31">
        <v>0.99</v>
      </c>
      <c r="L323" s="24">
        <v>5</v>
      </c>
      <c r="M323" s="22" t="s">
        <v>61</v>
      </c>
      <c r="N323" s="22" t="str">
        <f t="shared" si="62"/>
        <v>High</v>
      </c>
      <c r="O323" t="str">
        <f>INDEX(NineBox,MATCH(N323,{"Low","Mid","High"},0),MATCH(M323,{"Low","Medium","High"},0))</f>
        <v>Star</v>
      </c>
      <c r="P323" s="28">
        <v>45705</v>
      </c>
      <c r="Q323" s="24">
        <f t="shared" si="63"/>
        <v>1.6153319644079398</v>
      </c>
      <c r="R323" s="22" t="str">
        <f t="shared" si="64"/>
        <v>Eligible</v>
      </c>
      <c r="S323" t="str">
        <f t="shared" si="65"/>
        <v>Meets rating and time-in-level criteria</v>
      </c>
      <c r="T323" s="22" t="s">
        <v>1687</v>
      </c>
    </row>
    <row r="324" spans="1:20" x14ac:dyDescent="0.3">
      <c r="A324" s="22" t="s">
        <v>1155</v>
      </c>
      <c r="B324" s="29" t="str">
        <f t="shared" si="55"/>
        <v>Dev Bansal</v>
      </c>
      <c r="C324" s="29" t="str">
        <f t="shared" si="56"/>
        <v>Kavya Krishnan</v>
      </c>
      <c r="D324" s="29" t="str">
        <f t="shared" si="57"/>
        <v>Sales</v>
      </c>
      <c r="E324" s="30" t="str">
        <f t="shared" si="58"/>
        <v>L1</v>
      </c>
      <c r="F324" s="30" t="str">
        <f t="shared" si="59"/>
        <v>Active</v>
      </c>
      <c r="G324" s="22">
        <v>4</v>
      </c>
      <c r="H324" t="str">
        <f t="shared" si="60"/>
        <v>Exceeds Expectations</v>
      </c>
      <c r="I324" s="22">
        <v>4</v>
      </c>
      <c r="J324" s="22" t="str">
        <f t="shared" si="61"/>
        <v>Stable</v>
      </c>
      <c r="K324" s="31">
        <v>1.03</v>
      </c>
      <c r="L324" s="24">
        <v>3.6</v>
      </c>
      <c r="M324" s="22" t="s">
        <v>61</v>
      </c>
      <c r="N324" s="22" t="str">
        <f t="shared" si="62"/>
        <v>High</v>
      </c>
      <c r="O324" t="str">
        <f>INDEX(NineBox,MATCH(N324,{"Low","Mid","High"},0),MATCH(M324,{"Low","Medium","High"},0))</f>
        <v>Star</v>
      </c>
      <c r="P324" s="28">
        <v>45709</v>
      </c>
      <c r="Q324" s="24">
        <f t="shared" si="63"/>
        <v>1.6043805612594113</v>
      </c>
      <c r="R324" s="22" t="str">
        <f t="shared" si="64"/>
        <v>Eligible</v>
      </c>
      <c r="S324" t="str">
        <f t="shared" si="65"/>
        <v>Meets rating and time-in-level criteria</v>
      </c>
      <c r="T324" s="22" t="s">
        <v>1687</v>
      </c>
    </row>
    <row r="325" spans="1:20" x14ac:dyDescent="0.3">
      <c r="A325" s="22" t="s">
        <v>1158</v>
      </c>
      <c r="B325" s="29" t="str">
        <f t="shared" si="55"/>
        <v>Divya Banerjee</v>
      </c>
      <c r="C325" s="29" t="str">
        <f t="shared" si="56"/>
        <v>Ramya Menon</v>
      </c>
      <c r="D325" s="29" t="str">
        <f t="shared" si="57"/>
        <v>Operations</v>
      </c>
      <c r="E325" s="30" t="str">
        <f t="shared" si="58"/>
        <v>L2</v>
      </c>
      <c r="F325" s="30" t="str">
        <f t="shared" si="59"/>
        <v>Active</v>
      </c>
      <c r="G325" s="22">
        <v>3</v>
      </c>
      <c r="H325" t="str">
        <f t="shared" si="60"/>
        <v>Meets Expectations</v>
      </c>
      <c r="I325" s="22">
        <v>2</v>
      </c>
      <c r="J325" s="22" t="str">
        <f t="shared" si="61"/>
        <v>Improved</v>
      </c>
      <c r="K325" s="31">
        <v>0.81</v>
      </c>
      <c r="L325" s="24">
        <v>3.2</v>
      </c>
      <c r="M325" s="22" t="s">
        <v>60</v>
      </c>
      <c r="N325" s="22" t="str">
        <f t="shared" si="62"/>
        <v>Mid</v>
      </c>
      <c r="O325" t="str">
        <f>INDEX(NineBox,MATCH(N325,{"Low","Mid","High"},0),MATCH(M325,{"Low","Medium","High"},0))</f>
        <v>Core Player</v>
      </c>
      <c r="P325" s="28">
        <v>45715</v>
      </c>
      <c r="Q325" s="24">
        <f t="shared" si="63"/>
        <v>1.5879534565366187</v>
      </c>
      <c r="R325" s="22" t="str">
        <f t="shared" si="64"/>
        <v>Not Eligible</v>
      </c>
      <c r="S325" t="str">
        <f t="shared" si="65"/>
        <v>Rating below 4</v>
      </c>
      <c r="T325" s="22" t="s">
        <v>1687</v>
      </c>
    </row>
    <row r="326" spans="1:20" x14ac:dyDescent="0.3">
      <c r="A326" s="22" t="s">
        <v>1161</v>
      </c>
      <c r="B326" s="29" t="str">
        <f t="shared" si="55"/>
        <v>Aditya Nair</v>
      </c>
      <c r="C326" s="29" t="str">
        <f t="shared" si="56"/>
        <v>Anjali Iyer</v>
      </c>
      <c r="D326" s="29" t="str">
        <f t="shared" si="57"/>
        <v>Customer Support</v>
      </c>
      <c r="E326" s="30" t="str">
        <f t="shared" si="58"/>
        <v>L3</v>
      </c>
      <c r="F326" s="30" t="str">
        <f t="shared" si="59"/>
        <v>Active</v>
      </c>
      <c r="G326" s="22">
        <v>4</v>
      </c>
      <c r="H326" t="str">
        <f t="shared" si="60"/>
        <v>Exceeds Expectations</v>
      </c>
      <c r="I326" s="22">
        <v>4</v>
      </c>
      <c r="J326" s="22" t="str">
        <f t="shared" si="61"/>
        <v>Stable</v>
      </c>
      <c r="K326" s="31">
        <v>0.9</v>
      </c>
      <c r="L326" s="24">
        <v>3</v>
      </c>
      <c r="M326" s="22" t="s">
        <v>61</v>
      </c>
      <c r="N326" s="22" t="str">
        <f t="shared" si="62"/>
        <v>High</v>
      </c>
      <c r="O326" t="str">
        <f>INDEX(NineBox,MATCH(N326,{"Low","Mid","High"},0),MATCH(M326,{"Low","Medium","High"},0))</f>
        <v>Star</v>
      </c>
      <c r="P326" s="28">
        <v>45715</v>
      </c>
      <c r="Q326" s="24">
        <f t="shared" si="63"/>
        <v>1.5879534565366187</v>
      </c>
      <c r="R326" s="22" t="str">
        <f t="shared" si="64"/>
        <v>Eligible</v>
      </c>
      <c r="S326" t="str">
        <f t="shared" si="65"/>
        <v>Meets rating and time-in-level criteria</v>
      </c>
      <c r="T326" s="22" t="s">
        <v>1687</v>
      </c>
    </row>
    <row r="327" spans="1:20" x14ac:dyDescent="0.3">
      <c r="A327" s="22" t="s">
        <v>1164</v>
      </c>
      <c r="B327" s="29" t="str">
        <f t="shared" si="55"/>
        <v>Ramya Verma</v>
      </c>
      <c r="C327" s="29" t="str">
        <f t="shared" si="56"/>
        <v>Karan Verma</v>
      </c>
      <c r="D327" s="29" t="str">
        <f t="shared" si="57"/>
        <v>Data &amp; Analytics</v>
      </c>
      <c r="E327" s="30" t="str">
        <f t="shared" si="58"/>
        <v>L2</v>
      </c>
      <c r="F327" s="30" t="str">
        <f t="shared" si="59"/>
        <v>Active</v>
      </c>
      <c r="G327" s="22">
        <v>4</v>
      </c>
      <c r="H327" t="str">
        <f t="shared" si="60"/>
        <v>Exceeds Expectations</v>
      </c>
      <c r="I327" s="22">
        <v>5</v>
      </c>
      <c r="J327" s="22" t="str">
        <f t="shared" si="61"/>
        <v>Declined</v>
      </c>
      <c r="K327" s="31">
        <v>1.01</v>
      </c>
      <c r="L327" s="24">
        <v>4.2</v>
      </c>
      <c r="M327" s="22" t="s">
        <v>61</v>
      </c>
      <c r="N327" s="22" t="str">
        <f t="shared" si="62"/>
        <v>High</v>
      </c>
      <c r="O327" t="str">
        <f>INDEX(NineBox,MATCH(N327,{"Low","Mid","High"},0),MATCH(M327,{"Low","Medium","High"},0))</f>
        <v>Star</v>
      </c>
      <c r="P327" s="28">
        <v>45718</v>
      </c>
      <c r="Q327" s="24">
        <f t="shared" si="63"/>
        <v>1.5797399041752225</v>
      </c>
      <c r="R327" s="22" t="str">
        <f t="shared" si="64"/>
        <v>Eligible</v>
      </c>
      <c r="S327" t="str">
        <f t="shared" si="65"/>
        <v>Meets rating and time-in-level criteria</v>
      </c>
      <c r="T327" s="22" t="s">
        <v>1687</v>
      </c>
    </row>
    <row r="328" spans="1:20" x14ac:dyDescent="0.3">
      <c r="A328" s="22" t="s">
        <v>1167</v>
      </c>
      <c r="B328" s="29" t="str">
        <f t="shared" si="55"/>
        <v>Keerthi Agarwal</v>
      </c>
      <c r="C328" s="29" t="str">
        <f t="shared" si="56"/>
        <v>Ankit Khanna</v>
      </c>
      <c r="D328" s="29" t="str">
        <f t="shared" si="57"/>
        <v>Operations</v>
      </c>
      <c r="E328" s="30" t="str">
        <f t="shared" si="58"/>
        <v>L4</v>
      </c>
      <c r="F328" s="30" t="str">
        <f t="shared" si="59"/>
        <v>Active</v>
      </c>
      <c r="G328" s="22">
        <v>3</v>
      </c>
      <c r="H328" t="str">
        <f t="shared" si="60"/>
        <v>Meets Expectations</v>
      </c>
      <c r="I328" s="22">
        <v>2</v>
      </c>
      <c r="J328" s="22" t="str">
        <f t="shared" si="61"/>
        <v>Improved</v>
      </c>
      <c r="K328" s="31">
        <v>0.82</v>
      </c>
      <c r="L328" s="24">
        <v>2.2999999999999998</v>
      </c>
      <c r="M328" s="22" t="s">
        <v>59</v>
      </c>
      <c r="N328" s="22" t="str">
        <f t="shared" si="62"/>
        <v>Mid</v>
      </c>
      <c r="O328" t="str">
        <f>INDEX(NineBox,MATCH(N328,{"Low","Mid","High"},0),MATCH(M328,{"Low","Medium","High"},0))</f>
        <v>Effective Contributor</v>
      </c>
      <c r="P328" s="28">
        <v>45719</v>
      </c>
      <c r="Q328" s="24">
        <f t="shared" si="63"/>
        <v>1.5770020533880904</v>
      </c>
      <c r="R328" s="22" t="str">
        <f t="shared" si="64"/>
        <v>Not Eligible</v>
      </c>
      <c r="S328" t="str">
        <f t="shared" si="65"/>
        <v>Rating below 4</v>
      </c>
      <c r="T328" s="22" t="s">
        <v>1687</v>
      </c>
    </row>
    <row r="329" spans="1:20" x14ac:dyDescent="0.3">
      <c r="A329" s="22" t="s">
        <v>1170</v>
      </c>
      <c r="B329" s="29" t="str">
        <f t="shared" si="55"/>
        <v>Vishal Subramanian</v>
      </c>
      <c r="C329" s="29" t="str">
        <f t="shared" si="56"/>
        <v>Ramya Menon</v>
      </c>
      <c r="D329" s="29" t="str">
        <f t="shared" si="57"/>
        <v>Operations</v>
      </c>
      <c r="E329" s="30" t="str">
        <f t="shared" si="58"/>
        <v>L1</v>
      </c>
      <c r="F329" s="30" t="str">
        <f t="shared" si="59"/>
        <v>Active</v>
      </c>
      <c r="G329" s="22">
        <v>4</v>
      </c>
      <c r="H329" t="str">
        <f t="shared" si="60"/>
        <v>Exceeds Expectations</v>
      </c>
      <c r="I329" s="22">
        <v>3</v>
      </c>
      <c r="J329" s="22" t="str">
        <f t="shared" si="61"/>
        <v>Improved</v>
      </c>
      <c r="K329" s="31">
        <v>0.84</v>
      </c>
      <c r="L329" s="24">
        <v>4.4000000000000004</v>
      </c>
      <c r="M329" s="22" t="s">
        <v>60</v>
      </c>
      <c r="N329" s="22" t="str">
        <f t="shared" si="62"/>
        <v>High</v>
      </c>
      <c r="O329" t="str">
        <f>INDEX(NineBox,MATCH(N329,{"Low","Mid","High"},0),MATCH(M329,{"Low","Medium","High"},0))</f>
        <v>High Performer</v>
      </c>
      <c r="P329" s="28">
        <v>45725</v>
      </c>
      <c r="Q329" s="24">
        <f t="shared" si="63"/>
        <v>1.5605749486652978</v>
      </c>
      <c r="R329" s="22" t="str">
        <f t="shared" si="64"/>
        <v>Eligible</v>
      </c>
      <c r="S329" t="str">
        <f t="shared" si="65"/>
        <v>Meets rating and time-in-level criteria</v>
      </c>
      <c r="T329" s="22" t="s">
        <v>1687</v>
      </c>
    </row>
    <row r="330" spans="1:20" x14ac:dyDescent="0.3">
      <c r="A330" s="22" t="s">
        <v>1173</v>
      </c>
      <c r="B330" s="29" t="str">
        <f t="shared" si="55"/>
        <v>Akash Fernandes</v>
      </c>
      <c r="C330" s="29" t="str">
        <f t="shared" si="56"/>
        <v>Fatima Choudhary</v>
      </c>
      <c r="D330" s="29" t="str">
        <f t="shared" si="57"/>
        <v>Engineering</v>
      </c>
      <c r="E330" s="30" t="str">
        <f t="shared" si="58"/>
        <v>L2</v>
      </c>
      <c r="F330" s="30" t="str">
        <f t="shared" si="59"/>
        <v>Active</v>
      </c>
      <c r="G330" s="22">
        <v>2</v>
      </c>
      <c r="H330" t="str">
        <f t="shared" si="60"/>
        <v>Needs Improvement</v>
      </c>
      <c r="I330" s="22">
        <v>3</v>
      </c>
      <c r="J330" s="22" t="str">
        <f t="shared" si="61"/>
        <v>Declined</v>
      </c>
      <c r="K330" s="31">
        <v>0.66</v>
      </c>
      <c r="L330" s="24">
        <v>1.2</v>
      </c>
      <c r="M330" s="22" t="s">
        <v>60</v>
      </c>
      <c r="N330" s="22" t="str">
        <f t="shared" si="62"/>
        <v>Low</v>
      </c>
      <c r="O330" t="str">
        <f>INDEX(NineBox,MATCH(N330,{"Low","Mid","High"},0),MATCH(M330,{"Low","Medium","High"},0))</f>
        <v>Inconsistent Player</v>
      </c>
      <c r="P330" s="28">
        <v>45728</v>
      </c>
      <c r="Q330" s="24">
        <f t="shared" si="63"/>
        <v>1.5523613963039014</v>
      </c>
      <c r="R330" s="22" t="str">
        <f t="shared" si="64"/>
        <v>Not Eligible</v>
      </c>
      <c r="S330" t="str">
        <f t="shared" si="65"/>
        <v>Rating below 4</v>
      </c>
      <c r="T330" s="22" t="s">
        <v>1687</v>
      </c>
    </row>
    <row r="331" spans="1:20" x14ac:dyDescent="0.3">
      <c r="A331" s="22" t="s">
        <v>1176</v>
      </c>
      <c r="B331" s="29" t="str">
        <f t="shared" si="55"/>
        <v>Prakash Singh</v>
      </c>
      <c r="C331" s="29" t="str">
        <f t="shared" si="56"/>
        <v>Yash Raghavan</v>
      </c>
      <c r="D331" s="29" t="str">
        <f t="shared" si="57"/>
        <v>Sales</v>
      </c>
      <c r="E331" s="30" t="str">
        <f t="shared" si="58"/>
        <v>L3</v>
      </c>
      <c r="F331" s="30" t="str">
        <f t="shared" si="59"/>
        <v>Active</v>
      </c>
      <c r="G331" s="22">
        <v>3</v>
      </c>
      <c r="H331" t="str">
        <f t="shared" si="60"/>
        <v>Meets Expectations</v>
      </c>
      <c r="I331" s="22">
        <v>3</v>
      </c>
      <c r="J331" s="22" t="str">
        <f t="shared" si="61"/>
        <v>Stable</v>
      </c>
      <c r="K331" s="31">
        <v>0.83</v>
      </c>
      <c r="L331" s="24">
        <v>2.6</v>
      </c>
      <c r="M331" s="22" t="s">
        <v>60</v>
      </c>
      <c r="N331" s="22" t="str">
        <f t="shared" si="62"/>
        <v>Mid</v>
      </c>
      <c r="O331" t="str">
        <f>INDEX(NineBox,MATCH(N331,{"Low","Mid","High"},0),MATCH(M331,{"Low","Medium","High"},0))</f>
        <v>Core Player</v>
      </c>
      <c r="P331" s="28">
        <v>45730</v>
      </c>
      <c r="Q331" s="24">
        <f t="shared" si="63"/>
        <v>1.5468856947296372</v>
      </c>
      <c r="R331" s="22" t="str">
        <f t="shared" si="64"/>
        <v>Not Eligible</v>
      </c>
      <c r="S331" t="str">
        <f t="shared" si="65"/>
        <v>Rating below 4</v>
      </c>
      <c r="T331" s="22" t="s">
        <v>1687</v>
      </c>
    </row>
    <row r="332" spans="1:20" x14ac:dyDescent="0.3">
      <c r="A332" s="22" t="s">
        <v>1179</v>
      </c>
      <c r="B332" s="29" t="str">
        <f t="shared" si="55"/>
        <v>Sindhu Kapoor</v>
      </c>
      <c r="C332" s="29" t="str">
        <f t="shared" si="56"/>
        <v>Karan Verma</v>
      </c>
      <c r="D332" s="29" t="str">
        <f t="shared" si="57"/>
        <v>Data &amp; Analytics</v>
      </c>
      <c r="E332" s="30" t="str">
        <f t="shared" si="58"/>
        <v>L4</v>
      </c>
      <c r="F332" s="30" t="str">
        <f t="shared" si="59"/>
        <v>Active</v>
      </c>
      <c r="G332" s="22">
        <v>3</v>
      </c>
      <c r="H332" t="str">
        <f t="shared" si="60"/>
        <v>Meets Expectations</v>
      </c>
      <c r="I332" s="22">
        <v>4</v>
      </c>
      <c r="J332" s="22" t="str">
        <f t="shared" si="61"/>
        <v>Declined</v>
      </c>
      <c r="K332" s="31">
        <v>0.88</v>
      </c>
      <c r="L332" s="24">
        <v>2.2000000000000002</v>
      </c>
      <c r="M332" s="22" t="s">
        <v>59</v>
      </c>
      <c r="N332" s="22" t="str">
        <f t="shared" si="62"/>
        <v>Mid</v>
      </c>
      <c r="O332" t="str">
        <f>INDEX(NineBox,MATCH(N332,{"Low","Mid","High"},0),MATCH(M332,{"Low","Medium","High"},0))</f>
        <v>Effective Contributor</v>
      </c>
      <c r="P332" s="28">
        <v>45735</v>
      </c>
      <c r="Q332" s="24">
        <f t="shared" si="63"/>
        <v>1.5331964407939767</v>
      </c>
      <c r="R332" s="22" t="str">
        <f t="shared" si="64"/>
        <v>Not Eligible</v>
      </c>
      <c r="S332" t="str">
        <f t="shared" si="65"/>
        <v>Rating below 4</v>
      </c>
      <c r="T332" s="22" t="s">
        <v>1687</v>
      </c>
    </row>
    <row r="333" spans="1:20" x14ac:dyDescent="0.3">
      <c r="A333" s="22" t="s">
        <v>1182</v>
      </c>
      <c r="B333" s="29" t="str">
        <f t="shared" si="55"/>
        <v>Swathi Khanna</v>
      </c>
      <c r="C333" s="29" t="str">
        <f t="shared" si="56"/>
        <v>Madhuri Menon</v>
      </c>
      <c r="D333" s="29" t="str">
        <f t="shared" si="57"/>
        <v>Engineering</v>
      </c>
      <c r="E333" s="30" t="str">
        <f t="shared" si="58"/>
        <v>L2</v>
      </c>
      <c r="F333" s="30" t="str">
        <f t="shared" si="59"/>
        <v>Active</v>
      </c>
      <c r="G333" s="22">
        <v>3</v>
      </c>
      <c r="H333" t="str">
        <f t="shared" si="60"/>
        <v>Meets Expectations</v>
      </c>
      <c r="I333" s="22">
        <v>3</v>
      </c>
      <c r="J333" s="22" t="str">
        <f t="shared" si="61"/>
        <v>Stable</v>
      </c>
      <c r="K333" s="31">
        <v>0.97</v>
      </c>
      <c r="L333" s="24">
        <v>2.6</v>
      </c>
      <c r="M333" s="22" t="s">
        <v>60</v>
      </c>
      <c r="N333" s="22" t="str">
        <f t="shared" si="62"/>
        <v>Mid</v>
      </c>
      <c r="O333" t="str">
        <f>INDEX(NineBox,MATCH(N333,{"Low","Mid","High"},0),MATCH(M333,{"Low","Medium","High"},0))</f>
        <v>Core Player</v>
      </c>
      <c r="P333" s="28">
        <v>45740</v>
      </c>
      <c r="Q333" s="24">
        <f t="shared" si="63"/>
        <v>1.5195071868583163</v>
      </c>
      <c r="R333" s="22" t="str">
        <f t="shared" si="64"/>
        <v>Not Eligible</v>
      </c>
      <c r="S333" t="str">
        <f t="shared" si="65"/>
        <v>Rating below 4</v>
      </c>
      <c r="T333" s="22" t="s">
        <v>1688</v>
      </c>
    </row>
    <row r="334" spans="1:20" x14ac:dyDescent="0.3">
      <c r="A334" s="22" t="s">
        <v>1185</v>
      </c>
      <c r="B334" s="29" t="str">
        <f t="shared" si="55"/>
        <v>Siddharth Reddy</v>
      </c>
      <c r="C334" s="29" t="str">
        <f t="shared" si="56"/>
        <v>Isha Chatterjee</v>
      </c>
      <c r="D334" s="29" t="str">
        <f t="shared" si="57"/>
        <v>Marketing</v>
      </c>
      <c r="E334" s="30" t="str">
        <f t="shared" si="58"/>
        <v>L3</v>
      </c>
      <c r="F334" s="30" t="str">
        <f t="shared" si="59"/>
        <v>Active</v>
      </c>
      <c r="G334" s="22">
        <v>5</v>
      </c>
      <c r="H334" t="str">
        <f t="shared" si="60"/>
        <v>Outstanding</v>
      </c>
      <c r="I334" s="22">
        <v>5</v>
      </c>
      <c r="J334" s="22" t="str">
        <f t="shared" si="61"/>
        <v>Stable</v>
      </c>
      <c r="K334" s="31">
        <v>0.93</v>
      </c>
      <c r="L334" s="24">
        <v>4.2</v>
      </c>
      <c r="M334" s="22" t="s">
        <v>61</v>
      </c>
      <c r="N334" s="22" t="str">
        <f t="shared" si="62"/>
        <v>High</v>
      </c>
      <c r="O334" t="str">
        <f>INDEX(NineBox,MATCH(N334,{"Low","Mid","High"},0),MATCH(M334,{"Low","Medium","High"},0))</f>
        <v>Star</v>
      </c>
      <c r="P334" s="28">
        <v>45747</v>
      </c>
      <c r="Q334" s="24">
        <f t="shared" si="63"/>
        <v>1.5003422313483916</v>
      </c>
      <c r="R334" s="22" t="str">
        <f t="shared" si="64"/>
        <v>Eligible</v>
      </c>
      <c r="S334" t="str">
        <f t="shared" si="65"/>
        <v>Meets rating and time-in-level criteria</v>
      </c>
      <c r="T334" s="22" t="s">
        <v>1687</v>
      </c>
    </row>
    <row r="335" spans="1:20" x14ac:dyDescent="0.3">
      <c r="A335" s="22" t="s">
        <v>1188</v>
      </c>
      <c r="B335" s="29" t="str">
        <f t="shared" si="55"/>
        <v>Megha Subramanian</v>
      </c>
      <c r="C335" s="29" t="str">
        <f t="shared" si="56"/>
        <v>Imran Joshi</v>
      </c>
      <c r="D335" s="29" t="str">
        <f t="shared" si="57"/>
        <v>Customer Support</v>
      </c>
      <c r="E335" s="30" t="str">
        <f t="shared" si="58"/>
        <v>L1</v>
      </c>
      <c r="F335" s="30" t="str">
        <f t="shared" si="59"/>
        <v>Exited</v>
      </c>
      <c r="G335" s="22">
        <v>1</v>
      </c>
      <c r="H335" t="str">
        <f t="shared" si="60"/>
        <v>Unsatisfactory</v>
      </c>
      <c r="I335" s="22">
        <v>1</v>
      </c>
      <c r="J335" s="22" t="str">
        <f t="shared" si="61"/>
        <v>Stable</v>
      </c>
      <c r="K335" s="31">
        <v>0.5</v>
      </c>
      <c r="L335" s="24">
        <v>1.3</v>
      </c>
      <c r="M335" s="22" t="s">
        <v>59</v>
      </c>
      <c r="N335" s="22" t="str">
        <f t="shared" si="62"/>
        <v>Low</v>
      </c>
      <c r="O335" t="str">
        <f>INDEX(NineBox,MATCH(N335,{"Low","Mid","High"},0),MATCH(M335,{"Low","Medium","High"},0))</f>
        <v>Underperformer</v>
      </c>
      <c r="P335" s="28">
        <v>45751</v>
      </c>
      <c r="Q335" s="24">
        <f t="shared" si="63"/>
        <v>1.4893908281998631</v>
      </c>
      <c r="R335" s="22" t="str">
        <f t="shared" si="64"/>
        <v>Not Eligible</v>
      </c>
      <c r="S335" t="str">
        <f t="shared" si="65"/>
        <v>Employee has exited</v>
      </c>
      <c r="T335" s="22" t="s">
        <v>1687</v>
      </c>
    </row>
    <row r="336" spans="1:20" x14ac:dyDescent="0.3">
      <c r="A336" s="22" t="s">
        <v>1191</v>
      </c>
      <c r="B336" s="29" t="str">
        <f t="shared" si="55"/>
        <v>Farhan Kamath</v>
      </c>
      <c r="C336" s="29" t="str">
        <f t="shared" si="56"/>
        <v>Yash Shah</v>
      </c>
      <c r="D336" s="29" t="str">
        <f t="shared" si="57"/>
        <v>Operations</v>
      </c>
      <c r="E336" s="30" t="str">
        <f t="shared" si="58"/>
        <v>L2</v>
      </c>
      <c r="F336" s="30" t="str">
        <f t="shared" si="59"/>
        <v>Active</v>
      </c>
      <c r="G336" s="22">
        <v>3</v>
      </c>
      <c r="H336" t="str">
        <f t="shared" si="60"/>
        <v>Meets Expectations</v>
      </c>
      <c r="I336" s="22">
        <v>4</v>
      </c>
      <c r="J336" s="22" t="str">
        <f t="shared" si="61"/>
        <v>Declined</v>
      </c>
      <c r="K336" s="31">
        <v>0.9</v>
      </c>
      <c r="L336" s="24">
        <v>3.5</v>
      </c>
      <c r="M336" s="22" t="s">
        <v>60</v>
      </c>
      <c r="N336" s="22" t="str">
        <f t="shared" si="62"/>
        <v>Mid</v>
      </c>
      <c r="O336" t="str">
        <f>INDEX(NineBox,MATCH(N336,{"Low","Mid","High"},0),MATCH(M336,{"Low","Medium","High"},0))</f>
        <v>Core Player</v>
      </c>
      <c r="P336" s="28">
        <v>45754</v>
      </c>
      <c r="Q336" s="24">
        <f t="shared" si="63"/>
        <v>1.4811772758384667</v>
      </c>
      <c r="R336" s="22" t="str">
        <f t="shared" si="64"/>
        <v>Not Eligible</v>
      </c>
      <c r="S336" t="str">
        <f t="shared" si="65"/>
        <v>Rating below 4</v>
      </c>
      <c r="T336" s="22" t="s">
        <v>1687</v>
      </c>
    </row>
    <row r="337" spans="1:20" x14ac:dyDescent="0.3">
      <c r="A337" s="22" t="s">
        <v>1194</v>
      </c>
      <c r="B337" s="29" t="str">
        <f t="shared" si="55"/>
        <v>Rahul Siddiqui</v>
      </c>
      <c r="C337" s="29" t="str">
        <f t="shared" si="56"/>
        <v>Ashish Varghese</v>
      </c>
      <c r="D337" s="29" t="str">
        <f t="shared" si="57"/>
        <v>Customer Support</v>
      </c>
      <c r="E337" s="30" t="str">
        <f t="shared" si="58"/>
        <v>L3</v>
      </c>
      <c r="F337" s="30" t="str">
        <f t="shared" si="59"/>
        <v>Active</v>
      </c>
      <c r="G337" s="22">
        <v>3</v>
      </c>
      <c r="H337" t="str">
        <f t="shared" si="60"/>
        <v>Meets Expectations</v>
      </c>
      <c r="I337" s="22">
        <v>3</v>
      </c>
      <c r="J337" s="22" t="str">
        <f t="shared" si="61"/>
        <v>Stable</v>
      </c>
      <c r="K337" s="31">
        <v>0.9</v>
      </c>
      <c r="L337" s="24">
        <v>3.5</v>
      </c>
      <c r="M337" s="22" t="s">
        <v>59</v>
      </c>
      <c r="N337" s="22" t="str">
        <f t="shared" si="62"/>
        <v>Mid</v>
      </c>
      <c r="O337" t="str">
        <f>INDEX(NineBox,MATCH(N337,{"Low","Mid","High"},0),MATCH(M337,{"Low","Medium","High"},0))</f>
        <v>Effective Contributor</v>
      </c>
      <c r="P337" s="28">
        <v>45756</v>
      </c>
      <c r="Q337" s="24">
        <f t="shared" si="63"/>
        <v>1.4757015742642026</v>
      </c>
      <c r="R337" s="22" t="str">
        <f t="shared" si="64"/>
        <v>Not Eligible</v>
      </c>
      <c r="S337" t="str">
        <f t="shared" si="65"/>
        <v>Rating below 4</v>
      </c>
      <c r="T337" s="22" t="s">
        <v>1687</v>
      </c>
    </row>
    <row r="338" spans="1:20" x14ac:dyDescent="0.3">
      <c r="A338" s="22" t="s">
        <v>1197</v>
      </c>
      <c r="B338" s="29" t="str">
        <f t="shared" si="55"/>
        <v>Ajay Naidu</v>
      </c>
      <c r="C338" s="29" t="str">
        <f t="shared" si="56"/>
        <v>Isha Jain</v>
      </c>
      <c r="D338" s="29" t="str">
        <f t="shared" si="57"/>
        <v>Engineering</v>
      </c>
      <c r="E338" s="30" t="str">
        <f t="shared" si="58"/>
        <v>L3</v>
      </c>
      <c r="F338" s="30" t="str">
        <f t="shared" si="59"/>
        <v>Active</v>
      </c>
      <c r="G338" s="22">
        <v>4</v>
      </c>
      <c r="H338" t="str">
        <f t="shared" si="60"/>
        <v>Exceeds Expectations</v>
      </c>
      <c r="I338" s="22">
        <v>4</v>
      </c>
      <c r="J338" s="22" t="str">
        <f t="shared" si="61"/>
        <v>Stable</v>
      </c>
      <c r="K338" s="31">
        <v>0.93</v>
      </c>
      <c r="L338" s="24">
        <v>3.5</v>
      </c>
      <c r="M338" s="22" t="s">
        <v>60</v>
      </c>
      <c r="N338" s="22" t="str">
        <f t="shared" si="62"/>
        <v>High</v>
      </c>
      <c r="O338" t="str">
        <f>INDEX(NineBox,MATCH(N338,{"Low","Mid","High"},0),MATCH(M338,{"Low","Medium","High"},0))</f>
        <v>High Performer</v>
      </c>
      <c r="P338" s="28">
        <v>45758</v>
      </c>
      <c r="Q338" s="24">
        <f t="shared" si="63"/>
        <v>1.4702258726899384</v>
      </c>
      <c r="R338" s="22" t="str">
        <f t="shared" si="64"/>
        <v>Not Eligible</v>
      </c>
      <c r="S338" t="str">
        <f t="shared" si="65"/>
        <v>Under 1.5 yrs in current level</v>
      </c>
      <c r="T338" s="22" t="s">
        <v>1687</v>
      </c>
    </row>
    <row r="339" spans="1:20" x14ac:dyDescent="0.3">
      <c r="A339" s="22" t="s">
        <v>1200</v>
      </c>
      <c r="B339" s="29" t="str">
        <f t="shared" si="55"/>
        <v>Sai Kulkarni</v>
      </c>
      <c r="C339" s="29" t="str">
        <f t="shared" si="56"/>
        <v>Nandini Fernandes</v>
      </c>
      <c r="D339" s="29" t="str">
        <f t="shared" si="57"/>
        <v>Operations</v>
      </c>
      <c r="E339" s="30" t="str">
        <f t="shared" si="58"/>
        <v>L1</v>
      </c>
      <c r="F339" s="30" t="str">
        <f t="shared" si="59"/>
        <v>Exited</v>
      </c>
      <c r="G339" s="22">
        <v>3</v>
      </c>
      <c r="H339" t="str">
        <f t="shared" si="60"/>
        <v>Meets Expectations</v>
      </c>
      <c r="I339" s="22">
        <v>3</v>
      </c>
      <c r="J339" s="22" t="str">
        <f t="shared" si="61"/>
        <v>Stable</v>
      </c>
      <c r="K339" s="31">
        <v>0.8</v>
      </c>
      <c r="L339" s="24">
        <v>2.7</v>
      </c>
      <c r="M339" s="22" t="s">
        <v>59</v>
      </c>
      <c r="N339" s="22" t="str">
        <f t="shared" si="62"/>
        <v>Mid</v>
      </c>
      <c r="O339" t="str">
        <f>INDEX(NineBox,MATCH(N339,{"Low","Mid","High"},0),MATCH(M339,{"Low","Medium","High"},0))</f>
        <v>Effective Contributor</v>
      </c>
      <c r="P339" s="28">
        <v>45759</v>
      </c>
      <c r="Q339" s="24">
        <f t="shared" si="63"/>
        <v>1.4674880219028064</v>
      </c>
      <c r="R339" s="22" t="str">
        <f t="shared" si="64"/>
        <v>Not Eligible</v>
      </c>
      <c r="S339" t="str">
        <f t="shared" si="65"/>
        <v>Employee has exited</v>
      </c>
      <c r="T339" s="22" t="s">
        <v>1687</v>
      </c>
    </row>
    <row r="340" spans="1:20" x14ac:dyDescent="0.3">
      <c r="A340" s="22" t="s">
        <v>161</v>
      </c>
      <c r="B340" s="29" t="str">
        <f t="shared" si="55"/>
        <v>Lakshmi Subramanian</v>
      </c>
      <c r="C340" s="29" t="str">
        <f t="shared" si="56"/>
        <v>Aditi Nair</v>
      </c>
      <c r="D340" s="29" t="str">
        <f t="shared" si="57"/>
        <v>Legal &amp; Compliance</v>
      </c>
      <c r="E340" s="30" t="str">
        <f t="shared" si="58"/>
        <v>L6</v>
      </c>
      <c r="F340" s="30" t="str">
        <f t="shared" si="59"/>
        <v>Active</v>
      </c>
      <c r="G340" s="22">
        <v>1</v>
      </c>
      <c r="H340" t="str">
        <f t="shared" si="60"/>
        <v>Unsatisfactory</v>
      </c>
      <c r="I340" s="22">
        <v>1</v>
      </c>
      <c r="J340" s="22" t="str">
        <f t="shared" si="61"/>
        <v>Stable</v>
      </c>
      <c r="K340" s="31">
        <v>0.57999999999999996</v>
      </c>
      <c r="L340" s="24">
        <v>1.5</v>
      </c>
      <c r="M340" s="22" t="s">
        <v>59</v>
      </c>
      <c r="N340" s="22" t="str">
        <f t="shared" si="62"/>
        <v>Low</v>
      </c>
      <c r="O340" t="str">
        <f>INDEX(NineBox,MATCH(N340,{"Low","Mid","High"},0),MATCH(M340,{"Low","Medium","High"},0))</f>
        <v>Underperformer</v>
      </c>
      <c r="P340" s="28">
        <v>45760</v>
      </c>
      <c r="Q340" s="24">
        <f t="shared" si="63"/>
        <v>1.4647501711156743</v>
      </c>
      <c r="R340" s="22" t="str">
        <f t="shared" si="64"/>
        <v>Not Eligible</v>
      </c>
      <c r="S340" t="str">
        <f t="shared" si="65"/>
        <v>Rating below 4</v>
      </c>
      <c r="T340" s="22" t="s">
        <v>1687</v>
      </c>
    </row>
    <row r="341" spans="1:20" x14ac:dyDescent="0.3">
      <c r="A341" s="22" t="s">
        <v>1207</v>
      </c>
      <c r="B341" s="29" t="str">
        <f t="shared" si="55"/>
        <v>Rohan Raghavan</v>
      </c>
      <c r="C341" s="29" t="str">
        <f t="shared" si="56"/>
        <v>Bhavana Hegde</v>
      </c>
      <c r="D341" s="29" t="str">
        <f t="shared" si="57"/>
        <v>Engineering</v>
      </c>
      <c r="E341" s="30" t="str">
        <f t="shared" si="58"/>
        <v>L1</v>
      </c>
      <c r="F341" s="30" t="str">
        <f t="shared" si="59"/>
        <v>Active</v>
      </c>
      <c r="G341" s="22">
        <v>4</v>
      </c>
      <c r="H341" t="str">
        <f t="shared" si="60"/>
        <v>Exceeds Expectations</v>
      </c>
      <c r="I341" s="22">
        <v>3</v>
      </c>
      <c r="J341" s="22" t="str">
        <f t="shared" si="61"/>
        <v>Improved</v>
      </c>
      <c r="K341" s="31">
        <v>0.97</v>
      </c>
      <c r="L341" s="24">
        <v>4</v>
      </c>
      <c r="M341" s="22" t="s">
        <v>60</v>
      </c>
      <c r="N341" s="22" t="str">
        <f t="shared" si="62"/>
        <v>High</v>
      </c>
      <c r="O341" t="str">
        <f>INDEX(NineBox,MATCH(N341,{"Low","Mid","High"},0),MATCH(M341,{"Low","Medium","High"},0))</f>
        <v>High Performer</v>
      </c>
      <c r="P341" s="28">
        <v>45762</v>
      </c>
      <c r="Q341" s="24">
        <f t="shared" si="63"/>
        <v>1.4592744695414099</v>
      </c>
      <c r="R341" s="22" t="str">
        <f t="shared" si="64"/>
        <v>Not Eligible</v>
      </c>
      <c r="S341" t="str">
        <f t="shared" si="65"/>
        <v>Under 1.5 yrs in current level</v>
      </c>
      <c r="T341" s="22" t="s">
        <v>1687</v>
      </c>
    </row>
    <row r="342" spans="1:20" x14ac:dyDescent="0.3">
      <c r="A342" s="22" t="s">
        <v>1210</v>
      </c>
      <c r="B342" s="29" t="str">
        <f t="shared" si="55"/>
        <v>Gayatri Naidu</v>
      </c>
      <c r="C342" s="29" t="str">
        <f t="shared" si="56"/>
        <v>Ashish Varghese</v>
      </c>
      <c r="D342" s="29" t="str">
        <f t="shared" si="57"/>
        <v>Customer Support</v>
      </c>
      <c r="E342" s="30" t="str">
        <f t="shared" si="58"/>
        <v>L4</v>
      </c>
      <c r="F342" s="30" t="str">
        <f t="shared" si="59"/>
        <v>Exited</v>
      </c>
      <c r="G342" s="22">
        <v>4</v>
      </c>
      <c r="H342" t="str">
        <f t="shared" si="60"/>
        <v>Exceeds Expectations</v>
      </c>
      <c r="I342" s="22">
        <v>4</v>
      </c>
      <c r="J342" s="22" t="str">
        <f t="shared" si="61"/>
        <v>Stable</v>
      </c>
      <c r="K342" s="31">
        <v>0.9</v>
      </c>
      <c r="L342" s="24">
        <v>3.2</v>
      </c>
      <c r="M342" s="22" t="s">
        <v>60</v>
      </c>
      <c r="N342" s="22" t="str">
        <f t="shared" si="62"/>
        <v>High</v>
      </c>
      <c r="O342" t="str">
        <f>INDEX(NineBox,MATCH(N342,{"Low","Mid","High"},0),MATCH(M342,{"Low","Medium","High"},0))</f>
        <v>High Performer</v>
      </c>
      <c r="P342" s="28">
        <v>45763</v>
      </c>
      <c r="Q342" s="24">
        <f t="shared" si="63"/>
        <v>1.4565366187542779</v>
      </c>
      <c r="R342" s="22" t="str">
        <f t="shared" si="64"/>
        <v>Not Eligible</v>
      </c>
      <c r="S342" t="str">
        <f t="shared" si="65"/>
        <v>Employee has exited</v>
      </c>
      <c r="T342" s="22" t="s">
        <v>1687</v>
      </c>
    </row>
    <row r="343" spans="1:20" x14ac:dyDescent="0.3">
      <c r="A343" s="22" t="s">
        <v>1213</v>
      </c>
      <c r="B343" s="29" t="str">
        <f t="shared" si="55"/>
        <v>Kiran Bose</v>
      </c>
      <c r="C343" s="29" t="str">
        <f t="shared" si="56"/>
        <v>Kavya Krishnan</v>
      </c>
      <c r="D343" s="29" t="str">
        <f t="shared" si="57"/>
        <v>Sales</v>
      </c>
      <c r="E343" s="30" t="str">
        <f t="shared" si="58"/>
        <v>L1</v>
      </c>
      <c r="F343" s="30" t="str">
        <f t="shared" si="59"/>
        <v>Active</v>
      </c>
      <c r="G343" s="22">
        <v>2</v>
      </c>
      <c r="H343" t="str">
        <f t="shared" si="60"/>
        <v>Needs Improvement</v>
      </c>
      <c r="I343" s="22">
        <v>2</v>
      </c>
      <c r="J343" s="22" t="str">
        <f t="shared" si="61"/>
        <v>Stable</v>
      </c>
      <c r="K343" s="31">
        <v>0.77</v>
      </c>
      <c r="L343" s="24">
        <v>1.8</v>
      </c>
      <c r="M343" s="22" t="s">
        <v>59</v>
      </c>
      <c r="N343" s="22" t="str">
        <f t="shared" si="62"/>
        <v>Low</v>
      </c>
      <c r="O343" t="str">
        <f>INDEX(NineBox,MATCH(N343,{"Low","Mid","High"},0),MATCH(M343,{"Low","Medium","High"},0))</f>
        <v>Underperformer</v>
      </c>
      <c r="P343" s="28">
        <v>45768</v>
      </c>
      <c r="Q343" s="24">
        <f t="shared" si="63"/>
        <v>1.4428473648186173</v>
      </c>
      <c r="R343" s="22" t="str">
        <f t="shared" si="64"/>
        <v>Not Eligible</v>
      </c>
      <c r="S343" t="str">
        <f t="shared" si="65"/>
        <v>Rating below 4</v>
      </c>
      <c r="T343" s="22" t="s">
        <v>1687</v>
      </c>
    </row>
    <row r="344" spans="1:20" x14ac:dyDescent="0.3">
      <c r="A344" s="22" t="s">
        <v>1216</v>
      </c>
      <c r="B344" s="29" t="str">
        <f t="shared" si="55"/>
        <v>Trisha Gowda</v>
      </c>
      <c r="C344" s="29" t="str">
        <f t="shared" si="56"/>
        <v>Ramya Menon</v>
      </c>
      <c r="D344" s="29" t="str">
        <f t="shared" si="57"/>
        <v>Operations</v>
      </c>
      <c r="E344" s="30" t="str">
        <f t="shared" si="58"/>
        <v>L3</v>
      </c>
      <c r="F344" s="30" t="str">
        <f t="shared" si="59"/>
        <v>Exited</v>
      </c>
      <c r="G344" s="22">
        <v>4</v>
      </c>
      <c r="H344" t="str">
        <f t="shared" si="60"/>
        <v>Exceeds Expectations</v>
      </c>
      <c r="I344" s="22">
        <v>5</v>
      </c>
      <c r="J344" s="22" t="str">
        <f t="shared" si="61"/>
        <v>Declined</v>
      </c>
      <c r="K344" s="31">
        <v>0.89</v>
      </c>
      <c r="L344" s="24">
        <v>3.1</v>
      </c>
      <c r="M344" s="22" t="s">
        <v>59</v>
      </c>
      <c r="N344" s="22" t="str">
        <f t="shared" si="62"/>
        <v>High</v>
      </c>
      <c r="O344" t="str">
        <f>INDEX(NineBox,MATCH(N344,{"Low","Mid","High"},0),MATCH(M344,{"Low","Medium","High"},0))</f>
        <v>Trusted Professional</v>
      </c>
      <c r="P344" s="28">
        <v>45776</v>
      </c>
      <c r="Q344" s="24">
        <f t="shared" si="63"/>
        <v>1.4209445585215605</v>
      </c>
      <c r="R344" s="22" t="str">
        <f t="shared" si="64"/>
        <v>Not Eligible</v>
      </c>
      <c r="S344" t="str">
        <f t="shared" si="65"/>
        <v>Employee has exited</v>
      </c>
      <c r="T344" s="22" t="s">
        <v>1687</v>
      </c>
    </row>
    <row r="345" spans="1:20" x14ac:dyDescent="0.3">
      <c r="A345" s="22" t="s">
        <v>1219</v>
      </c>
      <c r="B345" s="29" t="str">
        <f t="shared" si="55"/>
        <v>Pooja Subramanian</v>
      </c>
      <c r="C345" s="29" t="str">
        <f t="shared" si="56"/>
        <v>Nandini Fernandes</v>
      </c>
      <c r="D345" s="29" t="str">
        <f t="shared" si="57"/>
        <v>Operations</v>
      </c>
      <c r="E345" s="30" t="str">
        <f t="shared" si="58"/>
        <v>L3</v>
      </c>
      <c r="F345" s="30" t="str">
        <f t="shared" si="59"/>
        <v>Active</v>
      </c>
      <c r="G345" s="22">
        <v>3</v>
      </c>
      <c r="H345" t="str">
        <f t="shared" si="60"/>
        <v>Meets Expectations</v>
      </c>
      <c r="I345" s="22">
        <v>3</v>
      </c>
      <c r="J345" s="22" t="str">
        <f t="shared" si="61"/>
        <v>Stable</v>
      </c>
      <c r="K345" s="31">
        <v>0.79</v>
      </c>
      <c r="L345" s="24">
        <v>2.8</v>
      </c>
      <c r="M345" s="22" t="s">
        <v>61</v>
      </c>
      <c r="N345" s="22" t="str">
        <f t="shared" si="62"/>
        <v>Mid</v>
      </c>
      <c r="O345" t="str">
        <f>INDEX(NineBox,MATCH(N345,{"Low","Mid","High"},0),MATCH(M345,{"Low","Medium","High"},0))</f>
        <v>Future Star</v>
      </c>
      <c r="P345" s="28">
        <v>45777</v>
      </c>
      <c r="Q345" s="24">
        <f t="shared" si="63"/>
        <v>1.4182067077344285</v>
      </c>
      <c r="R345" s="22" t="str">
        <f t="shared" si="64"/>
        <v>Not Eligible</v>
      </c>
      <c r="S345" t="str">
        <f t="shared" si="65"/>
        <v>Rating below 4</v>
      </c>
      <c r="T345" s="22" t="s">
        <v>1687</v>
      </c>
    </row>
    <row r="346" spans="1:20" x14ac:dyDescent="0.3">
      <c r="A346" s="22" t="s">
        <v>1222</v>
      </c>
      <c r="B346" s="29" t="str">
        <f t="shared" si="55"/>
        <v>Nikhil Nair</v>
      </c>
      <c r="C346" s="29" t="str">
        <f t="shared" si="56"/>
        <v>Arun Mukherjee</v>
      </c>
      <c r="D346" s="29" t="str">
        <f t="shared" si="57"/>
        <v>Data &amp; Analytics</v>
      </c>
      <c r="E346" s="30" t="str">
        <f t="shared" si="58"/>
        <v>L1</v>
      </c>
      <c r="F346" s="30" t="str">
        <f t="shared" si="59"/>
        <v>Active</v>
      </c>
      <c r="G346" s="22">
        <v>2</v>
      </c>
      <c r="H346" t="str">
        <f t="shared" si="60"/>
        <v>Needs Improvement</v>
      </c>
      <c r="I346" s="22">
        <v>2</v>
      </c>
      <c r="J346" s="22" t="str">
        <f t="shared" si="61"/>
        <v>Stable</v>
      </c>
      <c r="K346" s="31">
        <v>0.51</v>
      </c>
      <c r="L346" s="24">
        <v>2</v>
      </c>
      <c r="M346" s="22" t="s">
        <v>60</v>
      </c>
      <c r="N346" s="22" t="str">
        <f t="shared" si="62"/>
        <v>Low</v>
      </c>
      <c r="O346" t="str">
        <f>INDEX(NineBox,MATCH(N346,{"Low","Mid","High"},0),MATCH(M346,{"Low","Medium","High"},0))</f>
        <v>Inconsistent Player</v>
      </c>
      <c r="P346" s="28">
        <v>45787</v>
      </c>
      <c r="Q346" s="24">
        <f t="shared" si="63"/>
        <v>1.3908281998631074</v>
      </c>
      <c r="R346" s="22" t="str">
        <f t="shared" si="64"/>
        <v>Not Eligible</v>
      </c>
      <c r="S346" t="str">
        <f t="shared" si="65"/>
        <v>Rating below 4</v>
      </c>
      <c r="T346" s="22" t="s">
        <v>1687</v>
      </c>
    </row>
    <row r="347" spans="1:20" x14ac:dyDescent="0.3">
      <c r="A347" s="22" t="s">
        <v>1225</v>
      </c>
      <c r="B347" s="29" t="str">
        <f t="shared" si="55"/>
        <v>Imran Mukherjee</v>
      </c>
      <c r="C347" s="29" t="str">
        <f t="shared" si="56"/>
        <v>Isha Jain</v>
      </c>
      <c r="D347" s="29" t="str">
        <f t="shared" si="57"/>
        <v>Engineering</v>
      </c>
      <c r="E347" s="30" t="str">
        <f t="shared" si="58"/>
        <v>L3</v>
      </c>
      <c r="F347" s="30" t="str">
        <f t="shared" si="59"/>
        <v>Active</v>
      </c>
      <c r="G347" s="22">
        <v>3</v>
      </c>
      <c r="H347" t="str">
        <f t="shared" si="60"/>
        <v>Meets Expectations</v>
      </c>
      <c r="I347" s="22">
        <v>4</v>
      </c>
      <c r="J347" s="22" t="str">
        <f t="shared" si="61"/>
        <v>Declined</v>
      </c>
      <c r="K347" s="31">
        <v>0.75</v>
      </c>
      <c r="L347" s="24">
        <v>3.2</v>
      </c>
      <c r="M347" s="22" t="s">
        <v>60</v>
      </c>
      <c r="N347" s="22" t="str">
        <f t="shared" si="62"/>
        <v>Mid</v>
      </c>
      <c r="O347" t="str">
        <f>INDEX(NineBox,MATCH(N347,{"Low","Mid","High"},0),MATCH(M347,{"Low","Medium","High"},0))</f>
        <v>Core Player</v>
      </c>
      <c r="P347" s="28">
        <v>45791</v>
      </c>
      <c r="Q347" s="24">
        <f t="shared" si="63"/>
        <v>1.3798767967145791</v>
      </c>
      <c r="R347" s="22" t="str">
        <f t="shared" si="64"/>
        <v>Not Eligible</v>
      </c>
      <c r="S347" t="str">
        <f t="shared" si="65"/>
        <v>Rating below 4</v>
      </c>
      <c r="T347" s="22" t="s">
        <v>1688</v>
      </c>
    </row>
    <row r="348" spans="1:20" x14ac:dyDescent="0.3">
      <c r="A348" s="22" t="s">
        <v>1228</v>
      </c>
      <c r="B348" s="29" t="str">
        <f t="shared" si="55"/>
        <v>Vinay Krishnan</v>
      </c>
      <c r="C348" s="29" t="str">
        <f t="shared" si="56"/>
        <v>Anjali Iyer</v>
      </c>
      <c r="D348" s="29" t="str">
        <f t="shared" si="57"/>
        <v>Customer Support</v>
      </c>
      <c r="E348" s="30" t="str">
        <f t="shared" si="58"/>
        <v>L1</v>
      </c>
      <c r="F348" s="30" t="str">
        <f t="shared" si="59"/>
        <v>Active</v>
      </c>
      <c r="G348" s="22">
        <v>3</v>
      </c>
      <c r="H348" t="str">
        <f t="shared" si="60"/>
        <v>Meets Expectations</v>
      </c>
      <c r="I348" s="22">
        <v>3</v>
      </c>
      <c r="J348" s="22" t="str">
        <f t="shared" si="61"/>
        <v>Stable</v>
      </c>
      <c r="K348" s="31">
        <v>0.81</v>
      </c>
      <c r="L348" s="24">
        <v>1.9</v>
      </c>
      <c r="M348" s="22" t="s">
        <v>60</v>
      </c>
      <c r="N348" s="22" t="str">
        <f t="shared" si="62"/>
        <v>Mid</v>
      </c>
      <c r="O348" t="str">
        <f>INDEX(NineBox,MATCH(N348,{"Low","Mid","High"},0),MATCH(M348,{"Low","Medium","High"},0))</f>
        <v>Core Player</v>
      </c>
      <c r="P348" s="28">
        <v>45798</v>
      </c>
      <c r="Q348" s="24">
        <f t="shared" si="63"/>
        <v>1.3607118412046544</v>
      </c>
      <c r="R348" s="22" t="str">
        <f t="shared" si="64"/>
        <v>Not Eligible</v>
      </c>
      <c r="S348" t="str">
        <f t="shared" si="65"/>
        <v>Rating below 4</v>
      </c>
      <c r="T348" s="22" t="s">
        <v>1687</v>
      </c>
    </row>
    <row r="349" spans="1:20" x14ac:dyDescent="0.3">
      <c r="A349" s="22" t="s">
        <v>1231</v>
      </c>
      <c r="B349" s="29" t="str">
        <f t="shared" si="55"/>
        <v>Tarun Mehta</v>
      </c>
      <c r="C349" s="29" t="str">
        <f t="shared" si="56"/>
        <v>Akash Dsouza</v>
      </c>
      <c r="D349" s="29" t="str">
        <f t="shared" si="57"/>
        <v>Customer Support</v>
      </c>
      <c r="E349" s="30" t="str">
        <f t="shared" si="58"/>
        <v>L1</v>
      </c>
      <c r="F349" s="30" t="str">
        <f t="shared" si="59"/>
        <v>Active</v>
      </c>
      <c r="G349" s="22">
        <v>3</v>
      </c>
      <c r="H349" t="str">
        <f t="shared" si="60"/>
        <v>Meets Expectations</v>
      </c>
      <c r="I349" s="22">
        <v>3</v>
      </c>
      <c r="J349" s="22" t="str">
        <f t="shared" si="61"/>
        <v>Stable</v>
      </c>
      <c r="K349" s="31">
        <v>0.72</v>
      </c>
      <c r="L349" s="24">
        <v>2.9</v>
      </c>
      <c r="M349" s="22" t="s">
        <v>59</v>
      </c>
      <c r="N349" s="22" t="str">
        <f t="shared" si="62"/>
        <v>Mid</v>
      </c>
      <c r="O349" t="str">
        <f>INDEX(NineBox,MATCH(N349,{"Low","Mid","High"},0),MATCH(M349,{"Low","Medium","High"},0))</f>
        <v>Effective Contributor</v>
      </c>
      <c r="P349" s="28">
        <v>45799</v>
      </c>
      <c r="Q349" s="24">
        <f t="shared" si="63"/>
        <v>1.3579739904175223</v>
      </c>
      <c r="R349" s="22" t="str">
        <f t="shared" si="64"/>
        <v>Not Eligible</v>
      </c>
      <c r="S349" t="str">
        <f t="shared" si="65"/>
        <v>Rating below 4</v>
      </c>
      <c r="T349" s="22" t="s">
        <v>1687</v>
      </c>
    </row>
    <row r="350" spans="1:20" x14ac:dyDescent="0.3">
      <c r="A350" s="22" t="s">
        <v>1234</v>
      </c>
      <c r="B350" s="29" t="str">
        <f t="shared" si="55"/>
        <v>Mohit Nair</v>
      </c>
      <c r="C350" s="29" t="str">
        <f t="shared" si="56"/>
        <v>Arun Mukherjee</v>
      </c>
      <c r="D350" s="29" t="str">
        <f t="shared" si="57"/>
        <v>Data &amp; Analytics</v>
      </c>
      <c r="E350" s="30" t="str">
        <f t="shared" si="58"/>
        <v>L2</v>
      </c>
      <c r="F350" s="30" t="str">
        <f t="shared" si="59"/>
        <v>Exited</v>
      </c>
      <c r="G350" s="22">
        <v>3</v>
      </c>
      <c r="H350" t="str">
        <f t="shared" si="60"/>
        <v>Meets Expectations</v>
      </c>
      <c r="I350" s="22">
        <v>3</v>
      </c>
      <c r="J350" s="22" t="str">
        <f t="shared" si="61"/>
        <v>Stable</v>
      </c>
      <c r="K350" s="31">
        <v>0.64</v>
      </c>
      <c r="L350" s="24">
        <v>2.6</v>
      </c>
      <c r="M350" s="22" t="s">
        <v>60</v>
      </c>
      <c r="N350" s="22" t="str">
        <f t="shared" si="62"/>
        <v>Mid</v>
      </c>
      <c r="O350" t="str">
        <f>INDEX(NineBox,MATCH(N350,{"Low","Mid","High"},0),MATCH(M350,{"Low","Medium","High"},0))</f>
        <v>Core Player</v>
      </c>
      <c r="P350" s="28">
        <v>45804</v>
      </c>
      <c r="Q350" s="24">
        <f t="shared" si="63"/>
        <v>1.3442847364818618</v>
      </c>
      <c r="R350" s="22" t="str">
        <f t="shared" si="64"/>
        <v>Not Eligible</v>
      </c>
      <c r="S350" t="str">
        <f t="shared" si="65"/>
        <v>Employee has exited</v>
      </c>
      <c r="T350" s="22" t="s">
        <v>1687</v>
      </c>
    </row>
    <row r="351" spans="1:20" x14ac:dyDescent="0.3">
      <c r="A351" s="22" t="s">
        <v>1237</v>
      </c>
      <c r="B351" s="29" t="str">
        <f t="shared" si="55"/>
        <v>Akash Naidu</v>
      </c>
      <c r="C351" s="29" t="str">
        <f t="shared" si="56"/>
        <v>Isha Jain</v>
      </c>
      <c r="D351" s="29" t="str">
        <f t="shared" si="57"/>
        <v>Engineering</v>
      </c>
      <c r="E351" s="30" t="str">
        <f t="shared" si="58"/>
        <v>L2</v>
      </c>
      <c r="F351" s="30" t="str">
        <f t="shared" si="59"/>
        <v>Active</v>
      </c>
      <c r="G351" s="22">
        <v>3</v>
      </c>
      <c r="H351" t="str">
        <f t="shared" si="60"/>
        <v>Meets Expectations</v>
      </c>
      <c r="I351" s="22">
        <v>2</v>
      </c>
      <c r="J351" s="22" t="str">
        <f t="shared" si="61"/>
        <v>Improved</v>
      </c>
      <c r="K351" s="31">
        <v>0.81</v>
      </c>
      <c r="L351" s="24">
        <v>3.1</v>
      </c>
      <c r="M351" s="22" t="s">
        <v>60</v>
      </c>
      <c r="N351" s="22" t="str">
        <f t="shared" si="62"/>
        <v>Mid</v>
      </c>
      <c r="O351" t="str">
        <f>INDEX(NineBox,MATCH(N351,{"Low","Mid","High"},0),MATCH(M351,{"Low","Medium","High"},0))</f>
        <v>Core Player</v>
      </c>
      <c r="P351" s="28">
        <v>45808</v>
      </c>
      <c r="Q351" s="24">
        <f t="shared" si="63"/>
        <v>1.3333333333333333</v>
      </c>
      <c r="R351" s="22" t="str">
        <f t="shared" si="64"/>
        <v>Not Eligible</v>
      </c>
      <c r="S351" t="str">
        <f t="shared" si="65"/>
        <v>Rating below 4</v>
      </c>
      <c r="T351" s="22" t="s">
        <v>1687</v>
      </c>
    </row>
    <row r="352" spans="1:20" x14ac:dyDescent="0.3">
      <c r="A352" s="22" t="s">
        <v>1240</v>
      </c>
      <c r="B352" s="29" t="str">
        <f t="shared" si="55"/>
        <v>Pallavi Desai</v>
      </c>
      <c r="C352" s="29" t="str">
        <f t="shared" si="56"/>
        <v>Isha Verma</v>
      </c>
      <c r="D352" s="29" t="str">
        <f t="shared" si="57"/>
        <v>Customer Support</v>
      </c>
      <c r="E352" s="30" t="str">
        <f t="shared" si="58"/>
        <v>L3</v>
      </c>
      <c r="F352" s="30" t="str">
        <f t="shared" si="59"/>
        <v>Active</v>
      </c>
      <c r="G352" s="22">
        <v>3</v>
      </c>
      <c r="H352" t="str">
        <f t="shared" si="60"/>
        <v>Meets Expectations</v>
      </c>
      <c r="I352" s="22">
        <v>3</v>
      </c>
      <c r="J352" s="22" t="str">
        <f t="shared" si="61"/>
        <v>Stable</v>
      </c>
      <c r="K352" s="31">
        <v>0.88</v>
      </c>
      <c r="L352" s="24">
        <v>3.1</v>
      </c>
      <c r="M352" s="22" t="s">
        <v>60</v>
      </c>
      <c r="N352" s="22" t="str">
        <f t="shared" si="62"/>
        <v>Mid</v>
      </c>
      <c r="O352" t="str">
        <f>INDEX(NineBox,MATCH(N352,{"Low","Mid","High"},0),MATCH(M352,{"Low","Medium","High"},0))</f>
        <v>Core Player</v>
      </c>
      <c r="P352" s="28">
        <v>45811</v>
      </c>
      <c r="Q352" s="24">
        <f t="shared" si="63"/>
        <v>1.3251197809719371</v>
      </c>
      <c r="R352" s="22" t="str">
        <f t="shared" si="64"/>
        <v>Not Eligible</v>
      </c>
      <c r="S352" t="str">
        <f t="shared" si="65"/>
        <v>Rating below 4</v>
      </c>
      <c r="T352" s="22" t="s">
        <v>1687</v>
      </c>
    </row>
    <row r="353" spans="1:20" x14ac:dyDescent="0.3">
      <c r="A353" s="22" t="s">
        <v>1243</v>
      </c>
      <c r="B353" s="29" t="str">
        <f t="shared" si="55"/>
        <v>Imran Das</v>
      </c>
      <c r="C353" s="29" t="str">
        <f t="shared" si="56"/>
        <v>Kritika Pandey</v>
      </c>
      <c r="D353" s="29" t="str">
        <f t="shared" si="57"/>
        <v>Finance</v>
      </c>
      <c r="E353" s="30" t="str">
        <f t="shared" si="58"/>
        <v>L1</v>
      </c>
      <c r="F353" s="30" t="str">
        <f t="shared" si="59"/>
        <v>Exited</v>
      </c>
      <c r="G353" s="22">
        <v>3</v>
      </c>
      <c r="H353" t="str">
        <f t="shared" si="60"/>
        <v>Meets Expectations</v>
      </c>
      <c r="I353" s="22">
        <v>3</v>
      </c>
      <c r="J353" s="22" t="str">
        <f t="shared" si="61"/>
        <v>Stable</v>
      </c>
      <c r="K353" s="31">
        <v>0.84</v>
      </c>
      <c r="L353" s="24">
        <v>3.2</v>
      </c>
      <c r="M353" s="22" t="s">
        <v>61</v>
      </c>
      <c r="N353" s="22" t="str">
        <f t="shared" si="62"/>
        <v>Mid</v>
      </c>
      <c r="O353" t="str">
        <f>INDEX(NineBox,MATCH(N353,{"Low","Mid","High"},0),MATCH(M353,{"Low","Medium","High"},0))</f>
        <v>Future Star</v>
      </c>
      <c r="P353" s="28">
        <v>45813</v>
      </c>
      <c r="Q353" s="24">
        <f t="shared" si="63"/>
        <v>1.3196440793976729</v>
      </c>
      <c r="R353" s="22" t="str">
        <f t="shared" si="64"/>
        <v>Not Eligible</v>
      </c>
      <c r="S353" t="str">
        <f t="shared" si="65"/>
        <v>Employee has exited</v>
      </c>
      <c r="T353" s="22" t="s">
        <v>1687</v>
      </c>
    </row>
    <row r="354" spans="1:20" x14ac:dyDescent="0.3">
      <c r="A354" s="22" t="s">
        <v>1246</v>
      </c>
      <c r="B354" s="29" t="str">
        <f t="shared" si="55"/>
        <v>Anusha Das</v>
      </c>
      <c r="C354" s="29" t="str">
        <f t="shared" si="56"/>
        <v>Kritika Pandey</v>
      </c>
      <c r="D354" s="29" t="str">
        <f t="shared" si="57"/>
        <v>Finance</v>
      </c>
      <c r="E354" s="30" t="str">
        <f t="shared" si="58"/>
        <v>L4</v>
      </c>
      <c r="F354" s="30" t="str">
        <f t="shared" si="59"/>
        <v>Active</v>
      </c>
      <c r="G354" s="22">
        <v>2</v>
      </c>
      <c r="H354" t="str">
        <f t="shared" si="60"/>
        <v>Needs Improvement</v>
      </c>
      <c r="I354" s="22">
        <v>3</v>
      </c>
      <c r="J354" s="22" t="str">
        <f t="shared" si="61"/>
        <v>Declined</v>
      </c>
      <c r="K354" s="31">
        <v>0.74</v>
      </c>
      <c r="L354" s="24">
        <v>1.4</v>
      </c>
      <c r="M354" s="22" t="s">
        <v>60</v>
      </c>
      <c r="N354" s="22" t="str">
        <f t="shared" si="62"/>
        <v>Low</v>
      </c>
      <c r="O354" t="str">
        <f>INDEX(NineBox,MATCH(N354,{"Low","Mid","High"},0),MATCH(M354,{"Low","Medium","High"},0))</f>
        <v>Inconsistent Player</v>
      </c>
      <c r="P354" s="28">
        <v>45815</v>
      </c>
      <c r="Q354" s="24">
        <f t="shared" si="63"/>
        <v>1.3141683778234086</v>
      </c>
      <c r="R354" s="22" t="str">
        <f t="shared" si="64"/>
        <v>Not Eligible</v>
      </c>
      <c r="S354" t="str">
        <f t="shared" si="65"/>
        <v>Rating below 4</v>
      </c>
      <c r="T354" s="22" t="s">
        <v>1687</v>
      </c>
    </row>
    <row r="355" spans="1:20" x14ac:dyDescent="0.3">
      <c r="A355" s="22" t="s">
        <v>1249</v>
      </c>
      <c r="B355" s="29" t="str">
        <f t="shared" si="55"/>
        <v>Imran Thomas</v>
      </c>
      <c r="C355" s="29" t="str">
        <f t="shared" si="56"/>
        <v>Pallavi Nair</v>
      </c>
      <c r="D355" s="29" t="str">
        <f t="shared" si="57"/>
        <v>Operations</v>
      </c>
      <c r="E355" s="30" t="str">
        <f t="shared" si="58"/>
        <v>L3</v>
      </c>
      <c r="F355" s="30" t="str">
        <f t="shared" si="59"/>
        <v>Exited</v>
      </c>
      <c r="G355" s="22">
        <v>5</v>
      </c>
      <c r="H355" t="str">
        <f t="shared" si="60"/>
        <v>Outstanding</v>
      </c>
      <c r="I355" s="22">
        <v>4</v>
      </c>
      <c r="J355" s="22" t="str">
        <f t="shared" si="61"/>
        <v>Improved</v>
      </c>
      <c r="K355" s="31">
        <v>0.95</v>
      </c>
      <c r="L355" s="24">
        <v>4.9000000000000004</v>
      </c>
      <c r="M355" s="22" t="s">
        <v>61</v>
      </c>
      <c r="N355" s="22" t="str">
        <f t="shared" si="62"/>
        <v>High</v>
      </c>
      <c r="O355" t="str">
        <f>INDEX(NineBox,MATCH(N355,{"Low","Mid","High"},0),MATCH(M355,{"Low","Medium","High"},0))</f>
        <v>Star</v>
      </c>
      <c r="P355" s="28">
        <v>45821</v>
      </c>
      <c r="Q355" s="24">
        <f t="shared" si="63"/>
        <v>1.2977412731006159</v>
      </c>
      <c r="R355" s="22" t="str">
        <f t="shared" si="64"/>
        <v>Not Eligible</v>
      </c>
      <c r="S355" t="str">
        <f t="shared" si="65"/>
        <v>Employee has exited</v>
      </c>
      <c r="T355" s="22" t="s">
        <v>1687</v>
      </c>
    </row>
    <row r="356" spans="1:20" x14ac:dyDescent="0.3">
      <c r="A356" s="22" t="s">
        <v>1252</v>
      </c>
      <c r="B356" s="29" t="str">
        <f t="shared" si="55"/>
        <v>Vinay Nair</v>
      </c>
      <c r="C356" s="29" t="str">
        <f t="shared" si="56"/>
        <v>Bhavana Hegde</v>
      </c>
      <c r="D356" s="29" t="str">
        <f t="shared" si="57"/>
        <v>Engineering</v>
      </c>
      <c r="E356" s="30" t="str">
        <f t="shared" si="58"/>
        <v>L3</v>
      </c>
      <c r="F356" s="30" t="str">
        <f t="shared" si="59"/>
        <v>Active</v>
      </c>
      <c r="G356" s="22">
        <v>4</v>
      </c>
      <c r="H356" t="str">
        <f t="shared" si="60"/>
        <v>Exceeds Expectations</v>
      </c>
      <c r="I356" s="22">
        <v>3</v>
      </c>
      <c r="J356" s="22" t="str">
        <f t="shared" si="61"/>
        <v>Improved</v>
      </c>
      <c r="K356" s="31">
        <v>0.94</v>
      </c>
      <c r="L356" s="24">
        <v>3.9</v>
      </c>
      <c r="M356" s="22" t="s">
        <v>61</v>
      </c>
      <c r="N356" s="22" t="str">
        <f t="shared" si="62"/>
        <v>High</v>
      </c>
      <c r="O356" t="str">
        <f>INDEX(NineBox,MATCH(N356,{"Low","Mid","High"},0),MATCH(M356,{"Low","Medium","High"},0))</f>
        <v>Star</v>
      </c>
      <c r="P356" s="28">
        <v>45822</v>
      </c>
      <c r="Q356" s="24">
        <f t="shared" si="63"/>
        <v>1.2950034223134839</v>
      </c>
      <c r="R356" s="22" t="str">
        <f t="shared" si="64"/>
        <v>Not Eligible</v>
      </c>
      <c r="S356" t="str">
        <f t="shared" si="65"/>
        <v>Under 1.5 yrs in current level</v>
      </c>
      <c r="T356" s="22" t="s">
        <v>1687</v>
      </c>
    </row>
    <row r="357" spans="1:20" x14ac:dyDescent="0.3">
      <c r="A357" s="22" t="s">
        <v>1255</v>
      </c>
      <c r="B357" s="29" t="str">
        <f t="shared" si="55"/>
        <v>Trisha Menon</v>
      </c>
      <c r="C357" s="29" t="str">
        <f t="shared" si="56"/>
        <v>Fatima Choudhary</v>
      </c>
      <c r="D357" s="29" t="str">
        <f t="shared" si="57"/>
        <v>Engineering</v>
      </c>
      <c r="E357" s="30" t="str">
        <f t="shared" si="58"/>
        <v>L1</v>
      </c>
      <c r="F357" s="30" t="str">
        <f t="shared" si="59"/>
        <v>Active</v>
      </c>
      <c r="G357" s="22">
        <v>3</v>
      </c>
      <c r="H357" t="str">
        <f t="shared" si="60"/>
        <v>Meets Expectations</v>
      </c>
      <c r="I357" s="22">
        <v>4</v>
      </c>
      <c r="J357" s="22" t="str">
        <f t="shared" si="61"/>
        <v>Declined</v>
      </c>
      <c r="K357" s="31">
        <v>0.84</v>
      </c>
      <c r="L357" s="24">
        <v>2.9</v>
      </c>
      <c r="M357" s="22" t="s">
        <v>60</v>
      </c>
      <c r="N357" s="22" t="str">
        <f t="shared" si="62"/>
        <v>Mid</v>
      </c>
      <c r="O357" t="str">
        <f>INDEX(NineBox,MATCH(N357,{"Low","Mid","High"},0),MATCH(M357,{"Low","Medium","High"},0))</f>
        <v>Core Player</v>
      </c>
      <c r="P357" s="28">
        <v>45826</v>
      </c>
      <c r="Q357" s="24">
        <f t="shared" si="63"/>
        <v>1.2840520191649556</v>
      </c>
      <c r="R357" s="22" t="str">
        <f t="shared" si="64"/>
        <v>Not Eligible</v>
      </c>
      <c r="S357" t="str">
        <f t="shared" si="65"/>
        <v>Rating below 4</v>
      </c>
      <c r="T357" s="22" t="s">
        <v>1687</v>
      </c>
    </row>
    <row r="358" spans="1:20" x14ac:dyDescent="0.3">
      <c r="A358" s="22" t="s">
        <v>1258</v>
      </c>
      <c r="B358" s="29" t="str">
        <f t="shared" si="55"/>
        <v>Abhishek Kapoor</v>
      </c>
      <c r="C358" s="29" t="str">
        <f t="shared" si="56"/>
        <v>Amit Kumar</v>
      </c>
      <c r="D358" s="29" t="str">
        <f t="shared" si="57"/>
        <v>Operations</v>
      </c>
      <c r="E358" s="30" t="str">
        <f t="shared" si="58"/>
        <v>L2</v>
      </c>
      <c r="F358" s="30" t="str">
        <f t="shared" si="59"/>
        <v>Active</v>
      </c>
      <c r="G358" s="22">
        <v>3</v>
      </c>
      <c r="H358" t="str">
        <f t="shared" si="60"/>
        <v>Meets Expectations</v>
      </c>
      <c r="I358" s="22">
        <v>3</v>
      </c>
      <c r="J358" s="22" t="str">
        <f t="shared" si="61"/>
        <v>Stable</v>
      </c>
      <c r="K358" s="31">
        <v>0.62</v>
      </c>
      <c r="L358" s="24">
        <v>3.4</v>
      </c>
      <c r="M358" s="22" t="s">
        <v>60</v>
      </c>
      <c r="N358" s="22" t="str">
        <f t="shared" si="62"/>
        <v>Mid</v>
      </c>
      <c r="O358" t="str">
        <f>INDEX(NineBox,MATCH(N358,{"Low","Mid","High"},0),MATCH(M358,{"Low","Medium","High"},0))</f>
        <v>Core Player</v>
      </c>
      <c r="P358" s="28">
        <v>45829</v>
      </c>
      <c r="Q358" s="24">
        <f t="shared" si="63"/>
        <v>1.2758384668035592</v>
      </c>
      <c r="R358" s="22" t="str">
        <f t="shared" si="64"/>
        <v>Not Eligible</v>
      </c>
      <c r="S358" t="str">
        <f t="shared" si="65"/>
        <v>Rating below 4</v>
      </c>
      <c r="T358" s="22" t="s">
        <v>1687</v>
      </c>
    </row>
    <row r="359" spans="1:20" x14ac:dyDescent="0.3">
      <c r="A359" s="22" t="s">
        <v>1261</v>
      </c>
      <c r="B359" s="29" t="str">
        <f t="shared" si="55"/>
        <v>Rohit Patel</v>
      </c>
      <c r="C359" s="29" t="str">
        <f t="shared" si="56"/>
        <v>Vikas Singh</v>
      </c>
      <c r="D359" s="29" t="str">
        <f t="shared" si="57"/>
        <v>Engineering</v>
      </c>
      <c r="E359" s="30" t="str">
        <f t="shared" si="58"/>
        <v>L3</v>
      </c>
      <c r="F359" s="30" t="str">
        <f t="shared" si="59"/>
        <v>Active</v>
      </c>
      <c r="G359" s="22">
        <v>5</v>
      </c>
      <c r="H359" t="str">
        <f t="shared" si="60"/>
        <v>Outstanding</v>
      </c>
      <c r="I359" s="22">
        <v>5</v>
      </c>
      <c r="J359" s="22" t="str">
        <f t="shared" si="61"/>
        <v>Stable</v>
      </c>
      <c r="K359" s="31">
        <v>1.1200000000000001</v>
      </c>
      <c r="L359" s="24">
        <v>4.9000000000000004</v>
      </c>
      <c r="M359" s="22" t="s">
        <v>61</v>
      </c>
      <c r="N359" s="22" t="str">
        <f t="shared" si="62"/>
        <v>High</v>
      </c>
      <c r="O359" t="str">
        <f>INDEX(NineBox,MATCH(N359,{"Low","Mid","High"},0),MATCH(M359,{"Low","Medium","High"},0))</f>
        <v>Star</v>
      </c>
      <c r="P359" s="28">
        <v>45833</v>
      </c>
      <c r="Q359" s="24">
        <f t="shared" si="63"/>
        <v>1.2648870636550309</v>
      </c>
      <c r="R359" s="22" t="str">
        <f t="shared" si="64"/>
        <v>Not Eligible</v>
      </c>
      <c r="S359" t="str">
        <f t="shared" si="65"/>
        <v>Under 1.5 yrs in current level</v>
      </c>
      <c r="T359" s="22" t="s">
        <v>1687</v>
      </c>
    </row>
    <row r="360" spans="1:20" x14ac:dyDescent="0.3">
      <c r="A360" s="22" t="s">
        <v>1264</v>
      </c>
      <c r="B360" s="29" t="str">
        <f t="shared" si="55"/>
        <v>Rohan Banerjee</v>
      </c>
      <c r="C360" s="29" t="str">
        <f t="shared" si="56"/>
        <v>Isha Jain</v>
      </c>
      <c r="D360" s="29" t="str">
        <f t="shared" si="57"/>
        <v>Engineering</v>
      </c>
      <c r="E360" s="30" t="str">
        <f t="shared" si="58"/>
        <v>L3</v>
      </c>
      <c r="F360" s="30" t="str">
        <f t="shared" si="59"/>
        <v>Active</v>
      </c>
      <c r="G360" s="22">
        <v>5</v>
      </c>
      <c r="H360" t="str">
        <f t="shared" si="60"/>
        <v>Outstanding</v>
      </c>
      <c r="I360" s="22">
        <v>5</v>
      </c>
      <c r="J360" s="22" t="str">
        <f t="shared" si="61"/>
        <v>Stable</v>
      </c>
      <c r="K360" s="31">
        <v>1.1599999999999999</v>
      </c>
      <c r="L360" s="24">
        <v>5</v>
      </c>
      <c r="M360" s="22" t="s">
        <v>61</v>
      </c>
      <c r="N360" s="22" t="str">
        <f t="shared" si="62"/>
        <v>High</v>
      </c>
      <c r="O360" t="str">
        <f>INDEX(NineBox,MATCH(N360,{"Low","Mid","High"},0),MATCH(M360,{"Low","Medium","High"},0))</f>
        <v>Star</v>
      </c>
      <c r="P360" s="28">
        <v>45839</v>
      </c>
      <c r="Q360" s="24">
        <f t="shared" si="63"/>
        <v>1.2484599589322383</v>
      </c>
      <c r="R360" s="22" t="str">
        <f t="shared" si="64"/>
        <v>Not Eligible</v>
      </c>
      <c r="S360" t="str">
        <f t="shared" si="65"/>
        <v>Under 1.5 yrs in current level</v>
      </c>
      <c r="T360" s="22" t="s">
        <v>1687</v>
      </c>
    </row>
    <row r="361" spans="1:20" x14ac:dyDescent="0.3">
      <c r="A361" s="22" t="s">
        <v>1267</v>
      </c>
      <c r="B361" s="29" t="str">
        <f t="shared" si="55"/>
        <v>Amit Nair</v>
      </c>
      <c r="C361" s="29" t="str">
        <f t="shared" si="56"/>
        <v>Fatima Choudhary</v>
      </c>
      <c r="D361" s="29" t="str">
        <f t="shared" si="57"/>
        <v>Engineering</v>
      </c>
      <c r="E361" s="30" t="str">
        <f t="shared" si="58"/>
        <v>L3</v>
      </c>
      <c r="F361" s="30" t="str">
        <f t="shared" si="59"/>
        <v>Active</v>
      </c>
      <c r="G361" s="22">
        <v>4</v>
      </c>
      <c r="H361" t="str">
        <f t="shared" si="60"/>
        <v>Exceeds Expectations</v>
      </c>
      <c r="I361" s="22">
        <v>3</v>
      </c>
      <c r="J361" s="22" t="str">
        <f t="shared" si="61"/>
        <v>Improved</v>
      </c>
      <c r="K361" s="31">
        <v>0.83</v>
      </c>
      <c r="L361" s="24">
        <v>3.8</v>
      </c>
      <c r="M361" s="22" t="s">
        <v>59</v>
      </c>
      <c r="N361" s="22" t="str">
        <f t="shared" si="62"/>
        <v>High</v>
      </c>
      <c r="O361" t="str">
        <f>INDEX(NineBox,MATCH(N361,{"Low","Mid","High"},0),MATCH(M361,{"Low","Medium","High"},0))</f>
        <v>Trusted Professional</v>
      </c>
      <c r="P361" s="28">
        <v>45839</v>
      </c>
      <c r="Q361" s="24">
        <f t="shared" si="63"/>
        <v>1.2484599589322383</v>
      </c>
      <c r="R361" s="22" t="str">
        <f t="shared" si="64"/>
        <v>Not Eligible</v>
      </c>
      <c r="S361" t="str">
        <f t="shared" si="65"/>
        <v>Under 1.5 yrs in current level</v>
      </c>
      <c r="T361" s="22" t="s">
        <v>1687</v>
      </c>
    </row>
    <row r="362" spans="1:20" x14ac:dyDescent="0.3">
      <c r="A362" s="22" t="s">
        <v>1270</v>
      </c>
      <c r="B362" s="29" t="str">
        <f t="shared" si="55"/>
        <v>Ritu Joshi</v>
      </c>
      <c r="C362" s="29" t="str">
        <f t="shared" si="56"/>
        <v>Arun Mukherjee</v>
      </c>
      <c r="D362" s="29" t="str">
        <f t="shared" si="57"/>
        <v>Data &amp; Analytics</v>
      </c>
      <c r="E362" s="30" t="str">
        <f t="shared" si="58"/>
        <v>L1</v>
      </c>
      <c r="F362" s="30" t="str">
        <f t="shared" si="59"/>
        <v>Active</v>
      </c>
      <c r="G362" s="22">
        <v>3</v>
      </c>
      <c r="H362" t="str">
        <f t="shared" si="60"/>
        <v>Meets Expectations</v>
      </c>
      <c r="I362" s="22">
        <v>3</v>
      </c>
      <c r="J362" s="22" t="str">
        <f t="shared" si="61"/>
        <v>Stable</v>
      </c>
      <c r="K362" s="31">
        <v>0.94</v>
      </c>
      <c r="L362" s="24">
        <v>3.5</v>
      </c>
      <c r="M362" s="22" t="s">
        <v>59</v>
      </c>
      <c r="N362" s="22" t="str">
        <f t="shared" si="62"/>
        <v>Mid</v>
      </c>
      <c r="O362" t="str">
        <f>INDEX(NineBox,MATCH(N362,{"Low","Mid","High"},0),MATCH(M362,{"Low","Medium","High"},0))</f>
        <v>Effective Contributor</v>
      </c>
      <c r="P362" s="28">
        <v>45839</v>
      </c>
      <c r="Q362" s="24">
        <f t="shared" si="63"/>
        <v>1.2484599589322383</v>
      </c>
      <c r="R362" s="22" t="str">
        <f t="shared" si="64"/>
        <v>Not Eligible</v>
      </c>
      <c r="S362" t="str">
        <f t="shared" si="65"/>
        <v>Rating below 4</v>
      </c>
      <c r="T362" s="22" t="s">
        <v>1687</v>
      </c>
    </row>
    <row r="363" spans="1:20" x14ac:dyDescent="0.3">
      <c r="A363" s="22" t="s">
        <v>1273</v>
      </c>
      <c r="B363" s="29" t="str">
        <f t="shared" si="55"/>
        <v>Ashish Rao</v>
      </c>
      <c r="C363" s="29" t="str">
        <f t="shared" si="56"/>
        <v>Pallavi Shah</v>
      </c>
      <c r="D363" s="29" t="str">
        <f t="shared" si="57"/>
        <v>Operations</v>
      </c>
      <c r="E363" s="30" t="str">
        <f t="shared" si="58"/>
        <v>L1</v>
      </c>
      <c r="F363" s="30" t="str">
        <f t="shared" si="59"/>
        <v>Active</v>
      </c>
      <c r="G363" s="22">
        <v>3</v>
      </c>
      <c r="H363" t="str">
        <f t="shared" si="60"/>
        <v>Meets Expectations</v>
      </c>
      <c r="I363" s="22">
        <v>3</v>
      </c>
      <c r="J363" s="22" t="str">
        <f t="shared" si="61"/>
        <v>Stable</v>
      </c>
      <c r="K363" s="31">
        <v>0.88</v>
      </c>
      <c r="L363" s="24">
        <v>3.4</v>
      </c>
      <c r="M363" s="22" t="s">
        <v>60</v>
      </c>
      <c r="N363" s="22" t="str">
        <f t="shared" si="62"/>
        <v>Mid</v>
      </c>
      <c r="O363" t="str">
        <f>INDEX(NineBox,MATCH(N363,{"Low","Mid","High"},0),MATCH(M363,{"Low","Medium","High"},0))</f>
        <v>Core Player</v>
      </c>
      <c r="P363" s="28">
        <v>45844</v>
      </c>
      <c r="Q363" s="24">
        <f t="shared" si="63"/>
        <v>1.2347707049965777</v>
      </c>
      <c r="R363" s="22" t="str">
        <f t="shared" si="64"/>
        <v>Not Eligible</v>
      </c>
      <c r="S363" t="str">
        <f t="shared" si="65"/>
        <v>Rating below 4</v>
      </c>
      <c r="T363" s="22" t="s">
        <v>1687</v>
      </c>
    </row>
    <row r="364" spans="1:20" x14ac:dyDescent="0.3">
      <c r="A364" s="22" t="s">
        <v>1276</v>
      </c>
      <c r="B364" s="29" t="str">
        <f t="shared" si="55"/>
        <v>Nikhil Singh</v>
      </c>
      <c r="C364" s="29" t="str">
        <f t="shared" si="56"/>
        <v>Srinivas Shah</v>
      </c>
      <c r="D364" s="29" t="str">
        <f t="shared" si="57"/>
        <v>Sales</v>
      </c>
      <c r="E364" s="30" t="str">
        <f t="shared" si="58"/>
        <v>L2</v>
      </c>
      <c r="F364" s="30" t="str">
        <f t="shared" si="59"/>
        <v>Exited</v>
      </c>
      <c r="G364" s="22">
        <v>3</v>
      </c>
      <c r="H364" t="str">
        <f t="shared" si="60"/>
        <v>Meets Expectations</v>
      </c>
      <c r="I364" s="22">
        <v>4</v>
      </c>
      <c r="J364" s="22" t="str">
        <f t="shared" si="61"/>
        <v>Declined</v>
      </c>
      <c r="K364" s="31">
        <v>0.89</v>
      </c>
      <c r="L364" s="24">
        <v>3.5</v>
      </c>
      <c r="M364" s="22" t="s">
        <v>61</v>
      </c>
      <c r="N364" s="22" t="str">
        <f t="shared" si="62"/>
        <v>Mid</v>
      </c>
      <c r="O364" t="str">
        <f>INDEX(NineBox,MATCH(N364,{"Low","Mid","High"},0),MATCH(M364,{"Low","Medium","High"},0))</f>
        <v>Future Star</v>
      </c>
      <c r="P364" s="28">
        <v>45844</v>
      </c>
      <c r="Q364" s="24">
        <f t="shared" si="63"/>
        <v>1.2347707049965777</v>
      </c>
      <c r="R364" s="22" t="str">
        <f t="shared" si="64"/>
        <v>Not Eligible</v>
      </c>
      <c r="S364" t="str">
        <f t="shared" si="65"/>
        <v>Employee has exited</v>
      </c>
      <c r="T364" s="22" t="s">
        <v>1687</v>
      </c>
    </row>
    <row r="365" spans="1:20" x14ac:dyDescent="0.3">
      <c r="A365" s="22" t="s">
        <v>523</v>
      </c>
      <c r="B365" s="29" t="str">
        <f t="shared" si="55"/>
        <v>Arun Khan</v>
      </c>
      <c r="C365" s="29" t="str">
        <f t="shared" si="56"/>
        <v>Arvind Rao (CEO)</v>
      </c>
      <c r="D365" s="29" t="str">
        <f t="shared" si="57"/>
        <v>Marketing</v>
      </c>
      <c r="E365" s="30" t="str">
        <f t="shared" si="58"/>
        <v>L7</v>
      </c>
      <c r="F365" s="30" t="str">
        <f t="shared" si="59"/>
        <v>Active</v>
      </c>
      <c r="G365" s="22">
        <v>3</v>
      </c>
      <c r="H365" t="str">
        <f t="shared" si="60"/>
        <v>Meets Expectations</v>
      </c>
      <c r="I365" s="22">
        <v>3</v>
      </c>
      <c r="J365" s="22" t="str">
        <f t="shared" si="61"/>
        <v>Stable</v>
      </c>
      <c r="K365" s="31">
        <v>0.71</v>
      </c>
      <c r="L365" s="24">
        <v>3.1</v>
      </c>
      <c r="M365" s="22" t="s">
        <v>60</v>
      </c>
      <c r="N365" s="22" t="str">
        <f t="shared" si="62"/>
        <v>Mid</v>
      </c>
      <c r="O365" t="str">
        <f>INDEX(NineBox,MATCH(N365,{"Low","Mid","High"},0),MATCH(M365,{"Low","Medium","High"},0))</f>
        <v>Core Player</v>
      </c>
      <c r="P365" s="28">
        <v>45844</v>
      </c>
      <c r="Q365" s="24">
        <f t="shared" si="63"/>
        <v>1.2347707049965777</v>
      </c>
      <c r="R365" s="22" t="str">
        <f t="shared" si="64"/>
        <v>Not Eligible</v>
      </c>
      <c r="S365" t="str">
        <f t="shared" si="65"/>
        <v>Already at top level</v>
      </c>
      <c r="T365" s="22" t="s">
        <v>1687</v>
      </c>
    </row>
    <row r="366" spans="1:20" x14ac:dyDescent="0.3">
      <c r="A366" s="22" t="s">
        <v>1281</v>
      </c>
      <c r="B366" s="29" t="str">
        <f t="shared" si="55"/>
        <v>Rashmi Mishra</v>
      </c>
      <c r="C366" s="29" t="str">
        <f t="shared" si="56"/>
        <v>Fatima Choudhary</v>
      </c>
      <c r="D366" s="29" t="str">
        <f t="shared" si="57"/>
        <v>Engineering</v>
      </c>
      <c r="E366" s="30" t="str">
        <f t="shared" si="58"/>
        <v>L1</v>
      </c>
      <c r="F366" s="30" t="str">
        <f t="shared" si="59"/>
        <v>Exited</v>
      </c>
      <c r="G366" s="22">
        <v>4</v>
      </c>
      <c r="H366" t="str">
        <f t="shared" si="60"/>
        <v>Exceeds Expectations</v>
      </c>
      <c r="I366" s="22">
        <v>5</v>
      </c>
      <c r="J366" s="22" t="str">
        <f t="shared" si="61"/>
        <v>Declined</v>
      </c>
      <c r="K366" s="31">
        <v>0.97</v>
      </c>
      <c r="L366" s="24">
        <v>4.7</v>
      </c>
      <c r="M366" s="22" t="s">
        <v>59</v>
      </c>
      <c r="N366" s="22" t="str">
        <f t="shared" si="62"/>
        <v>High</v>
      </c>
      <c r="O366" t="str">
        <f>INDEX(NineBox,MATCH(N366,{"Low","Mid","High"},0),MATCH(M366,{"Low","Medium","High"},0))</f>
        <v>Trusted Professional</v>
      </c>
      <c r="P366" s="28">
        <v>45859</v>
      </c>
      <c r="Q366" s="24">
        <f t="shared" si="63"/>
        <v>1.1937029431895962</v>
      </c>
      <c r="R366" s="22" t="str">
        <f t="shared" si="64"/>
        <v>Not Eligible</v>
      </c>
      <c r="S366" t="str">
        <f t="shared" si="65"/>
        <v>Employee has exited</v>
      </c>
      <c r="T366" s="22" t="s">
        <v>1687</v>
      </c>
    </row>
    <row r="367" spans="1:20" x14ac:dyDescent="0.3">
      <c r="A367" s="22" t="s">
        <v>1284</v>
      </c>
      <c r="B367" s="29" t="str">
        <f t="shared" si="55"/>
        <v>Anjali Gupta</v>
      </c>
      <c r="C367" s="29" t="str">
        <f t="shared" si="56"/>
        <v>Isha Verma</v>
      </c>
      <c r="D367" s="29" t="str">
        <f t="shared" si="57"/>
        <v>Customer Support</v>
      </c>
      <c r="E367" s="30" t="str">
        <f t="shared" si="58"/>
        <v>L4</v>
      </c>
      <c r="F367" s="30" t="str">
        <f t="shared" si="59"/>
        <v>Active</v>
      </c>
      <c r="G367" s="22">
        <v>5</v>
      </c>
      <c r="H367" t="str">
        <f t="shared" si="60"/>
        <v>Outstanding</v>
      </c>
      <c r="I367" s="22">
        <v>5</v>
      </c>
      <c r="J367" s="22" t="str">
        <f t="shared" si="61"/>
        <v>Stable</v>
      </c>
      <c r="K367" s="31">
        <v>0.97</v>
      </c>
      <c r="L367" s="24">
        <v>4.4000000000000004</v>
      </c>
      <c r="M367" s="22" t="s">
        <v>61</v>
      </c>
      <c r="N367" s="22" t="str">
        <f t="shared" si="62"/>
        <v>High</v>
      </c>
      <c r="O367" t="str">
        <f>INDEX(NineBox,MATCH(N367,{"Low","Mid","High"},0),MATCH(M367,{"Low","Medium","High"},0))</f>
        <v>Star</v>
      </c>
      <c r="P367" s="28">
        <v>45862</v>
      </c>
      <c r="Q367" s="24">
        <f t="shared" si="63"/>
        <v>1.1854893908281998</v>
      </c>
      <c r="R367" s="22" t="str">
        <f t="shared" si="64"/>
        <v>Not Eligible</v>
      </c>
      <c r="S367" t="str">
        <f t="shared" si="65"/>
        <v>Under 1.5 yrs in current level</v>
      </c>
      <c r="T367" s="22" t="s">
        <v>1687</v>
      </c>
    </row>
    <row r="368" spans="1:20" x14ac:dyDescent="0.3">
      <c r="A368" s="22" t="s">
        <v>1287</v>
      </c>
      <c r="B368" s="29" t="str">
        <f t="shared" si="55"/>
        <v>Mary Dsouza</v>
      </c>
      <c r="C368" s="29" t="str">
        <f t="shared" si="56"/>
        <v>Prakash Desai</v>
      </c>
      <c r="D368" s="29" t="str">
        <f t="shared" si="57"/>
        <v>Engineering</v>
      </c>
      <c r="E368" s="30" t="str">
        <f t="shared" si="58"/>
        <v>L2</v>
      </c>
      <c r="F368" s="30" t="str">
        <f t="shared" si="59"/>
        <v>Active</v>
      </c>
      <c r="G368" s="22">
        <v>4</v>
      </c>
      <c r="H368" t="str">
        <f t="shared" si="60"/>
        <v>Exceeds Expectations</v>
      </c>
      <c r="I368" s="22">
        <v>3</v>
      </c>
      <c r="J368" s="22" t="str">
        <f t="shared" si="61"/>
        <v>Improved</v>
      </c>
      <c r="K368" s="31">
        <v>0.91</v>
      </c>
      <c r="L368" s="24">
        <v>4.5</v>
      </c>
      <c r="M368" s="22" t="s">
        <v>61</v>
      </c>
      <c r="N368" s="22" t="str">
        <f t="shared" si="62"/>
        <v>High</v>
      </c>
      <c r="O368" t="str">
        <f>INDEX(NineBox,MATCH(N368,{"Low","Mid","High"},0),MATCH(M368,{"Low","Medium","High"},0))</f>
        <v>Star</v>
      </c>
      <c r="P368" s="28">
        <v>45868</v>
      </c>
      <c r="Q368" s="24">
        <f t="shared" si="63"/>
        <v>1.1690622861054072</v>
      </c>
      <c r="R368" s="22" t="str">
        <f t="shared" si="64"/>
        <v>Not Eligible</v>
      </c>
      <c r="S368" t="str">
        <f t="shared" si="65"/>
        <v>Under 1.5 yrs in current level</v>
      </c>
      <c r="T368" s="22" t="s">
        <v>1687</v>
      </c>
    </row>
    <row r="369" spans="1:20" x14ac:dyDescent="0.3">
      <c r="A369" s="22" t="s">
        <v>1290</v>
      </c>
      <c r="B369" s="29" t="str">
        <f t="shared" si="55"/>
        <v>Ravi Kamath</v>
      </c>
      <c r="C369" s="29" t="str">
        <f t="shared" si="56"/>
        <v>Akash Das</v>
      </c>
      <c r="D369" s="29" t="str">
        <f t="shared" si="57"/>
        <v>Human Resources</v>
      </c>
      <c r="E369" s="30" t="str">
        <f t="shared" si="58"/>
        <v>L1</v>
      </c>
      <c r="F369" s="30" t="str">
        <f t="shared" si="59"/>
        <v>Active</v>
      </c>
      <c r="G369" s="22">
        <v>2</v>
      </c>
      <c r="H369" t="str">
        <f t="shared" si="60"/>
        <v>Needs Improvement</v>
      </c>
      <c r="I369" s="22">
        <v>2</v>
      </c>
      <c r="J369" s="22" t="str">
        <f t="shared" si="61"/>
        <v>Stable</v>
      </c>
      <c r="K369" s="31">
        <v>0.66</v>
      </c>
      <c r="L369" s="24">
        <v>1.6</v>
      </c>
      <c r="M369" s="22" t="s">
        <v>59</v>
      </c>
      <c r="N369" s="22" t="str">
        <f t="shared" si="62"/>
        <v>Low</v>
      </c>
      <c r="O369" t="str">
        <f>INDEX(NineBox,MATCH(N369,{"Low","Mid","High"},0),MATCH(M369,{"Low","Medium","High"},0))</f>
        <v>Underperformer</v>
      </c>
      <c r="P369" s="28">
        <v>45877</v>
      </c>
      <c r="Q369" s="24">
        <f t="shared" si="63"/>
        <v>1.1444216290212184</v>
      </c>
      <c r="R369" s="22" t="str">
        <f t="shared" si="64"/>
        <v>Not Eligible</v>
      </c>
      <c r="S369" t="str">
        <f t="shared" si="65"/>
        <v>Rating below 4</v>
      </c>
      <c r="T369" s="22" t="s">
        <v>1687</v>
      </c>
    </row>
    <row r="370" spans="1:20" x14ac:dyDescent="0.3">
      <c r="A370" s="22" t="s">
        <v>1205</v>
      </c>
      <c r="B370" s="29" t="str">
        <f t="shared" si="55"/>
        <v>Aditi Nair</v>
      </c>
      <c r="C370" s="29" t="str">
        <f t="shared" si="56"/>
        <v>Arvind Rao (CEO)</v>
      </c>
      <c r="D370" s="29" t="str">
        <f t="shared" si="57"/>
        <v>Legal &amp; Compliance</v>
      </c>
      <c r="E370" s="30" t="str">
        <f t="shared" si="58"/>
        <v>L7</v>
      </c>
      <c r="F370" s="30" t="str">
        <f t="shared" si="59"/>
        <v>Active</v>
      </c>
      <c r="G370" s="22">
        <v>3</v>
      </c>
      <c r="H370" t="str">
        <f t="shared" si="60"/>
        <v>Meets Expectations</v>
      </c>
      <c r="I370" s="22">
        <v>4</v>
      </c>
      <c r="J370" s="22" t="str">
        <f t="shared" si="61"/>
        <v>Declined</v>
      </c>
      <c r="K370" s="31">
        <v>0.83</v>
      </c>
      <c r="L370" s="24">
        <v>3.1</v>
      </c>
      <c r="M370" s="22" t="s">
        <v>59</v>
      </c>
      <c r="N370" s="22" t="str">
        <f t="shared" si="62"/>
        <v>Mid</v>
      </c>
      <c r="O370" t="str">
        <f>INDEX(NineBox,MATCH(N370,{"Low","Mid","High"},0),MATCH(M370,{"Low","Medium","High"},0))</f>
        <v>Effective Contributor</v>
      </c>
      <c r="P370" s="28">
        <v>45888</v>
      </c>
      <c r="Q370" s="24">
        <f t="shared" si="63"/>
        <v>1.1143052703627652</v>
      </c>
      <c r="R370" s="22" t="str">
        <f t="shared" si="64"/>
        <v>Not Eligible</v>
      </c>
      <c r="S370" t="str">
        <f t="shared" si="65"/>
        <v>Already at top level</v>
      </c>
      <c r="T370" s="22" t="s">
        <v>1687</v>
      </c>
    </row>
    <row r="371" spans="1:20" x14ac:dyDescent="0.3">
      <c r="A371" s="22" t="s">
        <v>1295</v>
      </c>
      <c r="B371" s="29" t="str">
        <f t="shared" si="55"/>
        <v>Venkat Bansal</v>
      </c>
      <c r="C371" s="29" t="str">
        <f t="shared" si="56"/>
        <v>Isha Chatterjee</v>
      </c>
      <c r="D371" s="29" t="str">
        <f t="shared" si="57"/>
        <v>Marketing</v>
      </c>
      <c r="E371" s="30" t="str">
        <f t="shared" si="58"/>
        <v>L1</v>
      </c>
      <c r="F371" s="30" t="str">
        <f t="shared" si="59"/>
        <v>Active</v>
      </c>
      <c r="G371" s="22">
        <v>2</v>
      </c>
      <c r="H371" t="str">
        <f t="shared" si="60"/>
        <v>Needs Improvement</v>
      </c>
      <c r="I371" s="22">
        <v>3</v>
      </c>
      <c r="J371" s="22" t="str">
        <f t="shared" si="61"/>
        <v>Declined</v>
      </c>
      <c r="K371" s="31">
        <v>0.72</v>
      </c>
      <c r="L371" s="24">
        <v>1.6</v>
      </c>
      <c r="M371" s="22" t="s">
        <v>60</v>
      </c>
      <c r="N371" s="22" t="str">
        <f t="shared" si="62"/>
        <v>Low</v>
      </c>
      <c r="O371" t="str">
        <f>INDEX(NineBox,MATCH(N371,{"Low","Mid","High"},0),MATCH(M371,{"Low","Medium","High"},0))</f>
        <v>Inconsistent Player</v>
      </c>
      <c r="P371" s="28">
        <v>45891</v>
      </c>
      <c r="Q371" s="24">
        <f t="shared" si="63"/>
        <v>1.106091718001369</v>
      </c>
      <c r="R371" s="22" t="str">
        <f t="shared" si="64"/>
        <v>Not Eligible</v>
      </c>
      <c r="S371" t="str">
        <f t="shared" si="65"/>
        <v>Rating below 4</v>
      </c>
      <c r="T371" s="22" t="s">
        <v>1687</v>
      </c>
    </row>
    <row r="372" spans="1:20" x14ac:dyDescent="0.3">
      <c r="A372" s="22" t="s">
        <v>1298</v>
      </c>
      <c r="B372" s="29" t="str">
        <f t="shared" si="55"/>
        <v>Shreya Varghese</v>
      </c>
      <c r="C372" s="29" t="str">
        <f t="shared" si="56"/>
        <v>Nikhil Agarwal</v>
      </c>
      <c r="D372" s="29" t="str">
        <f t="shared" si="57"/>
        <v>Sales</v>
      </c>
      <c r="E372" s="30" t="str">
        <f t="shared" si="58"/>
        <v>L1</v>
      </c>
      <c r="F372" s="30" t="str">
        <f t="shared" si="59"/>
        <v>Active</v>
      </c>
      <c r="G372" s="22">
        <v>1</v>
      </c>
      <c r="H372" t="str">
        <f t="shared" si="60"/>
        <v>Unsatisfactory</v>
      </c>
      <c r="I372" s="22">
        <v>1</v>
      </c>
      <c r="J372" s="22" t="str">
        <f t="shared" si="61"/>
        <v>Stable</v>
      </c>
      <c r="K372" s="31">
        <v>0.59</v>
      </c>
      <c r="L372" s="24">
        <v>1.3</v>
      </c>
      <c r="M372" s="22" t="s">
        <v>59</v>
      </c>
      <c r="N372" s="22" t="str">
        <f t="shared" si="62"/>
        <v>Low</v>
      </c>
      <c r="O372" t="str">
        <f>INDEX(NineBox,MATCH(N372,{"Low","Mid","High"},0),MATCH(M372,{"Low","Medium","High"},0))</f>
        <v>Underperformer</v>
      </c>
      <c r="P372" s="28">
        <v>45894</v>
      </c>
      <c r="Q372" s="24">
        <f t="shared" si="63"/>
        <v>1.0978781656399725</v>
      </c>
      <c r="R372" s="22" t="str">
        <f t="shared" si="64"/>
        <v>Not Eligible</v>
      </c>
      <c r="S372" t="str">
        <f t="shared" si="65"/>
        <v>Rating below 4</v>
      </c>
      <c r="T372" s="22" t="s">
        <v>1687</v>
      </c>
    </row>
    <row r="373" spans="1:20" x14ac:dyDescent="0.3">
      <c r="A373" s="22" t="s">
        <v>1301</v>
      </c>
      <c r="B373" s="29" t="str">
        <f t="shared" si="55"/>
        <v>Joseph Gupta</v>
      </c>
      <c r="C373" s="29" t="str">
        <f t="shared" si="56"/>
        <v>Karan Verma</v>
      </c>
      <c r="D373" s="29" t="str">
        <f t="shared" si="57"/>
        <v>Data &amp; Analytics</v>
      </c>
      <c r="E373" s="30" t="str">
        <f t="shared" si="58"/>
        <v>L4</v>
      </c>
      <c r="F373" s="30" t="str">
        <f t="shared" si="59"/>
        <v>Exited</v>
      </c>
      <c r="G373" s="22">
        <v>4</v>
      </c>
      <c r="H373" t="str">
        <f t="shared" si="60"/>
        <v>Exceeds Expectations</v>
      </c>
      <c r="I373" s="22">
        <v>4</v>
      </c>
      <c r="J373" s="22" t="str">
        <f t="shared" si="61"/>
        <v>Stable</v>
      </c>
      <c r="K373" s="31">
        <v>0.88</v>
      </c>
      <c r="L373" s="24">
        <v>4.7</v>
      </c>
      <c r="M373" s="22" t="s">
        <v>61</v>
      </c>
      <c r="N373" s="22" t="str">
        <f t="shared" si="62"/>
        <v>High</v>
      </c>
      <c r="O373" t="str">
        <f>INDEX(NineBox,MATCH(N373,{"Low","Mid","High"},0),MATCH(M373,{"Low","Medium","High"},0))</f>
        <v>Star</v>
      </c>
      <c r="P373" s="28">
        <v>45895</v>
      </c>
      <c r="Q373" s="24">
        <f t="shared" si="63"/>
        <v>1.0951403148528405</v>
      </c>
      <c r="R373" s="22" t="str">
        <f t="shared" si="64"/>
        <v>Not Eligible</v>
      </c>
      <c r="S373" t="str">
        <f t="shared" si="65"/>
        <v>Employee has exited</v>
      </c>
      <c r="T373" s="22" t="s">
        <v>1687</v>
      </c>
    </row>
    <row r="374" spans="1:20" x14ac:dyDescent="0.3">
      <c r="A374" s="22" t="s">
        <v>139</v>
      </c>
      <c r="B374" s="29" t="str">
        <f t="shared" si="55"/>
        <v>Imran Mishra</v>
      </c>
      <c r="C374" s="29" t="str">
        <f t="shared" si="56"/>
        <v>Tejaswini Naidu</v>
      </c>
      <c r="D374" s="29" t="str">
        <f t="shared" si="57"/>
        <v>Operations</v>
      </c>
      <c r="E374" s="30" t="str">
        <f t="shared" si="58"/>
        <v>L6</v>
      </c>
      <c r="F374" s="30" t="str">
        <f t="shared" si="59"/>
        <v>Active</v>
      </c>
      <c r="G374" s="22">
        <v>4</v>
      </c>
      <c r="H374" t="str">
        <f t="shared" si="60"/>
        <v>Exceeds Expectations</v>
      </c>
      <c r="I374" s="22">
        <v>4</v>
      </c>
      <c r="J374" s="22" t="str">
        <f t="shared" si="61"/>
        <v>Stable</v>
      </c>
      <c r="K374" s="31">
        <v>1.0900000000000001</v>
      </c>
      <c r="L374" s="24">
        <v>3.8</v>
      </c>
      <c r="M374" s="22" t="s">
        <v>60</v>
      </c>
      <c r="N374" s="22" t="str">
        <f t="shared" si="62"/>
        <v>High</v>
      </c>
      <c r="O374" t="str">
        <f>INDEX(NineBox,MATCH(N374,{"Low","Mid","High"},0),MATCH(M374,{"Low","Medium","High"},0))</f>
        <v>High Performer</v>
      </c>
      <c r="P374" s="28">
        <v>45898</v>
      </c>
      <c r="Q374" s="24">
        <f t="shared" si="63"/>
        <v>1.0869267624914443</v>
      </c>
      <c r="R374" s="22" t="str">
        <f t="shared" si="64"/>
        <v>Not Eligible</v>
      </c>
      <c r="S374" t="str">
        <f t="shared" si="65"/>
        <v>Under 1.5 yrs in current level</v>
      </c>
      <c r="T374" s="22" t="s">
        <v>1687</v>
      </c>
    </row>
    <row r="375" spans="1:20" x14ac:dyDescent="0.3">
      <c r="A375" s="22" t="s">
        <v>1305</v>
      </c>
      <c r="B375" s="29" t="str">
        <f t="shared" si="55"/>
        <v>Isha Choudhary</v>
      </c>
      <c r="C375" s="29" t="str">
        <f t="shared" si="56"/>
        <v>Vikas Singh</v>
      </c>
      <c r="D375" s="29" t="str">
        <f t="shared" si="57"/>
        <v>Engineering</v>
      </c>
      <c r="E375" s="30" t="str">
        <f t="shared" si="58"/>
        <v>L4</v>
      </c>
      <c r="F375" s="30" t="str">
        <f t="shared" si="59"/>
        <v>Exited</v>
      </c>
      <c r="G375" s="22">
        <v>4</v>
      </c>
      <c r="H375" t="str">
        <f t="shared" si="60"/>
        <v>Exceeds Expectations</v>
      </c>
      <c r="I375" s="22">
        <v>5</v>
      </c>
      <c r="J375" s="22" t="str">
        <f t="shared" si="61"/>
        <v>Declined</v>
      </c>
      <c r="K375" s="31">
        <v>0.92</v>
      </c>
      <c r="L375" s="24">
        <v>4.7</v>
      </c>
      <c r="M375" s="22" t="s">
        <v>60</v>
      </c>
      <c r="N375" s="22" t="str">
        <f t="shared" si="62"/>
        <v>High</v>
      </c>
      <c r="O375" t="str">
        <f>INDEX(NineBox,MATCH(N375,{"Low","Mid","High"},0),MATCH(M375,{"Low","Medium","High"},0))</f>
        <v>High Performer</v>
      </c>
      <c r="P375" s="28">
        <v>45901</v>
      </c>
      <c r="Q375" s="24">
        <f t="shared" si="63"/>
        <v>1.0787132101300478</v>
      </c>
      <c r="R375" s="22" t="str">
        <f t="shared" si="64"/>
        <v>Not Eligible</v>
      </c>
      <c r="S375" t="str">
        <f t="shared" si="65"/>
        <v>Employee has exited</v>
      </c>
      <c r="T375" s="22" t="s">
        <v>1687</v>
      </c>
    </row>
    <row r="376" spans="1:20" x14ac:dyDescent="0.3">
      <c r="A376" s="22" t="s">
        <v>1308</v>
      </c>
      <c r="B376" s="29" t="str">
        <f t="shared" si="55"/>
        <v>Rakesh Jain</v>
      </c>
      <c r="C376" s="29" t="str">
        <f t="shared" si="56"/>
        <v>Kavya Krishnan</v>
      </c>
      <c r="D376" s="29" t="str">
        <f t="shared" si="57"/>
        <v>Sales</v>
      </c>
      <c r="E376" s="30" t="str">
        <f t="shared" si="58"/>
        <v>L1</v>
      </c>
      <c r="F376" s="30" t="str">
        <f t="shared" si="59"/>
        <v>Exited</v>
      </c>
      <c r="G376" s="22">
        <v>3</v>
      </c>
      <c r="H376" t="str">
        <f t="shared" si="60"/>
        <v>Meets Expectations</v>
      </c>
      <c r="I376" s="22">
        <v>2</v>
      </c>
      <c r="J376" s="22" t="str">
        <f t="shared" si="61"/>
        <v>Improved</v>
      </c>
      <c r="K376" s="31">
        <v>0.85</v>
      </c>
      <c r="L376" s="24">
        <v>3.5</v>
      </c>
      <c r="M376" s="22" t="s">
        <v>60</v>
      </c>
      <c r="N376" s="22" t="str">
        <f t="shared" si="62"/>
        <v>Mid</v>
      </c>
      <c r="O376" t="str">
        <f>INDEX(NineBox,MATCH(N376,{"Low","Mid","High"},0),MATCH(M376,{"Low","Medium","High"},0))</f>
        <v>Core Player</v>
      </c>
      <c r="P376" s="28">
        <v>45901</v>
      </c>
      <c r="Q376" s="24">
        <f t="shared" si="63"/>
        <v>1.0787132101300478</v>
      </c>
      <c r="R376" s="22" t="str">
        <f t="shared" si="64"/>
        <v>Not Eligible</v>
      </c>
      <c r="S376" t="str">
        <f t="shared" si="65"/>
        <v>Employee has exited</v>
      </c>
      <c r="T376" s="22" t="s">
        <v>1687</v>
      </c>
    </row>
    <row r="377" spans="1:20" x14ac:dyDescent="0.3">
      <c r="A377" s="22" t="s">
        <v>1311</v>
      </c>
      <c r="B377" s="29" t="str">
        <f t="shared" si="55"/>
        <v>Mary Prabhu</v>
      </c>
      <c r="C377" s="29" t="str">
        <f t="shared" si="56"/>
        <v>Yash Shah</v>
      </c>
      <c r="D377" s="29" t="str">
        <f t="shared" si="57"/>
        <v>Operations</v>
      </c>
      <c r="E377" s="30" t="str">
        <f t="shared" si="58"/>
        <v>L1</v>
      </c>
      <c r="F377" s="30" t="str">
        <f t="shared" si="59"/>
        <v>Active</v>
      </c>
      <c r="G377" s="22">
        <v>5</v>
      </c>
      <c r="H377" t="str">
        <f t="shared" si="60"/>
        <v>Outstanding</v>
      </c>
      <c r="I377" s="22">
        <v>5</v>
      </c>
      <c r="J377" s="22" t="str">
        <f t="shared" si="61"/>
        <v>Stable</v>
      </c>
      <c r="K377" s="31">
        <v>1.04</v>
      </c>
      <c r="L377" s="24">
        <v>4.5999999999999996</v>
      </c>
      <c r="M377" s="22" t="s">
        <v>61</v>
      </c>
      <c r="N377" s="22" t="str">
        <f t="shared" si="62"/>
        <v>High</v>
      </c>
      <c r="O377" t="str">
        <f>INDEX(NineBox,MATCH(N377,{"Low","Mid","High"},0),MATCH(M377,{"Low","Medium","High"},0))</f>
        <v>Star</v>
      </c>
      <c r="P377" s="28">
        <v>45902</v>
      </c>
      <c r="Q377" s="24">
        <f t="shared" si="63"/>
        <v>1.0759753593429158</v>
      </c>
      <c r="R377" s="22" t="str">
        <f t="shared" si="64"/>
        <v>Not Eligible</v>
      </c>
      <c r="S377" t="str">
        <f t="shared" si="65"/>
        <v>Under 1.5 yrs in current level</v>
      </c>
      <c r="T377" s="22" t="s">
        <v>1687</v>
      </c>
    </row>
    <row r="378" spans="1:20" x14ac:dyDescent="0.3">
      <c r="A378" s="22" t="s">
        <v>1314</v>
      </c>
      <c r="B378" s="29" t="str">
        <f t="shared" si="55"/>
        <v>Anand Siddiqui</v>
      </c>
      <c r="C378" s="29" t="str">
        <f t="shared" si="56"/>
        <v>Harsh Siddiqui</v>
      </c>
      <c r="D378" s="29" t="str">
        <f t="shared" si="57"/>
        <v>Engineering</v>
      </c>
      <c r="E378" s="30" t="str">
        <f t="shared" si="58"/>
        <v>L4</v>
      </c>
      <c r="F378" s="30" t="str">
        <f t="shared" si="59"/>
        <v>Active</v>
      </c>
      <c r="G378" s="22">
        <v>4</v>
      </c>
      <c r="H378" t="str">
        <f t="shared" si="60"/>
        <v>Exceeds Expectations</v>
      </c>
      <c r="I378" s="22">
        <v>4</v>
      </c>
      <c r="J378" s="22" t="str">
        <f t="shared" si="61"/>
        <v>Stable</v>
      </c>
      <c r="K378" s="31">
        <v>0.94</v>
      </c>
      <c r="L378" s="24">
        <v>3.8</v>
      </c>
      <c r="M378" s="22" t="s">
        <v>60</v>
      </c>
      <c r="N378" s="22" t="str">
        <f t="shared" si="62"/>
        <v>High</v>
      </c>
      <c r="O378" t="str">
        <f>INDEX(NineBox,MATCH(N378,{"Low","Mid","High"},0),MATCH(M378,{"Low","Medium","High"},0))</f>
        <v>High Performer</v>
      </c>
      <c r="P378" s="28">
        <v>45921</v>
      </c>
      <c r="Q378" s="24">
        <f t="shared" si="63"/>
        <v>1.0239561943874058</v>
      </c>
      <c r="R378" s="22" t="str">
        <f t="shared" si="64"/>
        <v>Not Eligible</v>
      </c>
      <c r="S378" t="str">
        <f t="shared" si="65"/>
        <v>Under 1.5 yrs in current level</v>
      </c>
      <c r="T378" s="22" t="s">
        <v>1687</v>
      </c>
    </row>
    <row r="379" spans="1:20" x14ac:dyDescent="0.3">
      <c r="A379" s="22" t="s">
        <v>1317</v>
      </c>
      <c r="B379" s="29" t="str">
        <f t="shared" si="55"/>
        <v>Sachin Raghavan</v>
      </c>
      <c r="C379" s="29" t="str">
        <f t="shared" si="56"/>
        <v>Madhuri Menon</v>
      </c>
      <c r="D379" s="29" t="str">
        <f t="shared" si="57"/>
        <v>Engineering</v>
      </c>
      <c r="E379" s="30" t="str">
        <f t="shared" si="58"/>
        <v>L2</v>
      </c>
      <c r="F379" s="30" t="str">
        <f t="shared" si="59"/>
        <v>Active</v>
      </c>
      <c r="G379" s="22">
        <v>4</v>
      </c>
      <c r="H379" t="str">
        <f t="shared" si="60"/>
        <v>Exceeds Expectations</v>
      </c>
      <c r="I379" s="22">
        <v>4</v>
      </c>
      <c r="J379" s="22" t="str">
        <f t="shared" si="61"/>
        <v>Stable</v>
      </c>
      <c r="K379" s="31">
        <v>0.96</v>
      </c>
      <c r="L379" s="24">
        <v>3.7</v>
      </c>
      <c r="M379" s="22" t="s">
        <v>61</v>
      </c>
      <c r="N379" s="22" t="str">
        <f t="shared" si="62"/>
        <v>High</v>
      </c>
      <c r="O379" t="str">
        <f>INDEX(NineBox,MATCH(N379,{"Low","Mid","High"},0),MATCH(M379,{"Low","Medium","High"},0))</f>
        <v>Star</v>
      </c>
      <c r="P379" s="28">
        <v>45922</v>
      </c>
      <c r="Q379" s="24">
        <f t="shared" si="63"/>
        <v>1.0212183436002737</v>
      </c>
      <c r="R379" s="22" t="str">
        <f t="shared" si="64"/>
        <v>Not Eligible</v>
      </c>
      <c r="S379" t="str">
        <f t="shared" si="65"/>
        <v>Under 1.5 yrs in current level</v>
      </c>
      <c r="T379" s="22" t="s">
        <v>1687</v>
      </c>
    </row>
    <row r="380" spans="1:20" x14ac:dyDescent="0.3">
      <c r="A380" s="22" t="s">
        <v>1320</v>
      </c>
      <c r="B380" s="29" t="str">
        <f t="shared" si="55"/>
        <v>Dev Saxena</v>
      </c>
      <c r="C380" s="29" t="str">
        <f t="shared" si="56"/>
        <v>Ashish Varghese</v>
      </c>
      <c r="D380" s="29" t="str">
        <f t="shared" si="57"/>
        <v>Customer Support</v>
      </c>
      <c r="E380" s="30" t="str">
        <f t="shared" si="58"/>
        <v>L2</v>
      </c>
      <c r="F380" s="30" t="str">
        <f t="shared" si="59"/>
        <v>Active</v>
      </c>
      <c r="G380" s="22">
        <v>3</v>
      </c>
      <c r="H380" t="str">
        <f t="shared" si="60"/>
        <v>Meets Expectations</v>
      </c>
      <c r="I380" s="22">
        <v>4</v>
      </c>
      <c r="J380" s="22" t="str">
        <f t="shared" si="61"/>
        <v>Declined</v>
      </c>
      <c r="K380" s="31">
        <v>0.83</v>
      </c>
      <c r="L380" s="24">
        <v>3.4</v>
      </c>
      <c r="M380" s="22" t="s">
        <v>60</v>
      </c>
      <c r="N380" s="22" t="str">
        <f t="shared" si="62"/>
        <v>Mid</v>
      </c>
      <c r="O380" t="str">
        <f>INDEX(NineBox,MATCH(N380,{"Low","Mid","High"},0),MATCH(M380,{"Low","Medium","High"},0))</f>
        <v>Core Player</v>
      </c>
      <c r="P380" s="28">
        <v>45926</v>
      </c>
      <c r="Q380" s="24">
        <f t="shared" si="63"/>
        <v>1.0102669404517455</v>
      </c>
      <c r="R380" s="22" t="str">
        <f t="shared" si="64"/>
        <v>Not Eligible</v>
      </c>
      <c r="S380" t="str">
        <f t="shared" si="65"/>
        <v>Rating below 4</v>
      </c>
      <c r="T380" s="22" t="s">
        <v>1687</v>
      </c>
    </row>
    <row r="381" spans="1:20" x14ac:dyDescent="0.3">
      <c r="A381" s="22" t="s">
        <v>1323</v>
      </c>
      <c r="B381" s="29" t="str">
        <f t="shared" si="55"/>
        <v>Siddharth Malhotra</v>
      </c>
      <c r="C381" s="29" t="str">
        <f t="shared" si="56"/>
        <v>Karan Verma</v>
      </c>
      <c r="D381" s="29" t="str">
        <f t="shared" si="57"/>
        <v>Data &amp; Analytics</v>
      </c>
      <c r="E381" s="30" t="str">
        <f t="shared" si="58"/>
        <v>L1</v>
      </c>
      <c r="F381" s="30" t="str">
        <f t="shared" si="59"/>
        <v>Active</v>
      </c>
      <c r="G381" s="22">
        <v>1</v>
      </c>
      <c r="H381" t="str">
        <f t="shared" si="60"/>
        <v>Unsatisfactory</v>
      </c>
      <c r="I381" s="22">
        <v>1</v>
      </c>
      <c r="J381" s="22" t="str">
        <f t="shared" si="61"/>
        <v>Stable</v>
      </c>
      <c r="K381" s="31">
        <v>0.68</v>
      </c>
      <c r="L381" s="24">
        <v>1</v>
      </c>
      <c r="M381" s="22" t="s">
        <v>59</v>
      </c>
      <c r="N381" s="22" t="str">
        <f t="shared" si="62"/>
        <v>Low</v>
      </c>
      <c r="O381" t="str">
        <f>INDEX(NineBox,MATCH(N381,{"Low","Mid","High"},0),MATCH(M381,{"Low","Medium","High"},0))</f>
        <v>Underperformer</v>
      </c>
      <c r="P381" s="28">
        <v>45931</v>
      </c>
      <c r="Q381" s="24">
        <f t="shared" si="63"/>
        <v>0.99657768651608492</v>
      </c>
      <c r="R381" s="22" t="str">
        <f t="shared" si="64"/>
        <v>Not Eligible</v>
      </c>
      <c r="S381" t="str">
        <f t="shared" si="65"/>
        <v>Rating below 4</v>
      </c>
      <c r="T381" s="22" t="s">
        <v>1687</v>
      </c>
    </row>
    <row r="382" spans="1:20" x14ac:dyDescent="0.3">
      <c r="A382" s="22" t="s">
        <v>1326</v>
      </c>
      <c r="B382" s="29" t="str">
        <f t="shared" si="55"/>
        <v>Ravi Gupta</v>
      </c>
      <c r="C382" s="29" t="str">
        <f t="shared" si="56"/>
        <v>Isha Chatterjee</v>
      </c>
      <c r="D382" s="29" t="str">
        <f t="shared" si="57"/>
        <v>Marketing</v>
      </c>
      <c r="E382" s="30" t="str">
        <f t="shared" si="58"/>
        <v>L2</v>
      </c>
      <c r="F382" s="30" t="str">
        <f t="shared" si="59"/>
        <v>Active</v>
      </c>
      <c r="G382" s="22">
        <v>1</v>
      </c>
      <c r="H382" t="str">
        <f t="shared" si="60"/>
        <v>Unsatisfactory</v>
      </c>
      <c r="I382" s="22">
        <v>1</v>
      </c>
      <c r="J382" s="22" t="str">
        <f t="shared" si="61"/>
        <v>Stable</v>
      </c>
      <c r="K382" s="31">
        <v>0.52</v>
      </c>
      <c r="L382" s="24">
        <v>1</v>
      </c>
      <c r="M382" s="22" t="s">
        <v>59</v>
      </c>
      <c r="N382" s="22" t="str">
        <f t="shared" si="62"/>
        <v>Low</v>
      </c>
      <c r="O382" t="str">
        <f>INDEX(NineBox,MATCH(N382,{"Low","Mid","High"},0),MATCH(M382,{"Low","Medium","High"},0))</f>
        <v>Underperformer</v>
      </c>
      <c r="P382" s="28">
        <v>45932</v>
      </c>
      <c r="Q382" s="24">
        <f t="shared" si="63"/>
        <v>0.99383983572895274</v>
      </c>
      <c r="R382" s="22" t="str">
        <f t="shared" si="64"/>
        <v>Not Eligible</v>
      </c>
      <c r="S382" t="str">
        <f t="shared" si="65"/>
        <v>Rating below 4</v>
      </c>
      <c r="T382" s="22" t="s">
        <v>1687</v>
      </c>
    </row>
    <row r="383" spans="1:20" x14ac:dyDescent="0.3">
      <c r="A383" s="22" t="s">
        <v>1329</v>
      </c>
      <c r="B383" s="29" t="str">
        <f t="shared" si="55"/>
        <v>Ritu Nair</v>
      </c>
      <c r="C383" s="29" t="str">
        <f t="shared" si="56"/>
        <v>Kavya Krishnan</v>
      </c>
      <c r="D383" s="29" t="str">
        <f t="shared" si="57"/>
        <v>Sales</v>
      </c>
      <c r="E383" s="30" t="str">
        <f t="shared" si="58"/>
        <v>L4</v>
      </c>
      <c r="F383" s="30" t="str">
        <f t="shared" si="59"/>
        <v>Active</v>
      </c>
      <c r="G383" s="22">
        <v>2</v>
      </c>
      <c r="H383" t="str">
        <f t="shared" si="60"/>
        <v>Needs Improvement</v>
      </c>
      <c r="I383" s="22">
        <v>1</v>
      </c>
      <c r="J383" s="22" t="str">
        <f t="shared" si="61"/>
        <v>Improved</v>
      </c>
      <c r="K383" s="31">
        <v>0.81</v>
      </c>
      <c r="L383" s="24">
        <v>2.6</v>
      </c>
      <c r="M383" s="22" t="s">
        <v>59</v>
      </c>
      <c r="N383" s="22" t="str">
        <f t="shared" si="62"/>
        <v>Low</v>
      </c>
      <c r="O383" t="str">
        <f>INDEX(NineBox,MATCH(N383,{"Low","Mid","High"},0),MATCH(M383,{"Low","Medium","High"},0))</f>
        <v>Underperformer</v>
      </c>
      <c r="P383" s="28">
        <v>45933</v>
      </c>
      <c r="Q383" s="24">
        <f t="shared" si="63"/>
        <v>0.99110198494182067</v>
      </c>
      <c r="R383" s="22" t="str">
        <f t="shared" si="64"/>
        <v>Not Eligible</v>
      </c>
      <c r="S383" t="str">
        <f t="shared" si="65"/>
        <v>Rating below 4</v>
      </c>
      <c r="T383" s="22" t="s">
        <v>1687</v>
      </c>
    </row>
    <row r="384" spans="1:20" x14ac:dyDescent="0.3">
      <c r="A384" s="22" t="s">
        <v>1332</v>
      </c>
      <c r="B384" s="29" t="str">
        <f t="shared" si="55"/>
        <v>Keerthi Kamath</v>
      </c>
      <c r="C384" s="29" t="str">
        <f t="shared" si="56"/>
        <v>Kavya Krishnan</v>
      </c>
      <c r="D384" s="29" t="str">
        <f t="shared" si="57"/>
        <v>Sales</v>
      </c>
      <c r="E384" s="30" t="str">
        <f t="shared" si="58"/>
        <v>L1</v>
      </c>
      <c r="F384" s="30" t="str">
        <f t="shared" si="59"/>
        <v>Exited</v>
      </c>
      <c r="G384" s="22">
        <v>3</v>
      </c>
      <c r="H384" t="str">
        <f t="shared" si="60"/>
        <v>Meets Expectations</v>
      </c>
      <c r="I384" s="22">
        <v>4</v>
      </c>
      <c r="J384" s="22" t="str">
        <f t="shared" si="61"/>
        <v>Declined</v>
      </c>
      <c r="K384" s="31">
        <v>0.73</v>
      </c>
      <c r="L384" s="24">
        <v>2.6</v>
      </c>
      <c r="M384" s="22" t="s">
        <v>60</v>
      </c>
      <c r="N384" s="22" t="str">
        <f t="shared" si="62"/>
        <v>Mid</v>
      </c>
      <c r="O384" t="str">
        <f>INDEX(NineBox,MATCH(N384,{"Low","Mid","High"},0),MATCH(M384,{"Low","Medium","High"},0))</f>
        <v>Core Player</v>
      </c>
      <c r="P384" s="28">
        <v>45941</v>
      </c>
      <c r="Q384" s="24">
        <f t="shared" si="63"/>
        <v>0.9691991786447639</v>
      </c>
      <c r="R384" s="22" t="str">
        <f t="shared" si="64"/>
        <v>Not Eligible</v>
      </c>
      <c r="S384" t="str">
        <f t="shared" si="65"/>
        <v>Employee has exited</v>
      </c>
      <c r="T384" s="22" t="s">
        <v>1687</v>
      </c>
    </row>
    <row r="385" spans="1:20" x14ac:dyDescent="0.3">
      <c r="A385" s="22" t="s">
        <v>1335</v>
      </c>
      <c r="B385" s="29" t="str">
        <f t="shared" si="55"/>
        <v>Sakshi Varghese</v>
      </c>
      <c r="C385" s="29" t="str">
        <f t="shared" si="56"/>
        <v>Nikhil Agarwal</v>
      </c>
      <c r="D385" s="29" t="str">
        <f t="shared" si="57"/>
        <v>Sales</v>
      </c>
      <c r="E385" s="30" t="str">
        <f t="shared" si="58"/>
        <v>L2</v>
      </c>
      <c r="F385" s="30" t="str">
        <f t="shared" si="59"/>
        <v>Active</v>
      </c>
      <c r="G385" s="22">
        <v>3</v>
      </c>
      <c r="H385" t="str">
        <f t="shared" si="60"/>
        <v>Meets Expectations</v>
      </c>
      <c r="I385" s="22">
        <v>4</v>
      </c>
      <c r="J385" s="22" t="str">
        <f t="shared" si="61"/>
        <v>Declined</v>
      </c>
      <c r="K385" s="31">
        <v>0.78</v>
      </c>
      <c r="L385" s="24">
        <v>1.8</v>
      </c>
      <c r="M385" s="22" t="s">
        <v>61</v>
      </c>
      <c r="N385" s="22" t="str">
        <f t="shared" si="62"/>
        <v>Mid</v>
      </c>
      <c r="O385" t="str">
        <f>INDEX(NineBox,MATCH(N385,{"Low","Mid","High"},0),MATCH(M385,{"Low","Medium","High"},0))</f>
        <v>Future Star</v>
      </c>
      <c r="P385" s="28">
        <v>45942</v>
      </c>
      <c r="Q385" s="24">
        <f t="shared" si="63"/>
        <v>0.96646132785763172</v>
      </c>
      <c r="R385" s="22" t="str">
        <f t="shared" si="64"/>
        <v>Not Eligible</v>
      </c>
      <c r="S385" t="str">
        <f t="shared" si="65"/>
        <v>Rating below 4</v>
      </c>
      <c r="T385" s="22" t="s">
        <v>1687</v>
      </c>
    </row>
    <row r="386" spans="1:20" x14ac:dyDescent="0.3">
      <c r="A386" s="22" t="s">
        <v>1338</v>
      </c>
      <c r="B386" s="29" t="str">
        <f t="shared" ref="B386:B449" si="66">INDEX(M_Name,MATCH($A386,M_ID,0))</f>
        <v>Mohit Desai</v>
      </c>
      <c r="C386" s="29" t="str">
        <f t="shared" ref="C386:C449" si="67">INDEX(M_Mgr,MATCH($A386,M_ID,0))</f>
        <v>Ramya Khanna</v>
      </c>
      <c r="D386" s="29" t="str">
        <f t="shared" ref="D386:D449" si="68">INDEX(M_Dept,MATCH($A386,M_ID,0))</f>
        <v>Legal &amp; Compliance</v>
      </c>
      <c r="E386" s="30" t="str">
        <f t="shared" ref="E386:E449" si="69">INDEX(M_Level,MATCH($A386,M_ID,0))</f>
        <v>L2</v>
      </c>
      <c r="F386" s="30" t="str">
        <f t="shared" ref="F386:F449" si="70">INDEX(M_Status,MATCH($A386,M_ID,0))</f>
        <v>Active</v>
      </c>
      <c r="G386" s="22">
        <v>3</v>
      </c>
      <c r="H386" t="str">
        <f t="shared" ref="H386:H449" si="71">INDEX(RatingLbl,MATCH(G386,RatingNo,0))</f>
        <v>Meets Expectations</v>
      </c>
      <c r="I386" s="22">
        <v>2</v>
      </c>
      <c r="J386" s="22" t="str">
        <f t="shared" ref="J386:J449" si="72">IF(G386&gt;I386,"Improved",IF(G386&lt;I386,"Declined","Stable"))</f>
        <v>Improved</v>
      </c>
      <c r="K386" s="31">
        <v>0.73</v>
      </c>
      <c r="L386" s="24">
        <v>2.9</v>
      </c>
      <c r="M386" s="22" t="s">
        <v>60</v>
      </c>
      <c r="N386" s="22" t="str">
        <f t="shared" ref="N386:N449" si="73">IF(G386&gt;=4,"High",IF(G386=3,"Mid","Low"))</f>
        <v>Mid</v>
      </c>
      <c r="O386" t="str">
        <f>INDEX(NineBox,MATCH(N386,{"Low","Mid","High"},0),MATCH(M386,{"Low","Medium","High"},0))</f>
        <v>Core Player</v>
      </c>
      <c r="P386" s="28">
        <v>45943</v>
      </c>
      <c r="Q386" s="24">
        <f t="shared" ref="Q386:Q449" si="74">(AsOf-P386)/365.25</f>
        <v>0.96372347707049966</v>
      </c>
      <c r="R386" s="22" t="str">
        <f t="shared" ref="R386:R449" si="75">IF(F386="Exited","Not Eligible",IF(AND(G386&gt;=MinRating,Q386&gt;=MinYrs,VALUE(MID(E386,2,1))&lt;=MaxLvl),"Eligible","Not Eligible"))</f>
        <v>Not Eligible</v>
      </c>
      <c r="S386" t="str">
        <f t="shared" ref="S386:S449" si="76">IF(F386="Exited","Employee has exited",IF(R386="Eligible","Meets rating and time-in-level criteria",IF(VALUE(MID(E386,2,1))&gt;MaxLvl,"Already at top level",IF(G386&lt;MinRating,"Rating below "&amp;MinRating,"Under "&amp;MinYrs&amp;" yrs in current level"))))</f>
        <v>Rating below 4</v>
      </c>
      <c r="T386" s="22" t="s">
        <v>1687</v>
      </c>
    </row>
    <row r="387" spans="1:20" x14ac:dyDescent="0.3">
      <c r="A387" s="22" t="s">
        <v>1341</v>
      </c>
      <c r="B387" s="29" t="str">
        <f t="shared" si="66"/>
        <v>Ajay Bose</v>
      </c>
      <c r="C387" s="29" t="str">
        <f t="shared" si="67"/>
        <v>Ramya Khanna</v>
      </c>
      <c r="D387" s="29" t="str">
        <f t="shared" si="68"/>
        <v>Legal &amp; Compliance</v>
      </c>
      <c r="E387" s="30" t="str">
        <f t="shared" si="69"/>
        <v>L1</v>
      </c>
      <c r="F387" s="30" t="str">
        <f t="shared" si="70"/>
        <v>Active</v>
      </c>
      <c r="G387" s="22">
        <v>5</v>
      </c>
      <c r="H387" t="str">
        <f t="shared" si="71"/>
        <v>Outstanding</v>
      </c>
      <c r="I387" s="22">
        <v>5</v>
      </c>
      <c r="J387" s="22" t="str">
        <f t="shared" si="72"/>
        <v>Stable</v>
      </c>
      <c r="K387" s="31">
        <v>1.08</v>
      </c>
      <c r="L387" s="24">
        <v>4.8</v>
      </c>
      <c r="M387" s="22" t="s">
        <v>61</v>
      </c>
      <c r="N387" s="22" t="str">
        <f t="shared" si="73"/>
        <v>High</v>
      </c>
      <c r="O387" t="str">
        <f>INDEX(NineBox,MATCH(N387,{"Low","Mid","High"},0),MATCH(M387,{"Low","Medium","High"},0))</f>
        <v>Star</v>
      </c>
      <c r="P387" s="28">
        <v>45948</v>
      </c>
      <c r="Q387" s="24">
        <f t="shared" si="74"/>
        <v>0.95003422313483921</v>
      </c>
      <c r="R387" s="22" t="str">
        <f t="shared" si="75"/>
        <v>Not Eligible</v>
      </c>
      <c r="S387" t="str">
        <f t="shared" si="76"/>
        <v>Under 1.5 yrs in current level</v>
      </c>
      <c r="T387" s="22" t="s">
        <v>1687</v>
      </c>
    </row>
    <row r="388" spans="1:20" x14ac:dyDescent="0.3">
      <c r="A388" s="22" t="s">
        <v>1344</v>
      </c>
      <c r="B388" s="29" t="str">
        <f t="shared" si="66"/>
        <v>Rakesh Khanna</v>
      </c>
      <c r="C388" s="29" t="str">
        <f t="shared" si="67"/>
        <v>Nandini Iyer</v>
      </c>
      <c r="D388" s="29" t="str">
        <f t="shared" si="68"/>
        <v>Marketing</v>
      </c>
      <c r="E388" s="30" t="str">
        <f t="shared" si="69"/>
        <v>L1</v>
      </c>
      <c r="F388" s="30" t="str">
        <f t="shared" si="70"/>
        <v>Active</v>
      </c>
      <c r="G388" s="22">
        <v>3</v>
      </c>
      <c r="H388" t="str">
        <f t="shared" si="71"/>
        <v>Meets Expectations</v>
      </c>
      <c r="I388" s="22">
        <v>3</v>
      </c>
      <c r="J388" s="22" t="str">
        <f t="shared" si="72"/>
        <v>Stable</v>
      </c>
      <c r="K388" s="31">
        <v>0.88</v>
      </c>
      <c r="L388" s="24">
        <v>3.1</v>
      </c>
      <c r="M388" s="22" t="s">
        <v>59</v>
      </c>
      <c r="N388" s="22" t="str">
        <f t="shared" si="73"/>
        <v>Mid</v>
      </c>
      <c r="O388" t="str">
        <f>INDEX(NineBox,MATCH(N388,{"Low","Mid","High"},0),MATCH(M388,{"Low","Medium","High"},0))</f>
        <v>Effective Contributor</v>
      </c>
      <c r="P388" s="28">
        <v>45952</v>
      </c>
      <c r="Q388" s="24">
        <f t="shared" si="74"/>
        <v>0.93908281998631071</v>
      </c>
      <c r="R388" s="22" t="str">
        <f t="shared" si="75"/>
        <v>Not Eligible</v>
      </c>
      <c r="S388" t="str">
        <f t="shared" si="76"/>
        <v>Rating below 4</v>
      </c>
      <c r="T388" s="22" t="s">
        <v>1687</v>
      </c>
    </row>
    <row r="389" spans="1:20" x14ac:dyDescent="0.3">
      <c r="A389" s="22" t="s">
        <v>1347</v>
      </c>
      <c r="B389" s="29" t="str">
        <f t="shared" si="66"/>
        <v>Shreya Jain</v>
      </c>
      <c r="C389" s="29" t="str">
        <f t="shared" si="67"/>
        <v>Tejaswini Hegde</v>
      </c>
      <c r="D389" s="29" t="str">
        <f t="shared" si="68"/>
        <v>Engineering</v>
      </c>
      <c r="E389" s="30" t="str">
        <f t="shared" si="69"/>
        <v>L2</v>
      </c>
      <c r="F389" s="30" t="str">
        <f t="shared" si="70"/>
        <v>Active</v>
      </c>
      <c r="G389" s="22">
        <v>3</v>
      </c>
      <c r="H389" t="str">
        <f t="shared" si="71"/>
        <v>Meets Expectations</v>
      </c>
      <c r="I389" s="22">
        <v>3</v>
      </c>
      <c r="J389" s="22" t="str">
        <f t="shared" si="72"/>
        <v>Stable</v>
      </c>
      <c r="K389" s="31">
        <v>0.71</v>
      </c>
      <c r="L389" s="24">
        <v>2.6</v>
      </c>
      <c r="M389" s="22" t="s">
        <v>61</v>
      </c>
      <c r="N389" s="22" t="str">
        <f t="shared" si="73"/>
        <v>Mid</v>
      </c>
      <c r="O389" t="str">
        <f>INDEX(NineBox,MATCH(N389,{"Low","Mid","High"},0),MATCH(M389,{"Low","Medium","High"},0))</f>
        <v>Future Star</v>
      </c>
      <c r="P389" s="28">
        <v>45953</v>
      </c>
      <c r="Q389" s="24">
        <f t="shared" si="74"/>
        <v>0.93634496919917864</v>
      </c>
      <c r="R389" s="22" t="str">
        <f t="shared" si="75"/>
        <v>Not Eligible</v>
      </c>
      <c r="S389" t="str">
        <f t="shared" si="76"/>
        <v>Rating below 4</v>
      </c>
      <c r="T389" s="22" t="s">
        <v>1687</v>
      </c>
    </row>
    <row r="390" spans="1:20" x14ac:dyDescent="0.3">
      <c r="A390" s="22" t="s">
        <v>1350</v>
      </c>
      <c r="B390" s="29" t="str">
        <f t="shared" si="66"/>
        <v>Sneha Yadav</v>
      </c>
      <c r="C390" s="29" t="str">
        <f t="shared" si="67"/>
        <v>Bhavana Hegde</v>
      </c>
      <c r="D390" s="29" t="str">
        <f t="shared" si="68"/>
        <v>Engineering</v>
      </c>
      <c r="E390" s="30" t="str">
        <f t="shared" si="69"/>
        <v>L3</v>
      </c>
      <c r="F390" s="30" t="str">
        <f t="shared" si="70"/>
        <v>Active</v>
      </c>
      <c r="G390" s="22">
        <v>4</v>
      </c>
      <c r="H390" t="str">
        <f t="shared" si="71"/>
        <v>Exceeds Expectations</v>
      </c>
      <c r="I390" s="22">
        <v>4</v>
      </c>
      <c r="J390" s="22" t="str">
        <f t="shared" si="72"/>
        <v>Stable</v>
      </c>
      <c r="K390" s="31">
        <v>0.98</v>
      </c>
      <c r="L390" s="24">
        <v>4.3</v>
      </c>
      <c r="M390" s="22" t="s">
        <v>61</v>
      </c>
      <c r="N390" s="22" t="str">
        <f t="shared" si="73"/>
        <v>High</v>
      </c>
      <c r="O390" t="str">
        <f>INDEX(NineBox,MATCH(N390,{"Low","Mid","High"},0),MATCH(M390,{"Low","Medium","High"},0))</f>
        <v>Star</v>
      </c>
      <c r="P390" s="28">
        <v>45954</v>
      </c>
      <c r="Q390" s="24">
        <f t="shared" si="74"/>
        <v>0.93360711841204658</v>
      </c>
      <c r="R390" s="22" t="str">
        <f t="shared" si="75"/>
        <v>Not Eligible</v>
      </c>
      <c r="S390" t="str">
        <f t="shared" si="76"/>
        <v>Under 1.5 yrs in current level</v>
      </c>
      <c r="T390" s="22" t="s">
        <v>1688</v>
      </c>
    </row>
    <row r="391" spans="1:20" x14ac:dyDescent="0.3">
      <c r="A391" s="22" t="s">
        <v>1353</v>
      </c>
      <c r="B391" s="29" t="str">
        <f t="shared" si="66"/>
        <v>Harsh Kapoor</v>
      </c>
      <c r="C391" s="29" t="str">
        <f t="shared" si="67"/>
        <v>Ankit Khanna</v>
      </c>
      <c r="D391" s="29" t="str">
        <f t="shared" si="68"/>
        <v>Operations</v>
      </c>
      <c r="E391" s="30" t="str">
        <f t="shared" si="69"/>
        <v>L3</v>
      </c>
      <c r="F391" s="30" t="str">
        <f t="shared" si="70"/>
        <v>Active</v>
      </c>
      <c r="G391" s="22">
        <v>4</v>
      </c>
      <c r="H391" t="str">
        <f t="shared" si="71"/>
        <v>Exceeds Expectations</v>
      </c>
      <c r="I391" s="22">
        <v>4</v>
      </c>
      <c r="J391" s="22" t="str">
        <f t="shared" si="72"/>
        <v>Stable</v>
      </c>
      <c r="K391" s="31">
        <v>0.97</v>
      </c>
      <c r="L391" s="24">
        <v>3.1</v>
      </c>
      <c r="M391" s="22" t="s">
        <v>61</v>
      </c>
      <c r="N391" s="22" t="str">
        <f t="shared" si="73"/>
        <v>High</v>
      </c>
      <c r="O391" t="str">
        <f>INDEX(NineBox,MATCH(N391,{"Low","Mid","High"},0),MATCH(M391,{"Low","Medium","High"},0))</f>
        <v>Star</v>
      </c>
      <c r="P391" s="28">
        <v>45954</v>
      </c>
      <c r="Q391" s="24">
        <f t="shared" si="74"/>
        <v>0.93360711841204658</v>
      </c>
      <c r="R391" s="22" t="str">
        <f t="shared" si="75"/>
        <v>Not Eligible</v>
      </c>
      <c r="S391" t="str">
        <f t="shared" si="76"/>
        <v>Under 1.5 yrs in current level</v>
      </c>
      <c r="T391" s="22" t="s">
        <v>1687</v>
      </c>
    </row>
    <row r="392" spans="1:20" x14ac:dyDescent="0.3">
      <c r="A392" s="22" t="s">
        <v>1356</v>
      </c>
      <c r="B392" s="29" t="str">
        <f t="shared" si="66"/>
        <v>Venkat Iyer</v>
      </c>
      <c r="C392" s="29" t="str">
        <f t="shared" si="67"/>
        <v>Karan Verma</v>
      </c>
      <c r="D392" s="29" t="str">
        <f t="shared" si="68"/>
        <v>Data &amp; Analytics</v>
      </c>
      <c r="E392" s="30" t="str">
        <f t="shared" si="69"/>
        <v>L2</v>
      </c>
      <c r="F392" s="30" t="str">
        <f t="shared" si="70"/>
        <v>Exited</v>
      </c>
      <c r="G392" s="22">
        <v>3</v>
      </c>
      <c r="H392" t="str">
        <f t="shared" si="71"/>
        <v>Meets Expectations</v>
      </c>
      <c r="I392" s="22">
        <v>2</v>
      </c>
      <c r="J392" s="22" t="str">
        <f t="shared" si="72"/>
        <v>Improved</v>
      </c>
      <c r="K392" s="31">
        <v>0.79</v>
      </c>
      <c r="L392" s="24">
        <v>2.8</v>
      </c>
      <c r="M392" s="22" t="s">
        <v>59</v>
      </c>
      <c r="N392" s="22" t="str">
        <f t="shared" si="73"/>
        <v>Mid</v>
      </c>
      <c r="O392" t="str">
        <f>INDEX(NineBox,MATCH(N392,{"Low","Mid","High"},0),MATCH(M392,{"Low","Medium","High"},0))</f>
        <v>Effective Contributor</v>
      </c>
      <c r="P392" s="28">
        <v>45955</v>
      </c>
      <c r="Q392" s="24">
        <f t="shared" si="74"/>
        <v>0.9308692676249144</v>
      </c>
      <c r="R392" s="22" t="str">
        <f t="shared" si="75"/>
        <v>Not Eligible</v>
      </c>
      <c r="S392" t="str">
        <f t="shared" si="76"/>
        <v>Employee has exited</v>
      </c>
      <c r="T392" s="22" t="s">
        <v>1687</v>
      </c>
    </row>
    <row r="393" spans="1:20" x14ac:dyDescent="0.3">
      <c r="A393" s="22" t="s">
        <v>1359</v>
      </c>
      <c r="B393" s="29" t="str">
        <f t="shared" si="66"/>
        <v>Sowmya Khan</v>
      </c>
      <c r="C393" s="29" t="str">
        <f t="shared" si="67"/>
        <v>Swathi Mukherjee</v>
      </c>
      <c r="D393" s="29" t="str">
        <f t="shared" si="68"/>
        <v>Legal &amp; Compliance</v>
      </c>
      <c r="E393" s="30" t="str">
        <f t="shared" si="69"/>
        <v>L1</v>
      </c>
      <c r="F393" s="30" t="str">
        <f t="shared" si="70"/>
        <v>Active</v>
      </c>
      <c r="G393" s="22">
        <v>2</v>
      </c>
      <c r="H393" t="str">
        <f t="shared" si="71"/>
        <v>Needs Improvement</v>
      </c>
      <c r="I393" s="22">
        <v>2</v>
      </c>
      <c r="J393" s="22" t="str">
        <f t="shared" si="72"/>
        <v>Stable</v>
      </c>
      <c r="K393" s="31">
        <v>0.78</v>
      </c>
      <c r="L393" s="24">
        <v>1.8</v>
      </c>
      <c r="M393" s="22" t="s">
        <v>59</v>
      </c>
      <c r="N393" s="22" t="str">
        <f t="shared" si="73"/>
        <v>Low</v>
      </c>
      <c r="O393" t="str">
        <f>INDEX(NineBox,MATCH(N393,{"Low","Mid","High"},0),MATCH(M393,{"Low","Medium","High"},0))</f>
        <v>Underperformer</v>
      </c>
      <c r="P393" s="28">
        <v>45958</v>
      </c>
      <c r="Q393" s="24">
        <f t="shared" si="74"/>
        <v>0.92265571526351808</v>
      </c>
      <c r="R393" s="22" t="str">
        <f t="shared" si="75"/>
        <v>Not Eligible</v>
      </c>
      <c r="S393" t="str">
        <f t="shared" si="76"/>
        <v>Rating below 4</v>
      </c>
      <c r="T393" s="22" t="s">
        <v>1687</v>
      </c>
    </row>
    <row r="394" spans="1:20" x14ac:dyDescent="0.3">
      <c r="A394" s="22" t="s">
        <v>1362</v>
      </c>
      <c r="B394" s="29" t="str">
        <f t="shared" si="66"/>
        <v>Suresh Chatterjee</v>
      </c>
      <c r="C394" s="29" t="str">
        <f t="shared" si="67"/>
        <v>Mansi Pillai</v>
      </c>
      <c r="D394" s="29" t="str">
        <f t="shared" si="68"/>
        <v>Product</v>
      </c>
      <c r="E394" s="30" t="str">
        <f t="shared" si="69"/>
        <v>L4</v>
      </c>
      <c r="F394" s="30" t="str">
        <f t="shared" si="70"/>
        <v>Active</v>
      </c>
      <c r="G394" s="22">
        <v>5</v>
      </c>
      <c r="H394" t="str">
        <f t="shared" si="71"/>
        <v>Outstanding</v>
      </c>
      <c r="I394" s="22">
        <v>5</v>
      </c>
      <c r="J394" s="22" t="str">
        <f t="shared" si="72"/>
        <v>Stable</v>
      </c>
      <c r="K394" s="31">
        <v>1.1100000000000001</v>
      </c>
      <c r="L394" s="24">
        <v>4.7</v>
      </c>
      <c r="M394" s="22" t="s">
        <v>60</v>
      </c>
      <c r="N394" s="22" t="str">
        <f t="shared" si="73"/>
        <v>High</v>
      </c>
      <c r="O394" t="str">
        <f>INDEX(NineBox,MATCH(N394,{"Low","Mid","High"},0),MATCH(M394,{"Low","Medium","High"},0))</f>
        <v>High Performer</v>
      </c>
      <c r="P394" s="28">
        <v>45960</v>
      </c>
      <c r="Q394" s="24">
        <f t="shared" si="74"/>
        <v>0.91718001368925395</v>
      </c>
      <c r="R394" s="22" t="str">
        <f t="shared" si="75"/>
        <v>Not Eligible</v>
      </c>
      <c r="S394" t="str">
        <f t="shared" si="76"/>
        <v>Under 1.5 yrs in current level</v>
      </c>
      <c r="T394" s="22" t="s">
        <v>1687</v>
      </c>
    </row>
    <row r="395" spans="1:20" x14ac:dyDescent="0.3">
      <c r="A395" s="22" t="s">
        <v>1365</v>
      </c>
      <c r="B395" s="29" t="str">
        <f t="shared" si="66"/>
        <v>Aditya Das</v>
      </c>
      <c r="C395" s="29" t="str">
        <f t="shared" si="67"/>
        <v>Gaurav Fernandes</v>
      </c>
      <c r="D395" s="29" t="str">
        <f t="shared" si="68"/>
        <v>Engineering</v>
      </c>
      <c r="E395" s="30" t="str">
        <f t="shared" si="69"/>
        <v>L1</v>
      </c>
      <c r="F395" s="30" t="str">
        <f t="shared" si="70"/>
        <v>Exited</v>
      </c>
      <c r="G395" s="22">
        <v>5</v>
      </c>
      <c r="H395" t="str">
        <f t="shared" si="71"/>
        <v>Outstanding</v>
      </c>
      <c r="I395" s="22">
        <v>4</v>
      </c>
      <c r="J395" s="22" t="str">
        <f t="shared" si="72"/>
        <v>Improved</v>
      </c>
      <c r="K395" s="31">
        <v>1.08</v>
      </c>
      <c r="L395" s="24">
        <v>4.5999999999999996</v>
      </c>
      <c r="M395" s="22" t="s">
        <v>60</v>
      </c>
      <c r="N395" s="22" t="str">
        <f t="shared" si="73"/>
        <v>High</v>
      </c>
      <c r="O395" t="str">
        <f>INDEX(NineBox,MATCH(N395,{"Low","Mid","High"},0),MATCH(M395,{"Low","Medium","High"},0))</f>
        <v>High Performer</v>
      </c>
      <c r="P395" s="28">
        <v>45972</v>
      </c>
      <c r="Q395" s="24">
        <f t="shared" si="74"/>
        <v>0.88432580424366869</v>
      </c>
      <c r="R395" s="22" t="str">
        <f t="shared" si="75"/>
        <v>Not Eligible</v>
      </c>
      <c r="S395" t="str">
        <f t="shared" si="76"/>
        <v>Employee has exited</v>
      </c>
      <c r="T395" s="22" t="s">
        <v>1687</v>
      </c>
    </row>
    <row r="396" spans="1:20" x14ac:dyDescent="0.3">
      <c r="A396" s="22" t="s">
        <v>1368</v>
      </c>
      <c r="B396" s="29" t="str">
        <f t="shared" si="66"/>
        <v>Ankit Banerjee</v>
      </c>
      <c r="C396" s="29" t="str">
        <f t="shared" si="67"/>
        <v>Yash Shah</v>
      </c>
      <c r="D396" s="29" t="str">
        <f t="shared" si="68"/>
        <v>Operations</v>
      </c>
      <c r="E396" s="30" t="str">
        <f t="shared" si="69"/>
        <v>L2</v>
      </c>
      <c r="F396" s="30" t="str">
        <f t="shared" si="70"/>
        <v>Active</v>
      </c>
      <c r="G396" s="22">
        <v>3</v>
      </c>
      <c r="H396" t="str">
        <f t="shared" si="71"/>
        <v>Meets Expectations</v>
      </c>
      <c r="I396" s="22">
        <v>3</v>
      </c>
      <c r="J396" s="22" t="str">
        <f t="shared" si="72"/>
        <v>Stable</v>
      </c>
      <c r="K396" s="31">
        <v>0.81</v>
      </c>
      <c r="L396" s="24">
        <v>3.5</v>
      </c>
      <c r="M396" s="22" t="s">
        <v>60</v>
      </c>
      <c r="N396" s="22" t="str">
        <f t="shared" si="73"/>
        <v>Mid</v>
      </c>
      <c r="O396" t="str">
        <f>INDEX(NineBox,MATCH(N396,{"Low","Mid","High"},0),MATCH(M396,{"Low","Medium","High"},0))</f>
        <v>Core Player</v>
      </c>
      <c r="P396" s="28">
        <v>45974</v>
      </c>
      <c r="Q396" s="24">
        <f t="shared" si="74"/>
        <v>0.87885010266940455</v>
      </c>
      <c r="R396" s="22" t="str">
        <f t="shared" si="75"/>
        <v>Not Eligible</v>
      </c>
      <c r="S396" t="str">
        <f t="shared" si="76"/>
        <v>Rating below 4</v>
      </c>
      <c r="T396" s="22" t="s">
        <v>1687</v>
      </c>
    </row>
    <row r="397" spans="1:20" x14ac:dyDescent="0.3">
      <c r="A397" s="22" t="s">
        <v>1371</v>
      </c>
      <c r="B397" s="29" t="str">
        <f t="shared" si="66"/>
        <v>Aniket Hegde</v>
      </c>
      <c r="C397" s="29" t="str">
        <f t="shared" si="67"/>
        <v>Isha Chatterjee</v>
      </c>
      <c r="D397" s="29" t="str">
        <f t="shared" si="68"/>
        <v>Marketing</v>
      </c>
      <c r="E397" s="30" t="str">
        <f t="shared" si="69"/>
        <v>L3</v>
      </c>
      <c r="F397" s="30" t="str">
        <f t="shared" si="70"/>
        <v>Active</v>
      </c>
      <c r="G397" s="22">
        <v>4</v>
      </c>
      <c r="H397" t="str">
        <f t="shared" si="71"/>
        <v>Exceeds Expectations</v>
      </c>
      <c r="I397" s="22">
        <v>4</v>
      </c>
      <c r="J397" s="22" t="str">
        <f t="shared" si="72"/>
        <v>Stable</v>
      </c>
      <c r="K397" s="31">
        <v>1.05</v>
      </c>
      <c r="L397" s="24">
        <v>3.4</v>
      </c>
      <c r="M397" s="22" t="s">
        <v>61</v>
      </c>
      <c r="N397" s="22" t="str">
        <f t="shared" si="73"/>
        <v>High</v>
      </c>
      <c r="O397" t="str">
        <f>INDEX(NineBox,MATCH(N397,{"Low","Mid","High"},0),MATCH(M397,{"Low","Medium","High"},0))</f>
        <v>Star</v>
      </c>
      <c r="P397" s="28">
        <v>45975</v>
      </c>
      <c r="Q397" s="24">
        <f t="shared" si="74"/>
        <v>0.87611225188227237</v>
      </c>
      <c r="R397" s="22" t="str">
        <f t="shared" si="75"/>
        <v>Not Eligible</v>
      </c>
      <c r="S397" t="str">
        <f t="shared" si="76"/>
        <v>Under 1.5 yrs in current level</v>
      </c>
      <c r="T397" s="22" t="s">
        <v>1687</v>
      </c>
    </row>
    <row r="398" spans="1:20" x14ac:dyDescent="0.3">
      <c r="A398" s="22" t="s">
        <v>1374</v>
      </c>
      <c r="B398" s="29" t="str">
        <f t="shared" si="66"/>
        <v>Bhavana Dsouza</v>
      </c>
      <c r="C398" s="29" t="str">
        <f t="shared" si="67"/>
        <v>Sachin Shetty</v>
      </c>
      <c r="D398" s="29" t="str">
        <f t="shared" si="68"/>
        <v>Product</v>
      </c>
      <c r="E398" s="30" t="str">
        <f t="shared" si="69"/>
        <v>L3</v>
      </c>
      <c r="F398" s="30" t="str">
        <f t="shared" si="70"/>
        <v>Active</v>
      </c>
      <c r="G398" s="22">
        <v>2</v>
      </c>
      <c r="H398" t="str">
        <f t="shared" si="71"/>
        <v>Needs Improvement</v>
      </c>
      <c r="I398" s="22">
        <v>1</v>
      </c>
      <c r="J398" s="22" t="str">
        <f t="shared" si="72"/>
        <v>Improved</v>
      </c>
      <c r="K398" s="31">
        <v>0.77</v>
      </c>
      <c r="L398" s="24">
        <v>1.8</v>
      </c>
      <c r="M398" s="22" t="s">
        <v>59</v>
      </c>
      <c r="N398" s="22" t="str">
        <f t="shared" si="73"/>
        <v>Low</v>
      </c>
      <c r="O398" t="str">
        <f>INDEX(NineBox,MATCH(N398,{"Low","Mid","High"},0),MATCH(M398,{"Low","Medium","High"},0))</f>
        <v>Underperformer</v>
      </c>
      <c r="P398" s="28">
        <v>45982</v>
      </c>
      <c r="Q398" s="24">
        <f t="shared" si="74"/>
        <v>0.85694729637234768</v>
      </c>
      <c r="R398" s="22" t="str">
        <f t="shared" si="75"/>
        <v>Not Eligible</v>
      </c>
      <c r="S398" t="str">
        <f t="shared" si="76"/>
        <v>Rating below 4</v>
      </c>
      <c r="T398" s="22" t="s">
        <v>1687</v>
      </c>
    </row>
    <row r="399" spans="1:20" x14ac:dyDescent="0.3">
      <c r="A399" s="22" t="s">
        <v>1377</v>
      </c>
      <c r="B399" s="29" t="str">
        <f t="shared" si="66"/>
        <v>Vidya Desai</v>
      </c>
      <c r="C399" s="29" t="str">
        <f t="shared" si="67"/>
        <v>Ashish Varghese</v>
      </c>
      <c r="D399" s="29" t="str">
        <f t="shared" si="68"/>
        <v>Customer Support</v>
      </c>
      <c r="E399" s="30" t="str">
        <f t="shared" si="69"/>
        <v>L2</v>
      </c>
      <c r="F399" s="30" t="str">
        <f t="shared" si="70"/>
        <v>Active</v>
      </c>
      <c r="G399" s="22">
        <v>2</v>
      </c>
      <c r="H399" t="str">
        <f t="shared" si="71"/>
        <v>Needs Improvement</v>
      </c>
      <c r="I399" s="22">
        <v>1</v>
      </c>
      <c r="J399" s="22" t="str">
        <f t="shared" si="72"/>
        <v>Improved</v>
      </c>
      <c r="K399" s="31">
        <v>0.71</v>
      </c>
      <c r="L399" s="24">
        <v>1.3</v>
      </c>
      <c r="M399" s="22" t="s">
        <v>60</v>
      </c>
      <c r="N399" s="22" t="str">
        <f t="shared" si="73"/>
        <v>Low</v>
      </c>
      <c r="O399" t="str">
        <f>INDEX(NineBox,MATCH(N399,{"Low","Mid","High"},0),MATCH(M399,{"Low","Medium","High"},0))</f>
        <v>Inconsistent Player</v>
      </c>
      <c r="P399" s="28">
        <v>45983</v>
      </c>
      <c r="Q399" s="24">
        <f t="shared" si="74"/>
        <v>0.85420944558521561</v>
      </c>
      <c r="R399" s="22" t="str">
        <f t="shared" si="75"/>
        <v>Not Eligible</v>
      </c>
      <c r="S399" t="str">
        <f t="shared" si="76"/>
        <v>Rating below 4</v>
      </c>
      <c r="T399" s="22" t="s">
        <v>1687</v>
      </c>
    </row>
    <row r="400" spans="1:20" x14ac:dyDescent="0.3">
      <c r="A400" s="22" t="s">
        <v>1380</v>
      </c>
      <c r="B400" s="29" t="str">
        <f t="shared" si="66"/>
        <v>Vishal Kumar</v>
      </c>
      <c r="C400" s="29" t="str">
        <f t="shared" si="67"/>
        <v>Ramya Khanna</v>
      </c>
      <c r="D400" s="29" t="str">
        <f t="shared" si="68"/>
        <v>Legal &amp; Compliance</v>
      </c>
      <c r="E400" s="30" t="str">
        <f t="shared" si="69"/>
        <v>L4</v>
      </c>
      <c r="F400" s="30" t="str">
        <f t="shared" si="70"/>
        <v>Active</v>
      </c>
      <c r="G400" s="22">
        <v>3</v>
      </c>
      <c r="H400" t="str">
        <f t="shared" si="71"/>
        <v>Meets Expectations</v>
      </c>
      <c r="I400" s="22">
        <v>4</v>
      </c>
      <c r="J400" s="22" t="str">
        <f t="shared" si="72"/>
        <v>Declined</v>
      </c>
      <c r="K400" s="31">
        <v>0.9</v>
      </c>
      <c r="L400" s="24">
        <v>3.4</v>
      </c>
      <c r="M400" s="22" t="s">
        <v>61</v>
      </c>
      <c r="N400" s="22" t="str">
        <f t="shared" si="73"/>
        <v>Mid</v>
      </c>
      <c r="O400" t="str">
        <f>INDEX(NineBox,MATCH(N400,{"Low","Mid","High"},0),MATCH(M400,{"Low","Medium","High"},0))</f>
        <v>Future Star</v>
      </c>
      <c r="P400" s="28">
        <v>45983</v>
      </c>
      <c r="Q400" s="24">
        <f t="shared" si="74"/>
        <v>0.85420944558521561</v>
      </c>
      <c r="R400" s="22" t="str">
        <f t="shared" si="75"/>
        <v>Not Eligible</v>
      </c>
      <c r="S400" t="str">
        <f t="shared" si="76"/>
        <v>Rating below 4</v>
      </c>
      <c r="T400" s="22" t="s">
        <v>1687</v>
      </c>
    </row>
    <row r="401" spans="1:20" x14ac:dyDescent="0.3">
      <c r="A401" s="22" t="s">
        <v>1383</v>
      </c>
      <c r="B401" s="29" t="str">
        <f t="shared" si="66"/>
        <v>Suresh Singh</v>
      </c>
      <c r="C401" s="29" t="str">
        <f t="shared" si="67"/>
        <v>Isha Verma</v>
      </c>
      <c r="D401" s="29" t="str">
        <f t="shared" si="68"/>
        <v>Customer Support</v>
      </c>
      <c r="E401" s="30" t="str">
        <f t="shared" si="69"/>
        <v>L2</v>
      </c>
      <c r="F401" s="30" t="str">
        <f t="shared" si="70"/>
        <v>Active</v>
      </c>
      <c r="G401" s="22">
        <v>2</v>
      </c>
      <c r="H401" t="str">
        <f t="shared" si="71"/>
        <v>Needs Improvement</v>
      </c>
      <c r="I401" s="22">
        <v>2</v>
      </c>
      <c r="J401" s="22" t="str">
        <f t="shared" si="72"/>
        <v>Stable</v>
      </c>
      <c r="K401" s="31">
        <v>0.65</v>
      </c>
      <c r="L401" s="24">
        <v>1.2</v>
      </c>
      <c r="M401" s="22" t="s">
        <v>59</v>
      </c>
      <c r="N401" s="22" t="str">
        <f t="shared" si="73"/>
        <v>Low</v>
      </c>
      <c r="O401" t="str">
        <f>INDEX(NineBox,MATCH(N401,{"Low","Mid","High"},0),MATCH(M401,{"Low","Medium","High"},0))</f>
        <v>Underperformer</v>
      </c>
      <c r="P401" s="28">
        <v>45986</v>
      </c>
      <c r="Q401" s="24">
        <f t="shared" si="74"/>
        <v>0.8459958932238193</v>
      </c>
      <c r="R401" s="22" t="str">
        <f t="shared" si="75"/>
        <v>Not Eligible</v>
      </c>
      <c r="S401" t="str">
        <f t="shared" si="76"/>
        <v>Rating below 4</v>
      </c>
      <c r="T401" s="22" t="s">
        <v>1687</v>
      </c>
    </row>
    <row r="402" spans="1:20" x14ac:dyDescent="0.3">
      <c r="A402" s="22" t="s">
        <v>1386</v>
      </c>
      <c r="B402" s="29" t="str">
        <f t="shared" si="66"/>
        <v>Mansi Yadav</v>
      </c>
      <c r="C402" s="29" t="str">
        <f t="shared" si="67"/>
        <v>Madhuri Menon</v>
      </c>
      <c r="D402" s="29" t="str">
        <f t="shared" si="68"/>
        <v>Engineering</v>
      </c>
      <c r="E402" s="30" t="str">
        <f t="shared" si="69"/>
        <v>L1</v>
      </c>
      <c r="F402" s="30" t="str">
        <f t="shared" si="70"/>
        <v>Active</v>
      </c>
      <c r="G402" s="22">
        <v>2</v>
      </c>
      <c r="H402" t="str">
        <f t="shared" si="71"/>
        <v>Needs Improvement</v>
      </c>
      <c r="I402" s="22">
        <v>2</v>
      </c>
      <c r="J402" s="22" t="str">
        <f t="shared" si="72"/>
        <v>Stable</v>
      </c>
      <c r="K402" s="31">
        <v>0.67</v>
      </c>
      <c r="L402" s="24">
        <v>2.2000000000000002</v>
      </c>
      <c r="M402" s="22" t="s">
        <v>60</v>
      </c>
      <c r="N402" s="22" t="str">
        <f t="shared" si="73"/>
        <v>Low</v>
      </c>
      <c r="O402" t="str">
        <f>INDEX(NineBox,MATCH(N402,{"Low","Mid","High"},0),MATCH(M402,{"Low","Medium","High"},0))</f>
        <v>Inconsistent Player</v>
      </c>
      <c r="P402" s="28">
        <v>45994</v>
      </c>
      <c r="Q402" s="24">
        <f t="shared" si="74"/>
        <v>0.82409308692676253</v>
      </c>
      <c r="R402" s="22" t="str">
        <f t="shared" si="75"/>
        <v>Not Eligible</v>
      </c>
      <c r="S402" t="str">
        <f t="shared" si="76"/>
        <v>Rating below 4</v>
      </c>
      <c r="T402" s="22" t="s">
        <v>1687</v>
      </c>
    </row>
    <row r="403" spans="1:20" x14ac:dyDescent="0.3">
      <c r="A403" s="22" t="s">
        <v>1389</v>
      </c>
      <c r="B403" s="29" t="str">
        <f t="shared" si="66"/>
        <v>Tarun Prabhu</v>
      </c>
      <c r="C403" s="29" t="str">
        <f t="shared" si="67"/>
        <v>Trisha Malhotra</v>
      </c>
      <c r="D403" s="29" t="str">
        <f t="shared" si="68"/>
        <v>Product</v>
      </c>
      <c r="E403" s="30" t="str">
        <f t="shared" si="69"/>
        <v>L1</v>
      </c>
      <c r="F403" s="30" t="str">
        <f t="shared" si="70"/>
        <v>Active</v>
      </c>
      <c r="G403" s="22">
        <v>3</v>
      </c>
      <c r="H403" t="str">
        <f t="shared" si="71"/>
        <v>Meets Expectations</v>
      </c>
      <c r="I403" s="22">
        <v>2</v>
      </c>
      <c r="J403" s="22" t="str">
        <f t="shared" si="72"/>
        <v>Improved</v>
      </c>
      <c r="K403" s="31">
        <v>0.81</v>
      </c>
      <c r="L403" s="24">
        <v>3.9</v>
      </c>
      <c r="M403" s="22" t="s">
        <v>60</v>
      </c>
      <c r="N403" s="22" t="str">
        <f t="shared" si="73"/>
        <v>Mid</v>
      </c>
      <c r="O403" t="str">
        <f>INDEX(NineBox,MATCH(N403,{"Low","Mid","High"},0),MATCH(M403,{"Low","Medium","High"},0))</f>
        <v>Core Player</v>
      </c>
      <c r="P403" s="28">
        <v>45997</v>
      </c>
      <c r="Q403" s="24">
        <f t="shared" si="74"/>
        <v>0.81587953456536622</v>
      </c>
      <c r="R403" s="22" t="str">
        <f t="shared" si="75"/>
        <v>Not Eligible</v>
      </c>
      <c r="S403" t="str">
        <f t="shared" si="76"/>
        <v>Rating below 4</v>
      </c>
      <c r="T403" s="22" t="s">
        <v>1687</v>
      </c>
    </row>
    <row r="404" spans="1:20" x14ac:dyDescent="0.3">
      <c r="A404" s="22" t="s">
        <v>1392</v>
      </c>
      <c r="B404" s="29" t="str">
        <f t="shared" si="66"/>
        <v>Tarun Naidu</v>
      </c>
      <c r="C404" s="29" t="str">
        <f t="shared" si="67"/>
        <v>Yash Raghavan</v>
      </c>
      <c r="D404" s="29" t="str">
        <f t="shared" si="68"/>
        <v>Sales</v>
      </c>
      <c r="E404" s="30" t="str">
        <f t="shared" si="69"/>
        <v>L2</v>
      </c>
      <c r="F404" s="30" t="str">
        <f t="shared" si="70"/>
        <v>Exited</v>
      </c>
      <c r="G404" s="22">
        <v>2</v>
      </c>
      <c r="H404" t="str">
        <f t="shared" si="71"/>
        <v>Needs Improvement</v>
      </c>
      <c r="I404" s="22">
        <v>2</v>
      </c>
      <c r="J404" s="22" t="str">
        <f t="shared" si="72"/>
        <v>Stable</v>
      </c>
      <c r="K404" s="31">
        <v>0.67</v>
      </c>
      <c r="L404" s="24">
        <v>1.5</v>
      </c>
      <c r="M404" s="22" t="s">
        <v>60</v>
      </c>
      <c r="N404" s="22" t="str">
        <f t="shared" si="73"/>
        <v>Low</v>
      </c>
      <c r="O404" t="str">
        <f>INDEX(NineBox,MATCH(N404,{"Low","Mid","High"},0),MATCH(M404,{"Low","Medium","High"},0))</f>
        <v>Inconsistent Player</v>
      </c>
      <c r="P404" s="28">
        <v>46006</v>
      </c>
      <c r="Q404" s="24">
        <f t="shared" si="74"/>
        <v>0.79123887748117727</v>
      </c>
      <c r="R404" s="22" t="str">
        <f t="shared" si="75"/>
        <v>Not Eligible</v>
      </c>
      <c r="S404" t="str">
        <f t="shared" si="76"/>
        <v>Employee has exited</v>
      </c>
      <c r="T404" s="22" t="s">
        <v>1687</v>
      </c>
    </row>
    <row r="405" spans="1:20" x14ac:dyDescent="0.3">
      <c r="A405" s="22" t="s">
        <v>1395</v>
      </c>
      <c r="B405" s="29" t="str">
        <f t="shared" si="66"/>
        <v>Meera Khanna</v>
      </c>
      <c r="C405" s="29" t="str">
        <f t="shared" si="67"/>
        <v>Amit Kumar</v>
      </c>
      <c r="D405" s="29" t="str">
        <f t="shared" si="68"/>
        <v>Operations</v>
      </c>
      <c r="E405" s="30" t="str">
        <f t="shared" si="69"/>
        <v>L1</v>
      </c>
      <c r="F405" s="30" t="str">
        <f t="shared" si="70"/>
        <v>Active</v>
      </c>
      <c r="G405" s="22">
        <v>4</v>
      </c>
      <c r="H405" t="str">
        <f t="shared" si="71"/>
        <v>Exceeds Expectations</v>
      </c>
      <c r="I405" s="22">
        <v>5</v>
      </c>
      <c r="J405" s="22" t="str">
        <f t="shared" si="72"/>
        <v>Declined</v>
      </c>
      <c r="K405" s="31">
        <v>0.88</v>
      </c>
      <c r="L405" s="24">
        <v>4.2</v>
      </c>
      <c r="M405" s="22" t="s">
        <v>61</v>
      </c>
      <c r="N405" s="22" t="str">
        <f t="shared" si="73"/>
        <v>High</v>
      </c>
      <c r="O405" t="str">
        <f>INDEX(NineBox,MATCH(N405,{"Low","Mid","High"},0),MATCH(M405,{"Low","Medium","High"},0))</f>
        <v>Star</v>
      </c>
      <c r="P405" s="28">
        <v>46008</v>
      </c>
      <c r="Q405" s="24">
        <f t="shared" si="74"/>
        <v>0.78576317590691303</v>
      </c>
      <c r="R405" s="22" t="str">
        <f t="shared" si="75"/>
        <v>Not Eligible</v>
      </c>
      <c r="S405" t="str">
        <f t="shared" si="76"/>
        <v>Under 1.5 yrs in current level</v>
      </c>
      <c r="T405" s="22" t="s">
        <v>1687</v>
      </c>
    </row>
    <row r="406" spans="1:20" x14ac:dyDescent="0.3">
      <c r="A406" s="22" t="s">
        <v>1398</v>
      </c>
      <c r="B406" s="29" t="str">
        <f t="shared" si="66"/>
        <v>Rashmi Banerjee</v>
      </c>
      <c r="C406" s="29" t="str">
        <f t="shared" si="67"/>
        <v>Prakash Das</v>
      </c>
      <c r="D406" s="29" t="str">
        <f t="shared" si="68"/>
        <v>Human Resources</v>
      </c>
      <c r="E406" s="30" t="str">
        <f t="shared" si="69"/>
        <v>L1</v>
      </c>
      <c r="F406" s="30" t="str">
        <f t="shared" si="70"/>
        <v>Active</v>
      </c>
      <c r="G406" s="22">
        <v>3</v>
      </c>
      <c r="H406" t="str">
        <f t="shared" si="71"/>
        <v>Meets Expectations</v>
      </c>
      <c r="I406" s="22">
        <v>3</v>
      </c>
      <c r="J406" s="22" t="str">
        <f t="shared" si="72"/>
        <v>Stable</v>
      </c>
      <c r="K406" s="31">
        <v>0.9</v>
      </c>
      <c r="L406" s="24">
        <v>2.8</v>
      </c>
      <c r="M406" s="22" t="s">
        <v>60</v>
      </c>
      <c r="N406" s="22" t="str">
        <f t="shared" si="73"/>
        <v>Mid</v>
      </c>
      <c r="O406" t="str">
        <f>INDEX(NineBox,MATCH(N406,{"Low","Mid","High"},0),MATCH(M406,{"Low","Medium","High"},0))</f>
        <v>Core Player</v>
      </c>
      <c r="P406" s="28">
        <v>46009</v>
      </c>
      <c r="Q406" s="24">
        <f t="shared" si="74"/>
        <v>0.78302532511978096</v>
      </c>
      <c r="R406" s="22" t="str">
        <f t="shared" si="75"/>
        <v>Not Eligible</v>
      </c>
      <c r="S406" t="str">
        <f t="shared" si="76"/>
        <v>Rating below 4</v>
      </c>
      <c r="T406" s="22" t="s">
        <v>1688</v>
      </c>
    </row>
    <row r="407" spans="1:20" x14ac:dyDescent="0.3">
      <c r="A407" s="22" t="s">
        <v>1401</v>
      </c>
      <c r="B407" s="29" t="str">
        <f t="shared" si="66"/>
        <v>Anand Bose</v>
      </c>
      <c r="C407" s="29" t="str">
        <f t="shared" si="67"/>
        <v>Ankit Khanna</v>
      </c>
      <c r="D407" s="29" t="str">
        <f t="shared" si="68"/>
        <v>Operations</v>
      </c>
      <c r="E407" s="30" t="str">
        <f t="shared" si="69"/>
        <v>L2</v>
      </c>
      <c r="F407" s="30" t="str">
        <f t="shared" si="70"/>
        <v>Exited</v>
      </c>
      <c r="G407" s="22">
        <v>3</v>
      </c>
      <c r="H407" t="str">
        <f t="shared" si="71"/>
        <v>Meets Expectations</v>
      </c>
      <c r="I407" s="22">
        <v>2</v>
      </c>
      <c r="J407" s="22" t="str">
        <f t="shared" si="72"/>
        <v>Improved</v>
      </c>
      <c r="K407" s="31">
        <v>0.79</v>
      </c>
      <c r="L407" s="24">
        <v>2.4</v>
      </c>
      <c r="M407" s="22" t="s">
        <v>59</v>
      </c>
      <c r="N407" s="22" t="str">
        <f t="shared" si="73"/>
        <v>Mid</v>
      </c>
      <c r="O407" t="str">
        <f>INDEX(NineBox,MATCH(N407,{"Low","Mid","High"},0),MATCH(M407,{"Low","Medium","High"},0))</f>
        <v>Effective Contributor</v>
      </c>
      <c r="P407" s="28">
        <v>46014</v>
      </c>
      <c r="Q407" s="24">
        <f t="shared" si="74"/>
        <v>0.76933607118412051</v>
      </c>
      <c r="R407" s="22" t="str">
        <f t="shared" si="75"/>
        <v>Not Eligible</v>
      </c>
      <c r="S407" t="str">
        <f t="shared" si="76"/>
        <v>Employee has exited</v>
      </c>
      <c r="T407" s="22" t="s">
        <v>1687</v>
      </c>
    </row>
    <row r="408" spans="1:20" x14ac:dyDescent="0.3">
      <c r="A408" s="22" t="s">
        <v>823</v>
      </c>
      <c r="B408" s="29" t="str">
        <f t="shared" si="66"/>
        <v>Anand Naidu</v>
      </c>
      <c r="C408" s="29" t="str">
        <f t="shared" si="67"/>
        <v>Pooja Khanna</v>
      </c>
      <c r="D408" s="29" t="str">
        <f t="shared" si="68"/>
        <v>Customer Support</v>
      </c>
      <c r="E408" s="30" t="str">
        <f t="shared" si="69"/>
        <v>L5</v>
      </c>
      <c r="F408" s="30" t="str">
        <f t="shared" si="70"/>
        <v>Active</v>
      </c>
      <c r="G408" s="22">
        <v>3</v>
      </c>
      <c r="H408" t="str">
        <f t="shared" si="71"/>
        <v>Meets Expectations</v>
      </c>
      <c r="I408" s="22">
        <v>3</v>
      </c>
      <c r="J408" s="22" t="str">
        <f t="shared" si="72"/>
        <v>Stable</v>
      </c>
      <c r="K408" s="31">
        <v>0.74</v>
      </c>
      <c r="L408" s="24">
        <v>3.2</v>
      </c>
      <c r="M408" s="22" t="s">
        <v>59</v>
      </c>
      <c r="N408" s="22" t="str">
        <f t="shared" si="73"/>
        <v>Mid</v>
      </c>
      <c r="O408" t="str">
        <f>INDEX(NineBox,MATCH(N408,{"Low","Mid","High"},0),MATCH(M408,{"Low","Medium","High"},0))</f>
        <v>Effective Contributor</v>
      </c>
      <c r="P408" s="28">
        <v>46017</v>
      </c>
      <c r="Q408" s="24">
        <f t="shared" si="74"/>
        <v>0.76112251882272419</v>
      </c>
      <c r="R408" s="22" t="str">
        <f t="shared" si="75"/>
        <v>Not Eligible</v>
      </c>
      <c r="S408" t="str">
        <f t="shared" si="76"/>
        <v>Rating below 4</v>
      </c>
      <c r="T408" s="22" t="s">
        <v>1687</v>
      </c>
    </row>
    <row r="409" spans="1:20" x14ac:dyDescent="0.3">
      <c r="A409" s="22" t="s">
        <v>1405</v>
      </c>
      <c r="B409" s="29" t="str">
        <f t="shared" si="66"/>
        <v>Rashmi Kamath</v>
      </c>
      <c r="C409" s="29" t="str">
        <f t="shared" si="67"/>
        <v>Akash Dsouza</v>
      </c>
      <c r="D409" s="29" t="str">
        <f t="shared" si="68"/>
        <v>Customer Support</v>
      </c>
      <c r="E409" s="30" t="str">
        <f t="shared" si="69"/>
        <v>L2</v>
      </c>
      <c r="F409" s="30" t="str">
        <f t="shared" si="70"/>
        <v>Active</v>
      </c>
      <c r="G409" s="22">
        <v>2</v>
      </c>
      <c r="H409" t="str">
        <f t="shared" si="71"/>
        <v>Needs Improvement</v>
      </c>
      <c r="I409" s="22">
        <v>3</v>
      </c>
      <c r="J409" s="22" t="str">
        <f t="shared" si="72"/>
        <v>Declined</v>
      </c>
      <c r="K409" s="31">
        <v>0.8</v>
      </c>
      <c r="L409" s="24">
        <v>2.2999999999999998</v>
      </c>
      <c r="M409" s="22" t="s">
        <v>60</v>
      </c>
      <c r="N409" s="22" t="str">
        <f t="shared" si="73"/>
        <v>Low</v>
      </c>
      <c r="O409" t="str">
        <f>INDEX(NineBox,MATCH(N409,{"Low","Mid","High"},0),MATCH(M409,{"Low","Medium","High"},0))</f>
        <v>Inconsistent Player</v>
      </c>
      <c r="P409" s="28">
        <v>46017</v>
      </c>
      <c r="Q409" s="24">
        <f t="shared" si="74"/>
        <v>0.76112251882272419</v>
      </c>
      <c r="R409" s="22" t="str">
        <f t="shared" si="75"/>
        <v>Not Eligible</v>
      </c>
      <c r="S409" t="str">
        <f t="shared" si="76"/>
        <v>Rating below 4</v>
      </c>
      <c r="T409" s="22" t="s">
        <v>1687</v>
      </c>
    </row>
    <row r="410" spans="1:20" x14ac:dyDescent="0.3">
      <c r="A410" s="22" t="s">
        <v>1408</v>
      </c>
      <c r="B410" s="29" t="str">
        <f t="shared" si="66"/>
        <v>Radhika Menon</v>
      </c>
      <c r="C410" s="29" t="str">
        <f t="shared" si="67"/>
        <v>Ankit Khanna</v>
      </c>
      <c r="D410" s="29" t="str">
        <f t="shared" si="68"/>
        <v>Operations</v>
      </c>
      <c r="E410" s="30" t="str">
        <f t="shared" si="69"/>
        <v>L2</v>
      </c>
      <c r="F410" s="30" t="str">
        <f t="shared" si="70"/>
        <v>Active</v>
      </c>
      <c r="G410" s="22">
        <v>3</v>
      </c>
      <c r="H410" t="str">
        <f t="shared" si="71"/>
        <v>Meets Expectations</v>
      </c>
      <c r="I410" s="22">
        <v>3</v>
      </c>
      <c r="J410" s="22" t="str">
        <f t="shared" si="72"/>
        <v>Stable</v>
      </c>
      <c r="K410" s="31">
        <v>0.66</v>
      </c>
      <c r="L410" s="24">
        <v>3.5</v>
      </c>
      <c r="M410" s="22" t="s">
        <v>60</v>
      </c>
      <c r="N410" s="22" t="str">
        <f t="shared" si="73"/>
        <v>Mid</v>
      </c>
      <c r="O410" t="str">
        <f>INDEX(NineBox,MATCH(N410,{"Low","Mid","High"},0),MATCH(M410,{"Low","Medium","High"},0))</f>
        <v>Core Player</v>
      </c>
      <c r="P410" s="28">
        <v>46018</v>
      </c>
      <c r="Q410" s="24">
        <f t="shared" si="74"/>
        <v>0.75838466803559201</v>
      </c>
      <c r="R410" s="22" t="str">
        <f t="shared" si="75"/>
        <v>Not Eligible</v>
      </c>
      <c r="S410" t="str">
        <f t="shared" si="76"/>
        <v>Rating below 4</v>
      </c>
      <c r="T410" s="22" t="s">
        <v>1687</v>
      </c>
    </row>
    <row r="411" spans="1:20" x14ac:dyDescent="0.3">
      <c r="A411" s="22" t="s">
        <v>258</v>
      </c>
      <c r="B411" s="29" t="str">
        <f t="shared" si="66"/>
        <v>Ravi Prabhu</v>
      </c>
      <c r="C411" s="29" t="str">
        <f t="shared" si="67"/>
        <v>Karan Patel</v>
      </c>
      <c r="D411" s="29" t="str">
        <f t="shared" si="68"/>
        <v>Finance</v>
      </c>
      <c r="E411" s="30" t="str">
        <f t="shared" si="69"/>
        <v>L5</v>
      </c>
      <c r="F411" s="30" t="str">
        <f t="shared" si="70"/>
        <v>Active</v>
      </c>
      <c r="G411" s="22">
        <v>4</v>
      </c>
      <c r="H411" t="str">
        <f t="shared" si="71"/>
        <v>Exceeds Expectations</v>
      </c>
      <c r="I411" s="22">
        <v>4</v>
      </c>
      <c r="J411" s="22" t="str">
        <f t="shared" si="72"/>
        <v>Stable</v>
      </c>
      <c r="K411" s="31">
        <v>0.94</v>
      </c>
      <c r="L411" s="24">
        <v>4</v>
      </c>
      <c r="M411" s="22" t="s">
        <v>60</v>
      </c>
      <c r="N411" s="22" t="str">
        <f t="shared" si="73"/>
        <v>High</v>
      </c>
      <c r="O411" t="str">
        <f>INDEX(NineBox,MATCH(N411,{"Low","Mid","High"},0),MATCH(M411,{"Low","Medium","High"},0))</f>
        <v>High Performer</v>
      </c>
      <c r="P411" s="28">
        <v>46019</v>
      </c>
      <c r="Q411" s="24">
        <f t="shared" si="74"/>
        <v>0.75564681724845995</v>
      </c>
      <c r="R411" s="22" t="str">
        <f t="shared" si="75"/>
        <v>Not Eligible</v>
      </c>
      <c r="S411" t="str">
        <f t="shared" si="76"/>
        <v>Under 1.5 yrs in current level</v>
      </c>
      <c r="T411" s="22" t="s">
        <v>1687</v>
      </c>
    </row>
    <row r="412" spans="1:20" x14ac:dyDescent="0.3">
      <c r="A412" s="22" t="s">
        <v>1412</v>
      </c>
      <c r="B412" s="29" t="str">
        <f t="shared" si="66"/>
        <v>Kunal Joshi</v>
      </c>
      <c r="C412" s="29" t="str">
        <f t="shared" si="67"/>
        <v>Vikram Verma</v>
      </c>
      <c r="D412" s="29" t="str">
        <f t="shared" si="68"/>
        <v>Engineering</v>
      </c>
      <c r="E412" s="30" t="str">
        <f t="shared" si="69"/>
        <v>L2</v>
      </c>
      <c r="F412" s="30" t="str">
        <f t="shared" si="70"/>
        <v>Active</v>
      </c>
      <c r="G412" s="22">
        <v>5</v>
      </c>
      <c r="H412" t="str">
        <f t="shared" si="71"/>
        <v>Outstanding</v>
      </c>
      <c r="I412" s="22">
        <v>5</v>
      </c>
      <c r="J412" s="22" t="str">
        <f t="shared" si="72"/>
        <v>Stable</v>
      </c>
      <c r="K412" s="31">
        <v>1</v>
      </c>
      <c r="L412" s="24">
        <v>5</v>
      </c>
      <c r="M412" s="22" t="s">
        <v>61</v>
      </c>
      <c r="N412" s="22" t="str">
        <f t="shared" si="73"/>
        <v>High</v>
      </c>
      <c r="O412" t="str">
        <f>INDEX(NineBox,MATCH(N412,{"Low","Mid","High"},0),MATCH(M412,{"Low","Medium","High"},0))</f>
        <v>Star</v>
      </c>
      <c r="P412" s="28">
        <v>46024</v>
      </c>
      <c r="Q412" s="24">
        <f t="shared" si="74"/>
        <v>0.7419575633127995</v>
      </c>
      <c r="R412" s="22" t="str">
        <f t="shared" si="75"/>
        <v>Not Eligible</v>
      </c>
      <c r="S412" t="str">
        <f t="shared" si="76"/>
        <v>Under 1.5 yrs in current level</v>
      </c>
      <c r="T412" s="22" t="s">
        <v>1687</v>
      </c>
    </row>
    <row r="413" spans="1:20" x14ac:dyDescent="0.3">
      <c r="A413" s="22" t="s">
        <v>1415</v>
      </c>
      <c r="B413" s="29" t="str">
        <f t="shared" si="66"/>
        <v>Ritu Varghese</v>
      </c>
      <c r="C413" s="29" t="str">
        <f t="shared" si="67"/>
        <v>Isha Chatterjee</v>
      </c>
      <c r="D413" s="29" t="str">
        <f t="shared" si="68"/>
        <v>Marketing</v>
      </c>
      <c r="E413" s="30" t="str">
        <f t="shared" si="69"/>
        <v>L1</v>
      </c>
      <c r="F413" s="30" t="str">
        <f t="shared" si="70"/>
        <v>Active</v>
      </c>
      <c r="G413" s="22">
        <v>4</v>
      </c>
      <c r="H413" t="str">
        <f t="shared" si="71"/>
        <v>Exceeds Expectations</v>
      </c>
      <c r="I413" s="22">
        <v>4</v>
      </c>
      <c r="J413" s="22" t="str">
        <f t="shared" si="72"/>
        <v>Stable</v>
      </c>
      <c r="K413" s="31">
        <v>1.04</v>
      </c>
      <c r="L413" s="24">
        <v>3.4</v>
      </c>
      <c r="M413" s="22" t="s">
        <v>60</v>
      </c>
      <c r="N413" s="22" t="str">
        <f t="shared" si="73"/>
        <v>High</v>
      </c>
      <c r="O413" t="str">
        <f>INDEX(NineBox,MATCH(N413,{"Low","Mid","High"},0),MATCH(M413,{"Low","Medium","High"},0))</f>
        <v>High Performer</v>
      </c>
      <c r="P413" s="28">
        <v>46028</v>
      </c>
      <c r="Q413" s="24">
        <f t="shared" si="74"/>
        <v>0.731006160164271</v>
      </c>
      <c r="R413" s="22" t="str">
        <f t="shared" si="75"/>
        <v>Not Eligible</v>
      </c>
      <c r="S413" t="str">
        <f t="shared" si="76"/>
        <v>Under 1.5 yrs in current level</v>
      </c>
      <c r="T413" s="22" t="s">
        <v>1687</v>
      </c>
    </row>
    <row r="414" spans="1:20" x14ac:dyDescent="0.3">
      <c r="A414" s="22" t="s">
        <v>1418</v>
      </c>
      <c r="B414" s="29" t="str">
        <f t="shared" si="66"/>
        <v>Joseph Ansari</v>
      </c>
      <c r="C414" s="29" t="str">
        <f t="shared" si="67"/>
        <v>Isha Chatterjee</v>
      </c>
      <c r="D414" s="29" t="str">
        <f t="shared" si="68"/>
        <v>Marketing</v>
      </c>
      <c r="E414" s="30" t="str">
        <f t="shared" si="69"/>
        <v>L2</v>
      </c>
      <c r="F414" s="30" t="str">
        <f t="shared" si="70"/>
        <v>Active</v>
      </c>
      <c r="G414" s="22">
        <v>3</v>
      </c>
      <c r="H414" t="str">
        <f t="shared" si="71"/>
        <v>Meets Expectations</v>
      </c>
      <c r="I414" s="22">
        <v>2</v>
      </c>
      <c r="J414" s="22" t="str">
        <f t="shared" si="72"/>
        <v>Improved</v>
      </c>
      <c r="K414" s="31">
        <v>0.73</v>
      </c>
      <c r="L414" s="24">
        <v>2.9</v>
      </c>
      <c r="M414" s="22" t="s">
        <v>60</v>
      </c>
      <c r="N414" s="22" t="str">
        <f t="shared" si="73"/>
        <v>Mid</v>
      </c>
      <c r="O414" t="str">
        <f>INDEX(NineBox,MATCH(N414,{"Low","Mid","High"},0),MATCH(M414,{"Low","Medium","High"},0))</f>
        <v>Core Player</v>
      </c>
      <c r="P414" s="28">
        <v>46032</v>
      </c>
      <c r="Q414" s="24">
        <f t="shared" si="74"/>
        <v>0.72005475701574262</v>
      </c>
      <c r="R414" s="22" t="str">
        <f t="shared" si="75"/>
        <v>Not Eligible</v>
      </c>
      <c r="S414" t="str">
        <f t="shared" si="76"/>
        <v>Rating below 4</v>
      </c>
      <c r="T414" s="22" t="s">
        <v>1687</v>
      </c>
    </row>
    <row r="415" spans="1:20" x14ac:dyDescent="0.3">
      <c r="A415" s="22" t="s">
        <v>1421</v>
      </c>
      <c r="B415" s="29" t="str">
        <f t="shared" si="66"/>
        <v>Nisha Saxena</v>
      </c>
      <c r="C415" s="29" t="str">
        <f t="shared" si="67"/>
        <v>Imran Joshi</v>
      </c>
      <c r="D415" s="29" t="str">
        <f t="shared" si="68"/>
        <v>Customer Support</v>
      </c>
      <c r="E415" s="30" t="str">
        <f t="shared" si="69"/>
        <v>L1</v>
      </c>
      <c r="F415" s="30" t="str">
        <f t="shared" si="70"/>
        <v>Active</v>
      </c>
      <c r="G415" s="22">
        <v>3</v>
      </c>
      <c r="H415" t="str">
        <f t="shared" si="71"/>
        <v>Meets Expectations</v>
      </c>
      <c r="I415" s="22">
        <v>4</v>
      </c>
      <c r="J415" s="22" t="str">
        <f t="shared" si="72"/>
        <v>Declined</v>
      </c>
      <c r="K415" s="31">
        <v>0.8</v>
      </c>
      <c r="L415" s="24">
        <v>3.2</v>
      </c>
      <c r="M415" s="22" t="s">
        <v>60</v>
      </c>
      <c r="N415" s="22" t="str">
        <f t="shared" si="73"/>
        <v>Mid</v>
      </c>
      <c r="O415" t="str">
        <f>INDEX(NineBox,MATCH(N415,{"Low","Mid","High"},0),MATCH(M415,{"Low","Medium","High"},0))</f>
        <v>Core Player</v>
      </c>
      <c r="P415" s="28">
        <v>46039</v>
      </c>
      <c r="Q415" s="24">
        <f t="shared" si="74"/>
        <v>0.70088980150581792</v>
      </c>
      <c r="R415" s="22" t="str">
        <f t="shared" si="75"/>
        <v>Not Eligible</v>
      </c>
      <c r="S415" t="str">
        <f t="shared" si="76"/>
        <v>Rating below 4</v>
      </c>
      <c r="T415" s="22" t="s">
        <v>1687</v>
      </c>
    </row>
    <row r="416" spans="1:20" x14ac:dyDescent="0.3">
      <c r="A416" s="22" t="s">
        <v>1424</v>
      </c>
      <c r="B416" s="29" t="str">
        <f t="shared" si="66"/>
        <v>Arun Dsouza</v>
      </c>
      <c r="C416" s="29" t="str">
        <f t="shared" si="67"/>
        <v>Prakash Desai</v>
      </c>
      <c r="D416" s="29" t="str">
        <f t="shared" si="68"/>
        <v>Engineering</v>
      </c>
      <c r="E416" s="30" t="str">
        <f t="shared" si="69"/>
        <v>L3</v>
      </c>
      <c r="F416" s="30" t="str">
        <f t="shared" si="70"/>
        <v>Active</v>
      </c>
      <c r="G416" s="22">
        <v>4</v>
      </c>
      <c r="H416" t="str">
        <f t="shared" si="71"/>
        <v>Exceeds Expectations</v>
      </c>
      <c r="I416" s="22">
        <v>4</v>
      </c>
      <c r="J416" s="22" t="str">
        <f t="shared" si="72"/>
        <v>Stable</v>
      </c>
      <c r="K416" s="31">
        <v>1.1000000000000001</v>
      </c>
      <c r="L416" s="24">
        <v>4.2</v>
      </c>
      <c r="M416" s="22" t="s">
        <v>60</v>
      </c>
      <c r="N416" s="22" t="str">
        <f t="shared" si="73"/>
        <v>High</v>
      </c>
      <c r="O416" t="str">
        <f>INDEX(NineBox,MATCH(N416,{"Low","Mid","High"},0),MATCH(M416,{"Low","Medium","High"},0))</f>
        <v>High Performer</v>
      </c>
      <c r="P416" s="28">
        <v>46041</v>
      </c>
      <c r="Q416" s="24">
        <f t="shared" si="74"/>
        <v>0.69541409993155368</v>
      </c>
      <c r="R416" s="22" t="str">
        <f t="shared" si="75"/>
        <v>Not Eligible</v>
      </c>
      <c r="S416" t="str">
        <f t="shared" si="76"/>
        <v>Under 1.5 yrs in current level</v>
      </c>
      <c r="T416" s="22" t="s">
        <v>1687</v>
      </c>
    </row>
    <row r="417" spans="1:20" x14ac:dyDescent="0.3">
      <c r="A417" s="22" t="s">
        <v>1427</v>
      </c>
      <c r="B417" s="29" t="str">
        <f t="shared" si="66"/>
        <v>Yash Varghese</v>
      </c>
      <c r="C417" s="29" t="str">
        <f t="shared" si="67"/>
        <v>Nikhil Agarwal</v>
      </c>
      <c r="D417" s="29" t="str">
        <f t="shared" si="68"/>
        <v>Sales</v>
      </c>
      <c r="E417" s="30" t="str">
        <f t="shared" si="69"/>
        <v>L1</v>
      </c>
      <c r="F417" s="30" t="str">
        <f t="shared" si="70"/>
        <v>Active</v>
      </c>
      <c r="G417" s="22">
        <v>4</v>
      </c>
      <c r="H417" t="str">
        <f t="shared" si="71"/>
        <v>Exceeds Expectations</v>
      </c>
      <c r="I417" s="22">
        <v>4</v>
      </c>
      <c r="J417" s="22" t="str">
        <f t="shared" si="72"/>
        <v>Stable</v>
      </c>
      <c r="K417" s="31">
        <v>0.9</v>
      </c>
      <c r="L417" s="24">
        <v>2.5</v>
      </c>
      <c r="M417" s="22" t="s">
        <v>60</v>
      </c>
      <c r="N417" s="22" t="str">
        <f t="shared" si="73"/>
        <v>High</v>
      </c>
      <c r="O417" t="str">
        <f>INDEX(NineBox,MATCH(N417,{"Low","Mid","High"},0),MATCH(M417,{"Low","Medium","High"},0))</f>
        <v>High Performer</v>
      </c>
      <c r="P417" s="28">
        <v>46045</v>
      </c>
      <c r="Q417" s="24">
        <f t="shared" si="74"/>
        <v>0.68446269678302529</v>
      </c>
      <c r="R417" s="22" t="str">
        <f t="shared" si="75"/>
        <v>Not Eligible</v>
      </c>
      <c r="S417" t="str">
        <f t="shared" si="76"/>
        <v>Under 1.5 yrs in current level</v>
      </c>
      <c r="T417" s="22" t="s">
        <v>1687</v>
      </c>
    </row>
    <row r="418" spans="1:20" x14ac:dyDescent="0.3">
      <c r="A418" s="22" t="s">
        <v>1430</v>
      </c>
      <c r="B418" s="29" t="str">
        <f t="shared" si="66"/>
        <v>Prakash Pillai</v>
      </c>
      <c r="C418" s="29" t="str">
        <f t="shared" si="67"/>
        <v>Bhavana Hegde</v>
      </c>
      <c r="D418" s="29" t="str">
        <f t="shared" si="68"/>
        <v>Engineering</v>
      </c>
      <c r="E418" s="30" t="str">
        <f t="shared" si="69"/>
        <v>L1</v>
      </c>
      <c r="F418" s="30" t="str">
        <f t="shared" si="70"/>
        <v>Active</v>
      </c>
      <c r="G418" s="22">
        <v>3</v>
      </c>
      <c r="H418" t="str">
        <f t="shared" si="71"/>
        <v>Meets Expectations</v>
      </c>
      <c r="I418" s="22">
        <v>4</v>
      </c>
      <c r="J418" s="22" t="str">
        <f t="shared" si="72"/>
        <v>Declined</v>
      </c>
      <c r="K418" s="31">
        <v>0.79</v>
      </c>
      <c r="L418" s="24">
        <v>3.1</v>
      </c>
      <c r="M418" s="22" t="s">
        <v>60</v>
      </c>
      <c r="N418" s="22" t="str">
        <f t="shared" si="73"/>
        <v>Mid</v>
      </c>
      <c r="O418" t="str">
        <f>INDEX(NineBox,MATCH(N418,{"Low","Mid","High"},0),MATCH(M418,{"Low","Medium","High"},0))</f>
        <v>Core Player</v>
      </c>
      <c r="P418" s="28">
        <v>46048</v>
      </c>
      <c r="Q418" s="24">
        <f t="shared" si="74"/>
        <v>0.67624914442162898</v>
      </c>
      <c r="R418" s="22" t="str">
        <f t="shared" si="75"/>
        <v>Not Eligible</v>
      </c>
      <c r="S418" t="str">
        <f t="shared" si="76"/>
        <v>Rating below 4</v>
      </c>
      <c r="T418" s="22" t="s">
        <v>1687</v>
      </c>
    </row>
    <row r="419" spans="1:20" x14ac:dyDescent="0.3">
      <c r="A419" s="22" t="s">
        <v>1433</v>
      </c>
      <c r="B419" s="29" t="str">
        <f t="shared" si="66"/>
        <v>Imran Iyer</v>
      </c>
      <c r="C419" s="29" t="str">
        <f t="shared" si="67"/>
        <v>Ajay Kumar</v>
      </c>
      <c r="D419" s="29" t="str">
        <f t="shared" si="68"/>
        <v>Operations</v>
      </c>
      <c r="E419" s="30" t="str">
        <f t="shared" si="69"/>
        <v>L3</v>
      </c>
      <c r="F419" s="30" t="str">
        <f t="shared" si="70"/>
        <v>Exited</v>
      </c>
      <c r="G419" s="22">
        <v>3</v>
      </c>
      <c r="H419" t="str">
        <f t="shared" si="71"/>
        <v>Meets Expectations</v>
      </c>
      <c r="I419" s="22">
        <v>2</v>
      </c>
      <c r="J419" s="22" t="str">
        <f t="shared" si="72"/>
        <v>Improved</v>
      </c>
      <c r="K419" s="31">
        <v>0.59</v>
      </c>
      <c r="L419" s="24">
        <v>3.4</v>
      </c>
      <c r="M419" s="22" t="s">
        <v>61</v>
      </c>
      <c r="N419" s="22" t="str">
        <f t="shared" si="73"/>
        <v>Mid</v>
      </c>
      <c r="O419" t="str">
        <f>INDEX(NineBox,MATCH(N419,{"Low","Mid","High"},0),MATCH(M419,{"Low","Medium","High"},0))</f>
        <v>Future Star</v>
      </c>
      <c r="P419" s="28">
        <v>46055</v>
      </c>
      <c r="Q419" s="24">
        <f t="shared" si="74"/>
        <v>0.65708418891170428</v>
      </c>
      <c r="R419" s="22" t="str">
        <f t="shared" si="75"/>
        <v>Not Eligible</v>
      </c>
      <c r="S419" t="str">
        <f t="shared" si="76"/>
        <v>Employee has exited</v>
      </c>
      <c r="T419" s="22" t="s">
        <v>1688</v>
      </c>
    </row>
    <row r="420" spans="1:20" x14ac:dyDescent="0.3">
      <c r="A420" s="22" t="s">
        <v>1436</v>
      </c>
      <c r="B420" s="29" t="str">
        <f t="shared" si="66"/>
        <v>Kiran Raghavan</v>
      </c>
      <c r="C420" s="29" t="str">
        <f t="shared" si="67"/>
        <v>Kavya Krishnan</v>
      </c>
      <c r="D420" s="29" t="str">
        <f t="shared" si="68"/>
        <v>Sales</v>
      </c>
      <c r="E420" s="30" t="str">
        <f t="shared" si="69"/>
        <v>L1</v>
      </c>
      <c r="F420" s="30" t="str">
        <f t="shared" si="70"/>
        <v>Exited</v>
      </c>
      <c r="G420" s="22">
        <v>3</v>
      </c>
      <c r="H420" t="str">
        <f t="shared" si="71"/>
        <v>Meets Expectations</v>
      </c>
      <c r="I420" s="22">
        <v>4</v>
      </c>
      <c r="J420" s="22" t="str">
        <f t="shared" si="72"/>
        <v>Declined</v>
      </c>
      <c r="K420" s="31">
        <v>0.84</v>
      </c>
      <c r="L420" s="24">
        <v>2.7</v>
      </c>
      <c r="M420" s="22" t="s">
        <v>60</v>
      </c>
      <c r="N420" s="22" t="str">
        <f t="shared" si="73"/>
        <v>Mid</v>
      </c>
      <c r="O420" t="str">
        <f>INDEX(NineBox,MATCH(N420,{"Low","Mid","High"},0),MATCH(M420,{"Low","Medium","High"},0))</f>
        <v>Core Player</v>
      </c>
      <c r="P420" s="28">
        <v>46063</v>
      </c>
      <c r="Q420" s="24">
        <f t="shared" si="74"/>
        <v>0.63518138261464752</v>
      </c>
      <c r="R420" s="22" t="str">
        <f t="shared" si="75"/>
        <v>Not Eligible</v>
      </c>
      <c r="S420" t="str">
        <f t="shared" si="76"/>
        <v>Employee has exited</v>
      </c>
      <c r="T420" s="22" t="s">
        <v>1687</v>
      </c>
    </row>
    <row r="421" spans="1:20" x14ac:dyDescent="0.3">
      <c r="A421" s="22" t="s">
        <v>1439</v>
      </c>
      <c r="B421" s="29" t="str">
        <f t="shared" si="66"/>
        <v>Abhishek Krishnan</v>
      </c>
      <c r="C421" s="29" t="str">
        <f t="shared" si="67"/>
        <v>Arun Mukherjee</v>
      </c>
      <c r="D421" s="29" t="str">
        <f t="shared" si="68"/>
        <v>Data &amp; Analytics</v>
      </c>
      <c r="E421" s="30" t="str">
        <f t="shared" si="69"/>
        <v>L2</v>
      </c>
      <c r="F421" s="30" t="str">
        <f t="shared" si="70"/>
        <v>Exited</v>
      </c>
      <c r="G421" s="22">
        <v>4</v>
      </c>
      <c r="H421" t="str">
        <f t="shared" si="71"/>
        <v>Exceeds Expectations</v>
      </c>
      <c r="I421" s="22">
        <v>5</v>
      </c>
      <c r="J421" s="22" t="str">
        <f t="shared" si="72"/>
        <v>Declined</v>
      </c>
      <c r="K421" s="31">
        <v>0.87</v>
      </c>
      <c r="L421" s="24">
        <v>3.3</v>
      </c>
      <c r="M421" s="22" t="s">
        <v>60</v>
      </c>
      <c r="N421" s="22" t="str">
        <f t="shared" si="73"/>
        <v>High</v>
      </c>
      <c r="O421" t="str">
        <f>INDEX(NineBox,MATCH(N421,{"Low","Mid","High"},0),MATCH(M421,{"Low","Medium","High"},0))</f>
        <v>High Performer</v>
      </c>
      <c r="P421" s="28">
        <v>46064</v>
      </c>
      <c r="Q421" s="24">
        <f t="shared" si="74"/>
        <v>0.63244353182751545</v>
      </c>
      <c r="R421" s="22" t="str">
        <f t="shared" si="75"/>
        <v>Not Eligible</v>
      </c>
      <c r="S421" t="str">
        <f t="shared" si="76"/>
        <v>Employee has exited</v>
      </c>
      <c r="T421" s="22" t="s">
        <v>1687</v>
      </c>
    </row>
    <row r="422" spans="1:20" x14ac:dyDescent="0.3">
      <c r="A422" s="22" t="s">
        <v>1442</v>
      </c>
      <c r="B422" s="29" t="str">
        <f t="shared" si="66"/>
        <v>Aditya Rao</v>
      </c>
      <c r="C422" s="29" t="str">
        <f t="shared" si="67"/>
        <v>Amit Kumar</v>
      </c>
      <c r="D422" s="29" t="str">
        <f t="shared" si="68"/>
        <v>Operations</v>
      </c>
      <c r="E422" s="30" t="str">
        <f t="shared" si="69"/>
        <v>L3</v>
      </c>
      <c r="F422" s="30" t="str">
        <f t="shared" si="70"/>
        <v>Active</v>
      </c>
      <c r="G422" s="22">
        <v>3</v>
      </c>
      <c r="H422" t="str">
        <f t="shared" si="71"/>
        <v>Meets Expectations</v>
      </c>
      <c r="I422" s="22">
        <v>4</v>
      </c>
      <c r="J422" s="22" t="str">
        <f t="shared" si="72"/>
        <v>Declined</v>
      </c>
      <c r="K422" s="31">
        <v>0.86</v>
      </c>
      <c r="L422" s="24">
        <v>3.8</v>
      </c>
      <c r="M422" s="22" t="s">
        <v>60</v>
      </c>
      <c r="N422" s="22" t="str">
        <f t="shared" si="73"/>
        <v>Mid</v>
      </c>
      <c r="O422" t="str">
        <f>INDEX(NineBox,MATCH(N422,{"Low","Mid","High"},0),MATCH(M422,{"Low","Medium","High"},0))</f>
        <v>Core Player</v>
      </c>
      <c r="P422" s="28">
        <v>46066</v>
      </c>
      <c r="Q422" s="24">
        <f t="shared" si="74"/>
        <v>0.6269678302532512</v>
      </c>
      <c r="R422" s="22" t="str">
        <f t="shared" si="75"/>
        <v>Not Eligible</v>
      </c>
      <c r="S422" t="str">
        <f t="shared" si="76"/>
        <v>Rating below 4</v>
      </c>
      <c r="T422" s="22" t="s">
        <v>1687</v>
      </c>
    </row>
    <row r="423" spans="1:20" x14ac:dyDescent="0.3">
      <c r="A423" s="22" t="s">
        <v>1445</v>
      </c>
      <c r="B423" s="29" t="str">
        <f t="shared" si="66"/>
        <v>Anand Mukherjee</v>
      </c>
      <c r="C423" s="29" t="str">
        <f t="shared" si="67"/>
        <v>Nikhil Agarwal</v>
      </c>
      <c r="D423" s="29" t="str">
        <f t="shared" si="68"/>
        <v>Sales</v>
      </c>
      <c r="E423" s="30" t="str">
        <f t="shared" si="69"/>
        <v>L2</v>
      </c>
      <c r="F423" s="30" t="str">
        <f t="shared" si="70"/>
        <v>Active</v>
      </c>
      <c r="G423" s="22">
        <v>3</v>
      </c>
      <c r="H423" t="str">
        <f t="shared" si="71"/>
        <v>Meets Expectations</v>
      </c>
      <c r="I423" s="22">
        <v>3</v>
      </c>
      <c r="J423" s="22" t="str">
        <f t="shared" si="72"/>
        <v>Stable</v>
      </c>
      <c r="K423" s="31">
        <v>0.83</v>
      </c>
      <c r="L423" s="24">
        <v>3.1</v>
      </c>
      <c r="M423" s="22" t="s">
        <v>61</v>
      </c>
      <c r="N423" s="22" t="str">
        <f t="shared" si="73"/>
        <v>Mid</v>
      </c>
      <c r="O423" t="str">
        <f>INDEX(NineBox,MATCH(N423,{"Low","Mid","High"},0),MATCH(M423,{"Low","Medium","High"},0))</f>
        <v>Future Star</v>
      </c>
      <c r="P423" s="28">
        <v>46074</v>
      </c>
      <c r="Q423" s="24">
        <f t="shared" si="74"/>
        <v>0.60506502395619444</v>
      </c>
      <c r="R423" s="22" t="str">
        <f t="shared" si="75"/>
        <v>Not Eligible</v>
      </c>
      <c r="S423" t="str">
        <f t="shared" si="76"/>
        <v>Rating below 4</v>
      </c>
      <c r="T423" s="22" t="s">
        <v>1687</v>
      </c>
    </row>
    <row r="424" spans="1:20" x14ac:dyDescent="0.3">
      <c r="A424" s="22" t="s">
        <v>1448</v>
      </c>
      <c r="B424" s="29" t="str">
        <f t="shared" si="66"/>
        <v>Lakshmi Rao</v>
      </c>
      <c r="C424" s="29" t="str">
        <f t="shared" si="67"/>
        <v>Trisha Malhotra</v>
      </c>
      <c r="D424" s="29" t="str">
        <f t="shared" si="68"/>
        <v>Product</v>
      </c>
      <c r="E424" s="30" t="str">
        <f t="shared" si="69"/>
        <v>L4</v>
      </c>
      <c r="F424" s="30" t="str">
        <f t="shared" si="70"/>
        <v>Active</v>
      </c>
      <c r="G424" s="22">
        <v>3</v>
      </c>
      <c r="H424" t="str">
        <f t="shared" si="71"/>
        <v>Meets Expectations</v>
      </c>
      <c r="I424" s="22">
        <v>3</v>
      </c>
      <c r="J424" s="22" t="str">
        <f t="shared" si="72"/>
        <v>Stable</v>
      </c>
      <c r="K424" s="31">
        <v>0.77</v>
      </c>
      <c r="L424" s="24">
        <v>2.5</v>
      </c>
      <c r="M424" s="22" t="s">
        <v>60</v>
      </c>
      <c r="N424" s="22" t="str">
        <f t="shared" si="73"/>
        <v>Mid</v>
      </c>
      <c r="O424" t="str">
        <f>INDEX(NineBox,MATCH(N424,{"Low","Mid","High"},0),MATCH(M424,{"Low","Medium","High"},0))</f>
        <v>Core Player</v>
      </c>
      <c r="P424" s="28">
        <v>46075</v>
      </c>
      <c r="Q424" s="24">
        <f t="shared" si="74"/>
        <v>0.60232717316906226</v>
      </c>
      <c r="R424" s="22" t="str">
        <f t="shared" si="75"/>
        <v>Not Eligible</v>
      </c>
      <c r="S424" t="str">
        <f t="shared" si="76"/>
        <v>Rating below 4</v>
      </c>
      <c r="T424" s="22" t="s">
        <v>1687</v>
      </c>
    </row>
    <row r="425" spans="1:20" x14ac:dyDescent="0.3">
      <c r="A425" s="22" t="s">
        <v>1451</v>
      </c>
      <c r="B425" s="29" t="str">
        <f t="shared" si="66"/>
        <v>Naveen Kapoor</v>
      </c>
      <c r="C425" s="29" t="str">
        <f t="shared" si="67"/>
        <v>Vikas Singh</v>
      </c>
      <c r="D425" s="29" t="str">
        <f t="shared" si="68"/>
        <v>Engineering</v>
      </c>
      <c r="E425" s="30" t="str">
        <f t="shared" si="69"/>
        <v>L2</v>
      </c>
      <c r="F425" s="30" t="str">
        <f t="shared" si="70"/>
        <v>Active</v>
      </c>
      <c r="G425" s="22">
        <v>4</v>
      </c>
      <c r="H425" t="str">
        <f t="shared" si="71"/>
        <v>Exceeds Expectations</v>
      </c>
      <c r="I425" s="22">
        <v>5</v>
      </c>
      <c r="J425" s="22" t="str">
        <f t="shared" si="72"/>
        <v>Declined</v>
      </c>
      <c r="K425" s="31">
        <v>0.85</v>
      </c>
      <c r="L425" s="24">
        <v>4</v>
      </c>
      <c r="M425" s="22" t="s">
        <v>60</v>
      </c>
      <c r="N425" s="22" t="str">
        <f t="shared" si="73"/>
        <v>High</v>
      </c>
      <c r="O425" t="str">
        <f>INDEX(NineBox,MATCH(N425,{"Low","Mid","High"},0),MATCH(M425,{"Low","Medium","High"},0))</f>
        <v>High Performer</v>
      </c>
      <c r="P425" s="28">
        <v>46076</v>
      </c>
      <c r="Q425" s="24">
        <f t="shared" si="74"/>
        <v>0.59958932238193019</v>
      </c>
      <c r="R425" s="22" t="str">
        <f t="shared" si="75"/>
        <v>Not Eligible</v>
      </c>
      <c r="S425" t="str">
        <f t="shared" si="76"/>
        <v>Under 1.5 yrs in current level</v>
      </c>
      <c r="T425" s="22" t="s">
        <v>1687</v>
      </c>
    </row>
    <row r="426" spans="1:20" x14ac:dyDescent="0.3">
      <c r="A426" s="22" t="s">
        <v>1454</v>
      </c>
      <c r="B426" s="29" t="str">
        <f t="shared" si="66"/>
        <v>Pallavi Prabhu</v>
      </c>
      <c r="C426" s="29" t="str">
        <f t="shared" si="67"/>
        <v>Kritika Pandey</v>
      </c>
      <c r="D426" s="29" t="str">
        <f t="shared" si="68"/>
        <v>Finance</v>
      </c>
      <c r="E426" s="30" t="str">
        <f t="shared" si="69"/>
        <v>L2</v>
      </c>
      <c r="F426" s="30" t="str">
        <f t="shared" si="70"/>
        <v>Active</v>
      </c>
      <c r="G426" s="22">
        <v>3</v>
      </c>
      <c r="H426" t="str">
        <f t="shared" si="71"/>
        <v>Meets Expectations</v>
      </c>
      <c r="I426" s="22">
        <v>3</v>
      </c>
      <c r="J426" s="22" t="str">
        <f t="shared" si="72"/>
        <v>Stable</v>
      </c>
      <c r="K426" s="31">
        <v>0.83</v>
      </c>
      <c r="L426" s="24">
        <v>2.8</v>
      </c>
      <c r="M426" s="22" t="s">
        <v>59</v>
      </c>
      <c r="N426" s="22" t="str">
        <f t="shared" si="73"/>
        <v>Mid</v>
      </c>
      <c r="O426" t="str">
        <f>INDEX(NineBox,MATCH(N426,{"Low","Mid","High"},0),MATCH(M426,{"Low","Medium","High"},0))</f>
        <v>Effective Contributor</v>
      </c>
      <c r="P426" s="28">
        <v>46082</v>
      </c>
      <c r="Q426" s="24">
        <f t="shared" si="74"/>
        <v>0.58316221765913756</v>
      </c>
      <c r="R426" s="22" t="str">
        <f t="shared" si="75"/>
        <v>Not Eligible</v>
      </c>
      <c r="S426" t="str">
        <f t="shared" si="76"/>
        <v>Rating below 4</v>
      </c>
      <c r="T426" s="22" t="s">
        <v>1687</v>
      </c>
    </row>
    <row r="427" spans="1:20" x14ac:dyDescent="0.3">
      <c r="A427" s="22" t="s">
        <v>1457</v>
      </c>
      <c r="B427" s="29" t="str">
        <f t="shared" si="66"/>
        <v>Deepak Bansal</v>
      </c>
      <c r="C427" s="29" t="str">
        <f t="shared" si="67"/>
        <v>Anjali Iyer</v>
      </c>
      <c r="D427" s="29" t="str">
        <f t="shared" si="68"/>
        <v>Customer Support</v>
      </c>
      <c r="E427" s="30" t="str">
        <f t="shared" si="69"/>
        <v>L1</v>
      </c>
      <c r="F427" s="30" t="str">
        <f t="shared" si="70"/>
        <v>Active</v>
      </c>
      <c r="G427" s="22">
        <v>2</v>
      </c>
      <c r="H427" t="str">
        <f t="shared" si="71"/>
        <v>Needs Improvement</v>
      </c>
      <c r="I427" s="22">
        <v>3</v>
      </c>
      <c r="J427" s="22" t="str">
        <f t="shared" si="72"/>
        <v>Declined</v>
      </c>
      <c r="K427" s="31">
        <v>0.72</v>
      </c>
      <c r="L427" s="24">
        <v>1.8</v>
      </c>
      <c r="M427" s="22" t="s">
        <v>59</v>
      </c>
      <c r="N427" s="22" t="str">
        <f t="shared" si="73"/>
        <v>Low</v>
      </c>
      <c r="O427" t="str">
        <f>INDEX(NineBox,MATCH(N427,{"Low","Mid","High"},0),MATCH(M427,{"Low","Medium","High"},0))</f>
        <v>Underperformer</v>
      </c>
      <c r="P427" s="28">
        <v>46085</v>
      </c>
      <c r="Q427" s="24">
        <f t="shared" si="74"/>
        <v>0.57494866529774125</v>
      </c>
      <c r="R427" s="22" t="str">
        <f t="shared" si="75"/>
        <v>Not Eligible</v>
      </c>
      <c r="S427" t="str">
        <f t="shared" si="76"/>
        <v>Rating below 4</v>
      </c>
      <c r="T427" s="22" t="s">
        <v>1687</v>
      </c>
    </row>
    <row r="428" spans="1:20" x14ac:dyDescent="0.3">
      <c r="A428" s="22" t="s">
        <v>1460</v>
      </c>
      <c r="B428" s="29" t="str">
        <f t="shared" si="66"/>
        <v>Shreya Tiwari</v>
      </c>
      <c r="C428" s="29" t="str">
        <f t="shared" si="67"/>
        <v>Imran Joshi</v>
      </c>
      <c r="D428" s="29" t="str">
        <f t="shared" si="68"/>
        <v>Customer Support</v>
      </c>
      <c r="E428" s="30" t="str">
        <f t="shared" si="69"/>
        <v>L2</v>
      </c>
      <c r="F428" s="30" t="str">
        <f t="shared" si="70"/>
        <v>Active</v>
      </c>
      <c r="G428" s="22">
        <v>4</v>
      </c>
      <c r="H428" t="str">
        <f t="shared" si="71"/>
        <v>Exceeds Expectations</v>
      </c>
      <c r="I428" s="22">
        <v>5</v>
      </c>
      <c r="J428" s="22" t="str">
        <f t="shared" si="72"/>
        <v>Declined</v>
      </c>
      <c r="K428" s="31">
        <v>0.8</v>
      </c>
      <c r="L428" s="24">
        <v>4.9000000000000004</v>
      </c>
      <c r="M428" s="22" t="s">
        <v>61</v>
      </c>
      <c r="N428" s="22" t="str">
        <f t="shared" si="73"/>
        <v>High</v>
      </c>
      <c r="O428" t="str">
        <f>INDEX(NineBox,MATCH(N428,{"Low","Mid","High"},0),MATCH(M428,{"Low","Medium","High"},0))</f>
        <v>Star</v>
      </c>
      <c r="P428" s="28">
        <v>46087</v>
      </c>
      <c r="Q428" s="24">
        <f t="shared" si="74"/>
        <v>0.56947296372347711</v>
      </c>
      <c r="R428" s="22" t="str">
        <f t="shared" si="75"/>
        <v>Not Eligible</v>
      </c>
      <c r="S428" t="str">
        <f t="shared" si="76"/>
        <v>Under 1.5 yrs in current level</v>
      </c>
      <c r="T428" s="22" t="s">
        <v>1687</v>
      </c>
    </row>
    <row r="429" spans="1:20" x14ac:dyDescent="0.3">
      <c r="A429" s="22" t="s">
        <v>1463</v>
      </c>
      <c r="B429" s="29" t="str">
        <f t="shared" si="66"/>
        <v>Anusha Kamath</v>
      </c>
      <c r="C429" s="29" t="str">
        <f t="shared" si="67"/>
        <v>Gaurav Fernandes</v>
      </c>
      <c r="D429" s="29" t="str">
        <f t="shared" si="68"/>
        <v>Engineering</v>
      </c>
      <c r="E429" s="30" t="str">
        <f t="shared" si="69"/>
        <v>L1</v>
      </c>
      <c r="F429" s="30" t="str">
        <f t="shared" si="70"/>
        <v>Active</v>
      </c>
      <c r="G429" s="22">
        <v>2</v>
      </c>
      <c r="H429" t="str">
        <f t="shared" si="71"/>
        <v>Needs Improvement</v>
      </c>
      <c r="I429" s="22">
        <v>3</v>
      </c>
      <c r="J429" s="22" t="str">
        <f t="shared" si="72"/>
        <v>Declined</v>
      </c>
      <c r="K429" s="31">
        <v>0.67</v>
      </c>
      <c r="L429" s="24">
        <v>2.6</v>
      </c>
      <c r="M429" s="22" t="s">
        <v>59</v>
      </c>
      <c r="N429" s="22" t="str">
        <f t="shared" si="73"/>
        <v>Low</v>
      </c>
      <c r="O429" t="str">
        <f>INDEX(NineBox,MATCH(N429,{"Low","Mid","High"},0),MATCH(M429,{"Low","Medium","High"},0))</f>
        <v>Underperformer</v>
      </c>
      <c r="P429" s="28">
        <v>46090</v>
      </c>
      <c r="Q429" s="24">
        <f t="shared" si="74"/>
        <v>0.5612594113620808</v>
      </c>
      <c r="R429" s="22" t="str">
        <f t="shared" si="75"/>
        <v>Not Eligible</v>
      </c>
      <c r="S429" t="str">
        <f t="shared" si="76"/>
        <v>Rating below 4</v>
      </c>
      <c r="T429" s="22" t="s">
        <v>1687</v>
      </c>
    </row>
    <row r="430" spans="1:20" x14ac:dyDescent="0.3">
      <c r="A430" s="22" t="s">
        <v>148</v>
      </c>
      <c r="B430" s="29" t="str">
        <f t="shared" si="66"/>
        <v>Dev Bose</v>
      </c>
      <c r="C430" s="29" t="str">
        <f t="shared" si="67"/>
        <v>Arvind Rao (CEO)</v>
      </c>
      <c r="D430" s="29" t="str">
        <f t="shared" si="68"/>
        <v>Product</v>
      </c>
      <c r="E430" s="30" t="str">
        <f t="shared" si="69"/>
        <v>L7</v>
      </c>
      <c r="F430" s="30" t="str">
        <f t="shared" si="70"/>
        <v>Active</v>
      </c>
      <c r="G430" s="22">
        <v>3</v>
      </c>
      <c r="H430" t="str">
        <f t="shared" si="71"/>
        <v>Meets Expectations</v>
      </c>
      <c r="I430" s="22">
        <v>3</v>
      </c>
      <c r="J430" s="22" t="str">
        <f t="shared" si="72"/>
        <v>Stable</v>
      </c>
      <c r="K430" s="31">
        <v>0.67</v>
      </c>
      <c r="L430" s="24">
        <v>3.1</v>
      </c>
      <c r="M430" s="22" t="s">
        <v>59</v>
      </c>
      <c r="N430" s="22" t="str">
        <f t="shared" si="73"/>
        <v>Mid</v>
      </c>
      <c r="O430" t="str">
        <f>INDEX(NineBox,MATCH(N430,{"Low","Mid","High"},0),MATCH(M430,{"Low","Medium","High"},0))</f>
        <v>Effective Contributor</v>
      </c>
      <c r="P430" s="28">
        <v>46093</v>
      </c>
      <c r="Q430" s="24">
        <f t="shared" si="74"/>
        <v>0.55304585900068448</v>
      </c>
      <c r="R430" s="22" t="str">
        <f t="shared" si="75"/>
        <v>Not Eligible</v>
      </c>
      <c r="S430" t="str">
        <f t="shared" si="76"/>
        <v>Already at top level</v>
      </c>
      <c r="T430" s="22" t="s">
        <v>1687</v>
      </c>
    </row>
    <row r="431" spans="1:20" x14ac:dyDescent="0.3">
      <c r="A431" s="22" t="s">
        <v>1468</v>
      </c>
      <c r="B431" s="29" t="str">
        <f t="shared" si="66"/>
        <v>Divya Patel</v>
      </c>
      <c r="C431" s="29" t="str">
        <f t="shared" si="67"/>
        <v>Ajay Patel</v>
      </c>
      <c r="D431" s="29" t="str">
        <f t="shared" si="68"/>
        <v>Human Resources</v>
      </c>
      <c r="E431" s="30" t="str">
        <f t="shared" si="69"/>
        <v>L1</v>
      </c>
      <c r="F431" s="30" t="str">
        <f t="shared" si="70"/>
        <v>Active</v>
      </c>
      <c r="G431" s="22">
        <v>2</v>
      </c>
      <c r="H431" t="str">
        <f t="shared" si="71"/>
        <v>Needs Improvement</v>
      </c>
      <c r="I431" s="22">
        <v>2</v>
      </c>
      <c r="J431" s="22" t="str">
        <f t="shared" si="72"/>
        <v>Stable</v>
      </c>
      <c r="K431" s="31">
        <v>0.73</v>
      </c>
      <c r="L431" s="24">
        <v>1.8</v>
      </c>
      <c r="M431" s="22" t="s">
        <v>60</v>
      </c>
      <c r="N431" s="22" t="str">
        <f t="shared" si="73"/>
        <v>Low</v>
      </c>
      <c r="O431" t="str">
        <f>INDEX(NineBox,MATCH(N431,{"Low","Mid","High"},0),MATCH(M431,{"Low","Medium","High"},0))</f>
        <v>Inconsistent Player</v>
      </c>
      <c r="P431" s="28">
        <v>46095</v>
      </c>
      <c r="Q431" s="24">
        <f t="shared" si="74"/>
        <v>0.54757015742642023</v>
      </c>
      <c r="R431" s="22" t="str">
        <f t="shared" si="75"/>
        <v>Not Eligible</v>
      </c>
      <c r="S431" t="str">
        <f t="shared" si="76"/>
        <v>Rating below 4</v>
      </c>
      <c r="T431" s="22" t="s">
        <v>1687</v>
      </c>
    </row>
    <row r="432" spans="1:20" x14ac:dyDescent="0.3">
      <c r="A432" s="22" t="s">
        <v>1471</v>
      </c>
      <c r="B432" s="29" t="str">
        <f t="shared" si="66"/>
        <v>Nisha Kapoor</v>
      </c>
      <c r="C432" s="29" t="str">
        <f t="shared" si="67"/>
        <v>Fatima Choudhary</v>
      </c>
      <c r="D432" s="29" t="str">
        <f t="shared" si="68"/>
        <v>Engineering</v>
      </c>
      <c r="E432" s="30" t="str">
        <f t="shared" si="69"/>
        <v>L3</v>
      </c>
      <c r="F432" s="30" t="str">
        <f t="shared" si="70"/>
        <v>Active</v>
      </c>
      <c r="G432" s="22">
        <v>2</v>
      </c>
      <c r="H432" t="str">
        <f t="shared" si="71"/>
        <v>Needs Improvement</v>
      </c>
      <c r="I432" s="22">
        <v>2</v>
      </c>
      <c r="J432" s="22" t="str">
        <f t="shared" si="72"/>
        <v>Stable</v>
      </c>
      <c r="K432" s="31">
        <v>0.71</v>
      </c>
      <c r="L432" s="24">
        <v>2.1</v>
      </c>
      <c r="M432" s="22" t="s">
        <v>59</v>
      </c>
      <c r="N432" s="22" t="str">
        <f t="shared" si="73"/>
        <v>Low</v>
      </c>
      <c r="O432" t="str">
        <f>INDEX(NineBox,MATCH(N432,{"Low","Mid","High"},0),MATCH(M432,{"Low","Medium","High"},0))</f>
        <v>Underperformer</v>
      </c>
      <c r="P432" s="28">
        <v>46098</v>
      </c>
      <c r="Q432" s="24">
        <f t="shared" si="74"/>
        <v>0.53935660506502392</v>
      </c>
      <c r="R432" s="22" t="str">
        <f t="shared" si="75"/>
        <v>Not Eligible</v>
      </c>
      <c r="S432" t="str">
        <f t="shared" si="76"/>
        <v>Rating below 4</v>
      </c>
      <c r="T432" s="22" t="s">
        <v>1687</v>
      </c>
    </row>
    <row r="433" spans="1:20" x14ac:dyDescent="0.3">
      <c r="A433" s="22" t="s">
        <v>1474</v>
      </c>
      <c r="B433" s="29" t="str">
        <f t="shared" si="66"/>
        <v>Gayatri Raghavan</v>
      </c>
      <c r="C433" s="29" t="str">
        <f t="shared" si="67"/>
        <v>Amit Kumar</v>
      </c>
      <c r="D433" s="29" t="str">
        <f t="shared" si="68"/>
        <v>Operations</v>
      </c>
      <c r="E433" s="30" t="str">
        <f t="shared" si="69"/>
        <v>L1</v>
      </c>
      <c r="F433" s="30" t="str">
        <f t="shared" si="70"/>
        <v>Exited</v>
      </c>
      <c r="G433" s="22">
        <v>3</v>
      </c>
      <c r="H433" t="str">
        <f t="shared" si="71"/>
        <v>Meets Expectations</v>
      </c>
      <c r="I433" s="22">
        <v>3</v>
      </c>
      <c r="J433" s="22" t="str">
        <f t="shared" si="72"/>
        <v>Stable</v>
      </c>
      <c r="K433" s="31">
        <v>0.83</v>
      </c>
      <c r="L433" s="24">
        <v>2.4</v>
      </c>
      <c r="M433" s="22" t="s">
        <v>60</v>
      </c>
      <c r="N433" s="22" t="str">
        <f t="shared" si="73"/>
        <v>Mid</v>
      </c>
      <c r="O433" t="str">
        <f>INDEX(NineBox,MATCH(N433,{"Low","Mid","High"},0),MATCH(M433,{"Low","Medium","High"},0))</f>
        <v>Core Player</v>
      </c>
      <c r="P433" s="28">
        <v>46102</v>
      </c>
      <c r="Q433" s="24">
        <f t="shared" si="74"/>
        <v>0.52840520191649554</v>
      </c>
      <c r="R433" s="22" t="str">
        <f t="shared" si="75"/>
        <v>Not Eligible</v>
      </c>
      <c r="S433" t="str">
        <f t="shared" si="76"/>
        <v>Employee has exited</v>
      </c>
      <c r="T433" s="22" t="s">
        <v>1687</v>
      </c>
    </row>
    <row r="434" spans="1:20" x14ac:dyDescent="0.3">
      <c r="A434" s="22" t="s">
        <v>1477</v>
      </c>
      <c r="B434" s="29" t="str">
        <f t="shared" si="66"/>
        <v>Mary Mishra</v>
      </c>
      <c r="C434" s="29" t="str">
        <f t="shared" si="67"/>
        <v>Nikhil Agarwal</v>
      </c>
      <c r="D434" s="29" t="str">
        <f t="shared" si="68"/>
        <v>Sales</v>
      </c>
      <c r="E434" s="30" t="str">
        <f t="shared" si="69"/>
        <v>L3</v>
      </c>
      <c r="F434" s="30" t="str">
        <f t="shared" si="70"/>
        <v>Active</v>
      </c>
      <c r="G434" s="22">
        <v>4</v>
      </c>
      <c r="H434" t="str">
        <f t="shared" si="71"/>
        <v>Exceeds Expectations</v>
      </c>
      <c r="I434" s="22">
        <v>5</v>
      </c>
      <c r="J434" s="22" t="str">
        <f t="shared" si="72"/>
        <v>Declined</v>
      </c>
      <c r="K434" s="31">
        <v>0.84</v>
      </c>
      <c r="L434" s="24">
        <v>3.4</v>
      </c>
      <c r="M434" s="22" t="s">
        <v>61</v>
      </c>
      <c r="N434" s="22" t="str">
        <f t="shared" si="73"/>
        <v>High</v>
      </c>
      <c r="O434" t="str">
        <f>INDEX(NineBox,MATCH(N434,{"Low","Mid","High"},0),MATCH(M434,{"Low","Medium","High"},0))</f>
        <v>Star</v>
      </c>
      <c r="P434" s="28">
        <v>46103</v>
      </c>
      <c r="Q434" s="24">
        <f t="shared" si="74"/>
        <v>0.52566735112936347</v>
      </c>
      <c r="R434" s="22" t="str">
        <f t="shared" si="75"/>
        <v>Not Eligible</v>
      </c>
      <c r="S434" t="str">
        <f t="shared" si="76"/>
        <v>Under 1.5 yrs in current level</v>
      </c>
      <c r="T434" s="22" t="s">
        <v>1687</v>
      </c>
    </row>
    <row r="435" spans="1:20" x14ac:dyDescent="0.3">
      <c r="A435" s="22" t="s">
        <v>1480</v>
      </c>
      <c r="B435" s="29" t="str">
        <f t="shared" si="66"/>
        <v>Ritu Saxena</v>
      </c>
      <c r="C435" s="29" t="str">
        <f t="shared" si="67"/>
        <v>Mansi Pillai</v>
      </c>
      <c r="D435" s="29" t="str">
        <f t="shared" si="68"/>
        <v>Product</v>
      </c>
      <c r="E435" s="30" t="str">
        <f t="shared" si="69"/>
        <v>L3</v>
      </c>
      <c r="F435" s="30" t="str">
        <f t="shared" si="70"/>
        <v>Active</v>
      </c>
      <c r="G435" s="22">
        <v>4</v>
      </c>
      <c r="H435" t="str">
        <f t="shared" si="71"/>
        <v>Exceeds Expectations</v>
      </c>
      <c r="I435" s="22">
        <v>3</v>
      </c>
      <c r="J435" s="22" t="str">
        <f t="shared" si="72"/>
        <v>Improved</v>
      </c>
      <c r="K435" s="31">
        <v>0.97</v>
      </c>
      <c r="L435" s="24">
        <v>3.3</v>
      </c>
      <c r="M435" s="22" t="s">
        <v>60</v>
      </c>
      <c r="N435" s="22" t="str">
        <f t="shared" si="73"/>
        <v>High</v>
      </c>
      <c r="O435" t="str">
        <f>INDEX(NineBox,MATCH(N435,{"Low","Mid","High"},0),MATCH(M435,{"Low","Medium","High"},0))</f>
        <v>High Performer</v>
      </c>
      <c r="P435" s="28">
        <v>46104</v>
      </c>
      <c r="Q435" s="24">
        <f t="shared" si="74"/>
        <v>0.5229295003422314</v>
      </c>
      <c r="R435" s="22" t="str">
        <f t="shared" si="75"/>
        <v>Not Eligible</v>
      </c>
      <c r="S435" t="str">
        <f t="shared" si="76"/>
        <v>Under 1.5 yrs in current level</v>
      </c>
      <c r="T435" s="22" t="s">
        <v>1687</v>
      </c>
    </row>
    <row r="436" spans="1:20" x14ac:dyDescent="0.3">
      <c r="A436" s="22" t="s">
        <v>1483</v>
      </c>
      <c r="B436" s="29" t="str">
        <f t="shared" si="66"/>
        <v>Rohan Hegde</v>
      </c>
      <c r="C436" s="29" t="str">
        <f t="shared" si="67"/>
        <v>Yash Shah</v>
      </c>
      <c r="D436" s="29" t="str">
        <f t="shared" si="68"/>
        <v>Operations</v>
      </c>
      <c r="E436" s="30" t="str">
        <f t="shared" si="69"/>
        <v>L2</v>
      </c>
      <c r="F436" s="30" t="str">
        <f t="shared" si="70"/>
        <v>Active</v>
      </c>
      <c r="G436" s="22">
        <v>3</v>
      </c>
      <c r="H436" t="str">
        <f t="shared" si="71"/>
        <v>Meets Expectations</v>
      </c>
      <c r="I436" s="22">
        <v>4</v>
      </c>
      <c r="J436" s="22" t="str">
        <f t="shared" si="72"/>
        <v>Declined</v>
      </c>
      <c r="K436" s="31">
        <v>0.92</v>
      </c>
      <c r="L436" s="24">
        <v>3.2</v>
      </c>
      <c r="M436" s="22" t="s">
        <v>60</v>
      </c>
      <c r="N436" s="22" t="str">
        <f t="shared" si="73"/>
        <v>Mid</v>
      </c>
      <c r="O436" t="str">
        <f>INDEX(NineBox,MATCH(N436,{"Low","Mid","High"},0),MATCH(M436,{"Low","Medium","High"},0))</f>
        <v>Core Player</v>
      </c>
      <c r="P436" s="28">
        <v>46108</v>
      </c>
      <c r="Q436" s="24">
        <f t="shared" si="74"/>
        <v>0.51197809719370291</v>
      </c>
      <c r="R436" s="22" t="str">
        <f t="shared" si="75"/>
        <v>Not Eligible</v>
      </c>
      <c r="S436" t="str">
        <f t="shared" si="76"/>
        <v>Rating below 4</v>
      </c>
      <c r="T436" s="22" t="s">
        <v>1687</v>
      </c>
    </row>
    <row r="437" spans="1:20" x14ac:dyDescent="0.3">
      <c r="A437" s="22" t="s">
        <v>1486</v>
      </c>
      <c r="B437" s="29" t="str">
        <f t="shared" si="66"/>
        <v>Gayatri Prabhu</v>
      </c>
      <c r="C437" s="29" t="str">
        <f t="shared" si="67"/>
        <v>Ramya Menon</v>
      </c>
      <c r="D437" s="29" t="str">
        <f t="shared" si="68"/>
        <v>Operations</v>
      </c>
      <c r="E437" s="30" t="str">
        <f t="shared" si="69"/>
        <v>L1</v>
      </c>
      <c r="F437" s="30" t="str">
        <f t="shared" si="70"/>
        <v>Exited</v>
      </c>
      <c r="G437" s="22">
        <v>2</v>
      </c>
      <c r="H437" t="str">
        <f t="shared" si="71"/>
        <v>Needs Improvement</v>
      </c>
      <c r="I437" s="22">
        <v>2</v>
      </c>
      <c r="J437" s="22" t="str">
        <f t="shared" si="72"/>
        <v>Stable</v>
      </c>
      <c r="K437" s="31">
        <v>0.66</v>
      </c>
      <c r="L437" s="24">
        <v>1.4</v>
      </c>
      <c r="M437" s="22" t="s">
        <v>60</v>
      </c>
      <c r="N437" s="22" t="str">
        <f t="shared" si="73"/>
        <v>Low</v>
      </c>
      <c r="O437" t="str">
        <f>INDEX(NineBox,MATCH(N437,{"Low","Mid","High"},0),MATCH(M437,{"Low","Medium","High"},0))</f>
        <v>Inconsistent Player</v>
      </c>
      <c r="P437" s="28">
        <v>46108</v>
      </c>
      <c r="Q437" s="24">
        <f t="shared" si="74"/>
        <v>0.51197809719370291</v>
      </c>
      <c r="R437" s="22" t="str">
        <f t="shared" si="75"/>
        <v>Not Eligible</v>
      </c>
      <c r="S437" t="str">
        <f t="shared" si="76"/>
        <v>Employee has exited</v>
      </c>
      <c r="T437" s="22" t="s">
        <v>1687</v>
      </c>
    </row>
    <row r="438" spans="1:20" x14ac:dyDescent="0.3">
      <c r="A438" s="22" t="s">
        <v>1489</v>
      </c>
      <c r="B438" s="29" t="str">
        <f t="shared" si="66"/>
        <v>Ajay Bansal</v>
      </c>
      <c r="C438" s="29" t="str">
        <f t="shared" si="67"/>
        <v>Sachin Shetty</v>
      </c>
      <c r="D438" s="29" t="str">
        <f t="shared" si="68"/>
        <v>Product</v>
      </c>
      <c r="E438" s="30" t="str">
        <f t="shared" si="69"/>
        <v>L3</v>
      </c>
      <c r="F438" s="30" t="str">
        <f t="shared" si="70"/>
        <v>Active</v>
      </c>
      <c r="G438" s="22">
        <v>3</v>
      </c>
      <c r="H438" t="str">
        <f t="shared" si="71"/>
        <v>Meets Expectations</v>
      </c>
      <c r="I438" s="22">
        <v>2</v>
      </c>
      <c r="J438" s="22" t="str">
        <f t="shared" si="72"/>
        <v>Improved</v>
      </c>
      <c r="K438" s="31">
        <v>0.79</v>
      </c>
      <c r="L438" s="24">
        <v>2.8</v>
      </c>
      <c r="M438" s="22" t="s">
        <v>61</v>
      </c>
      <c r="N438" s="22" t="str">
        <f t="shared" si="73"/>
        <v>Mid</v>
      </c>
      <c r="O438" t="str">
        <f>INDEX(NineBox,MATCH(N438,{"Low","Mid","High"},0),MATCH(M438,{"Low","Medium","High"},0))</f>
        <v>Future Star</v>
      </c>
      <c r="P438" s="28">
        <v>46109</v>
      </c>
      <c r="Q438" s="24">
        <f t="shared" si="74"/>
        <v>0.50924024640657084</v>
      </c>
      <c r="R438" s="22" t="str">
        <f t="shared" si="75"/>
        <v>Not Eligible</v>
      </c>
      <c r="S438" t="str">
        <f t="shared" si="76"/>
        <v>Rating below 4</v>
      </c>
      <c r="T438" s="22" t="s">
        <v>1687</v>
      </c>
    </row>
    <row r="439" spans="1:20" x14ac:dyDescent="0.3">
      <c r="A439" s="22" t="s">
        <v>1492</v>
      </c>
      <c r="B439" s="29" t="str">
        <f t="shared" si="66"/>
        <v>Sai Subramanian</v>
      </c>
      <c r="C439" s="29" t="str">
        <f t="shared" si="67"/>
        <v>Gaurav Fernandes</v>
      </c>
      <c r="D439" s="29" t="str">
        <f t="shared" si="68"/>
        <v>Engineering</v>
      </c>
      <c r="E439" s="30" t="str">
        <f t="shared" si="69"/>
        <v>L1</v>
      </c>
      <c r="F439" s="30" t="str">
        <f t="shared" si="70"/>
        <v>Active</v>
      </c>
      <c r="G439" s="22">
        <v>4</v>
      </c>
      <c r="H439" t="str">
        <f t="shared" si="71"/>
        <v>Exceeds Expectations</v>
      </c>
      <c r="I439" s="22">
        <v>5</v>
      </c>
      <c r="J439" s="22" t="str">
        <f t="shared" si="72"/>
        <v>Declined</v>
      </c>
      <c r="K439" s="31">
        <v>0.8</v>
      </c>
      <c r="L439" s="24">
        <v>3.9</v>
      </c>
      <c r="M439" s="22" t="s">
        <v>60</v>
      </c>
      <c r="N439" s="22" t="str">
        <f t="shared" si="73"/>
        <v>High</v>
      </c>
      <c r="O439" t="str">
        <f>INDEX(NineBox,MATCH(N439,{"Low","Mid","High"},0),MATCH(M439,{"Low","Medium","High"},0))</f>
        <v>High Performer</v>
      </c>
      <c r="P439" s="28">
        <v>46111</v>
      </c>
      <c r="Q439" s="24">
        <f t="shared" si="74"/>
        <v>0.50376454483230659</v>
      </c>
      <c r="R439" s="22" t="str">
        <f t="shared" si="75"/>
        <v>Not Eligible</v>
      </c>
      <c r="S439" t="str">
        <f t="shared" si="76"/>
        <v>Under 1.5 yrs in current level</v>
      </c>
      <c r="T439" s="22" t="s">
        <v>1687</v>
      </c>
    </row>
    <row r="440" spans="1:20" x14ac:dyDescent="0.3">
      <c r="A440" s="22" t="s">
        <v>1495</v>
      </c>
      <c r="B440" s="29" t="str">
        <f t="shared" si="66"/>
        <v>Priyanka Dsouza</v>
      </c>
      <c r="C440" s="29" t="str">
        <f t="shared" si="67"/>
        <v>Kritika Pandey</v>
      </c>
      <c r="D440" s="29" t="str">
        <f t="shared" si="68"/>
        <v>Finance</v>
      </c>
      <c r="E440" s="30" t="str">
        <f t="shared" si="69"/>
        <v>L1</v>
      </c>
      <c r="F440" s="30" t="str">
        <f t="shared" si="70"/>
        <v>Active</v>
      </c>
      <c r="G440" s="22">
        <v>4</v>
      </c>
      <c r="H440" t="str">
        <f t="shared" si="71"/>
        <v>Exceeds Expectations</v>
      </c>
      <c r="I440" s="22">
        <v>5</v>
      </c>
      <c r="J440" s="22" t="str">
        <f t="shared" si="72"/>
        <v>Declined</v>
      </c>
      <c r="K440" s="31">
        <v>0.94</v>
      </c>
      <c r="L440" s="24">
        <v>4.0999999999999996</v>
      </c>
      <c r="M440" s="22" t="s">
        <v>61</v>
      </c>
      <c r="N440" s="22" t="str">
        <f t="shared" si="73"/>
        <v>High</v>
      </c>
      <c r="O440" t="str">
        <f>INDEX(NineBox,MATCH(N440,{"Low","Mid","High"},0),MATCH(M440,{"Low","Medium","High"},0))</f>
        <v>Star</v>
      </c>
      <c r="P440" s="28">
        <v>46113</v>
      </c>
      <c r="Q440" s="24">
        <f t="shared" si="74"/>
        <v>0.49828884325804246</v>
      </c>
      <c r="R440" s="22" t="str">
        <f t="shared" si="75"/>
        <v>Not Eligible</v>
      </c>
      <c r="S440" t="str">
        <f t="shared" si="76"/>
        <v>Under 1.5 yrs in current level</v>
      </c>
      <c r="T440" s="22" t="s">
        <v>1687</v>
      </c>
    </row>
    <row r="441" spans="1:20" x14ac:dyDescent="0.3">
      <c r="A441" s="22" t="s">
        <v>1498</v>
      </c>
      <c r="B441" s="29" t="str">
        <f t="shared" si="66"/>
        <v>Ravi Mukherjee</v>
      </c>
      <c r="C441" s="29" t="str">
        <f t="shared" si="67"/>
        <v>Anjali Iyer</v>
      </c>
      <c r="D441" s="29" t="str">
        <f t="shared" si="68"/>
        <v>Customer Support</v>
      </c>
      <c r="E441" s="30" t="str">
        <f t="shared" si="69"/>
        <v>L1</v>
      </c>
      <c r="F441" s="30" t="str">
        <f t="shared" si="70"/>
        <v>Active</v>
      </c>
      <c r="G441" s="22">
        <v>4</v>
      </c>
      <c r="H441" t="str">
        <f t="shared" si="71"/>
        <v>Exceeds Expectations</v>
      </c>
      <c r="I441" s="22">
        <v>5</v>
      </c>
      <c r="J441" s="22" t="str">
        <f t="shared" si="72"/>
        <v>Declined</v>
      </c>
      <c r="K441" s="31">
        <v>0.79</v>
      </c>
      <c r="L441" s="24">
        <v>4.3</v>
      </c>
      <c r="M441" s="22" t="s">
        <v>61</v>
      </c>
      <c r="N441" s="22" t="str">
        <f t="shared" si="73"/>
        <v>High</v>
      </c>
      <c r="O441" t="str">
        <f>INDEX(NineBox,MATCH(N441,{"Low","Mid","High"},0),MATCH(M441,{"Low","Medium","High"},0))</f>
        <v>Star</v>
      </c>
      <c r="P441" s="28">
        <v>46117</v>
      </c>
      <c r="Q441" s="24">
        <f t="shared" si="74"/>
        <v>0.48733744010951402</v>
      </c>
      <c r="R441" s="22" t="str">
        <f t="shared" si="75"/>
        <v>Not Eligible</v>
      </c>
      <c r="S441" t="str">
        <f t="shared" si="76"/>
        <v>Under 1.5 yrs in current level</v>
      </c>
      <c r="T441" s="22" t="s">
        <v>1687</v>
      </c>
    </row>
    <row r="442" spans="1:20" x14ac:dyDescent="0.3">
      <c r="A442" s="22" t="s">
        <v>1501</v>
      </c>
      <c r="B442" s="29" t="str">
        <f t="shared" si="66"/>
        <v>Ananya Menon</v>
      </c>
      <c r="C442" s="29" t="str">
        <f t="shared" si="67"/>
        <v>Trisha Malhotra</v>
      </c>
      <c r="D442" s="29" t="str">
        <f t="shared" si="68"/>
        <v>Product</v>
      </c>
      <c r="E442" s="30" t="str">
        <f t="shared" si="69"/>
        <v>L2</v>
      </c>
      <c r="F442" s="30" t="str">
        <f t="shared" si="70"/>
        <v>Active</v>
      </c>
      <c r="G442" s="22">
        <v>2</v>
      </c>
      <c r="H442" t="str">
        <f t="shared" si="71"/>
        <v>Needs Improvement</v>
      </c>
      <c r="I442" s="22">
        <v>1</v>
      </c>
      <c r="J442" s="22" t="str">
        <f t="shared" si="72"/>
        <v>Improved</v>
      </c>
      <c r="K442" s="31">
        <v>0.66</v>
      </c>
      <c r="L442" s="24">
        <v>2.2999999999999998</v>
      </c>
      <c r="M442" s="22" t="s">
        <v>59</v>
      </c>
      <c r="N442" s="22" t="str">
        <f t="shared" si="73"/>
        <v>Low</v>
      </c>
      <c r="O442" t="str">
        <f>INDEX(NineBox,MATCH(N442,{"Low","Mid","High"},0),MATCH(M442,{"Low","Medium","High"},0))</f>
        <v>Underperformer</v>
      </c>
      <c r="P442" s="28">
        <v>46117</v>
      </c>
      <c r="Q442" s="24">
        <f t="shared" si="74"/>
        <v>0.48733744010951402</v>
      </c>
      <c r="R442" s="22" t="str">
        <f t="shared" si="75"/>
        <v>Not Eligible</v>
      </c>
      <c r="S442" t="str">
        <f t="shared" si="76"/>
        <v>Rating below 4</v>
      </c>
      <c r="T442" s="22" t="s">
        <v>1687</v>
      </c>
    </row>
    <row r="443" spans="1:20" x14ac:dyDescent="0.3">
      <c r="A443" s="22" t="s">
        <v>1504</v>
      </c>
      <c r="B443" s="29" t="str">
        <f t="shared" si="66"/>
        <v>Vidya Pandey</v>
      </c>
      <c r="C443" s="29" t="str">
        <f t="shared" si="67"/>
        <v>Tejaswini Hegde</v>
      </c>
      <c r="D443" s="29" t="str">
        <f t="shared" si="68"/>
        <v>Engineering</v>
      </c>
      <c r="E443" s="30" t="str">
        <f t="shared" si="69"/>
        <v>L2</v>
      </c>
      <c r="F443" s="30" t="str">
        <f t="shared" si="70"/>
        <v>Active</v>
      </c>
      <c r="G443" s="22">
        <v>3</v>
      </c>
      <c r="H443" t="str">
        <f t="shared" si="71"/>
        <v>Meets Expectations</v>
      </c>
      <c r="I443" s="22">
        <v>2</v>
      </c>
      <c r="J443" s="22" t="str">
        <f t="shared" si="72"/>
        <v>Improved</v>
      </c>
      <c r="K443" s="31">
        <v>0.84</v>
      </c>
      <c r="L443" s="24">
        <v>3.2</v>
      </c>
      <c r="M443" s="22" t="s">
        <v>59</v>
      </c>
      <c r="N443" s="22" t="str">
        <f t="shared" si="73"/>
        <v>Mid</v>
      </c>
      <c r="O443" t="str">
        <f>INDEX(NineBox,MATCH(N443,{"Low","Mid","High"},0),MATCH(M443,{"Low","Medium","High"},0))</f>
        <v>Effective Contributor</v>
      </c>
      <c r="P443" s="28">
        <v>46118</v>
      </c>
      <c r="Q443" s="24">
        <f t="shared" si="74"/>
        <v>0.48459958932238195</v>
      </c>
      <c r="R443" s="22" t="str">
        <f t="shared" si="75"/>
        <v>Not Eligible</v>
      </c>
      <c r="S443" t="str">
        <f t="shared" si="76"/>
        <v>Rating below 4</v>
      </c>
      <c r="T443" s="22" t="s">
        <v>1687</v>
      </c>
    </row>
    <row r="444" spans="1:20" x14ac:dyDescent="0.3">
      <c r="A444" s="22" t="s">
        <v>1507</v>
      </c>
      <c r="B444" s="29" t="str">
        <f t="shared" si="66"/>
        <v>Vikram Khan</v>
      </c>
      <c r="C444" s="29" t="str">
        <f t="shared" si="67"/>
        <v>Fatima Choudhary</v>
      </c>
      <c r="D444" s="29" t="str">
        <f t="shared" si="68"/>
        <v>Engineering</v>
      </c>
      <c r="E444" s="30" t="str">
        <f t="shared" si="69"/>
        <v>L1</v>
      </c>
      <c r="F444" s="30" t="str">
        <f t="shared" si="70"/>
        <v>Exited</v>
      </c>
      <c r="G444" s="22">
        <v>3</v>
      </c>
      <c r="H444" t="str">
        <f t="shared" si="71"/>
        <v>Meets Expectations</v>
      </c>
      <c r="I444" s="22">
        <v>2</v>
      </c>
      <c r="J444" s="22" t="str">
        <f t="shared" si="72"/>
        <v>Improved</v>
      </c>
      <c r="K444" s="31">
        <v>0.92</v>
      </c>
      <c r="L444" s="24">
        <v>4</v>
      </c>
      <c r="M444" s="22" t="s">
        <v>60</v>
      </c>
      <c r="N444" s="22" t="str">
        <f t="shared" si="73"/>
        <v>Mid</v>
      </c>
      <c r="O444" t="str">
        <f>INDEX(NineBox,MATCH(N444,{"Low","Mid","High"},0),MATCH(M444,{"Low","Medium","High"},0))</f>
        <v>Core Player</v>
      </c>
      <c r="P444" s="28">
        <v>46118</v>
      </c>
      <c r="Q444" s="24">
        <f t="shared" si="74"/>
        <v>0.48459958932238195</v>
      </c>
      <c r="R444" s="22" t="str">
        <f t="shared" si="75"/>
        <v>Not Eligible</v>
      </c>
      <c r="S444" t="str">
        <f t="shared" si="76"/>
        <v>Employee has exited</v>
      </c>
      <c r="T444" s="22" t="s">
        <v>1687</v>
      </c>
    </row>
    <row r="445" spans="1:20" x14ac:dyDescent="0.3">
      <c r="A445" s="22" t="s">
        <v>350</v>
      </c>
      <c r="B445" s="29" t="str">
        <f t="shared" si="66"/>
        <v>Prakash Desai</v>
      </c>
      <c r="C445" s="29" t="str">
        <f t="shared" si="67"/>
        <v>Yamini Nair</v>
      </c>
      <c r="D445" s="29" t="str">
        <f t="shared" si="68"/>
        <v>Engineering</v>
      </c>
      <c r="E445" s="30" t="str">
        <f t="shared" si="69"/>
        <v>L5</v>
      </c>
      <c r="F445" s="30" t="str">
        <f t="shared" si="70"/>
        <v>Active</v>
      </c>
      <c r="G445" s="22">
        <v>5</v>
      </c>
      <c r="H445" t="str">
        <f t="shared" si="71"/>
        <v>Outstanding</v>
      </c>
      <c r="I445" s="22">
        <v>5</v>
      </c>
      <c r="J445" s="22" t="str">
        <f t="shared" si="72"/>
        <v>Stable</v>
      </c>
      <c r="K445" s="31">
        <v>1.08</v>
      </c>
      <c r="L445" s="24">
        <v>5</v>
      </c>
      <c r="M445" s="22" t="s">
        <v>60</v>
      </c>
      <c r="N445" s="22" t="str">
        <f t="shared" si="73"/>
        <v>High</v>
      </c>
      <c r="O445" t="str">
        <f>INDEX(NineBox,MATCH(N445,{"Low","Mid","High"},0),MATCH(M445,{"Low","Medium","High"},0))</f>
        <v>High Performer</v>
      </c>
      <c r="P445" s="28">
        <v>46120</v>
      </c>
      <c r="Q445" s="24">
        <f t="shared" si="74"/>
        <v>0.4791238877481177</v>
      </c>
      <c r="R445" s="22" t="str">
        <f t="shared" si="75"/>
        <v>Not Eligible</v>
      </c>
      <c r="S445" t="str">
        <f t="shared" si="76"/>
        <v>Under 1.5 yrs in current level</v>
      </c>
      <c r="T445" s="22" t="s">
        <v>1687</v>
      </c>
    </row>
    <row r="446" spans="1:20" x14ac:dyDescent="0.3">
      <c r="A446" s="22" t="s">
        <v>1511</v>
      </c>
      <c r="B446" s="29" t="str">
        <f t="shared" si="66"/>
        <v>Sindhu Thomas</v>
      </c>
      <c r="C446" s="29" t="str">
        <f t="shared" si="67"/>
        <v>Isha Verma</v>
      </c>
      <c r="D446" s="29" t="str">
        <f t="shared" si="68"/>
        <v>Customer Support</v>
      </c>
      <c r="E446" s="30" t="str">
        <f t="shared" si="69"/>
        <v>L2</v>
      </c>
      <c r="F446" s="30" t="str">
        <f t="shared" si="70"/>
        <v>Exited</v>
      </c>
      <c r="G446" s="22">
        <v>2</v>
      </c>
      <c r="H446" t="str">
        <f t="shared" si="71"/>
        <v>Needs Improvement</v>
      </c>
      <c r="I446" s="22">
        <v>2</v>
      </c>
      <c r="J446" s="22" t="str">
        <f t="shared" si="72"/>
        <v>Stable</v>
      </c>
      <c r="K446" s="31">
        <v>0.57999999999999996</v>
      </c>
      <c r="L446" s="24">
        <v>2.7</v>
      </c>
      <c r="M446" s="22" t="s">
        <v>59</v>
      </c>
      <c r="N446" s="22" t="str">
        <f t="shared" si="73"/>
        <v>Low</v>
      </c>
      <c r="O446" t="str">
        <f>INDEX(NineBox,MATCH(N446,{"Low","Mid","High"},0),MATCH(M446,{"Low","Medium","High"},0))</f>
        <v>Underperformer</v>
      </c>
      <c r="P446" s="28">
        <v>46123</v>
      </c>
      <c r="Q446" s="24">
        <f t="shared" si="74"/>
        <v>0.47091033538672145</v>
      </c>
      <c r="R446" s="22" t="str">
        <f t="shared" si="75"/>
        <v>Not Eligible</v>
      </c>
      <c r="S446" t="str">
        <f t="shared" si="76"/>
        <v>Employee has exited</v>
      </c>
      <c r="T446" s="22" t="s">
        <v>1687</v>
      </c>
    </row>
    <row r="447" spans="1:20" x14ac:dyDescent="0.3">
      <c r="A447" s="22" t="s">
        <v>292</v>
      </c>
      <c r="B447" s="29" t="str">
        <f t="shared" si="66"/>
        <v>Anjali Iyer</v>
      </c>
      <c r="C447" s="29" t="str">
        <f t="shared" si="67"/>
        <v>Pooja Khanna</v>
      </c>
      <c r="D447" s="29" t="str">
        <f t="shared" si="68"/>
        <v>Customer Support</v>
      </c>
      <c r="E447" s="30" t="str">
        <f t="shared" si="69"/>
        <v>L5</v>
      </c>
      <c r="F447" s="30" t="str">
        <f t="shared" si="70"/>
        <v>Active</v>
      </c>
      <c r="G447" s="22">
        <v>4</v>
      </c>
      <c r="H447" t="str">
        <f t="shared" si="71"/>
        <v>Exceeds Expectations</v>
      </c>
      <c r="I447" s="22">
        <v>5</v>
      </c>
      <c r="J447" s="22" t="str">
        <f t="shared" si="72"/>
        <v>Declined</v>
      </c>
      <c r="K447" s="31">
        <v>0.94</v>
      </c>
      <c r="L447" s="24">
        <v>4.5999999999999996</v>
      </c>
      <c r="M447" s="22" t="s">
        <v>60</v>
      </c>
      <c r="N447" s="22" t="str">
        <f t="shared" si="73"/>
        <v>High</v>
      </c>
      <c r="O447" t="str">
        <f>INDEX(NineBox,MATCH(N447,{"Low","Mid","High"},0),MATCH(M447,{"Low","Medium","High"},0))</f>
        <v>High Performer</v>
      </c>
      <c r="P447" s="28">
        <v>46124</v>
      </c>
      <c r="Q447" s="24">
        <f t="shared" si="74"/>
        <v>0.46817248459958932</v>
      </c>
      <c r="R447" s="22" t="str">
        <f t="shared" si="75"/>
        <v>Not Eligible</v>
      </c>
      <c r="S447" t="str">
        <f t="shared" si="76"/>
        <v>Under 1.5 yrs in current level</v>
      </c>
      <c r="T447" s="22" t="s">
        <v>1688</v>
      </c>
    </row>
    <row r="448" spans="1:20" x14ac:dyDescent="0.3">
      <c r="A448" s="22" t="s">
        <v>1515</v>
      </c>
      <c r="B448" s="29" t="str">
        <f t="shared" si="66"/>
        <v>Meera Pandey</v>
      </c>
      <c r="C448" s="29" t="str">
        <f t="shared" si="67"/>
        <v>Nandini Fernandes</v>
      </c>
      <c r="D448" s="29" t="str">
        <f t="shared" si="68"/>
        <v>Operations</v>
      </c>
      <c r="E448" s="30" t="str">
        <f t="shared" si="69"/>
        <v>L4</v>
      </c>
      <c r="F448" s="30" t="str">
        <f t="shared" si="70"/>
        <v>Active</v>
      </c>
      <c r="G448" s="22">
        <v>3</v>
      </c>
      <c r="H448" t="str">
        <f t="shared" si="71"/>
        <v>Meets Expectations</v>
      </c>
      <c r="I448" s="22">
        <v>3</v>
      </c>
      <c r="J448" s="22" t="str">
        <f t="shared" si="72"/>
        <v>Stable</v>
      </c>
      <c r="K448" s="31">
        <v>0.73</v>
      </c>
      <c r="L448" s="24">
        <v>3.1</v>
      </c>
      <c r="M448" s="22" t="s">
        <v>60</v>
      </c>
      <c r="N448" s="22" t="str">
        <f t="shared" si="73"/>
        <v>Mid</v>
      </c>
      <c r="O448" t="str">
        <f>INDEX(NineBox,MATCH(N448,{"Low","Mid","High"},0),MATCH(M448,{"Low","Medium","High"},0))</f>
        <v>Core Player</v>
      </c>
      <c r="P448" s="28">
        <v>46128</v>
      </c>
      <c r="Q448" s="24">
        <f t="shared" si="74"/>
        <v>0.45722108145106094</v>
      </c>
      <c r="R448" s="22" t="str">
        <f t="shared" si="75"/>
        <v>Not Eligible</v>
      </c>
      <c r="S448" t="str">
        <f t="shared" si="76"/>
        <v>Rating below 4</v>
      </c>
      <c r="T448" s="22" t="s">
        <v>1687</v>
      </c>
    </row>
    <row r="449" spans="1:20" x14ac:dyDescent="0.3">
      <c r="A449" s="22" t="s">
        <v>1518</v>
      </c>
      <c r="B449" s="29" t="str">
        <f t="shared" si="66"/>
        <v>Priya Verma</v>
      </c>
      <c r="C449" s="29" t="str">
        <f t="shared" si="67"/>
        <v>Nikhil Agarwal</v>
      </c>
      <c r="D449" s="29" t="str">
        <f t="shared" si="68"/>
        <v>Sales</v>
      </c>
      <c r="E449" s="30" t="str">
        <f t="shared" si="69"/>
        <v>L2</v>
      </c>
      <c r="F449" s="30" t="str">
        <f t="shared" si="70"/>
        <v>Active</v>
      </c>
      <c r="G449" s="22">
        <v>3</v>
      </c>
      <c r="H449" t="str">
        <f t="shared" si="71"/>
        <v>Meets Expectations</v>
      </c>
      <c r="I449" s="22">
        <v>2</v>
      </c>
      <c r="J449" s="22" t="str">
        <f t="shared" si="72"/>
        <v>Improved</v>
      </c>
      <c r="K449" s="31">
        <v>0.79</v>
      </c>
      <c r="L449" s="24">
        <v>4.3</v>
      </c>
      <c r="M449" s="22" t="s">
        <v>60</v>
      </c>
      <c r="N449" s="22" t="str">
        <f t="shared" si="73"/>
        <v>Mid</v>
      </c>
      <c r="O449" t="str">
        <f>INDEX(NineBox,MATCH(N449,{"Low","Mid","High"},0),MATCH(M449,{"Low","Medium","High"},0))</f>
        <v>Core Player</v>
      </c>
      <c r="P449" s="28">
        <v>46133</v>
      </c>
      <c r="Q449" s="24">
        <f t="shared" si="74"/>
        <v>0.44353182751540043</v>
      </c>
      <c r="R449" s="22" t="str">
        <f t="shared" si="75"/>
        <v>Not Eligible</v>
      </c>
      <c r="S449" t="str">
        <f t="shared" si="76"/>
        <v>Rating below 4</v>
      </c>
      <c r="T449" s="22" t="s">
        <v>1687</v>
      </c>
    </row>
    <row r="450" spans="1:20" x14ac:dyDescent="0.3">
      <c r="A450" s="22" t="s">
        <v>1521</v>
      </c>
      <c r="B450" s="29" t="str">
        <f t="shared" ref="B450:B501" si="77">INDEX(M_Name,MATCH($A450,M_ID,0))</f>
        <v>Shruti Joshi</v>
      </c>
      <c r="C450" s="29" t="str">
        <f t="shared" ref="C450:C501" si="78">INDEX(M_Mgr,MATCH($A450,M_ID,0))</f>
        <v>Tejaswini Hegde</v>
      </c>
      <c r="D450" s="29" t="str">
        <f t="shared" ref="D450:D501" si="79">INDEX(M_Dept,MATCH($A450,M_ID,0))</f>
        <v>Engineering</v>
      </c>
      <c r="E450" s="30" t="str">
        <f t="shared" ref="E450:E501" si="80">INDEX(M_Level,MATCH($A450,M_ID,0))</f>
        <v>L1</v>
      </c>
      <c r="F450" s="30" t="str">
        <f t="shared" ref="F450:F501" si="81">INDEX(M_Status,MATCH($A450,M_ID,0))</f>
        <v>Exited</v>
      </c>
      <c r="G450" s="22">
        <v>3</v>
      </c>
      <c r="H450" t="str">
        <f t="shared" ref="H450:H501" si="82">INDEX(RatingLbl,MATCH(G450,RatingNo,0))</f>
        <v>Meets Expectations</v>
      </c>
      <c r="I450" s="22">
        <v>3</v>
      </c>
      <c r="J450" s="22" t="str">
        <f t="shared" ref="J450:J501" si="83">IF(G450&gt;I450,"Improved",IF(G450&lt;I450,"Declined","Stable"))</f>
        <v>Stable</v>
      </c>
      <c r="K450" s="31">
        <v>0.78</v>
      </c>
      <c r="L450" s="24">
        <v>3.5</v>
      </c>
      <c r="M450" s="22" t="s">
        <v>59</v>
      </c>
      <c r="N450" s="22" t="str">
        <f t="shared" ref="N450:N501" si="84">IF(G450&gt;=4,"High",IF(G450=3,"Mid","Low"))</f>
        <v>Mid</v>
      </c>
      <c r="O450" t="str">
        <f>INDEX(NineBox,MATCH(N450,{"Low","Mid","High"},0),MATCH(M450,{"Low","Medium","High"},0))</f>
        <v>Effective Contributor</v>
      </c>
      <c r="P450" s="28">
        <v>46134</v>
      </c>
      <c r="Q450" s="24">
        <f t="shared" ref="Q450:Q501" si="85">(AsOf-P450)/365.25</f>
        <v>0.44079397672826831</v>
      </c>
      <c r="R450" s="22" t="str">
        <f t="shared" ref="R450:R501" si="86">IF(F450="Exited","Not Eligible",IF(AND(G450&gt;=MinRating,Q450&gt;=MinYrs,VALUE(MID(E450,2,1))&lt;=MaxLvl),"Eligible","Not Eligible"))</f>
        <v>Not Eligible</v>
      </c>
      <c r="S450" t="str">
        <f t="shared" ref="S450:S501" si="87">IF(F450="Exited","Employee has exited",IF(R450="Eligible","Meets rating and time-in-level criteria",IF(VALUE(MID(E450,2,1))&gt;MaxLvl,"Already at top level",IF(G450&lt;MinRating,"Rating below "&amp;MinRating,"Under "&amp;MinYrs&amp;" yrs in current level"))))</f>
        <v>Employee has exited</v>
      </c>
      <c r="T450" s="22" t="s">
        <v>1687</v>
      </c>
    </row>
    <row r="451" spans="1:20" x14ac:dyDescent="0.3">
      <c r="A451" s="22" t="s">
        <v>1524</v>
      </c>
      <c r="B451" s="29" t="str">
        <f t="shared" si="77"/>
        <v>Dev Sharma</v>
      </c>
      <c r="C451" s="29" t="str">
        <f t="shared" si="78"/>
        <v>Ashish Varghese</v>
      </c>
      <c r="D451" s="29" t="str">
        <f t="shared" si="79"/>
        <v>Customer Support</v>
      </c>
      <c r="E451" s="30" t="str">
        <f t="shared" si="80"/>
        <v>L1</v>
      </c>
      <c r="F451" s="30" t="str">
        <f t="shared" si="81"/>
        <v>Active</v>
      </c>
      <c r="G451" s="22">
        <v>3</v>
      </c>
      <c r="H451" t="str">
        <f t="shared" si="82"/>
        <v>Meets Expectations</v>
      </c>
      <c r="I451" s="22">
        <v>3</v>
      </c>
      <c r="J451" s="22" t="str">
        <f t="shared" si="83"/>
        <v>Stable</v>
      </c>
      <c r="K451" s="31">
        <v>0.65</v>
      </c>
      <c r="L451" s="24">
        <v>4</v>
      </c>
      <c r="M451" s="22" t="s">
        <v>60</v>
      </c>
      <c r="N451" s="22" t="str">
        <f t="shared" si="84"/>
        <v>Mid</v>
      </c>
      <c r="O451" t="str">
        <f>INDEX(NineBox,MATCH(N451,{"Low","Mid","High"},0),MATCH(M451,{"Low","Medium","High"},0))</f>
        <v>Core Player</v>
      </c>
      <c r="P451" s="28">
        <v>46137</v>
      </c>
      <c r="Q451" s="24">
        <f t="shared" si="85"/>
        <v>0.432580424366872</v>
      </c>
      <c r="R451" s="22" t="str">
        <f t="shared" si="86"/>
        <v>Not Eligible</v>
      </c>
      <c r="S451" t="str">
        <f t="shared" si="87"/>
        <v>Rating below 4</v>
      </c>
      <c r="T451" s="22" t="s">
        <v>1687</v>
      </c>
    </row>
    <row r="452" spans="1:20" x14ac:dyDescent="0.3">
      <c r="A452" s="22" t="s">
        <v>1527</v>
      </c>
      <c r="B452" s="29" t="str">
        <f t="shared" si="77"/>
        <v>Madhuri Jain</v>
      </c>
      <c r="C452" s="29" t="str">
        <f t="shared" si="78"/>
        <v>Ashish Varghese</v>
      </c>
      <c r="D452" s="29" t="str">
        <f t="shared" si="79"/>
        <v>Customer Support</v>
      </c>
      <c r="E452" s="30" t="str">
        <f t="shared" si="80"/>
        <v>L1</v>
      </c>
      <c r="F452" s="30" t="str">
        <f t="shared" si="81"/>
        <v>Active</v>
      </c>
      <c r="G452" s="22">
        <v>3</v>
      </c>
      <c r="H452" t="str">
        <f t="shared" si="82"/>
        <v>Meets Expectations</v>
      </c>
      <c r="I452" s="22">
        <v>4</v>
      </c>
      <c r="J452" s="22" t="str">
        <f t="shared" si="83"/>
        <v>Declined</v>
      </c>
      <c r="K452" s="31">
        <v>0.81</v>
      </c>
      <c r="L452" s="24">
        <v>3</v>
      </c>
      <c r="M452" s="22" t="s">
        <v>60</v>
      </c>
      <c r="N452" s="22" t="str">
        <f t="shared" si="84"/>
        <v>Mid</v>
      </c>
      <c r="O452" t="str">
        <f>INDEX(NineBox,MATCH(N452,{"Low","Mid","High"},0),MATCH(M452,{"Low","Medium","High"},0))</f>
        <v>Core Player</v>
      </c>
      <c r="P452" s="28">
        <v>46139</v>
      </c>
      <c r="Q452" s="24">
        <f t="shared" si="85"/>
        <v>0.4271047227926078</v>
      </c>
      <c r="R452" s="22" t="str">
        <f t="shared" si="86"/>
        <v>Not Eligible</v>
      </c>
      <c r="S452" t="str">
        <f t="shared" si="87"/>
        <v>Rating below 4</v>
      </c>
      <c r="T452" s="22" t="s">
        <v>1687</v>
      </c>
    </row>
    <row r="453" spans="1:20" x14ac:dyDescent="0.3">
      <c r="A453" s="22" t="s">
        <v>1530</v>
      </c>
      <c r="B453" s="29" t="str">
        <f t="shared" si="77"/>
        <v>Vikas Jain</v>
      </c>
      <c r="C453" s="29" t="str">
        <f t="shared" si="78"/>
        <v>Lakshmi Subramanian</v>
      </c>
      <c r="D453" s="29" t="str">
        <f t="shared" si="79"/>
        <v>Legal &amp; Compliance</v>
      </c>
      <c r="E453" s="30" t="str">
        <f t="shared" si="80"/>
        <v>L1</v>
      </c>
      <c r="F453" s="30" t="str">
        <f t="shared" si="81"/>
        <v>Exited</v>
      </c>
      <c r="G453" s="22">
        <v>1</v>
      </c>
      <c r="H453" t="str">
        <f t="shared" si="82"/>
        <v>Unsatisfactory</v>
      </c>
      <c r="I453" s="22">
        <v>1</v>
      </c>
      <c r="J453" s="22" t="str">
        <f t="shared" si="83"/>
        <v>Stable</v>
      </c>
      <c r="K453" s="31">
        <v>0.74</v>
      </c>
      <c r="L453" s="24">
        <v>1.4</v>
      </c>
      <c r="M453" s="22" t="s">
        <v>59</v>
      </c>
      <c r="N453" s="22" t="str">
        <f t="shared" si="84"/>
        <v>Low</v>
      </c>
      <c r="O453" t="str">
        <f>INDEX(NineBox,MATCH(N453,{"Low","Mid","High"},0),MATCH(M453,{"Low","Medium","High"},0))</f>
        <v>Underperformer</v>
      </c>
      <c r="P453" s="28">
        <v>46139</v>
      </c>
      <c r="Q453" s="24">
        <f t="shared" si="85"/>
        <v>0.4271047227926078</v>
      </c>
      <c r="R453" s="22" t="str">
        <f t="shared" si="86"/>
        <v>Not Eligible</v>
      </c>
      <c r="S453" t="str">
        <f t="shared" si="87"/>
        <v>Employee has exited</v>
      </c>
      <c r="T453" s="22" t="s">
        <v>1687</v>
      </c>
    </row>
    <row r="454" spans="1:20" x14ac:dyDescent="0.3">
      <c r="A454" s="22" t="s">
        <v>1533</v>
      </c>
      <c r="B454" s="29" t="str">
        <f t="shared" si="77"/>
        <v>Revathi Bansal</v>
      </c>
      <c r="C454" s="29" t="str">
        <f t="shared" si="78"/>
        <v>Arun Mukherjee</v>
      </c>
      <c r="D454" s="29" t="str">
        <f t="shared" si="79"/>
        <v>Data &amp; Analytics</v>
      </c>
      <c r="E454" s="30" t="str">
        <f t="shared" si="80"/>
        <v>L4</v>
      </c>
      <c r="F454" s="30" t="str">
        <f t="shared" si="81"/>
        <v>Active</v>
      </c>
      <c r="G454" s="22">
        <v>4</v>
      </c>
      <c r="H454" t="str">
        <f t="shared" si="82"/>
        <v>Exceeds Expectations</v>
      </c>
      <c r="I454" s="22">
        <v>4</v>
      </c>
      <c r="J454" s="22" t="str">
        <f t="shared" si="83"/>
        <v>Stable</v>
      </c>
      <c r="K454" s="31">
        <v>0.96</v>
      </c>
      <c r="L454" s="24">
        <v>3.7</v>
      </c>
      <c r="M454" s="22" t="s">
        <v>61</v>
      </c>
      <c r="N454" s="22" t="str">
        <f t="shared" si="84"/>
        <v>High</v>
      </c>
      <c r="O454" t="str">
        <f>INDEX(NineBox,MATCH(N454,{"Low","Mid","High"},0),MATCH(M454,{"Low","Medium","High"},0))</f>
        <v>Star</v>
      </c>
      <c r="P454" s="28">
        <v>46140</v>
      </c>
      <c r="Q454" s="24">
        <f t="shared" si="85"/>
        <v>0.42436687200547568</v>
      </c>
      <c r="R454" s="22" t="str">
        <f t="shared" si="86"/>
        <v>Not Eligible</v>
      </c>
      <c r="S454" t="str">
        <f t="shared" si="87"/>
        <v>Under 1.5 yrs in current level</v>
      </c>
      <c r="T454" s="22" t="s">
        <v>1687</v>
      </c>
    </row>
    <row r="455" spans="1:20" x14ac:dyDescent="0.3">
      <c r="A455" s="22" t="s">
        <v>1536</v>
      </c>
      <c r="B455" s="29" t="str">
        <f t="shared" si="77"/>
        <v>Prakash Kapoor</v>
      </c>
      <c r="C455" s="29" t="str">
        <f t="shared" si="78"/>
        <v>Isha Jain</v>
      </c>
      <c r="D455" s="29" t="str">
        <f t="shared" si="79"/>
        <v>Engineering</v>
      </c>
      <c r="E455" s="30" t="str">
        <f t="shared" si="80"/>
        <v>L1</v>
      </c>
      <c r="F455" s="30" t="str">
        <f t="shared" si="81"/>
        <v>Active</v>
      </c>
      <c r="G455" s="22">
        <v>2</v>
      </c>
      <c r="H455" t="str">
        <f t="shared" si="82"/>
        <v>Needs Improvement</v>
      </c>
      <c r="I455" s="22">
        <v>3</v>
      </c>
      <c r="J455" s="22" t="str">
        <f t="shared" si="83"/>
        <v>Declined</v>
      </c>
      <c r="K455" s="31">
        <v>0.63</v>
      </c>
      <c r="L455" s="24">
        <v>1.8</v>
      </c>
      <c r="M455" s="22" t="s">
        <v>59</v>
      </c>
      <c r="N455" s="22" t="str">
        <f t="shared" si="84"/>
        <v>Low</v>
      </c>
      <c r="O455" t="str">
        <f>INDEX(NineBox,MATCH(N455,{"Low","Mid","High"},0),MATCH(M455,{"Low","Medium","High"},0))</f>
        <v>Underperformer</v>
      </c>
      <c r="P455" s="28">
        <v>46146</v>
      </c>
      <c r="Q455" s="24">
        <f t="shared" si="85"/>
        <v>0.40793976728268311</v>
      </c>
      <c r="R455" s="22" t="str">
        <f t="shared" si="86"/>
        <v>Not Eligible</v>
      </c>
      <c r="S455" t="str">
        <f t="shared" si="87"/>
        <v>Rating below 4</v>
      </c>
      <c r="T455" s="22" t="s">
        <v>1687</v>
      </c>
    </row>
    <row r="456" spans="1:20" x14ac:dyDescent="0.3">
      <c r="A456" s="22" t="s">
        <v>1539</v>
      </c>
      <c r="B456" s="29" t="str">
        <f t="shared" si="77"/>
        <v>Joseph Hegde</v>
      </c>
      <c r="C456" s="29" t="str">
        <f t="shared" si="78"/>
        <v>Imran Joshi</v>
      </c>
      <c r="D456" s="29" t="str">
        <f t="shared" si="79"/>
        <v>Customer Support</v>
      </c>
      <c r="E456" s="30" t="str">
        <f t="shared" si="80"/>
        <v>L4</v>
      </c>
      <c r="F456" s="30" t="str">
        <f t="shared" si="81"/>
        <v>Active</v>
      </c>
      <c r="G456" s="22">
        <v>2</v>
      </c>
      <c r="H456" t="str">
        <f t="shared" si="82"/>
        <v>Needs Improvement</v>
      </c>
      <c r="I456" s="22">
        <v>3</v>
      </c>
      <c r="J456" s="22" t="str">
        <f t="shared" si="83"/>
        <v>Declined</v>
      </c>
      <c r="K456" s="31">
        <v>0.85</v>
      </c>
      <c r="L456" s="24">
        <v>2</v>
      </c>
      <c r="M456" s="22" t="s">
        <v>59</v>
      </c>
      <c r="N456" s="22" t="str">
        <f t="shared" si="84"/>
        <v>Low</v>
      </c>
      <c r="O456" t="str">
        <f>INDEX(NineBox,MATCH(N456,{"Low","Mid","High"},0),MATCH(M456,{"Low","Medium","High"},0))</f>
        <v>Underperformer</v>
      </c>
      <c r="P456" s="28">
        <v>46147</v>
      </c>
      <c r="Q456" s="24">
        <f t="shared" si="85"/>
        <v>0.40520191649555098</v>
      </c>
      <c r="R456" s="22" t="str">
        <f t="shared" si="86"/>
        <v>Not Eligible</v>
      </c>
      <c r="S456" t="str">
        <f t="shared" si="87"/>
        <v>Rating below 4</v>
      </c>
      <c r="T456" s="22" t="s">
        <v>1687</v>
      </c>
    </row>
    <row r="457" spans="1:20" x14ac:dyDescent="0.3">
      <c r="A457" s="22" t="s">
        <v>1542</v>
      </c>
      <c r="B457" s="29" t="str">
        <f t="shared" si="77"/>
        <v>Ananya Krishnan</v>
      </c>
      <c r="C457" s="29" t="str">
        <f t="shared" si="78"/>
        <v>Swathi Mukherjee</v>
      </c>
      <c r="D457" s="29" t="str">
        <f t="shared" si="79"/>
        <v>Legal &amp; Compliance</v>
      </c>
      <c r="E457" s="30" t="str">
        <f t="shared" si="80"/>
        <v>L4</v>
      </c>
      <c r="F457" s="30" t="str">
        <f t="shared" si="81"/>
        <v>Active</v>
      </c>
      <c r="G457" s="22">
        <v>4</v>
      </c>
      <c r="H457" t="str">
        <f t="shared" si="82"/>
        <v>Exceeds Expectations</v>
      </c>
      <c r="I457" s="22">
        <v>4</v>
      </c>
      <c r="J457" s="22" t="str">
        <f t="shared" si="83"/>
        <v>Stable</v>
      </c>
      <c r="K457" s="31">
        <v>0.78</v>
      </c>
      <c r="L457" s="24">
        <v>3</v>
      </c>
      <c r="M457" s="22" t="s">
        <v>61</v>
      </c>
      <c r="N457" s="22" t="str">
        <f t="shared" si="84"/>
        <v>High</v>
      </c>
      <c r="O457" t="str">
        <f>INDEX(NineBox,MATCH(N457,{"Low","Mid","High"},0),MATCH(M457,{"Low","Medium","High"},0))</f>
        <v>Star</v>
      </c>
      <c r="P457" s="28">
        <v>46151</v>
      </c>
      <c r="Q457" s="24">
        <f t="shared" si="85"/>
        <v>0.3942505133470226</v>
      </c>
      <c r="R457" s="22" t="str">
        <f t="shared" si="86"/>
        <v>Not Eligible</v>
      </c>
      <c r="S457" t="str">
        <f t="shared" si="87"/>
        <v>Under 1.5 yrs in current level</v>
      </c>
      <c r="T457" s="22" t="s">
        <v>1687</v>
      </c>
    </row>
    <row r="458" spans="1:20" x14ac:dyDescent="0.3">
      <c r="A458" s="22" t="s">
        <v>1545</v>
      </c>
      <c r="B458" s="29" t="str">
        <f t="shared" si="77"/>
        <v>Kiran Khanna</v>
      </c>
      <c r="C458" s="29" t="str">
        <f t="shared" si="78"/>
        <v>Anjali Iyer</v>
      </c>
      <c r="D458" s="29" t="str">
        <f t="shared" si="79"/>
        <v>Customer Support</v>
      </c>
      <c r="E458" s="30" t="str">
        <f t="shared" si="80"/>
        <v>L1</v>
      </c>
      <c r="F458" s="30" t="str">
        <f t="shared" si="81"/>
        <v>Active</v>
      </c>
      <c r="G458" s="22">
        <v>4</v>
      </c>
      <c r="H458" t="str">
        <f t="shared" si="82"/>
        <v>Exceeds Expectations</v>
      </c>
      <c r="I458" s="22">
        <v>4</v>
      </c>
      <c r="J458" s="22" t="str">
        <f t="shared" si="83"/>
        <v>Stable</v>
      </c>
      <c r="K458" s="31">
        <v>0.88</v>
      </c>
      <c r="L458" s="24">
        <v>4.5</v>
      </c>
      <c r="M458" s="22" t="s">
        <v>60</v>
      </c>
      <c r="N458" s="22" t="str">
        <f t="shared" si="84"/>
        <v>High</v>
      </c>
      <c r="O458" t="str">
        <f>INDEX(NineBox,MATCH(N458,{"Low","Mid","High"},0),MATCH(M458,{"Low","Medium","High"},0))</f>
        <v>High Performer</v>
      </c>
      <c r="P458" s="28">
        <v>46154</v>
      </c>
      <c r="Q458" s="24">
        <f t="shared" si="85"/>
        <v>0.38603696098562629</v>
      </c>
      <c r="R458" s="22" t="str">
        <f t="shared" si="86"/>
        <v>Not Eligible</v>
      </c>
      <c r="S458" t="str">
        <f t="shared" si="87"/>
        <v>Under 1.5 yrs in current level</v>
      </c>
      <c r="T458" s="22" t="s">
        <v>1687</v>
      </c>
    </row>
    <row r="459" spans="1:20" x14ac:dyDescent="0.3">
      <c r="A459" s="22" t="s">
        <v>339</v>
      </c>
      <c r="B459" s="29" t="str">
        <f t="shared" si="77"/>
        <v>Kavya Krishnan</v>
      </c>
      <c r="C459" s="29" t="str">
        <f t="shared" si="78"/>
        <v>Joseph Varghese</v>
      </c>
      <c r="D459" s="29" t="str">
        <f t="shared" si="79"/>
        <v>Sales</v>
      </c>
      <c r="E459" s="30" t="str">
        <f t="shared" si="80"/>
        <v>L5</v>
      </c>
      <c r="F459" s="30" t="str">
        <f t="shared" si="81"/>
        <v>Active</v>
      </c>
      <c r="G459" s="22">
        <v>4</v>
      </c>
      <c r="H459" t="str">
        <f t="shared" si="82"/>
        <v>Exceeds Expectations</v>
      </c>
      <c r="I459" s="22">
        <v>3</v>
      </c>
      <c r="J459" s="22" t="str">
        <f t="shared" si="83"/>
        <v>Improved</v>
      </c>
      <c r="K459" s="31">
        <v>0.92</v>
      </c>
      <c r="L459" s="24">
        <v>4</v>
      </c>
      <c r="M459" s="22" t="s">
        <v>59</v>
      </c>
      <c r="N459" s="22" t="str">
        <f t="shared" si="84"/>
        <v>High</v>
      </c>
      <c r="O459" t="str">
        <f>INDEX(NineBox,MATCH(N459,{"Low","Mid","High"},0),MATCH(M459,{"Low","Medium","High"},0))</f>
        <v>Trusted Professional</v>
      </c>
      <c r="P459" s="28">
        <v>46155</v>
      </c>
      <c r="Q459" s="24">
        <f t="shared" si="85"/>
        <v>0.38329911019849416</v>
      </c>
      <c r="R459" s="22" t="str">
        <f t="shared" si="86"/>
        <v>Not Eligible</v>
      </c>
      <c r="S459" t="str">
        <f t="shared" si="87"/>
        <v>Under 1.5 yrs in current level</v>
      </c>
      <c r="T459" s="22" t="s">
        <v>1687</v>
      </c>
    </row>
    <row r="460" spans="1:20" x14ac:dyDescent="0.3">
      <c r="A460" s="22" t="s">
        <v>1549</v>
      </c>
      <c r="B460" s="29" t="str">
        <f t="shared" si="77"/>
        <v>Yamini Malhotra</v>
      </c>
      <c r="C460" s="29" t="str">
        <f t="shared" si="78"/>
        <v>Arun Mukherjee</v>
      </c>
      <c r="D460" s="29" t="str">
        <f t="shared" si="79"/>
        <v>Data &amp; Analytics</v>
      </c>
      <c r="E460" s="30" t="str">
        <f t="shared" si="80"/>
        <v>L1</v>
      </c>
      <c r="F460" s="30" t="str">
        <f t="shared" si="81"/>
        <v>Active</v>
      </c>
      <c r="G460" s="22">
        <v>3</v>
      </c>
      <c r="H460" t="str">
        <f t="shared" si="82"/>
        <v>Meets Expectations</v>
      </c>
      <c r="I460" s="22">
        <v>3</v>
      </c>
      <c r="J460" s="22" t="str">
        <f t="shared" si="83"/>
        <v>Stable</v>
      </c>
      <c r="K460" s="31">
        <v>0.82</v>
      </c>
      <c r="L460" s="24">
        <v>2.4</v>
      </c>
      <c r="M460" s="22" t="s">
        <v>60</v>
      </c>
      <c r="N460" s="22" t="str">
        <f t="shared" si="84"/>
        <v>Mid</v>
      </c>
      <c r="O460" t="str">
        <f>INDEX(NineBox,MATCH(N460,{"Low","Mid","High"},0),MATCH(M460,{"Low","Medium","High"},0))</f>
        <v>Core Player</v>
      </c>
      <c r="P460" s="28">
        <v>46157</v>
      </c>
      <c r="Q460" s="24">
        <f t="shared" si="85"/>
        <v>0.37782340862422997</v>
      </c>
      <c r="R460" s="22" t="str">
        <f t="shared" si="86"/>
        <v>Not Eligible</v>
      </c>
      <c r="S460" t="str">
        <f t="shared" si="87"/>
        <v>Rating below 4</v>
      </c>
      <c r="T460" s="22" t="s">
        <v>1687</v>
      </c>
    </row>
    <row r="461" spans="1:20" x14ac:dyDescent="0.3">
      <c r="A461" s="22" t="s">
        <v>1552</v>
      </c>
      <c r="B461" s="29" t="str">
        <f t="shared" si="77"/>
        <v>Sowmya Yadav</v>
      </c>
      <c r="C461" s="29" t="str">
        <f t="shared" si="78"/>
        <v>Akash Das</v>
      </c>
      <c r="D461" s="29" t="str">
        <f t="shared" si="79"/>
        <v>Human Resources</v>
      </c>
      <c r="E461" s="30" t="str">
        <f t="shared" si="80"/>
        <v>L1</v>
      </c>
      <c r="F461" s="30" t="str">
        <f t="shared" si="81"/>
        <v>Active</v>
      </c>
      <c r="G461" s="22">
        <v>2</v>
      </c>
      <c r="H461" t="str">
        <f t="shared" si="82"/>
        <v>Needs Improvement</v>
      </c>
      <c r="I461" s="22">
        <v>1</v>
      </c>
      <c r="J461" s="22" t="str">
        <f t="shared" si="83"/>
        <v>Improved</v>
      </c>
      <c r="K461" s="31">
        <v>0.8</v>
      </c>
      <c r="L461" s="24">
        <v>1.4</v>
      </c>
      <c r="M461" s="22" t="s">
        <v>59</v>
      </c>
      <c r="N461" s="22" t="str">
        <f t="shared" si="84"/>
        <v>Low</v>
      </c>
      <c r="O461" t="str">
        <f>INDEX(NineBox,MATCH(N461,{"Low","Mid","High"},0),MATCH(M461,{"Low","Medium","High"},0))</f>
        <v>Underperformer</v>
      </c>
      <c r="P461" s="28">
        <v>46168</v>
      </c>
      <c r="Q461" s="24">
        <f t="shared" si="85"/>
        <v>0.34770704996577684</v>
      </c>
      <c r="R461" s="22" t="str">
        <f t="shared" si="86"/>
        <v>Not Eligible</v>
      </c>
      <c r="S461" t="str">
        <f t="shared" si="87"/>
        <v>Rating below 4</v>
      </c>
      <c r="T461" s="22" t="s">
        <v>1687</v>
      </c>
    </row>
    <row r="462" spans="1:20" x14ac:dyDescent="0.3">
      <c r="A462" s="22" t="s">
        <v>1555</v>
      </c>
      <c r="B462" s="29" t="str">
        <f t="shared" si="77"/>
        <v>Deepika Tiwari</v>
      </c>
      <c r="C462" s="29" t="str">
        <f t="shared" si="78"/>
        <v>Yash Shah</v>
      </c>
      <c r="D462" s="29" t="str">
        <f t="shared" si="79"/>
        <v>Operations</v>
      </c>
      <c r="E462" s="30" t="str">
        <f t="shared" si="80"/>
        <v>L1</v>
      </c>
      <c r="F462" s="30" t="str">
        <f t="shared" si="81"/>
        <v>Active</v>
      </c>
      <c r="G462" s="22">
        <v>5</v>
      </c>
      <c r="H462" t="str">
        <f t="shared" si="82"/>
        <v>Outstanding</v>
      </c>
      <c r="I462" s="22">
        <v>5</v>
      </c>
      <c r="J462" s="22" t="str">
        <f t="shared" si="83"/>
        <v>Stable</v>
      </c>
      <c r="K462" s="31">
        <v>1.0900000000000001</v>
      </c>
      <c r="L462" s="24">
        <v>4.5999999999999996</v>
      </c>
      <c r="M462" s="22" t="s">
        <v>60</v>
      </c>
      <c r="N462" s="22" t="str">
        <f t="shared" si="84"/>
        <v>High</v>
      </c>
      <c r="O462" t="str">
        <f>INDEX(NineBox,MATCH(N462,{"Low","Mid","High"},0),MATCH(M462,{"Low","Medium","High"},0))</f>
        <v>High Performer</v>
      </c>
      <c r="P462" s="28">
        <v>46172</v>
      </c>
      <c r="Q462" s="24">
        <f t="shared" si="85"/>
        <v>0.33675564681724846</v>
      </c>
      <c r="R462" s="22" t="str">
        <f t="shared" si="86"/>
        <v>Not Eligible</v>
      </c>
      <c r="S462" t="str">
        <f t="shared" si="87"/>
        <v>Under 1.5 yrs in current level</v>
      </c>
      <c r="T462" s="22" t="s">
        <v>1687</v>
      </c>
    </row>
    <row r="463" spans="1:20" x14ac:dyDescent="0.3">
      <c r="A463" s="22" t="s">
        <v>1558</v>
      </c>
      <c r="B463" s="29" t="str">
        <f t="shared" si="77"/>
        <v>Ashish Siddiqui</v>
      </c>
      <c r="C463" s="29" t="str">
        <f t="shared" si="78"/>
        <v>Ramya Menon</v>
      </c>
      <c r="D463" s="29" t="str">
        <f t="shared" si="79"/>
        <v>Operations</v>
      </c>
      <c r="E463" s="30" t="str">
        <f t="shared" si="80"/>
        <v>L2</v>
      </c>
      <c r="F463" s="30" t="str">
        <f t="shared" si="81"/>
        <v>Active</v>
      </c>
      <c r="G463" s="22">
        <v>4</v>
      </c>
      <c r="H463" t="str">
        <f t="shared" si="82"/>
        <v>Exceeds Expectations</v>
      </c>
      <c r="I463" s="22">
        <v>3</v>
      </c>
      <c r="J463" s="22" t="str">
        <f t="shared" si="83"/>
        <v>Improved</v>
      </c>
      <c r="K463" s="31">
        <v>0.98</v>
      </c>
      <c r="L463" s="24">
        <v>4.3</v>
      </c>
      <c r="M463" s="22" t="s">
        <v>60</v>
      </c>
      <c r="N463" s="22" t="str">
        <f t="shared" si="84"/>
        <v>High</v>
      </c>
      <c r="O463" t="str">
        <f>INDEX(NineBox,MATCH(N463,{"Low","Mid","High"},0),MATCH(M463,{"Low","Medium","High"},0))</f>
        <v>High Performer</v>
      </c>
      <c r="P463" s="28">
        <v>46177</v>
      </c>
      <c r="Q463" s="24">
        <f t="shared" si="85"/>
        <v>0.32306639288158795</v>
      </c>
      <c r="R463" s="22" t="str">
        <f t="shared" si="86"/>
        <v>Not Eligible</v>
      </c>
      <c r="S463" t="str">
        <f t="shared" si="87"/>
        <v>Under 1.5 yrs in current level</v>
      </c>
      <c r="T463" s="22" t="s">
        <v>1687</v>
      </c>
    </row>
    <row r="464" spans="1:20" x14ac:dyDescent="0.3">
      <c r="A464" s="22" t="s">
        <v>1561</v>
      </c>
      <c r="B464" s="29" t="str">
        <f t="shared" si="77"/>
        <v>Rajesh Agarwal</v>
      </c>
      <c r="C464" s="29" t="str">
        <f t="shared" si="78"/>
        <v>Isha Jain</v>
      </c>
      <c r="D464" s="29" t="str">
        <f t="shared" si="79"/>
        <v>Engineering</v>
      </c>
      <c r="E464" s="30" t="str">
        <f t="shared" si="80"/>
        <v>L4</v>
      </c>
      <c r="F464" s="30" t="str">
        <f t="shared" si="81"/>
        <v>Active</v>
      </c>
      <c r="G464" s="22">
        <v>4</v>
      </c>
      <c r="H464" t="str">
        <f t="shared" si="82"/>
        <v>Exceeds Expectations</v>
      </c>
      <c r="I464" s="22">
        <v>4</v>
      </c>
      <c r="J464" s="22" t="str">
        <f t="shared" si="83"/>
        <v>Stable</v>
      </c>
      <c r="K464" s="31">
        <v>0.88</v>
      </c>
      <c r="L464" s="24">
        <v>3.3</v>
      </c>
      <c r="M464" s="22" t="s">
        <v>60</v>
      </c>
      <c r="N464" s="22" t="str">
        <f t="shared" si="84"/>
        <v>High</v>
      </c>
      <c r="O464" t="str">
        <f>INDEX(NineBox,MATCH(N464,{"Low","Mid","High"},0),MATCH(M464,{"Low","Medium","High"},0))</f>
        <v>High Performer</v>
      </c>
      <c r="P464" s="28">
        <v>46180</v>
      </c>
      <c r="Q464" s="24">
        <f t="shared" si="85"/>
        <v>0.31485284052019163</v>
      </c>
      <c r="R464" s="22" t="str">
        <f t="shared" si="86"/>
        <v>Not Eligible</v>
      </c>
      <c r="S464" t="str">
        <f t="shared" si="87"/>
        <v>Under 1.5 yrs in current level</v>
      </c>
      <c r="T464" s="22" t="s">
        <v>1687</v>
      </c>
    </row>
    <row r="465" spans="1:20" x14ac:dyDescent="0.3">
      <c r="A465" s="22" t="s">
        <v>1564</v>
      </c>
      <c r="B465" s="29" t="str">
        <f t="shared" si="77"/>
        <v>Kritika Mehta</v>
      </c>
      <c r="C465" s="29" t="str">
        <f t="shared" si="78"/>
        <v>Harsh Siddiqui</v>
      </c>
      <c r="D465" s="29" t="str">
        <f t="shared" si="79"/>
        <v>Engineering</v>
      </c>
      <c r="E465" s="30" t="str">
        <f t="shared" si="80"/>
        <v>L2</v>
      </c>
      <c r="F465" s="30" t="str">
        <f t="shared" si="81"/>
        <v>Active</v>
      </c>
      <c r="G465" s="22">
        <v>4</v>
      </c>
      <c r="H465" t="str">
        <f t="shared" si="82"/>
        <v>Exceeds Expectations</v>
      </c>
      <c r="I465" s="22">
        <v>4</v>
      </c>
      <c r="J465" s="22" t="str">
        <f t="shared" si="83"/>
        <v>Stable</v>
      </c>
      <c r="K465" s="31">
        <v>0.94</v>
      </c>
      <c r="L465" s="24">
        <v>4.5999999999999996</v>
      </c>
      <c r="M465" s="22" t="s">
        <v>60</v>
      </c>
      <c r="N465" s="22" t="str">
        <f t="shared" si="84"/>
        <v>High</v>
      </c>
      <c r="O465" t="str">
        <f>INDEX(NineBox,MATCH(N465,{"Low","Mid","High"},0),MATCH(M465,{"Low","Medium","High"},0))</f>
        <v>High Performer</v>
      </c>
      <c r="P465" s="28">
        <v>46184</v>
      </c>
      <c r="Q465" s="24">
        <f t="shared" si="85"/>
        <v>0.30390143737166325</v>
      </c>
      <c r="R465" s="22" t="str">
        <f t="shared" si="86"/>
        <v>Not Eligible</v>
      </c>
      <c r="S465" t="str">
        <f t="shared" si="87"/>
        <v>Under 1.5 yrs in current level</v>
      </c>
      <c r="T465" s="22" t="s">
        <v>1687</v>
      </c>
    </row>
    <row r="466" spans="1:20" x14ac:dyDescent="0.3">
      <c r="A466" s="22" t="s">
        <v>1567</v>
      </c>
      <c r="B466" s="29" t="str">
        <f t="shared" si="77"/>
        <v>Yash Rao</v>
      </c>
      <c r="C466" s="29" t="str">
        <f t="shared" si="78"/>
        <v>Mansi Pillai</v>
      </c>
      <c r="D466" s="29" t="str">
        <f t="shared" si="79"/>
        <v>Product</v>
      </c>
      <c r="E466" s="30" t="str">
        <f t="shared" si="80"/>
        <v>L1</v>
      </c>
      <c r="F466" s="30" t="str">
        <f t="shared" si="81"/>
        <v>Active</v>
      </c>
      <c r="G466" s="22">
        <v>5</v>
      </c>
      <c r="H466" t="str">
        <f t="shared" si="82"/>
        <v>Outstanding</v>
      </c>
      <c r="I466" s="22">
        <v>5</v>
      </c>
      <c r="J466" s="22" t="str">
        <f t="shared" si="83"/>
        <v>Stable</v>
      </c>
      <c r="K466" s="31">
        <v>1.06</v>
      </c>
      <c r="L466" s="24">
        <v>5</v>
      </c>
      <c r="M466" s="22" t="s">
        <v>61</v>
      </c>
      <c r="N466" s="22" t="str">
        <f t="shared" si="84"/>
        <v>High</v>
      </c>
      <c r="O466" t="str">
        <f>INDEX(NineBox,MATCH(N466,{"Low","Mid","High"},0),MATCH(M466,{"Low","Medium","High"},0))</f>
        <v>Star</v>
      </c>
      <c r="P466" s="28">
        <v>46185</v>
      </c>
      <c r="Q466" s="24">
        <f t="shared" si="85"/>
        <v>0.30116358658453113</v>
      </c>
      <c r="R466" s="22" t="str">
        <f t="shared" si="86"/>
        <v>Not Eligible</v>
      </c>
      <c r="S466" t="str">
        <f t="shared" si="87"/>
        <v>Under 1.5 yrs in current level</v>
      </c>
      <c r="T466" s="22" t="s">
        <v>1687</v>
      </c>
    </row>
    <row r="467" spans="1:20" x14ac:dyDescent="0.3">
      <c r="A467" s="22" t="s">
        <v>1570</v>
      </c>
      <c r="B467" s="29" t="str">
        <f t="shared" si="77"/>
        <v>Yamini Choudhary</v>
      </c>
      <c r="C467" s="29" t="str">
        <f t="shared" si="78"/>
        <v>Arun Mukherjee</v>
      </c>
      <c r="D467" s="29" t="str">
        <f t="shared" si="79"/>
        <v>Data &amp; Analytics</v>
      </c>
      <c r="E467" s="30" t="str">
        <f t="shared" si="80"/>
        <v>L2</v>
      </c>
      <c r="F467" s="30" t="str">
        <f t="shared" si="81"/>
        <v>Active</v>
      </c>
      <c r="G467" s="22">
        <v>4</v>
      </c>
      <c r="H467" t="str">
        <f t="shared" si="82"/>
        <v>Exceeds Expectations</v>
      </c>
      <c r="I467" s="22">
        <v>5</v>
      </c>
      <c r="J467" s="22" t="str">
        <f t="shared" si="83"/>
        <v>Declined</v>
      </c>
      <c r="K467" s="31">
        <v>0.88</v>
      </c>
      <c r="L467" s="24">
        <v>4</v>
      </c>
      <c r="M467" s="22" t="s">
        <v>60</v>
      </c>
      <c r="N467" s="22" t="str">
        <f t="shared" si="84"/>
        <v>High</v>
      </c>
      <c r="O467" t="str">
        <f>INDEX(NineBox,MATCH(N467,{"Low","Mid","High"},0),MATCH(M467,{"Low","Medium","High"},0))</f>
        <v>High Performer</v>
      </c>
      <c r="P467" s="28">
        <v>46187</v>
      </c>
      <c r="Q467" s="24">
        <f t="shared" si="85"/>
        <v>0.29568788501026694</v>
      </c>
      <c r="R467" s="22" t="str">
        <f t="shared" si="86"/>
        <v>Not Eligible</v>
      </c>
      <c r="S467" t="str">
        <f t="shared" si="87"/>
        <v>Under 1.5 yrs in current level</v>
      </c>
      <c r="T467" s="22" t="s">
        <v>1687</v>
      </c>
    </row>
    <row r="468" spans="1:20" x14ac:dyDescent="0.3">
      <c r="A468" s="22" t="s">
        <v>1573</v>
      </c>
      <c r="B468" s="29" t="str">
        <f t="shared" si="77"/>
        <v>Vikram Bansal</v>
      </c>
      <c r="C468" s="29" t="str">
        <f t="shared" si="78"/>
        <v>Ravi Prabhu</v>
      </c>
      <c r="D468" s="29" t="str">
        <f t="shared" si="79"/>
        <v>Finance</v>
      </c>
      <c r="E468" s="30" t="str">
        <f t="shared" si="80"/>
        <v>L2</v>
      </c>
      <c r="F468" s="30" t="str">
        <f t="shared" si="81"/>
        <v>Active</v>
      </c>
      <c r="G468" s="22">
        <v>4</v>
      </c>
      <c r="H468" t="str">
        <f t="shared" si="82"/>
        <v>Exceeds Expectations</v>
      </c>
      <c r="I468" s="22">
        <v>5</v>
      </c>
      <c r="J468" s="22" t="str">
        <f t="shared" si="83"/>
        <v>Declined</v>
      </c>
      <c r="K468" s="31">
        <v>0.9</v>
      </c>
      <c r="L468" s="24">
        <v>3.9</v>
      </c>
      <c r="M468" s="22" t="s">
        <v>60</v>
      </c>
      <c r="N468" s="22" t="str">
        <f t="shared" si="84"/>
        <v>High</v>
      </c>
      <c r="O468" t="str">
        <f>INDEX(NineBox,MATCH(N468,{"Low","Mid","High"},0),MATCH(M468,{"Low","Medium","High"},0))</f>
        <v>High Performer</v>
      </c>
      <c r="P468" s="28">
        <v>46187</v>
      </c>
      <c r="Q468" s="24">
        <f t="shared" si="85"/>
        <v>0.29568788501026694</v>
      </c>
      <c r="R468" s="22" t="str">
        <f t="shared" si="86"/>
        <v>Not Eligible</v>
      </c>
      <c r="S468" t="str">
        <f t="shared" si="87"/>
        <v>Under 1.5 yrs in current level</v>
      </c>
      <c r="T468" s="22" t="s">
        <v>1687</v>
      </c>
    </row>
    <row r="469" spans="1:20" x14ac:dyDescent="0.3">
      <c r="A469" s="22" t="s">
        <v>1576</v>
      </c>
      <c r="B469" s="29" t="str">
        <f t="shared" si="77"/>
        <v>Ramya Kapoor</v>
      </c>
      <c r="C469" s="29" t="str">
        <f t="shared" si="78"/>
        <v>Srinivas Shah</v>
      </c>
      <c r="D469" s="29" t="str">
        <f t="shared" si="79"/>
        <v>Sales</v>
      </c>
      <c r="E469" s="30" t="str">
        <f t="shared" si="80"/>
        <v>L1</v>
      </c>
      <c r="F469" s="30" t="str">
        <f t="shared" si="81"/>
        <v>Active</v>
      </c>
      <c r="G469" s="22">
        <v>3</v>
      </c>
      <c r="H469" t="str">
        <f t="shared" si="82"/>
        <v>Meets Expectations</v>
      </c>
      <c r="I469" s="22">
        <v>4</v>
      </c>
      <c r="J469" s="22" t="str">
        <f t="shared" si="83"/>
        <v>Declined</v>
      </c>
      <c r="K469" s="31">
        <v>0.91</v>
      </c>
      <c r="L469" s="24">
        <v>2.2000000000000002</v>
      </c>
      <c r="M469" s="22" t="s">
        <v>60</v>
      </c>
      <c r="N469" s="22" t="str">
        <f t="shared" si="84"/>
        <v>Mid</v>
      </c>
      <c r="O469" t="str">
        <f>INDEX(NineBox,MATCH(N469,{"Low","Mid","High"},0),MATCH(M469,{"Low","Medium","High"},0))</f>
        <v>Core Player</v>
      </c>
      <c r="P469" s="28">
        <v>46191</v>
      </c>
      <c r="Q469" s="24">
        <f t="shared" si="85"/>
        <v>0.28473648186173856</v>
      </c>
      <c r="R469" s="22" t="str">
        <f t="shared" si="86"/>
        <v>Not Eligible</v>
      </c>
      <c r="S469" t="str">
        <f t="shared" si="87"/>
        <v>Rating below 4</v>
      </c>
      <c r="T469" s="22" t="s">
        <v>1687</v>
      </c>
    </row>
    <row r="470" spans="1:20" x14ac:dyDescent="0.3">
      <c r="A470" s="22" t="s">
        <v>1579</v>
      </c>
      <c r="B470" s="29" t="str">
        <f t="shared" si="77"/>
        <v>Aniket Chatterjee</v>
      </c>
      <c r="C470" s="29" t="str">
        <f t="shared" si="78"/>
        <v>Sachin Shetty</v>
      </c>
      <c r="D470" s="29" t="str">
        <f t="shared" si="79"/>
        <v>Product</v>
      </c>
      <c r="E470" s="30" t="str">
        <f t="shared" si="80"/>
        <v>L2</v>
      </c>
      <c r="F470" s="30" t="str">
        <f t="shared" si="81"/>
        <v>Active</v>
      </c>
      <c r="G470" s="22">
        <v>4</v>
      </c>
      <c r="H470" t="str">
        <f t="shared" si="82"/>
        <v>Exceeds Expectations</v>
      </c>
      <c r="I470" s="22">
        <v>3</v>
      </c>
      <c r="J470" s="22" t="str">
        <f t="shared" si="83"/>
        <v>Improved</v>
      </c>
      <c r="K470" s="31">
        <v>1.05</v>
      </c>
      <c r="L470" s="24">
        <v>4</v>
      </c>
      <c r="M470" s="22" t="s">
        <v>60</v>
      </c>
      <c r="N470" s="22" t="str">
        <f t="shared" si="84"/>
        <v>High</v>
      </c>
      <c r="O470" t="str">
        <f>INDEX(NineBox,MATCH(N470,{"Low","Mid","High"},0),MATCH(M470,{"Low","Medium","High"},0))</f>
        <v>High Performer</v>
      </c>
      <c r="P470" s="28">
        <v>46195</v>
      </c>
      <c r="Q470" s="24">
        <f t="shared" si="85"/>
        <v>0.27378507871321012</v>
      </c>
      <c r="R470" s="22" t="str">
        <f t="shared" si="86"/>
        <v>Not Eligible</v>
      </c>
      <c r="S470" t="str">
        <f t="shared" si="87"/>
        <v>Under 1.5 yrs in current level</v>
      </c>
      <c r="T470" s="22" t="s">
        <v>1687</v>
      </c>
    </row>
    <row r="471" spans="1:20" x14ac:dyDescent="0.3">
      <c r="A471" s="22" t="s">
        <v>1582</v>
      </c>
      <c r="B471" s="29" t="str">
        <f t="shared" si="77"/>
        <v>Krishna Khan</v>
      </c>
      <c r="C471" s="29" t="str">
        <f t="shared" si="78"/>
        <v>Swathi Mukherjee</v>
      </c>
      <c r="D471" s="29" t="str">
        <f t="shared" si="79"/>
        <v>Legal &amp; Compliance</v>
      </c>
      <c r="E471" s="30" t="str">
        <f t="shared" si="80"/>
        <v>L3</v>
      </c>
      <c r="F471" s="30" t="str">
        <f t="shared" si="81"/>
        <v>Active</v>
      </c>
      <c r="G471" s="22">
        <v>3</v>
      </c>
      <c r="H471" t="str">
        <f t="shared" si="82"/>
        <v>Meets Expectations</v>
      </c>
      <c r="I471" s="22">
        <v>3</v>
      </c>
      <c r="J471" s="22" t="str">
        <f t="shared" si="83"/>
        <v>Stable</v>
      </c>
      <c r="K471" s="31">
        <v>0.89</v>
      </c>
      <c r="L471" s="24">
        <v>3</v>
      </c>
      <c r="M471" s="22" t="s">
        <v>60</v>
      </c>
      <c r="N471" s="22" t="str">
        <f t="shared" si="84"/>
        <v>Mid</v>
      </c>
      <c r="O471" t="str">
        <f>INDEX(NineBox,MATCH(N471,{"Low","Mid","High"},0),MATCH(M471,{"Low","Medium","High"},0))</f>
        <v>Core Player</v>
      </c>
      <c r="P471" s="28">
        <v>46203</v>
      </c>
      <c r="Q471" s="24">
        <f t="shared" si="85"/>
        <v>0.2518822724161533</v>
      </c>
      <c r="R471" s="22" t="str">
        <f t="shared" si="86"/>
        <v>Not Eligible</v>
      </c>
      <c r="S471" t="str">
        <f t="shared" si="87"/>
        <v>Rating below 4</v>
      </c>
      <c r="T471" s="22" t="s">
        <v>1687</v>
      </c>
    </row>
    <row r="472" spans="1:20" x14ac:dyDescent="0.3">
      <c r="A472" s="22" t="s">
        <v>1585</v>
      </c>
      <c r="B472" s="29" t="str">
        <f t="shared" si="77"/>
        <v>Sowmya Prabhu</v>
      </c>
      <c r="C472" s="29" t="str">
        <f t="shared" si="78"/>
        <v>Isha Jain</v>
      </c>
      <c r="D472" s="29" t="str">
        <f t="shared" si="79"/>
        <v>Engineering</v>
      </c>
      <c r="E472" s="30" t="str">
        <f t="shared" si="80"/>
        <v>L1</v>
      </c>
      <c r="F472" s="30" t="str">
        <f t="shared" si="81"/>
        <v>Active</v>
      </c>
      <c r="G472" s="22">
        <v>4</v>
      </c>
      <c r="H472" t="str">
        <f t="shared" si="82"/>
        <v>Exceeds Expectations</v>
      </c>
      <c r="I472" s="22">
        <v>4</v>
      </c>
      <c r="J472" s="22" t="str">
        <f t="shared" si="83"/>
        <v>Stable</v>
      </c>
      <c r="K472" s="31">
        <v>0.69</v>
      </c>
      <c r="L472" s="24">
        <v>4.7</v>
      </c>
      <c r="M472" s="22" t="s">
        <v>60</v>
      </c>
      <c r="N472" s="22" t="str">
        <f t="shared" si="84"/>
        <v>High</v>
      </c>
      <c r="O472" t="str">
        <f>INDEX(NineBox,MATCH(N472,{"Low","Mid","High"},0),MATCH(M472,{"Low","Medium","High"},0))</f>
        <v>High Performer</v>
      </c>
      <c r="P472" s="28">
        <v>46207</v>
      </c>
      <c r="Q472" s="24">
        <f t="shared" si="85"/>
        <v>0.24093086926762491</v>
      </c>
      <c r="R472" s="22" t="str">
        <f t="shared" si="86"/>
        <v>Not Eligible</v>
      </c>
      <c r="S472" t="str">
        <f t="shared" si="87"/>
        <v>Under 1.5 yrs in current level</v>
      </c>
      <c r="T472" s="22" t="s">
        <v>1687</v>
      </c>
    </row>
    <row r="473" spans="1:20" x14ac:dyDescent="0.3">
      <c r="A473" s="22" t="s">
        <v>1588</v>
      </c>
      <c r="B473" s="29" t="str">
        <f t="shared" si="77"/>
        <v>Kritika Khan</v>
      </c>
      <c r="C473" s="29" t="str">
        <f t="shared" si="78"/>
        <v>Isha Jain</v>
      </c>
      <c r="D473" s="29" t="str">
        <f t="shared" si="79"/>
        <v>Engineering</v>
      </c>
      <c r="E473" s="30" t="str">
        <f t="shared" si="80"/>
        <v>L2</v>
      </c>
      <c r="F473" s="30" t="str">
        <f t="shared" si="81"/>
        <v>Active</v>
      </c>
      <c r="G473" s="22">
        <v>3</v>
      </c>
      <c r="H473" t="str">
        <f t="shared" si="82"/>
        <v>Meets Expectations</v>
      </c>
      <c r="I473" s="22">
        <v>3</v>
      </c>
      <c r="J473" s="22" t="str">
        <f t="shared" si="83"/>
        <v>Stable</v>
      </c>
      <c r="K473" s="31">
        <v>0.79</v>
      </c>
      <c r="L473" s="24">
        <v>3</v>
      </c>
      <c r="M473" s="22" t="s">
        <v>60</v>
      </c>
      <c r="N473" s="22" t="str">
        <f t="shared" si="84"/>
        <v>Mid</v>
      </c>
      <c r="O473" t="str">
        <f>INDEX(NineBox,MATCH(N473,{"Low","Mid","High"},0),MATCH(M473,{"Low","Medium","High"},0))</f>
        <v>Core Player</v>
      </c>
      <c r="P473" s="28">
        <v>46208</v>
      </c>
      <c r="Q473" s="24">
        <f t="shared" si="85"/>
        <v>0.23819301848049282</v>
      </c>
      <c r="R473" s="22" t="str">
        <f t="shared" si="86"/>
        <v>Not Eligible</v>
      </c>
      <c r="S473" t="str">
        <f t="shared" si="87"/>
        <v>Rating below 4</v>
      </c>
      <c r="T473" s="22" t="s">
        <v>1687</v>
      </c>
    </row>
    <row r="474" spans="1:20" x14ac:dyDescent="0.3">
      <c r="A474" s="22" t="s">
        <v>1591</v>
      </c>
      <c r="B474" s="29" t="str">
        <f t="shared" si="77"/>
        <v>Rashmi Gowda</v>
      </c>
      <c r="C474" s="29" t="str">
        <f t="shared" si="78"/>
        <v>Amit Kumar</v>
      </c>
      <c r="D474" s="29" t="str">
        <f t="shared" si="79"/>
        <v>Operations</v>
      </c>
      <c r="E474" s="30" t="str">
        <f t="shared" si="80"/>
        <v>L1</v>
      </c>
      <c r="F474" s="30" t="str">
        <f t="shared" si="81"/>
        <v>Active</v>
      </c>
      <c r="G474" s="22">
        <v>5</v>
      </c>
      <c r="H474" t="str">
        <f t="shared" si="82"/>
        <v>Outstanding</v>
      </c>
      <c r="I474" s="22">
        <v>5</v>
      </c>
      <c r="J474" s="22" t="str">
        <f t="shared" si="83"/>
        <v>Stable</v>
      </c>
      <c r="K474" s="31">
        <v>1.04</v>
      </c>
      <c r="L474" s="24">
        <v>5</v>
      </c>
      <c r="M474" s="22" t="s">
        <v>60</v>
      </c>
      <c r="N474" s="22" t="str">
        <f t="shared" si="84"/>
        <v>High</v>
      </c>
      <c r="O474" t="str">
        <f>INDEX(NineBox,MATCH(N474,{"Low","Mid","High"},0),MATCH(M474,{"Low","Medium","High"},0))</f>
        <v>High Performer</v>
      </c>
      <c r="P474" s="28">
        <v>46211</v>
      </c>
      <c r="Q474" s="24">
        <f t="shared" si="85"/>
        <v>0.2299794661190965</v>
      </c>
      <c r="R474" s="22" t="str">
        <f t="shared" si="86"/>
        <v>Not Eligible</v>
      </c>
      <c r="S474" t="str">
        <f t="shared" si="87"/>
        <v>Under 1.5 yrs in current level</v>
      </c>
      <c r="T474" s="22" t="s">
        <v>1687</v>
      </c>
    </row>
    <row r="475" spans="1:20" x14ac:dyDescent="0.3">
      <c r="A475" s="22" t="s">
        <v>1594</v>
      </c>
      <c r="B475" s="29" t="str">
        <f t="shared" si="77"/>
        <v>Ananya Khanna</v>
      </c>
      <c r="C475" s="29" t="str">
        <f t="shared" si="78"/>
        <v>Ramya Menon</v>
      </c>
      <c r="D475" s="29" t="str">
        <f t="shared" si="79"/>
        <v>Operations</v>
      </c>
      <c r="E475" s="30" t="str">
        <f t="shared" si="80"/>
        <v>L1</v>
      </c>
      <c r="F475" s="30" t="str">
        <f t="shared" si="81"/>
        <v>Active</v>
      </c>
      <c r="G475" s="22">
        <v>3</v>
      </c>
      <c r="H475" t="str">
        <f t="shared" si="82"/>
        <v>Meets Expectations</v>
      </c>
      <c r="I475" s="22">
        <v>2</v>
      </c>
      <c r="J475" s="22" t="str">
        <f t="shared" si="83"/>
        <v>Improved</v>
      </c>
      <c r="K475" s="31">
        <v>0.87</v>
      </c>
      <c r="L475" s="24">
        <v>3</v>
      </c>
      <c r="M475" s="22" t="s">
        <v>60</v>
      </c>
      <c r="N475" s="22" t="str">
        <f t="shared" si="84"/>
        <v>Mid</v>
      </c>
      <c r="O475" t="str">
        <f>INDEX(NineBox,MATCH(N475,{"Low","Mid","High"},0),MATCH(M475,{"Low","Medium","High"},0))</f>
        <v>Core Player</v>
      </c>
      <c r="P475" s="28">
        <v>46212</v>
      </c>
      <c r="Q475" s="24">
        <f t="shared" si="85"/>
        <v>0.22724161533196441</v>
      </c>
      <c r="R475" s="22" t="str">
        <f t="shared" si="86"/>
        <v>Not Eligible</v>
      </c>
      <c r="S475" t="str">
        <f t="shared" si="87"/>
        <v>Rating below 4</v>
      </c>
      <c r="T475" s="22" t="s">
        <v>1688</v>
      </c>
    </row>
    <row r="476" spans="1:20" x14ac:dyDescent="0.3">
      <c r="A476" s="22" t="s">
        <v>1597</v>
      </c>
      <c r="B476" s="29" t="str">
        <f t="shared" si="77"/>
        <v>Ritu Thomas</v>
      </c>
      <c r="C476" s="29" t="str">
        <f t="shared" si="78"/>
        <v>Srinivas Shah</v>
      </c>
      <c r="D476" s="29" t="str">
        <f t="shared" si="79"/>
        <v>Sales</v>
      </c>
      <c r="E476" s="30" t="str">
        <f t="shared" si="80"/>
        <v>L1</v>
      </c>
      <c r="F476" s="30" t="str">
        <f t="shared" si="81"/>
        <v>Active</v>
      </c>
      <c r="G476" s="22">
        <v>5</v>
      </c>
      <c r="H476" t="str">
        <f t="shared" si="82"/>
        <v>Outstanding</v>
      </c>
      <c r="I476" s="22">
        <v>5</v>
      </c>
      <c r="J476" s="22" t="str">
        <f t="shared" si="83"/>
        <v>Stable</v>
      </c>
      <c r="K476" s="31">
        <v>1.0900000000000001</v>
      </c>
      <c r="L476" s="24">
        <v>5</v>
      </c>
      <c r="M476" s="22" t="s">
        <v>61</v>
      </c>
      <c r="N476" s="22" t="str">
        <f t="shared" si="84"/>
        <v>High</v>
      </c>
      <c r="O476" t="str">
        <f>INDEX(NineBox,MATCH(N476,{"Low","Mid","High"},0),MATCH(M476,{"Low","Medium","High"},0))</f>
        <v>Star</v>
      </c>
      <c r="P476" s="28">
        <v>46214</v>
      </c>
      <c r="Q476" s="24">
        <f t="shared" si="85"/>
        <v>0.22176591375770022</v>
      </c>
      <c r="R476" s="22" t="str">
        <f t="shared" si="86"/>
        <v>Not Eligible</v>
      </c>
      <c r="S476" t="str">
        <f t="shared" si="87"/>
        <v>Under 1.5 yrs in current level</v>
      </c>
      <c r="T476" s="22" t="s">
        <v>1687</v>
      </c>
    </row>
    <row r="477" spans="1:20" x14ac:dyDescent="0.3">
      <c r="A477" s="22" t="s">
        <v>1600</v>
      </c>
      <c r="B477" s="29" t="str">
        <f t="shared" si="77"/>
        <v>Gayatri Subramanian</v>
      </c>
      <c r="C477" s="29" t="str">
        <f t="shared" si="78"/>
        <v>Trisha Malhotra</v>
      </c>
      <c r="D477" s="29" t="str">
        <f t="shared" si="79"/>
        <v>Product</v>
      </c>
      <c r="E477" s="30" t="str">
        <f t="shared" si="80"/>
        <v>L2</v>
      </c>
      <c r="F477" s="30" t="str">
        <f t="shared" si="81"/>
        <v>Active</v>
      </c>
      <c r="G477" s="22">
        <v>3</v>
      </c>
      <c r="H477" t="str">
        <f t="shared" si="82"/>
        <v>Meets Expectations</v>
      </c>
      <c r="I477" s="22">
        <v>2</v>
      </c>
      <c r="J477" s="22" t="str">
        <f t="shared" si="83"/>
        <v>Improved</v>
      </c>
      <c r="K477" s="31">
        <v>0.72</v>
      </c>
      <c r="L477" s="24">
        <v>2.6</v>
      </c>
      <c r="M477" s="22" t="s">
        <v>60</v>
      </c>
      <c r="N477" s="22" t="str">
        <f t="shared" si="84"/>
        <v>Mid</v>
      </c>
      <c r="O477" t="str">
        <f>INDEX(NineBox,MATCH(N477,{"Low","Mid","High"},0),MATCH(M477,{"Low","Medium","High"},0))</f>
        <v>Core Player</v>
      </c>
      <c r="P477" s="28">
        <v>46221</v>
      </c>
      <c r="Q477" s="24">
        <f t="shared" si="85"/>
        <v>0.20260095824777549</v>
      </c>
      <c r="R477" s="22" t="str">
        <f t="shared" si="86"/>
        <v>Not Eligible</v>
      </c>
      <c r="S477" t="str">
        <f t="shared" si="87"/>
        <v>Rating below 4</v>
      </c>
      <c r="T477" s="22" t="s">
        <v>1687</v>
      </c>
    </row>
    <row r="478" spans="1:20" x14ac:dyDescent="0.3">
      <c r="A478" s="22" t="s">
        <v>1603</v>
      </c>
      <c r="B478" s="29" t="str">
        <f t="shared" si="77"/>
        <v>Sanjay Rao</v>
      </c>
      <c r="C478" s="29" t="str">
        <f t="shared" si="78"/>
        <v>Nandini Iyer</v>
      </c>
      <c r="D478" s="29" t="str">
        <f t="shared" si="79"/>
        <v>Marketing</v>
      </c>
      <c r="E478" s="30" t="str">
        <f t="shared" si="80"/>
        <v>L2</v>
      </c>
      <c r="F478" s="30" t="str">
        <f t="shared" si="81"/>
        <v>Active</v>
      </c>
      <c r="G478" s="22">
        <v>2</v>
      </c>
      <c r="H478" t="str">
        <f t="shared" si="82"/>
        <v>Needs Improvement</v>
      </c>
      <c r="I478" s="22">
        <v>2</v>
      </c>
      <c r="J478" s="22" t="str">
        <f t="shared" si="83"/>
        <v>Stable</v>
      </c>
      <c r="K478" s="31">
        <v>0.84</v>
      </c>
      <c r="L478" s="24">
        <v>1.8</v>
      </c>
      <c r="M478" s="22" t="s">
        <v>60</v>
      </c>
      <c r="N478" s="22" t="str">
        <f t="shared" si="84"/>
        <v>Low</v>
      </c>
      <c r="O478" t="str">
        <f>INDEX(NineBox,MATCH(N478,{"Low","Mid","High"},0),MATCH(M478,{"Low","Medium","High"},0))</f>
        <v>Inconsistent Player</v>
      </c>
      <c r="P478" s="28">
        <v>46221</v>
      </c>
      <c r="Q478" s="24">
        <f t="shared" si="85"/>
        <v>0.20260095824777549</v>
      </c>
      <c r="R478" s="22" t="str">
        <f t="shared" si="86"/>
        <v>Not Eligible</v>
      </c>
      <c r="S478" t="str">
        <f t="shared" si="87"/>
        <v>Rating below 4</v>
      </c>
      <c r="T478" s="22" t="s">
        <v>1687</v>
      </c>
    </row>
    <row r="479" spans="1:20" x14ac:dyDescent="0.3">
      <c r="A479" s="22" t="s">
        <v>1606</v>
      </c>
      <c r="B479" s="29" t="str">
        <f t="shared" si="77"/>
        <v>Mohit Chatterjee</v>
      </c>
      <c r="C479" s="29" t="str">
        <f t="shared" si="78"/>
        <v>Ajay Patel</v>
      </c>
      <c r="D479" s="29" t="str">
        <f t="shared" si="79"/>
        <v>Human Resources</v>
      </c>
      <c r="E479" s="30" t="str">
        <f t="shared" si="80"/>
        <v>L2</v>
      </c>
      <c r="F479" s="30" t="str">
        <f t="shared" si="81"/>
        <v>Active</v>
      </c>
      <c r="G479" s="22">
        <v>3</v>
      </c>
      <c r="H479" t="str">
        <f t="shared" si="82"/>
        <v>Meets Expectations</v>
      </c>
      <c r="I479" s="22">
        <v>2</v>
      </c>
      <c r="J479" s="22" t="str">
        <f t="shared" si="83"/>
        <v>Improved</v>
      </c>
      <c r="K479" s="31">
        <v>0.83</v>
      </c>
      <c r="L479" s="24">
        <v>2.2999999999999998</v>
      </c>
      <c r="M479" s="22" t="s">
        <v>60</v>
      </c>
      <c r="N479" s="22" t="str">
        <f t="shared" si="84"/>
        <v>Mid</v>
      </c>
      <c r="O479" t="str">
        <f>INDEX(NineBox,MATCH(N479,{"Low","Mid","High"},0),MATCH(M479,{"Low","Medium","High"},0))</f>
        <v>Core Player</v>
      </c>
      <c r="P479" s="28">
        <v>46221</v>
      </c>
      <c r="Q479" s="24">
        <f t="shared" si="85"/>
        <v>0.20260095824777549</v>
      </c>
      <c r="R479" s="22" t="str">
        <f t="shared" si="86"/>
        <v>Not Eligible</v>
      </c>
      <c r="S479" t="str">
        <f t="shared" si="87"/>
        <v>Rating below 4</v>
      </c>
      <c r="T479" s="22" t="s">
        <v>1687</v>
      </c>
    </row>
    <row r="480" spans="1:20" x14ac:dyDescent="0.3">
      <c r="A480" s="22" t="s">
        <v>1609</v>
      </c>
      <c r="B480" s="29" t="str">
        <f t="shared" si="77"/>
        <v>Abhishek Agarwal</v>
      </c>
      <c r="C480" s="29" t="str">
        <f t="shared" si="78"/>
        <v>Isha Jain</v>
      </c>
      <c r="D480" s="29" t="str">
        <f t="shared" si="79"/>
        <v>Engineering</v>
      </c>
      <c r="E480" s="30" t="str">
        <f t="shared" si="80"/>
        <v>L2</v>
      </c>
      <c r="F480" s="30" t="str">
        <f t="shared" si="81"/>
        <v>Active</v>
      </c>
      <c r="G480" s="22">
        <v>3</v>
      </c>
      <c r="H480" t="str">
        <f t="shared" si="82"/>
        <v>Meets Expectations</v>
      </c>
      <c r="I480" s="22">
        <v>2</v>
      </c>
      <c r="J480" s="22" t="str">
        <f t="shared" si="83"/>
        <v>Improved</v>
      </c>
      <c r="K480" s="31">
        <v>0.99</v>
      </c>
      <c r="L480" s="24">
        <v>2.8</v>
      </c>
      <c r="M480" s="22" t="s">
        <v>60</v>
      </c>
      <c r="N480" s="22" t="str">
        <f t="shared" si="84"/>
        <v>Mid</v>
      </c>
      <c r="O480" t="str">
        <f>INDEX(NineBox,MATCH(N480,{"Low","Mid","High"},0),MATCH(M480,{"Low","Medium","High"},0))</f>
        <v>Core Player</v>
      </c>
      <c r="P480" s="28">
        <v>46222</v>
      </c>
      <c r="Q480" s="24">
        <f t="shared" si="85"/>
        <v>0.1998631074606434</v>
      </c>
      <c r="R480" s="22" t="str">
        <f t="shared" si="86"/>
        <v>Not Eligible</v>
      </c>
      <c r="S480" t="str">
        <f t="shared" si="87"/>
        <v>Rating below 4</v>
      </c>
      <c r="T480" s="22" t="s">
        <v>1687</v>
      </c>
    </row>
    <row r="481" spans="1:20" x14ac:dyDescent="0.3">
      <c r="A481" s="22" t="s">
        <v>1612</v>
      </c>
      <c r="B481" s="29" t="str">
        <f t="shared" si="77"/>
        <v>Sanjay Bansal</v>
      </c>
      <c r="C481" s="29" t="str">
        <f t="shared" si="78"/>
        <v>Vikas Singh</v>
      </c>
      <c r="D481" s="29" t="str">
        <f t="shared" si="79"/>
        <v>Engineering</v>
      </c>
      <c r="E481" s="30" t="str">
        <f t="shared" si="80"/>
        <v>L2</v>
      </c>
      <c r="F481" s="30" t="str">
        <f t="shared" si="81"/>
        <v>Active</v>
      </c>
      <c r="G481" s="22">
        <v>4</v>
      </c>
      <c r="H481" t="str">
        <f t="shared" si="82"/>
        <v>Exceeds Expectations</v>
      </c>
      <c r="I481" s="22">
        <v>4</v>
      </c>
      <c r="J481" s="22" t="str">
        <f t="shared" si="83"/>
        <v>Stable</v>
      </c>
      <c r="K481" s="31">
        <v>1.06</v>
      </c>
      <c r="L481" s="24">
        <v>4.3</v>
      </c>
      <c r="M481" s="22" t="s">
        <v>59</v>
      </c>
      <c r="N481" s="22" t="str">
        <f t="shared" si="84"/>
        <v>High</v>
      </c>
      <c r="O481" t="str">
        <f>INDEX(NineBox,MATCH(N481,{"Low","Mid","High"},0),MATCH(M481,{"Low","Medium","High"},0))</f>
        <v>Trusted Professional</v>
      </c>
      <c r="P481" s="28">
        <v>46226</v>
      </c>
      <c r="Q481" s="24">
        <f t="shared" si="85"/>
        <v>0.18891170431211499</v>
      </c>
      <c r="R481" s="22" t="str">
        <f t="shared" si="86"/>
        <v>Not Eligible</v>
      </c>
      <c r="S481" t="str">
        <f t="shared" si="87"/>
        <v>Under 1.5 yrs in current level</v>
      </c>
      <c r="T481" s="22" t="s">
        <v>1687</v>
      </c>
    </row>
    <row r="482" spans="1:20" x14ac:dyDescent="0.3">
      <c r="A482" s="22" t="s">
        <v>1615</v>
      </c>
      <c r="B482" s="29" t="str">
        <f t="shared" si="77"/>
        <v>Madhuri Banerjee</v>
      </c>
      <c r="C482" s="29" t="str">
        <f t="shared" si="78"/>
        <v>Vidya Chatterjee</v>
      </c>
      <c r="D482" s="29" t="str">
        <f t="shared" si="79"/>
        <v>Customer Support</v>
      </c>
      <c r="E482" s="30" t="str">
        <f t="shared" si="80"/>
        <v>L3</v>
      </c>
      <c r="F482" s="30" t="str">
        <f t="shared" si="81"/>
        <v>Active</v>
      </c>
      <c r="G482" s="22">
        <v>3</v>
      </c>
      <c r="H482" t="str">
        <f t="shared" si="82"/>
        <v>Meets Expectations</v>
      </c>
      <c r="I482" s="22">
        <v>2</v>
      </c>
      <c r="J482" s="22" t="str">
        <f t="shared" si="83"/>
        <v>Improved</v>
      </c>
      <c r="K482" s="31">
        <v>0.76</v>
      </c>
      <c r="L482" s="24">
        <v>2.4</v>
      </c>
      <c r="M482" s="22" t="s">
        <v>60</v>
      </c>
      <c r="N482" s="22" t="str">
        <f t="shared" si="84"/>
        <v>Mid</v>
      </c>
      <c r="O482" t="str">
        <f>INDEX(NineBox,MATCH(N482,{"Low","Mid","High"},0),MATCH(M482,{"Low","Medium","High"},0))</f>
        <v>Core Player</v>
      </c>
      <c r="P482" s="28">
        <v>46230</v>
      </c>
      <c r="Q482" s="24">
        <f t="shared" si="85"/>
        <v>0.17796030116358658</v>
      </c>
      <c r="R482" s="22" t="str">
        <f t="shared" si="86"/>
        <v>Not Eligible</v>
      </c>
      <c r="S482" t="str">
        <f t="shared" si="87"/>
        <v>Rating below 4</v>
      </c>
      <c r="T482" s="22" t="s">
        <v>1687</v>
      </c>
    </row>
    <row r="483" spans="1:20" x14ac:dyDescent="0.3">
      <c r="A483" s="22" t="s">
        <v>1618</v>
      </c>
      <c r="B483" s="29" t="str">
        <f t="shared" si="77"/>
        <v>Rashmi Khanna</v>
      </c>
      <c r="C483" s="29" t="str">
        <f t="shared" si="78"/>
        <v>Ramya Khanna</v>
      </c>
      <c r="D483" s="29" t="str">
        <f t="shared" si="79"/>
        <v>Legal &amp; Compliance</v>
      </c>
      <c r="E483" s="30" t="str">
        <f t="shared" si="80"/>
        <v>L1</v>
      </c>
      <c r="F483" s="30" t="str">
        <f t="shared" si="81"/>
        <v>Active</v>
      </c>
      <c r="G483" s="22">
        <v>2</v>
      </c>
      <c r="H483" t="str">
        <f t="shared" si="82"/>
        <v>Needs Improvement</v>
      </c>
      <c r="I483" s="22">
        <v>2</v>
      </c>
      <c r="J483" s="22" t="str">
        <f t="shared" si="83"/>
        <v>Stable</v>
      </c>
      <c r="K483" s="31">
        <v>0.7</v>
      </c>
      <c r="L483" s="24">
        <v>2.7</v>
      </c>
      <c r="M483" s="22" t="s">
        <v>60</v>
      </c>
      <c r="N483" s="22" t="str">
        <f t="shared" si="84"/>
        <v>Low</v>
      </c>
      <c r="O483" t="str">
        <f>INDEX(NineBox,MATCH(N483,{"Low","Mid","High"},0),MATCH(M483,{"Low","Medium","High"},0))</f>
        <v>Inconsistent Player</v>
      </c>
      <c r="P483" s="28">
        <v>46232</v>
      </c>
      <c r="Q483" s="24">
        <f t="shared" si="85"/>
        <v>0.17248459958932238</v>
      </c>
      <c r="R483" s="22" t="str">
        <f t="shared" si="86"/>
        <v>Not Eligible</v>
      </c>
      <c r="S483" t="str">
        <f t="shared" si="87"/>
        <v>Rating below 4</v>
      </c>
      <c r="T483" s="22" t="s">
        <v>1687</v>
      </c>
    </row>
    <row r="484" spans="1:20" x14ac:dyDescent="0.3">
      <c r="A484" s="22" t="s">
        <v>1621</v>
      </c>
      <c r="B484" s="29" t="str">
        <f t="shared" si="77"/>
        <v>Amit Chatterjee</v>
      </c>
      <c r="C484" s="29" t="str">
        <f t="shared" si="78"/>
        <v>Yash Shah</v>
      </c>
      <c r="D484" s="29" t="str">
        <f t="shared" si="79"/>
        <v>Operations</v>
      </c>
      <c r="E484" s="30" t="str">
        <f t="shared" si="80"/>
        <v>L1</v>
      </c>
      <c r="F484" s="30" t="str">
        <f t="shared" si="81"/>
        <v>Active</v>
      </c>
      <c r="G484" s="22">
        <v>3</v>
      </c>
      <c r="H484" t="str">
        <f t="shared" si="82"/>
        <v>Meets Expectations</v>
      </c>
      <c r="I484" s="22">
        <v>3</v>
      </c>
      <c r="J484" s="22" t="str">
        <f t="shared" si="83"/>
        <v>Stable</v>
      </c>
      <c r="K484" s="31">
        <v>0.89</v>
      </c>
      <c r="L484" s="24">
        <v>2.5</v>
      </c>
      <c r="M484" s="22" t="s">
        <v>60</v>
      </c>
      <c r="N484" s="22" t="str">
        <f t="shared" si="84"/>
        <v>Mid</v>
      </c>
      <c r="O484" t="str">
        <f>INDEX(NineBox,MATCH(N484,{"Low","Mid","High"},0),MATCH(M484,{"Low","Medium","High"},0))</f>
        <v>Core Player</v>
      </c>
      <c r="P484" s="28">
        <v>46234</v>
      </c>
      <c r="Q484" s="24">
        <f t="shared" si="85"/>
        <v>0.16700889801505817</v>
      </c>
      <c r="R484" s="22" t="str">
        <f t="shared" si="86"/>
        <v>Not Eligible</v>
      </c>
      <c r="S484" t="str">
        <f t="shared" si="87"/>
        <v>Rating below 4</v>
      </c>
      <c r="T484" s="22" t="s">
        <v>1687</v>
      </c>
    </row>
    <row r="485" spans="1:20" x14ac:dyDescent="0.3">
      <c r="A485" s="22" t="s">
        <v>1624</v>
      </c>
      <c r="B485" s="29" t="str">
        <f t="shared" si="77"/>
        <v>Ankit Raghavan</v>
      </c>
      <c r="C485" s="29" t="str">
        <f t="shared" si="78"/>
        <v>Akash Das</v>
      </c>
      <c r="D485" s="29" t="str">
        <f t="shared" si="79"/>
        <v>Human Resources</v>
      </c>
      <c r="E485" s="30" t="str">
        <f t="shared" si="80"/>
        <v>L3</v>
      </c>
      <c r="F485" s="30" t="str">
        <f t="shared" si="81"/>
        <v>Active</v>
      </c>
      <c r="G485" s="22">
        <v>4</v>
      </c>
      <c r="H485" t="str">
        <f t="shared" si="82"/>
        <v>Exceeds Expectations</v>
      </c>
      <c r="I485" s="22">
        <v>4</v>
      </c>
      <c r="J485" s="22" t="str">
        <f t="shared" si="83"/>
        <v>Stable</v>
      </c>
      <c r="K485" s="31">
        <v>0.82</v>
      </c>
      <c r="L485" s="24">
        <v>3.9</v>
      </c>
      <c r="M485" s="22" t="s">
        <v>60</v>
      </c>
      <c r="N485" s="22" t="str">
        <f t="shared" si="84"/>
        <v>High</v>
      </c>
      <c r="O485" t="str">
        <f>INDEX(NineBox,MATCH(N485,{"Low","Mid","High"},0),MATCH(M485,{"Low","Medium","High"},0))</f>
        <v>High Performer</v>
      </c>
      <c r="P485" s="28">
        <v>46236</v>
      </c>
      <c r="Q485" s="24">
        <f t="shared" si="85"/>
        <v>0.16153319644079397</v>
      </c>
      <c r="R485" s="22" t="str">
        <f t="shared" si="86"/>
        <v>Not Eligible</v>
      </c>
      <c r="S485" t="str">
        <f t="shared" si="87"/>
        <v>Under 1.5 yrs in current level</v>
      </c>
      <c r="T485" s="22" t="s">
        <v>1687</v>
      </c>
    </row>
    <row r="486" spans="1:20" x14ac:dyDescent="0.3">
      <c r="A486" s="22" t="s">
        <v>1627</v>
      </c>
      <c r="B486" s="29" t="str">
        <f t="shared" si="77"/>
        <v>Dev Reddy</v>
      </c>
      <c r="C486" s="29" t="str">
        <f t="shared" si="78"/>
        <v>Isha Verma</v>
      </c>
      <c r="D486" s="29" t="str">
        <f t="shared" si="79"/>
        <v>Customer Support</v>
      </c>
      <c r="E486" s="30" t="str">
        <f t="shared" si="80"/>
        <v>L1</v>
      </c>
      <c r="F486" s="30" t="str">
        <f t="shared" si="81"/>
        <v>Active</v>
      </c>
      <c r="G486" s="22">
        <v>4</v>
      </c>
      <c r="H486" t="str">
        <f t="shared" si="82"/>
        <v>Exceeds Expectations</v>
      </c>
      <c r="I486" s="22">
        <v>5</v>
      </c>
      <c r="J486" s="22" t="str">
        <f t="shared" si="83"/>
        <v>Declined</v>
      </c>
      <c r="K486" s="31">
        <v>0.94</v>
      </c>
      <c r="L486" s="24">
        <v>3.7</v>
      </c>
      <c r="M486" s="22" t="s">
        <v>60</v>
      </c>
      <c r="N486" s="22" t="str">
        <f t="shared" si="84"/>
        <v>High</v>
      </c>
      <c r="O486" t="str">
        <f>INDEX(NineBox,MATCH(N486,{"Low","Mid","High"},0),MATCH(M486,{"Low","Medium","High"},0))</f>
        <v>High Performer</v>
      </c>
      <c r="P486" s="28">
        <v>46239</v>
      </c>
      <c r="Q486" s="24">
        <f t="shared" si="85"/>
        <v>0.15331964407939766</v>
      </c>
      <c r="R486" s="22" t="str">
        <f t="shared" si="86"/>
        <v>Not Eligible</v>
      </c>
      <c r="S486" t="str">
        <f t="shared" si="87"/>
        <v>Under 1.5 yrs in current level</v>
      </c>
      <c r="T486" s="22" t="s">
        <v>1687</v>
      </c>
    </row>
    <row r="487" spans="1:20" x14ac:dyDescent="0.3">
      <c r="A487" s="22" t="s">
        <v>1630</v>
      </c>
      <c r="B487" s="29" t="str">
        <f t="shared" si="77"/>
        <v>Radhika Fernandes</v>
      </c>
      <c r="C487" s="29" t="str">
        <f t="shared" si="78"/>
        <v>Trisha Malhotra</v>
      </c>
      <c r="D487" s="29" t="str">
        <f t="shared" si="79"/>
        <v>Product</v>
      </c>
      <c r="E487" s="30" t="str">
        <f t="shared" si="80"/>
        <v>L4</v>
      </c>
      <c r="F487" s="30" t="str">
        <f t="shared" si="81"/>
        <v>Active</v>
      </c>
      <c r="G487" s="22">
        <v>3</v>
      </c>
      <c r="H487" t="str">
        <f t="shared" si="82"/>
        <v>Meets Expectations</v>
      </c>
      <c r="I487" s="22">
        <v>3</v>
      </c>
      <c r="J487" s="22" t="str">
        <f t="shared" si="83"/>
        <v>Stable</v>
      </c>
      <c r="K487" s="31">
        <v>0.7</v>
      </c>
      <c r="L487" s="24">
        <v>3.1</v>
      </c>
      <c r="M487" s="22" t="s">
        <v>59</v>
      </c>
      <c r="N487" s="22" t="str">
        <f t="shared" si="84"/>
        <v>Mid</v>
      </c>
      <c r="O487" t="str">
        <f>INDEX(NineBox,MATCH(N487,{"Low","Mid","High"},0),MATCH(M487,{"Low","Medium","High"},0))</f>
        <v>Effective Contributor</v>
      </c>
      <c r="P487" s="28">
        <v>46239</v>
      </c>
      <c r="Q487" s="24">
        <f t="shared" si="85"/>
        <v>0.15331964407939766</v>
      </c>
      <c r="R487" s="22" t="str">
        <f t="shared" si="86"/>
        <v>Not Eligible</v>
      </c>
      <c r="S487" t="str">
        <f t="shared" si="87"/>
        <v>Rating below 4</v>
      </c>
      <c r="T487" s="22" t="s">
        <v>1687</v>
      </c>
    </row>
    <row r="488" spans="1:20" x14ac:dyDescent="0.3">
      <c r="A488" s="22" t="s">
        <v>1633</v>
      </c>
      <c r="B488" s="29" t="str">
        <f t="shared" si="77"/>
        <v>Kiran Kulkarni</v>
      </c>
      <c r="C488" s="29" t="str">
        <f t="shared" si="78"/>
        <v>Harsh Siddiqui</v>
      </c>
      <c r="D488" s="29" t="str">
        <f t="shared" si="79"/>
        <v>Engineering</v>
      </c>
      <c r="E488" s="30" t="str">
        <f t="shared" si="80"/>
        <v>L1</v>
      </c>
      <c r="F488" s="30" t="str">
        <f t="shared" si="81"/>
        <v>Active</v>
      </c>
      <c r="G488" s="22">
        <v>2</v>
      </c>
      <c r="H488" t="str">
        <f t="shared" si="82"/>
        <v>Needs Improvement</v>
      </c>
      <c r="I488" s="22">
        <v>2</v>
      </c>
      <c r="J488" s="22" t="str">
        <f t="shared" si="83"/>
        <v>Stable</v>
      </c>
      <c r="K488" s="31">
        <v>0.66</v>
      </c>
      <c r="L488" s="24">
        <v>2.5</v>
      </c>
      <c r="M488" s="22" t="s">
        <v>61</v>
      </c>
      <c r="N488" s="22" t="str">
        <f t="shared" si="84"/>
        <v>Low</v>
      </c>
      <c r="O488" t="str">
        <f>INDEX(NineBox,MATCH(N488,{"Low","Mid","High"},0),MATCH(M488,{"Low","Medium","High"},0))</f>
        <v>Rough Diamond</v>
      </c>
      <c r="P488" s="28">
        <v>46242</v>
      </c>
      <c r="Q488" s="24">
        <f t="shared" si="85"/>
        <v>0.14510609171800137</v>
      </c>
      <c r="R488" s="22" t="str">
        <f t="shared" si="86"/>
        <v>Not Eligible</v>
      </c>
      <c r="S488" t="str">
        <f t="shared" si="87"/>
        <v>Rating below 4</v>
      </c>
      <c r="T488" s="22" t="s">
        <v>1687</v>
      </c>
    </row>
    <row r="489" spans="1:20" x14ac:dyDescent="0.3">
      <c r="A489" s="22" t="s">
        <v>1636</v>
      </c>
      <c r="B489" s="29" t="str">
        <f t="shared" si="77"/>
        <v>Tarun Patel</v>
      </c>
      <c r="C489" s="29" t="str">
        <f t="shared" si="78"/>
        <v>Vidya Chatterjee</v>
      </c>
      <c r="D489" s="29" t="str">
        <f t="shared" si="79"/>
        <v>Customer Support</v>
      </c>
      <c r="E489" s="30" t="str">
        <f t="shared" si="80"/>
        <v>L4</v>
      </c>
      <c r="F489" s="30" t="str">
        <f t="shared" si="81"/>
        <v>Active</v>
      </c>
      <c r="G489" s="22">
        <v>3</v>
      </c>
      <c r="H489" t="str">
        <f t="shared" si="82"/>
        <v>Meets Expectations</v>
      </c>
      <c r="I489" s="22">
        <v>4</v>
      </c>
      <c r="J489" s="22" t="str">
        <f t="shared" si="83"/>
        <v>Declined</v>
      </c>
      <c r="K489" s="31">
        <v>0.82</v>
      </c>
      <c r="L489" s="24">
        <v>2.7</v>
      </c>
      <c r="M489" s="22" t="s">
        <v>60</v>
      </c>
      <c r="N489" s="22" t="str">
        <f t="shared" si="84"/>
        <v>Mid</v>
      </c>
      <c r="O489" t="str">
        <f>INDEX(NineBox,MATCH(N489,{"Low","Mid","High"},0),MATCH(M489,{"Low","Medium","High"},0))</f>
        <v>Core Player</v>
      </c>
      <c r="P489" s="28">
        <v>46246</v>
      </c>
      <c r="Q489" s="24">
        <f t="shared" si="85"/>
        <v>0.13415468856947296</v>
      </c>
      <c r="R489" s="22" t="str">
        <f t="shared" si="86"/>
        <v>Not Eligible</v>
      </c>
      <c r="S489" t="str">
        <f t="shared" si="87"/>
        <v>Rating below 4</v>
      </c>
      <c r="T489" s="22" t="s">
        <v>1687</v>
      </c>
    </row>
    <row r="490" spans="1:20" x14ac:dyDescent="0.3">
      <c r="A490" s="22" t="s">
        <v>1639</v>
      </c>
      <c r="B490" s="29" t="str">
        <f t="shared" si="77"/>
        <v>Sanjay Das</v>
      </c>
      <c r="C490" s="29" t="str">
        <f t="shared" si="78"/>
        <v>Kritika Pandey</v>
      </c>
      <c r="D490" s="29" t="str">
        <f t="shared" si="79"/>
        <v>Finance</v>
      </c>
      <c r="E490" s="30" t="str">
        <f t="shared" si="80"/>
        <v>L1</v>
      </c>
      <c r="F490" s="30" t="str">
        <f t="shared" si="81"/>
        <v>Active</v>
      </c>
      <c r="G490" s="22">
        <v>3</v>
      </c>
      <c r="H490" t="str">
        <f t="shared" si="82"/>
        <v>Meets Expectations</v>
      </c>
      <c r="I490" s="22">
        <v>2</v>
      </c>
      <c r="J490" s="22" t="str">
        <f t="shared" si="83"/>
        <v>Improved</v>
      </c>
      <c r="K490" s="31">
        <v>0.69</v>
      </c>
      <c r="L490" s="24">
        <v>2.9</v>
      </c>
      <c r="M490" s="22" t="s">
        <v>59</v>
      </c>
      <c r="N490" s="22" t="str">
        <f t="shared" si="84"/>
        <v>Mid</v>
      </c>
      <c r="O490" t="str">
        <f>INDEX(NineBox,MATCH(N490,{"Low","Mid","High"},0),MATCH(M490,{"Low","Medium","High"},0))</f>
        <v>Effective Contributor</v>
      </c>
      <c r="P490" s="28">
        <v>46248</v>
      </c>
      <c r="Q490" s="24">
        <f t="shared" si="85"/>
        <v>0.12867898699520877</v>
      </c>
      <c r="R490" s="22" t="str">
        <f t="shared" si="86"/>
        <v>Not Eligible</v>
      </c>
      <c r="S490" t="str">
        <f t="shared" si="87"/>
        <v>Rating below 4</v>
      </c>
      <c r="T490" s="22" t="s">
        <v>1687</v>
      </c>
    </row>
    <row r="491" spans="1:20" x14ac:dyDescent="0.3">
      <c r="A491" s="22" t="s">
        <v>1642</v>
      </c>
      <c r="B491" s="29" t="str">
        <f t="shared" si="77"/>
        <v>Deepika Menon</v>
      </c>
      <c r="C491" s="29" t="str">
        <f t="shared" si="78"/>
        <v>Madhuri Malhotra</v>
      </c>
      <c r="D491" s="29" t="str">
        <f t="shared" si="79"/>
        <v>Sales</v>
      </c>
      <c r="E491" s="30" t="str">
        <f t="shared" si="80"/>
        <v>L3</v>
      </c>
      <c r="F491" s="30" t="str">
        <f t="shared" si="81"/>
        <v>Active</v>
      </c>
      <c r="G491" s="22">
        <v>4</v>
      </c>
      <c r="H491" t="str">
        <f t="shared" si="82"/>
        <v>Exceeds Expectations</v>
      </c>
      <c r="I491" s="22">
        <v>5</v>
      </c>
      <c r="J491" s="22" t="str">
        <f t="shared" si="83"/>
        <v>Declined</v>
      </c>
      <c r="K491" s="31">
        <v>0.98</v>
      </c>
      <c r="L491" s="24">
        <v>3.6</v>
      </c>
      <c r="M491" s="22" t="s">
        <v>60</v>
      </c>
      <c r="N491" s="22" t="str">
        <f t="shared" si="84"/>
        <v>High</v>
      </c>
      <c r="O491" t="str">
        <f>INDEX(NineBox,MATCH(N491,{"Low","Mid","High"},0),MATCH(M491,{"Low","Medium","High"},0))</f>
        <v>High Performer</v>
      </c>
      <c r="P491" s="28">
        <v>46252</v>
      </c>
      <c r="Q491" s="24">
        <f t="shared" si="85"/>
        <v>0.11772758384668036</v>
      </c>
      <c r="R491" s="22" t="str">
        <f t="shared" si="86"/>
        <v>Not Eligible</v>
      </c>
      <c r="S491" t="str">
        <f t="shared" si="87"/>
        <v>Under 1.5 yrs in current level</v>
      </c>
      <c r="T491" s="22" t="s">
        <v>1687</v>
      </c>
    </row>
    <row r="492" spans="1:20" x14ac:dyDescent="0.3">
      <c r="A492" s="22" t="s">
        <v>1645</v>
      </c>
      <c r="B492" s="29" t="str">
        <f t="shared" si="77"/>
        <v>Sowmya Subramanian</v>
      </c>
      <c r="C492" s="29" t="str">
        <f t="shared" si="78"/>
        <v>Ashish Varghese</v>
      </c>
      <c r="D492" s="29" t="str">
        <f t="shared" si="79"/>
        <v>Customer Support</v>
      </c>
      <c r="E492" s="30" t="str">
        <f t="shared" si="80"/>
        <v>L2</v>
      </c>
      <c r="F492" s="30" t="str">
        <f t="shared" si="81"/>
        <v>Active</v>
      </c>
      <c r="G492" s="22">
        <v>5</v>
      </c>
      <c r="H492" t="str">
        <f t="shared" si="82"/>
        <v>Outstanding</v>
      </c>
      <c r="I492" s="22">
        <v>4</v>
      </c>
      <c r="J492" s="22" t="str">
        <f t="shared" si="83"/>
        <v>Improved</v>
      </c>
      <c r="K492" s="31">
        <v>0.99</v>
      </c>
      <c r="L492" s="24">
        <v>5</v>
      </c>
      <c r="M492" s="22" t="s">
        <v>61</v>
      </c>
      <c r="N492" s="22" t="str">
        <f t="shared" si="84"/>
        <v>High</v>
      </c>
      <c r="O492" t="str">
        <f>INDEX(NineBox,MATCH(N492,{"Low","Mid","High"},0),MATCH(M492,{"Low","Medium","High"},0))</f>
        <v>Star</v>
      </c>
      <c r="P492" s="28">
        <v>46254</v>
      </c>
      <c r="Q492" s="24">
        <f t="shared" si="85"/>
        <v>0.11225188227241616</v>
      </c>
      <c r="R492" s="22" t="str">
        <f t="shared" si="86"/>
        <v>Not Eligible</v>
      </c>
      <c r="S492" t="str">
        <f t="shared" si="87"/>
        <v>Under 1.5 yrs in current level</v>
      </c>
      <c r="T492" s="22" t="s">
        <v>1688</v>
      </c>
    </row>
    <row r="493" spans="1:20" x14ac:dyDescent="0.3">
      <c r="A493" s="22" t="s">
        <v>1648</v>
      </c>
      <c r="B493" s="29" t="str">
        <f t="shared" si="77"/>
        <v>Kunal Dsouza</v>
      </c>
      <c r="C493" s="29" t="str">
        <f t="shared" si="78"/>
        <v>Pallavi Nair</v>
      </c>
      <c r="D493" s="29" t="str">
        <f t="shared" si="79"/>
        <v>Operations</v>
      </c>
      <c r="E493" s="30" t="str">
        <f t="shared" si="80"/>
        <v>L1</v>
      </c>
      <c r="F493" s="30" t="str">
        <f t="shared" si="81"/>
        <v>Active</v>
      </c>
      <c r="G493" s="22">
        <v>3</v>
      </c>
      <c r="H493" t="str">
        <f t="shared" si="82"/>
        <v>Meets Expectations</v>
      </c>
      <c r="I493" s="22">
        <v>3</v>
      </c>
      <c r="J493" s="22" t="str">
        <f t="shared" si="83"/>
        <v>Stable</v>
      </c>
      <c r="K493" s="31">
        <v>0.87</v>
      </c>
      <c r="L493" s="24">
        <v>2.5</v>
      </c>
      <c r="M493" s="22" t="s">
        <v>60</v>
      </c>
      <c r="N493" s="22" t="str">
        <f t="shared" si="84"/>
        <v>Mid</v>
      </c>
      <c r="O493" t="str">
        <f>INDEX(NineBox,MATCH(N493,{"Low","Mid","High"},0),MATCH(M493,{"Low","Medium","High"},0))</f>
        <v>Core Player</v>
      </c>
      <c r="P493" s="28">
        <v>46255</v>
      </c>
      <c r="Q493" s="24">
        <f t="shared" si="85"/>
        <v>0.10951403148528405</v>
      </c>
      <c r="R493" s="22" t="str">
        <f t="shared" si="86"/>
        <v>Not Eligible</v>
      </c>
      <c r="S493" t="str">
        <f t="shared" si="87"/>
        <v>Rating below 4</v>
      </c>
      <c r="T493" s="22" t="s">
        <v>1687</v>
      </c>
    </row>
    <row r="494" spans="1:20" x14ac:dyDescent="0.3">
      <c r="A494" s="22" t="s">
        <v>1651</v>
      </c>
      <c r="B494" s="29" t="str">
        <f t="shared" si="77"/>
        <v>Divya Kapoor</v>
      </c>
      <c r="C494" s="29" t="str">
        <f t="shared" si="78"/>
        <v>Trisha Malhotra</v>
      </c>
      <c r="D494" s="29" t="str">
        <f t="shared" si="79"/>
        <v>Product</v>
      </c>
      <c r="E494" s="30" t="str">
        <f t="shared" si="80"/>
        <v>L2</v>
      </c>
      <c r="F494" s="30" t="str">
        <f t="shared" si="81"/>
        <v>Active</v>
      </c>
      <c r="G494" s="22">
        <v>3</v>
      </c>
      <c r="H494" t="str">
        <f t="shared" si="82"/>
        <v>Meets Expectations</v>
      </c>
      <c r="I494" s="22">
        <v>2</v>
      </c>
      <c r="J494" s="22" t="str">
        <f t="shared" si="83"/>
        <v>Improved</v>
      </c>
      <c r="K494" s="31">
        <v>0.67</v>
      </c>
      <c r="L494" s="24">
        <v>3.2</v>
      </c>
      <c r="M494" s="22" t="s">
        <v>59</v>
      </c>
      <c r="N494" s="22" t="str">
        <f t="shared" si="84"/>
        <v>Mid</v>
      </c>
      <c r="O494" t="str">
        <f>INDEX(NineBox,MATCH(N494,{"Low","Mid","High"},0),MATCH(M494,{"Low","Medium","High"},0))</f>
        <v>Effective Contributor</v>
      </c>
      <c r="P494" s="28">
        <v>46256</v>
      </c>
      <c r="Q494" s="24">
        <f t="shared" si="85"/>
        <v>0.10677618069815195</v>
      </c>
      <c r="R494" s="22" t="str">
        <f t="shared" si="86"/>
        <v>Not Eligible</v>
      </c>
      <c r="S494" t="str">
        <f t="shared" si="87"/>
        <v>Rating below 4</v>
      </c>
      <c r="T494" s="22" t="s">
        <v>1687</v>
      </c>
    </row>
    <row r="495" spans="1:20" x14ac:dyDescent="0.3">
      <c r="A495" s="22" t="s">
        <v>1654</v>
      </c>
      <c r="B495" s="29" t="str">
        <f t="shared" si="77"/>
        <v>Ayesha Kulkarni</v>
      </c>
      <c r="C495" s="29" t="str">
        <f t="shared" si="78"/>
        <v>Prakash Desai</v>
      </c>
      <c r="D495" s="29" t="str">
        <f t="shared" si="79"/>
        <v>Engineering</v>
      </c>
      <c r="E495" s="30" t="str">
        <f t="shared" si="80"/>
        <v>L2</v>
      </c>
      <c r="F495" s="30" t="str">
        <f t="shared" si="81"/>
        <v>Active</v>
      </c>
      <c r="G495" s="22">
        <v>1</v>
      </c>
      <c r="H495" t="str">
        <f t="shared" si="82"/>
        <v>Unsatisfactory</v>
      </c>
      <c r="I495" s="22">
        <v>1</v>
      </c>
      <c r="J495" s="22" t="str">
        <f t="shared" si="83"/>
        <v>Stable</v>
      </c>
      <c r="K495" s="31">
        <v>0.54</v>
      </c>
      <c r="L495" s="24">
        <v>1</v>
      </c>
      <c r="M495" s="22" t="s">
        <v>59</v>
      </c>
      <c r="N495" s="22" t="str">
        <f t="shared" si="84"/>
        <v>Low</v>
      </c>
      <c r="O495" t="str">
        <f>INDEX(NineBox,MATCH(N495,{"Low","Mid","High"},0),MATCH(M495,{"Low","Medium","High"},0))</f>
        <v>Underperformer</v>
      </c>
      <c r="P495" s="28">
        <v>46261</v>
      </c>
      <c r="Q495" s="24">
        <f t="shared" si="85"/>
        <v>9.3086926762491445E-2</v>
      </c>
      <c r="R495" s="22" t="str">
        <f t="shared" si="86"/>
        <v>Not Eligible</v>
      </c>
      <c r="S495" t="str">
        <f t="shared" si="87"/>
        <v>Rating below 4</v>
      </c>
      <c r="T495" s="22" t="s">
        <v>1687</v>
      </c>
    </row>
    <row r="496" spans="1:20" x14ac:dyDescent="0.3">
      <c r="A496" s="22" t="s">
        <v>1657</v>
      </c>
      <c r="B496" s="29" t="str">
        <f t="shared" si="77"/>
        <v>Ayesha Menon</v>
      </c>
      <c r="C496" s="29" t="str">
        <f t="shared" si="78"/>
        <v>Yash Raghavan</v>
      </c>
      <c r="D496" s="29" t="str">
        <f t="shared" si="79"/>
        <v>Sales</v>
      </c>
      <c r="E496" s="30" t="str">
        <f t="shared" si="80"/>
        <v>L3</v>
      </c>
      <c r="F496" s="30" t="str">
        <f t="shared" si="81"/>
        <v>Active</v>
      </c>
      <c r="G496" s="22">
        <v>4</v>
      </c>
      <c r="H496" t="str">
        <f t="shared" si="82"/>
        <v>Exceeds Expectations</v>
      </c>
      <c r="I496" s="22">
        <v>4</v>
      </c>
      <c r="J496" s="22" t="str">
        <f t="shared" si="83"/>
        <v>Stable</v>
      </c>
      <c r="K496" s="31">
        <v>0.96</v>
      </c>
      <c r="L496" s="24">
        <v>3.5</v>
      </c>
      <c r="M496" s="22" t="s">
        <v>60</v>
      </c>
      <c r="N496" s="22" t="str">
        <f t="shared" si="84"/>
        <v>High</v>
      </c>
      <c r="O496" t="str">
        <f>INDEX(NineBox,MATCH(N496,{"Low","Mid","High"},0),MATCH(M496,{"Low","Medium","High"},0))</f>
        <v>High Performer</v>
      </c>
      <c r="P496" s="28">
        <v>46268</v>
      </c>
      <c r="Q496" s="24">
        <f t="shared" si="85"/>
        <v>7.3921971252566734E-2</v>
      </c>
      <c r="R496" s="22" t="str">
        <f t="shared" si="86"/>
        <v>Not Eligible</v>
      </c>
      <c r="S496" t="str">
        <f t="shared" si="87"/>
        <v>Under 1.5 yrs in current level</v>
      </c>
      <c r="T496" s="22" t="s">
        <v>1687</v>
      </c>
    </row>
    <row r="497" spans="1:20" x14ac:dyDescent="0.3">
      <c r="A497" s="22" t="s">
        <v>1660</v>
      </c>
      <c r="B497" s="29" t="str">
        <f t="shared" si="77"/>
        <v>Trisha Sharma</v>
      </c>
      <c r="C497" s="29" t="str">
        <f t="shared" si="78"/>
        <v>Ramya Khanna</v>
      </c>
      <c r="D497" s="29" t="str">
        <f t="shared" si="79"/>
        <v>Legal &amp; Compliance</v>
      </c>
      <c r="E497" s="30" t="str">
        <f t="shared" si="80"/>
        <v>L3</v>
      </c>
      <c r="F497" s="30" t="str">
        <f t="shared" si="81"/>
        <v>Active</v>
      </c>
      <c r="G497" s="22">
        <v>1</v>
      </c>
      <c r="H497" t="str">
        <f t="shared" si="82"/>
        <v>Unsatisfactory</v>
      </c>
      <c r="I497" s="22">
        <v>1</v>
      </c>
      <c r="J497" s="22" t="str">
        <f t="shared" si="83"/>
        <v>Stable</v>
      </c>
      <c r="K497" s="31">
        <v>0.59</v>
      </c>
      <c r="L497" s="24">
        <v>1.1000000000000001</v>
      </c>
      <c r="M497" s="22" t="s">
        <v>59</v>
      </c>
      <c r="N497" s="22" t="str">
        <f t="shared" si="84"/>
        <v>Low</v>
      </c>
      <c r="O497" t="str">
        <f>INDEX(NineBox,MATCH(N497,{"Low","Mid","High"},0),MATCH(M497,{"Low","Medium","High"},0))</f>
        <v>Underperformer</v>
      </c>
      <c r="P497" s="28">
        <v>46277</v>
      </c>
      <c r="Q497" s="24">
        <f t="shared" si="85"/>
        <v>4.9281314168377825E-2</v>
      </c>
      <c r="R497" s="22" t="str">
        <f t="shared" si="86"/>
        <v>Not Eligible</v>
      </c>
      <c r="S497" t="str">
        <f t="shared" si="87"/>
        <v>Rating below 4</v>
      </c>
      <c r="T497" s="22" t="s">
        <v>1687</v>
      </c>
    </row>
    <row r="498" spans="1:20" x14ac:dyDescent="0.3">
      <c r="A498" s="22" t="s">
        <v>1663</v>
      </c>
      <c r="B498" s="29" t="str">
        <f t="shared" si="77"/>
        <v>Vishal Kulkarni</v>
      </c>
      <c r="C498" s="29" t="str">
        <f t="shared" si="78"/>
        <v>Ajay Kumar</v>
      </c>
      <c r="D498" s="29" t="str">
        <f t="shared" si="79"/>
        <v>Operations</v>
      </c>
      <c r="E498" s="30" t="str">
        <f t="shared" si="80"/>
        <v>L4</v>
      </c>
      <c r="F498" s="30" t="str">
        <f t="shared" si="81"/>
        <v>Active</v>
      </c>
      <c r="G498" s="22">
        <v>3</v>
      </c>
      <c r="H498" t="str">
        <f t="shared" si="82"/>
        <v>Meets Expectations</v>
      </c>
      <c r="I498" s="22">
        <v>4</v>
      </c>
      <c r="J498" s="22" t="str">
        <f t="shared" si="83"/>
        <v>Declined</v>
      </c>
      <c r="K498" s="31">
        <v>0.87</v>
      </c>
      <c r="L498" s="24">
        <v>2.8</v>
      </c>
      <c r="M498" s="22" t="s">
        <v>61</v>
      </c>
      <c r="N498" s="22" t="str">
        <f t="shared" si="84"/>
        <v>Mid</v>
      </c>
      <c r="O498" t="str">
        <f>INDEX(NineBox,MATCH(N498,{"Low","Mid","High"},0),MATCH(M498,{"Low","Medium","High"},0))</f>
        <v>Future Star</v>
      </c>
      <c r="P498" s="28">
        <v>46283</v>
      </c>
      <c r="Q498" s="24">
        <f t="shared" si="85"/>
        <v>3.2854209445585217E-2</v>
      </c>
      <c r="R498" s="22" t="str">
        <f t="shared" si="86"/>
        <v>Not Eligible</v>
      </c>
      <c r="S498" t="str">
        <f t="shared" si="87"/>
        <v>Rating below 4</v>
      </c>
      <c r="T498" s="22" t="s">
        <v>1687</v>
      </c>
    </row>
    <row r="499" spans="1:20" x14ac:dyDescent="0.3">
      <c r="A499" s="22" t="s">
        <v>484</v>
      </c>
      <c r="B499" s="29" t="str">
        <f t="shared" si="77"/>
        <v>Trisha Malhotra</v>
      </c>
      <c r="C499" s="29" t="str">
        <f t="shared" si="78"/>
        <v>Trisha Patel</v>
      </c>
      <c r="D499" s="29" t="str">
        <f t="shared" si="79"/>
        <v>Product</v>
      </c>
      <c r="E499" s="30" t="str">
        <f t="shared" si="80"/>
        <v>L5</v>
      </c>
      <c r="F499" s="30" t="str">
        <f t="shared" si="81"/>
        <v>Active</v>
      </c>
      <c r="G499" s="22">
        <v>3</v>
      </c>
      <c r="H499" t="str">
        <f t="shared" si="82"/>
        <v>Meets Expectations</v>
      </c>
      <c r="I499" s="22">
        <v>3</v>
      </c>
      <c r="J499" s="22" t="str">
        <f t="shared" si="83"/>
        <v>Stable</v>
      </c>
      <c r="K499" s="31">
        <v>0.91</v>
      </c>
      <c r="L499" s="24">
        <v>2.5</v>
      </c>
      <c r="M499" s="22" t="s">
        <v>60</v>
      </c>
      <c r="N499" s="22" t="str">
        <f t="shared" si="84"/>
        <v>Mid</v>
      </c>
      <c r="O499" t="str">
        <f>INDEX(NineBox,MATCH(N499,{"Low","Mid","High"},0),MATCH(M499,{"Low","Medium","High"},0))</f>
        <v>Core Player</v>
      </c>
      <c r="P499" s="28">
        <v>46283</v>
      </c>
      <c r="Q499" s="24">
        <f t="shared" si="85"/>
        <v>3.2854209445585217E-2</v>
      </c>
      <c r="R499" s="22" t="str">
        <f t="shared" si="86"/>
        <v>Not Eligible</v>
      </c>
      <c r="S499" t="str">
        <f t="shared" si="87"/>
        <v>Rating below 4</v>
      </c>
      <c r="T499" s="22" t="s">
        <v>1687</v>
      </c>
    </row>
    <row r="500" spans="1:20" x14ac:dyDescent="0.3">
      <c r="A500" s="22" t="s">
        <v>1667</v>
      </c>
      <c r="B500" s="29" t="str">
        <f t="shared" si="77"/>
        <v>Bhavana Singh</v>
      </c>
      <c r="C500" s="29" t="str">
        <f t="shared" si="78"/>
        <v>Gaurav Fernandes</v>
      </c>
      <c r="D500" s="29" t="str">
        <f t="shared" si="79"/>
        <v>Engineering</v>
      </c>
      <c r="E500" s="30" t="str">
        <f t="shared" si="80"/>
        <v>L1</v>
      </c>
      <c r="F500" s="30" t="str">
        <f t="shared" si="81"/>
        <v>Active</v>
      </c>
      <c r="G500" s="22">
        <v>2</v>
      </c>
      <c r="H500" t="str">
        <f t="shared" si="82"/>
        <v>Needs Improvement</v>
      </c>
      <c r="I500" s="22">
        <v>1</v>
      </c>
      <c r="J500" s="22" t="str">
        <f t="shared" si="83"/>
        <v>Improved</v>
      </c>
      <c r="K500" s="31">
        <v>0.72</v>
      </c>
      <c r="L500" s="24">
        <v>2.2999999999999998</v>
      </c>
      <c r="M500" s="22" t="s">
        <v>59</v>
      </c>
      <c r="N500" s="22" t="str">
        <f t="shared" si="84"/>
        <v>Low</v>
      </c>
      <c r="O500" t="str">
        <f>INDEX(NineBox,MATCH(N500,{"Low","Mid","High"},0),MATCH(M500,{"Low","Medium","High"},0))</f>
        <v>Underperformer</v>
      </c>
      <c r="P500" s="28">
        <v>46285</v>
      </c>
      <c r="Q500" s="24">
        <f t="shared" si="85"/>
        <v>2.7378507871321012E-2</v>
      </c>
      <c r="R500" s="22" t="str">
        <f t="shared" si="86"/>
        <v>Not Eligible</v>
      </c>
      <c r="S500" t="str">
        <f t="shared" si="87"/>
        <v>Rating below 4</v>
      </c>
      <c r="T500" s="22" t="s">
        <v>1687</v>
      </c>
    </row>
    <row r="501" spans="1:20" x14ac:dyDescent="0.3">
      <c r="A501" s="22" t="s">
        <v>1670</v>
      </c>
      <c r="B501" s="29" t="str">
        <f t="shared" si="77"/>
        <v>Sowmya Patel</v>
      </c>
      <c r="C501" s="29" t="str">
        <f t="shared" si="78"/>
        <v>Ramya Khanna</v>
      </c>
      <c r="D501" s="29" t="str">
        <f t="shared" si="79"/>
        <v>Legal &amp; Compliance</v>
      </c>
      <c r="E501" s="30" t="str">
        <f t="shared" si="80"/>
        <v>L2</v>
      </c>
      <c r="F501" s="30" t="str">
        <f t="shared" si="81"/>
        <v>Active</v>
      </c>
      <c r="G501" s="22">
        <v>2</v>
      </c>
      <c r="H501" t="str">
        <f t="shared" si="82"/>
        <v>Needs Improvement</v>
      </c>
      <c r="I501" s="22">
        <v>1</v>
      </c>
      <c r="J501" s="22" t="str">
        <f t="shared" si="83"/>
        <v>Improved</v>
      </c>
      <c r="K501" s="31">
        <v>0.66</v>
      </c>
      <c r="L501" s="24">
        <v>2.2999999999999998</v>
      </c>
      <c r="M501" s="22" t="s">
        <v>59</v>
      </c>
      <c r="N501" s="22" t="str">
        <f t="shared" si="84"/>
        <v>Low</v>
      </c>
      <c r="O501" t="str">
        <f>INDEX(NineBox,MATCH(N501,{"Low","Mid","High"},0),MATCH(M501,{"Low","Medium","High"},0))</f>
        <v>Underperformer</v>
      </c>
      <c r="P501" s="28">
        <v>46289</v>
      </c>
      <c r="Q501" s="24">
        <f t="shared" si="85"/>
        <v>1.6427104722792608E-2</v>
      </c>
      <c r="R501" s="22" t="str">
        <f t="shared" si="86"/>
        <v>Not Eligible</v>
      </c>
      <c r="S501" t="str">
        <f t="shared" si="87"/>
        <v>Rating below 4</v>
      </c>
      <c r="T501" s="22" t="s">
        <v>1687</v>
      </c>
    </row>
  </sheetData>
  <autoFilter ref="A1:T501" xr:uid="{00000000-0009-0000-0000-000004000000}"/>
  <conditionalFormatting sqref="A2:T501">
    <cfRule type="expression" dxfId="14" priority="1">
      <formula>MOD(ROW(),2)=0</formula>
    </cfRule>
  </conditionalFormatting>
  <conditionalFormatting sqref="G2:G501">
    <cfRule type="colorScale" priority="3">
      <colorScale>
        <cfvo type="min"/>
        <cfvo type="percentile" val="50"/>
        <cfvo type="max"/>
        <color rgb="FFF8C9CF"/>
        <color rgb="FFFFF3CD"/>
        <color rgb="FFC8EBD9"/>
      </colorScale>
    </cfRule>
  </conditionalFormatting>
  <conditionalFormatting sqref="J2:J501">
    <cfRule type="cellIs" dxfId="13" priority="4" operator="equal">
      <formula>"Declined"</formula>
    </cfRule>
  </conditionalFormatting>
  <conditionalFormatting sqref="R2:R501">
    <cfRule type="cellIs" dxfId="12" priority="2" operator="equal">
      <formula>"Eligible"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3C7DC4"/>
  </sheetPr>
  <dimension ref="A1:Q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18.6640625" customWidth="1"/>
    <col min="4" max="4" width="7.6640625" customWidth="1"/>
    <col min="5" max="5" width="9.6640625" customWidth="1"/>
    <col min="6" max="6" width="13.6640625" customWidth="1"/>
    <col min="7" max="9" width="12.6640625" customWidth="1"/>
    <col min="10" max="10" width="9.6640625" customWidth="1"/>
    <col min="11" max="11" width="12.6640625" customWidth="1"/>
    <col min="12" max="12" width="7.6640625" customWidth="1"/>
    <col min="13" max="13" width="9.6640625" customWidth="1"/>
    <col min="14" max="14" width="13.6640625" customWidth="1"/>
    <col min="15" max="15" width="9.6640625" customWidth="1"/>
    <col min="16" max="16" width="12.6640625" customWidth="1"/>
    <col min="17" max="17" width="8.6640625" customWidth="1"/>
  </cols>
  <sheetData>
    <row r="1" spans="1:17" ht="31.95" customHeight="1" x14ac:dyDescent="0.3">
      <c r="A1" s="6" t="s">
        <v>74</v>
      </c>
      <c r="B1" s="27" t="s">
        <v>75</v>
      </c>
      <c r="C1" s="27" t="s">
        <v>80</v>
      </c>
      <c r="D1" s="27" t="s">
        <v>17</v>
      </c>
      <c r="E1" s="27" t="s">
        <v>86</v>
      </c>
      <c r="F1" s="6" t="s">
        <v>1689</v>
      </c>
      <c r="G1" s="27" t="s">
        <v>1690</v>
      </c>
      <c r="H1" s="27" t="s">
        <v>1691</v>
      </c>
      <c r="I1" s="27" t="s">
        <v>1692</v>
      </c>
      <c r="J1" s="27" t="s">
        <v>1693</v>
      </c>
      <c r="K1" s="27" t="s">
        <v>1694</v>
      </c>
      <c r="L1" s="27" t="s">
        <v>50</v>
      </c>
      <c r="M1" s="6" t="s">
        <v>1695</v>
      </c>
      <c r="N1" s="27" t="s">
        <v>1696</v>
      </c>
      <c r="O1" s="6" t="s">
        <v>1697</v>
      </c>
      <c r="P1" s="27" t="s">
        <v>1698</v>
      </c>
      <c r="Q1" s="6" t="s">
        <v>1699</v>
      </c>
    </row>
    <row r="2" spans="1:17" x14ac:dyDescent="0.3">
      <c r="A2" s="22" t="s">
        <v>91</v>
      </c>
      <c r="B2" t="str">
        <f t="shared" ref="B2:B65" si="0">INDEX(M_Name,MATCH($A2,M_ID,0))</f>
        <v>Vidya Kulkarni</v>
      </c>
      <c r="C2" t="str">
        <f t="shared" ref="C2:C65" si="1">INDEX(M_Dept,MATCH($A2,M_ID,0))</f>
        <v>Human Resources</v>
      </c>
      <c r="D2" s="30" t="str">
        <f t="shared" ref="D2:D65" si="2">INDEX(M_Level,MATCH($A2,M_ID,0))</f>
        <v>L7</v>
      </c>
      <c r="E2" s="30" t="str">
        <f t="shared" ref="E2:E65" si="3">INDEX(M_Status,MATCH($A2,M_ID,0))</f>
        <v>Active</v>
      </c>
      <c r="F2" s="32">
        <v>7632000</v>
      </c>
      <c r="G2" s="33">
        <f t="shared" ref="G2:G65" si="4">INDEX(BandMin,MATCH(D2,BandLevels,0))</f>
        <v>5100000</v>
      </c>
      <c r="H2" s="33">
        <f t="shared" ref="H2:H65" si="5">INDEX(BandMid,MATCH(D2,BandLevels,0))</f>
        <v>8250000</v>
      </c>
      <c r="I2" s="33">
        <f t="shared" ref="I2:I65" si="6">INDEX(BandMax,MATCH(D2,BandLevels,0))</f>
        <v>11400000</v>
      </c>
      <c r="J2" s="25">
        <f t="shared" ref="J2:J65" si="7">ROUND(F2/H2,2)</f>
        <v>0.93</v>
      </c>
      <c r="K2" s="22" t="str">
        <f t="shared" ref="K2:K65" si="8">IF(F2&lt;G2,"Below Band",IF(F2&gt;I2,"Above Band","Within Band"))</f>
        <v>Within Band</v>
      </c>
      <c r="L2" s="30">
        <f t="shared" ref="L2:L65" si="9">INDEX(P_Rating,MATCH($A2,M_ID,0))</f>
        <v>5</v>
      </c>
      <c r="M2" s="26">
        <v>0.161</v>
      </c>
      <c r="N2" s="34">
        <f t="shared" ref="N2:N65" si="10">IF(E2="Exited",0,ROUND(F2*(1+M2),-2))</f>
        <v>8860800</v>
      </c>
      <c r="O2" s="31">
        <v>0.18</v>
      </c>
      <c r="P2" s="34">
        <f t="shared" ref="P2:P65" si="11">IF(E2="Exited",0,ROUND(F2*O2,-2))</f>
        <v>1373800</v>
      </c>
      <c r="Q2" s="22" t="s">
        <v>1700</v>
      </c>
    </row>
    <row r="3" spans="1:17" x14ac:dyDescent="0.3">
      <c r="A3" s="22" t="s">
        <v>100</v>
      </c>
      <c r="B3" t="str">
        <f t="shared" si="0"/>
        <v>Vikas Singh</v>
      </c>
      <c r="C3" t="str">
        <f t="shared" si="1"/>
        <v>Engineering</v>
      </c>
      <c r="D3" s="30" t="str">
        <f t="shared" si="2"/>
        <v>L5</v>
      </c>
      <c r="E3" s="30" t="str">
        <f t="shared" si="3"/>
        <v>Active</v>
      </c>
      <c r="F3" s="32">
        <v>4407000</v>
      </c>
      <c r="G3" s="33">
        <f t="shared" si="4"/>
        <v>2295000</v>
      </c>
      <c r="H3" s="33">
        <f t="shared" si="5"/>
        <v>3667500</v>
      </c>
      <c r="I3" s="33">
        <f t="shared" si="6"/>
        <v>5040000</v>
      </c>
      <c r="J3" s="25">
        <f t="shared" si="7"/>
        <v>1.2</v>
      </c>
      <c r="K3" s="22" t="str">
        <f t="shared" si="8"/>
        <v>Within Band</v>
      </c>
      <c r="L3" s="30">
        <f t="shared" si="9"/>
        <v>4</v>
      </c>
      <c r="M3" s="26">
        <v>0.13300000000000001</v>
      </c>
      <c r="N3" s="34">
        <f t="shared" si="10"/>
        <v>4993100</v>
      </c>
      <c r="O3" s="31">
        <v>0.12</v>
      </c>
      <c r="P3" s="34">
        <f t="shared" si="11"/>
        <v>528800</v>
      </c>
      <c r="Q3" s="22" t="s">
        <v>1700</v>
      </c>
    </row>
    <row r="4" spans="1:17" x14ac:dyDescent="0.3">
      <c r="A4" s="22" t="s">
        <v>108</v>
      </c>
      <c r="B4" t="str">
        <f t="shared" si="0"/>
        <v>Prakash Das</v>
      </c>
      <c r="C4" t="str">
        <f t="shared" si="1"/>
        <v>Human Resources</v>
      </c>
      <c r="D4" s="30" t="str">
        <f t="shared" si="2"/>
        <v>L6</v>
      </c>
      <c r="E4" s="30" t="str">
        <f t="shared" si="3"/>
        <v>Active</v>
      </c>
      <c r="F4" s="32">
        <v>5106000</v>
      </c>
      <c r="G4" s="33">
        <f t="shared" si="4"/>
        <v>3570000</v>
      </c>
      <c r="H4" s="33">
        <f t="shared" si="5"/>
        <v>5385000</v>
      </c>
      <c r="I4" s="33">
        <f t="shared" si="6"/>
        <v>7200000</v>
      </c>
      <c r="J4" s="25">
        <f t="shared" si="7"/>
        <v>0.95</v>
      </c>
      <c r="K4" s="22" t="str">
        <f t="shared" si="8"/>
        <v>Within Band</v>
      </c>
      <c r="L4" s="30">
        <f t="shared" si="9"/>
        <v>2</v>
      </c>
      <c r="M4" s="26">
        <v>0.03</v>
      </c>
      <c r="N4" s="34">
        <f t="shared" si="10"/>
        <v>5259200</v>
      </c>
      <c r="O4" s="31">
        <v>0.03</v>
      </c>
      <c r="P4" s="34">
        <f t="shared" si="11"/>
        <v>153200</v>
      </c>
      <c r="Q4" s="22" t="s">
        <v>1700</v>
      </c>
    </row>
    <row r="5" spans="1:17" x14ac:dyDescent="0.3">
      <c r="A5" s="22" t="s">
        <v>112</v>
      </c>
      <c r="B5" t="str">
        <f t="shared" si="0"/>
        <v>Fatima Choudhary</v>
      </c>
      <c r="C5" t="str">
        <f t="shared" si="1"/>
        <v>Engineering</v>
      </c>
      <c r="D5" s="30" t="str">
        <f t="shared" si="2"/>
        <v>L5</v>
      </c>
      <c r="E5" s="30" t="str">
        <f t="shared" si="3"/>
        <v>Active</v>
      </c>
      <c r="F5" s="32">
        <v>4489000</v>
      </c>
      <c r="G5" s="33">
        <f t="shared" si="4"/>
        <v>2295000</v>
      </c>
      <c r="H5" s="33">
        <f t="shared" si="5"/>
        <v>3667500</v>
      </c>
      <c r="I5" s="33">
        <f t="shared" si="6"/>
        <v>5040000</v>
      </c>
      <c r="J5" s="25">
        <f t="shared" si="7"/>
        <v>1.22</v>
      </c>
      <c r="K5" s="22" t="str">
        <f t="shared" si="8"/>
        <v>Within Band</v>
      </c>
      <c r="L5" s="30">
        <f t="shared" si="9"/>
        <v>2</v>
      </c>
      <c r="M5" s="26">
        <v>1.9E-2</v>
      </c>
      <c r="N5" s="34">
        <f t="shared" si="10"/>
        <v>4574300</v>
      </c>
      <c r="O5" s="31">
        <v>0.03</v>
      </c>
      <c r="P5" s="34">
        <f t="shared" si="11"/>
        <v>134700</v>
      </c>
      <c r="Q5" s="22" t="s">
        <v>1700</v>
      </c>
    </row>
    <row r="6" spans="1:17" x14ac:dyDescent="0.3">
      <c r="A6" s="22" t="s">
        <v>115</v>
      </c>
      <c r="B6" t="str">
        <f t="shared" si="0"/>
        <v>Gaurav Fernandes</v>
      </c>
      <c r="C6" t="str">
        <f t="shared" si="1"/>
        <v>Engineering</v>
      </c>
      <c r="D6" s="30" t="str">
        <f t="shared" si="2"/>
        <v>L5</v>
      </c>
      <c r="E6" s="30" t="str">
        <f t="shared" si="3"/>
        <v>Active</v>
      </c>
      <c r="F6" s="32">
        <v>4938000</v>
      </c>
      <c r="G6" s="33">
        <f t="shared" si="4"/>
        <v>2295000</v>
      </c>
      <c r="H6" s="33">
        <f t="shared" si="5"/>
        <v>3667500</v>
      </c>
      <c r="I6" s="33">
        <f t="shared" si="6"/>
        <v>5040000</v>
      </c>
      <c r="J6" s="25">
        <f t="shared" si="7"/>
        <v>1.35</v>
      </c>
      <c r="K6" s="22" t="str">
        <f t="shared" si="8"/>
        <v>Within Band</v>
      </c>
      <c r="L6" s="30">
        <f t="shared" si="9"/>
        <v>3</v>
      </c>
      <c r="M6" s="26">
        <v>7.0000000000000007E-2</v>
      </c>
      <c r="N6" s="34">
        <f t="shared" si="10"/>
        <v>5283700</v>
      </c>
      <c r="O6" s="31">
        <v>0.08</v>
      </c>
      <c r="P6" s="34">
        <f t="shared" si="11"/>
        <v>395000</v>
      </c>
      <c r="Q6" s="22" t="s">
        <v>1700</v>
      </c>
    </row>
    <row r="7" spans="1:17" x14ac:dyDescent="0.3">
      <c r="A7" s="22" t="s">
        <v>118</v>
      </c>
      <c r="B7" t="str">
        <f t="shared" si="0"/>
        <v>Yash Shah</v>
      </c>
      <c r="C7" t="str">
        <f t="shared" si="1"/>
        <v>Operations</v>
      </c>
      <c r="D7" s="30" t="str">
        <f t="shared" si="2"/>
        <v>L5</v>
      </c>
      <c r="E7" s="30" t="str">
        <f t="shared" si="3"/>
        <v>Exited</v>
      </c>
      <c r="F7" s="32">
        <v>2714000</v>
      </c>
      <c r="G7" s="33">
        <f t="shared" si="4"/>
        <v>2295000</v>
      </c>
      <c r="H7" s="33">
        <f t="shared" si="5"/>
        <v>3667500</v>
      </c>
      <c r="I7" s="33">
        <f t="shared" si="6"/>
        <v>5040000</v>
      </c>
      <c r="J7" s="25">
        <f t="shared" si="7"/>
        <v>0.74</v>
      </c>
      <c r="K7" s="22" t="str">
        <f t="shared" si="8"/>
        <v>Within Band</v>
      </c>
      <c r="L7" s="30">
        <f t="shared" si="9"/>
        <v>4</v>
      </c>
      <c r="M7" s="26">
        <v>0.124</v>
      </c>
      <c r="N7" s="34">
        <f t="shared" si="10"/>
        <v>0</v>
      </c>
      <c r="O7" s="31">
        <v>0.12</v>
      </c>
      <c r="P7" s="34">
        <f t="shared" si="11"/>
        <v>0</v>
      </c>
      <c r="Q7" s="22" t="s">
        <v>1700</v>
      </c>
    </row>
    <row r="8" spans="1:17" x14ac:dyDescent="0.3">
      <c r="A8" s="22" t="s">
        <v>125</v>
      </c>
      <c r="B8" t="str">
        <f t="shared" si="0"/>
        <v>Imran Tiwari</v>
      </c>
      <c r="C8" t="str">
        <f t="shared" si="1"/>
        <v>Marketing</v>
      </c>
      <c r="D8" s="30" t="str">
        <f t="shared" si="2"/>
        <v>L4</v>
      </c>
      <c r="E8" s="30" t="str">
        <f t="shared" si="3"/>
        <v>Exited</v>
      </c>
      <c r="F8" s="32">
        <v>2229000</v>
      </c>
      <c r="G8" s="33">
        <f t="shared" si="4"/>
        <v>1445000</v>
      </c>
      <c r="H8" s="33">
        <f t="shared" si="5"/>
        <v>2342500</v>
      </c>
      <c r="I8" s="33">
        <f t="shared" si="6"/>
        <v>3240000</v>
      </c>
      <c r="J8" s="25">
        <f t="shared" si="7"/>
        <v>0.95</v>
      </c>
      <c r="K8" s="22" t="str">
        <f t="shared" si="8"/>
        <v>Within Band</v>
      </c>
      <c r="L8" s="30">
        <f t="shared" si="9"/>
        <v>1</v>
      </c>
      <c r="M8" s="26">
        <v>-4.0000000000000001E-3</v>
      </c>
      <c r="N8" s="34">
        <f t="shared" si="10"/>
        <v>0</v>
      </c>
      <c r="O8" s="31">
        <v>0</v>
      </c>
      <c r="P8" s="34">
        <f t="shared" si="11"/>
        <v>0</v>
      </c>
      <c r="Q8" s="22" t="s">
        <v>1701</v>
      </c>
    </row>
    <row r="9" spans="1:17" x14ac:dyDescent="0.3">
      <c r="A9" s="22" t="s">
        <v>131</v>
      </c>
      <c r="B9" t="str">
        <f t="shared" si="0"/>
        <v>Aishwarya Khan</v>
      </c>
      <c r="C9" t="str">
        <f t="shared" si="1"/>
        <v>Engineering</v>
      </c>
      <c r="D9" s="30" t="str">
        <f t="shared" si="2"/>
        <v>L7</v>
      </c>
      <c r="E9" s="30" t="str">
        <f t="shared" si="3"/>
        <v>Active</v>
      </c>
      <c r="F9" s="32">
        <v>9208000</v>
      </c>
      <c r="G9" s="33">
        <f t="shared" si="4"/>
        <v>5100000</v>
      </c>
      <c r="H9" s="33">
        <f t="shared" si="5"/>
        <v>8250000</v>
      </c>
      <c r="I9" s="33">
        <f t="shared" si="6"/>
        <v>11400000</v>
      </c>
      <c r="J9" s="25">
        <f t="shared" si="7"/>
        <v>1.1200000000000001</v>
      </c>
      <c r="K9" s="22" t="str">
        <f t="shared" si="8"/>
        <v>Within Band</v>
      </c>
      <c r="L9" s="30">
        <f t="shared" si="9"/>
        <v>3</v>
      </c>
      <c r="M9" s="26">
        <v>8.6999999999999994E-2</v>
      </c>
      <c r="N9" s="34">
        <f t="shared" si="10"/>
        <v>10009100</v>
      </c>
      <c r="O9" s="31">
        <v>0.08</v>
      </c>
      <c r="P9" s="34">
        <f t="shared" si="11"/>
        <v>736600</v>
      </c>
      <c r="Q9" s="22" t="s">
        <v>1700</v>
      </c>
    </row>
    <row r="10" spans="1:17" x14ac:dyDescent="0.3">
      <c r="A10" s="22" t="s">
        <v>135</v>
      </c>
      <c r="B10" t="str">
        <f t="shared" si="0"/>
        <v>Ankit Khanna</v>
      </c>
      <c r="C10" t="str">
        <f t="shared" si="1"/>
        <v>Operations</v>
      </c>
      <c r="D10" s="30" t="str">
        <f t="shared" si="2"/>
        <v>L5</v>
      </c>
      <c r="E10" s="30" t="str">
        <f t="shared" si="3"/>
        <v>Active</v>
      </c>
      <c r="F10" s="32">
        <v>3608000</v>
      </c>
      <c r="G10" s="33">
        <f t="shared" si="4"/>
        <v>2295000</v>
      </c>
      <c r="H10" s="33">
        <f t="shared" si="5"/>
        <v>3667500</v>
      </c>
      <c r="I10" s="33">
        <f t="shared" si="6"/>
        <v>5040000</v>
      </c>
      <c r="J10" s="25">
        <f t="shared" si="7"/>
        <v>0.98</v>
      </c>
      <c r="K10" s="22" t="str">
        <f t="shared" si="8"/>
        <v>Within Band</v>
      </c>
      <c r="L10" s="30">
        <f t="shared" si="9"/>
        <v>3</v>
      </c>
      <c r="M10" s="26">
        <v>9.1999999999999998E-2</v>
      </c>
      <c r="N10" s="34">
        <f t="shared" si="10"/>
        <v>3939900</v>
      </c>
      <c r="O10" s="31">
        <v>0.08</v>
      </c>
      <c r="P10" s="34">
        <f t="shared" si="11"/>
        <v>288600</v>
      </c>
      <c r="Q10" s="22" t="s">
        <v>1700</v>
      </c>
    </row>
    <row r="11" spans="1:17" x14ac:dyDescent="0.3">
      <c r="A11" s="22" t="s">
        <v>140</v>
      </c>
      <c r="B11" t="str">
        <f t="shared" si="0"/>
        <v>Pooja Das</v>
      </c>
      <c r="C11" t="str">
        <f t="shared" si="1"/>
        <v>Finance</v>
      </c>
      <c r="D11" s="30" t="str">
        <f t="shared" si="2"/>
        <v>L7</v>
      </c>
      <c r="E11" s="30" t="str">
        <f t="shared" si="3"/>
        <v>Active</v>
      </c>
      <c r="F11" s="32">
        <v>8136000</v>
      </c>
      <c r="G11" s="33">
        <f t="shared" si="4"/>
        <v>5100000</v>
      </c>
      <c r="H11" s="33">
        <f t="shared" si="5"/>
        <v>8250000</v>
      </c>
      <c r="I11" s="33">
        <f t="shared" si="6"/>
        <v>11400000</v>
      </c>
      <c r="J11" s="25">
        <f t="shared" si="7"/>
        <v>0.99</v>
      </c>
      <c r="K11" s="22" t="str">
        <f t="shared" si="8"/>
        <v>Within Band</v>
      </c>
      <c r="L11" s="30">
        <f t="shared" si="9"/>
        <v>2</v>
      </c>
      <c r="M11" s="26">
        <v>4.4999999999999998E-2</v>
      </c>
      <c r="N11" s="34">
        <f t="shared" si="10"/>
        <v>8502100</v>
      </c>
      <c r="O11" s="31">
        <v>0.03</v>
      </c>
      <c r="P11" s="34">
        <f t="shared" si="11"/>
        <v>244100</v>
      </c>
      <c r="Q11" s="22" t="s">
        <v>1700</v>
      </c>
    </row>
    <row r="12" spans="1:17" x14ac:dyDescent="0.3">
      <c r="A12" s="22" t="s">
        <v>144</v>
      </c>
      <c r="B12" t="str">
        <f t="shared" si="0"/>
        <v>Trisha Patel</v>
      </c>
      <c r="C12" t="str">
        <f t="shared" si="1"/>
        <v>Product</v>
      </c>
      <c r="D12" s="30" t="str">
        <f t="shared" si="2"/>
        <v>L6</v>
      </c>
      <c r="E12" s="30" t="str">
        <f t="shared" si="3"/>
        <v>Active</v>
      </c>
      <c r="F12" s="32">
        <v>5657000</v>
      </c>
      <c r="G12" s="33">
        <f t="shared" si="4"/>
        <v>3570000</v>
      </c>
      <c r="H12" s="33">
        <f t="shared" si="5"/>
        <v>5385000</v>
      </c>
      <c r="I12" s="33">
        <f t="shared" si="6"/>
        <v>7200000</v>
      </c>
      <c r="J12" s="25">
        <f t="shared" si="7"/>
        <v>1.05</v>
      </c>
      <c r="K12" s="22" t="str">
        <f t="shared" si="8"/>
        <v>Within Band</v>
      </c>
      <c r="L12" s="30">
        <f t="shared" si="9"/>
        <v>3</v>
      </c>
      <c r="M12" s="26">
        <v>7.0000000000000007E-2</v>
      </c>
      <c r="N12" s="34">
        <f t="shared" si="10"/>
        <v>6053000</v>
      </c>
      <c r="O12" s="31">
        <v>0.08</v>
      </c>
      <c r="P12" s="34">
        <f t="shared" si="11"/>
        <v>452600</v>
      </c>
      <c r="Q12" s="22" t="s">
        <v>1700</v>
      </c>
    </row>
    <row r="13" spans="1:17" x14ac:dyDescent="0.3">
      <c r="A13" s="22" t="s">
        <v>150</v>
      </c>
      <c r="B13" t="str">
        <f t="shared" si="0"/>
        <v>Krishna Kumar</v>
      </c>
      <c r="C13" t="str">
        <f t="shared" si="1"/>
        <v>Operations</v>
      </c>
      <c r="D13" s="30" t="str">
        <f t="shared" si="2"/>
        <v>L4</v>
      </c>
      <c r="E13" s="30" t="str">
        <f t="shared" si="3"/>
        <v>Active</v>
      </c>
      <c r="F13" s="32">
        <v>1721000</v>
      </c>
      <c r="G13" s="33">
        <f t="shared" si="4"/>
        <v>1445000</v>
      </c>
      <c r="H13" s="33">
        <f t="shared" si="5"/>
        <v>2342500</v>
      </c>
      <c r="I13" s="33">
        <f t="shared" si="6"/>
        <v>3240000</v>
      </c>
      <c r="J13" s="25">
        <f t="shared" si="7"/>
        <v>0.73</v>
      </c>
      <c r="K13" s="22" t="str">
        <f t="shared" si="8"/>
        <v>Within Band</v>
      </c>
      <c r="L13" s="30">
        <f t="shared" si="9"/>
        <v>3</v>
      </c>
      <c r="M13" s="26">
        <v>8.6999999999999994E-2</v>
      </c>
      <c r="N13" s="34">
        <f t="shared" si="10"/>
        <v>1870700</v>
      </c>
      <c r="O13" s="31">
        <v>0.08</v>
      </c>
      <c r="P13" s="34">
        <f t="shared" si="11"/>
        <v>137700</v>
      </c>
      <c r="Q13" s="22" t="s">
        <v>1701</v>
      </c>
    </row>
    <row r="14" spans="1:17" x14ac:dyDescent="0.3">
      <c r="A14" s="22" t="s">
        <v>157</v>
      </c>
      <c r="B14" t="str">
        <f t="shared" si="0"/>
        <v>Ramya Khanna</v>
      </c>
      <c r="C14" t="str">
        <f t="shared" si="1"/>
        <v>Legal &amp; Compliance</v>
      </c>
      <c r="D14" s="30" t="str">
        <f t="shared" si="2"/>
        <v>L5</v>
      </c>
      <c r="E14" s="30" t="str">
        <f t="shared" si="3"/>
        <v>Active</v>
      </c>
      <c r="F14" s="32">
        <v>3407000</v>
      </c>
      <c r="G14" s="33">
        <f t="shared" si="4"/>
        <v>2295000</v>
      </c>
      <c r="H14" s="33">
        <f t="shared" si="5"/>
        <v>3667500</v>
      </c>
      <c r="I14" s="33">
        <f t="shared" si="6"/>
        <v>5040000</v>
      </c>
      <c r="J14" s="25">
        <f t="shared" si="7"/>
        <v>0.93</v>
      </c>
      <c r="K14" s="22" t="str">
        <f t="shared" si="8"/>
        <v>Within Band</v>
      </c>
      <c r="L14" s="30">
        <f t="shared" si="9"/>
        <v>3</v>
      </c>
      <c r="M14" s="26">
        <v>6.9000000000000006E-2</v>
      </c>
      <c r="N14" s="34">
        <f t="shared" si="10"/>
        <v>3642100</v>
      </c>
      <c r="O14" s="31">
        <v>0.08</v>
      </c>
      <c r="P14" s="34">
        <f t="shared" si="11"/>
        <v>272600</v>
      </c>
      <c r="Q14" s="22" t="s">
        <v>1700</v>
      </c>
    </row>
    <row r="15" spans="1:17" x14ac:dyDescent="0.3">
      <c r="A15" s="22" t="s">
        <v>163</v>
      </c>
      <c r="B15" t="str">
        <f t="shared" si="0"/>
        <v>Rashmi Jain</v>
      </c>
      <c r="C15" t="str">
        <f t="shared" si="1"/>
        <v>Human Resources</v>
      </c>
      <c r="D15" s="30" t="str">
        <f t="shared" si="2"/>
        <v>L4</v>
      </c>
      <c r="E15" s="30" t="str">
        <f t="shared" si="3"/>
        <v>Active</v>
      </c>
      <c r="F15" s="32">
        <v>2182000</v>
      </c>
      <c r="G15" s="33">
        <f t="shared" si="4"/>
        <v>1445000</v>
      </c>
      <c r="H15" s="33">
        <f t="shared" si="5"/>
        <v>2342500</v>
      </c>
      <c r="I15" s="33">
        <f t="shared" si="6"/>
        <v>3240000</v>
      </c>
      <c r="J15" s="25">
        <f t="shared" si="7"/>
        <v>0.93</v>
      </c>
      <c r="K15" s="22" t="str">
        <f t="shared" si="8"/>
        <v>Within Band</v>
      </c>
      <c r="L15" s="30">
        <f t="shared" si="9"/>
        <v>3</v>
      </c>
      <c r="M15" s="26">
        <v>8.5000000000000006E-2</v>
      </c>
      <c r="N15" s="34">
        <f t="shared" si="10"/>
        <v>2367500</v>
      </c>
      <c r="O15" s="31">
        <v>0.08</v>
      </c>
      <c r="P15" s="34">
        <f t="shared" si="11"/>
        <v>174600</v>
      </c>
      <c r="Q15" s="22" t="s">
        <v>1701</v>
      </c>
    </row>
    <row r="16" spans="1:17" x14ac:dyDescent="0.3">
      <c r="A16" s="22" t="s">
        <v>169</v>
      </c>
      <c r="B16" t="str">
        <f t="shared" si="0"/>
        <v>Ajay Ansari</v>
      </c>
      <c r="C16" t="str">
        <f t="shared" si="1"/>
        <v>Operations</v>
      </c>
      <c r="D16" s="30" t="str">
        <f t="shared" si="2"/>
        <v>L4</v>
      </c>
      <c r="E16" s="30" t="str">
        <f t="shared" si="3"/>
        <v>Active</v>
      </c>
      <c r="F16" s="32">
        <v>1991000</v>
      </c>
      <c r="G16" s="33">
        <f t="shared" si="4"/>
        <v>1445000</v>
      </c>
      <c r="H16" s="33">
        <f t="shared" si="5"/>
        <v>2342500</v>
      </c>
      <c r="I16" s="33">
        <f t="shared" si="6"/>
        <v>3240000</v>
      </c>
      <c r="J16" s="25">
        <f t="shared" si="7"/>
        <v>0.85</v>
      </c>
      <c r="K16" s="22" t="str">
        <f t="shared" si="8"/>
        <v>Within Band</v>
      </c>
      <c r="L16" s="30">
        <f t="shared" si="9"/>
        <v>4</v>
      </c>
      <c r="M16" s="26">
        <v>0.13</v>
      </c>
      <c r="N16" s="34">
        <f t="shared" si="10"/>
        <v>2249800</v>
      </c>
      <c r="O16" s="31">
        <v>0.12</v>
      </c>
      <c r="P16" s="34">
        <f t="shared" si="11"/>
        <v>238900</v>
      </c>
      <c r="Q16" s="22" t="s">
        <v>1700</v>
      </c>
    </row>
    <row r="17" spans="1:17" x14ac:dyDescent="0.3">
      <c r="A17" s="22" t="s">
        <v>172</v>
      </c>
      <c r="B17" t="str">
        <f t="shared" si="0"/>
        <v>Isha Verma</v>
      </c>
      <c r="C17" t="str">
        <f t="shared" si="1"/>
        <v>Customer Support</v>
      </c>
      <c r="D17" s="30" t="str">
        <f t="shared" si="2"/>
        <v>L5</v>
      </c>
      <c r="E17" s="30" t="str">
        <f t="shared" si="3"/>
        <v>Active</v>
      </c>
      <c r="F17" s="32">
        <v>3024000</v>
      </c>
      <c r="G17" s="33">
        <f t="shared" si="4"/>
        <v>2295000</v>
      </c>
      <c r="H17" s="33">
        <f t="shared" si="5"/>
        <v>3667500</v>
      </c>
      <c r="I17" s="33">
        <f t="shared" si="6"/>
        <v>5040000</v>
      </c>
      <c r="J17" s="25">
        <f t="shared" si="7"/>
        <v>0.82</v>
      </c>
      <c r="K17" s="22" t="str">
        <f t="shared" si="8"/>
        <v>Within Band</v>
      </c>
      <c r="L17" s="30">
        <f t="shared" si="9"/>
        <v>3</v>
      </c>
      <c r="M17" s="26">
        <v>9.2999999999999999E-2</v>
      </c>
      <c r="N17" s="34">
        <f t="shared" si="10"/>
        <v>3305200</v>
      </c>
      <c r="O17" s="31">
        <v>0.08</v>
      </c>
      <c r="P17" s="34">
        <f t="shared" si="11"/>
        <v>241900</v>
      </c>
      <c r="Q17" s="22" t="s">
        <v>1700</v>
      </c>
    </row>
    <row r="18" spans="1:17" x14ac:dyDescent="0.3">
      <c r="A18" s="22" t="s">
        <v>178</v>
      </c>
      <c r="B18" t="str">
        <f t="shared" si="0"/>
        <v>Pooja Naidu</v>
      </c>
      <c r="C18" t="str">
        <f t="shared" si="1"/>
        <v>Engineering</v>
      </c>
      <c r="D18" s="30" t="str">
        <f t="shared" si="2"/>
        <v>L4</v>
      </c>
      <c r="E18" s="30" t="str">
        <f t="shared" si="3"/>
        <v>Active</v>
      </c>
      <c r="F18" s="32">
        <v>3005000</v>
      </c>
      <c r="G18" s="33">
        <f t="shared" si="4"/>
        <v>1445000</v>
      </c>
      <c r="H18" s="33">
        <f t="shared" si="5"/>
        <v>2342500</v>
      </c>
      <c r="I18" s="33">
        <f t="shared" si="6"/>
        <v>3240000</v>
      </c>
      <c r="J18" s="25">
        <f t="shared" si="7"/>
        <v>1.28</v>
      </c>
      <c r="K18" s="22" t="str">
        <f t="shared" si="8"/>
        <v>Within Band</v>
      </c>
      <c r="L18" s="30">
        <f t="shared" si="9"/>
        <v>5</v>
      </c>
      <c r="M18" s="26">
        <v>0.161</v>
      </c>
      <c r="N18" s="34">
        <f t="shared" si="10"/>
        <v>3488800</v>
      </c>
      <c r="O18" s="31">
        <v>0.18</v>
      </c>
      <c r="P18" s="34">
        <f t="shared" si="11"/>
        <v>540900</v>
      </c>
      <c r="Q18" s="22" t="s">
        <v>1700</v>
      </c>
    </row>
    <row r="19" spans="1:17" x14ac:dyDescent="0.3">
      <c r="A19" s="22" t="s">
        <v>184</v>
      </c>
      <c r="B19" t="str">
        <f t="shared" si="0"/>
        <v>Isha Chatterjee</v>
      </c>
      <c r="C19" t="str">
        <f t="shared" si="1"/>
        <v>Marketing</v>
      </c>
      <c r="D19" s="30" t="str">
        <f t="shared" si="2"/>
        <v>L5</v>
      </c>
      <c r="E19" s="30" t="str">
        <f t="shared" si="3"/>
        <v>Exited</v>
      </c>
      <c r="F19" s="32">
        <v>3430000</v>
      </c>
      <c r="G19" s="33">
        <f t="shared" si="4"/>
        <v>2295000</v>
      </c>
      <c r="H19" s="33">
        <f t="shared" si="5"/>
        <v>3667500</v>
      </c>
      <c r="I19" s="33">
        <f t="shared" si="6"/>
        <v>5040000</v>
      </c>
      <c r="J19" s="25">
        <f t="shared" si="7"/>
        <v>0.94</v>
      </c>
      <c r="K19" s="22" t="str">
        <f t="shared" si="8"/>
        <v>Within Band</v>
      </c>
      <c r="L19" s="30">
        <f t="shared" si="9"/>
        <v>5</v>
      </c>
      <c r="M19" s="26">
        <v>0.186</v>
      </c>
      <c r="N19" s="34">
        <f t="shared" si="10"/>
        <v>0</v>
      </c>
      <c r="O19" s="31">
        <v>0.18</v>
      </c>
      <c r="P19" s="34">
        <f t="shared" si="11"/>
        <v>0</v>
      </c>
      <c r="Q19" s="22" t="s">
        <v>1700</v>
      </c>
    </row>
    <row r="20" spans="1:17" x14ac:dyDescent="0.3">
      <c r="A20" s="22" t="s">
        <v>191</v>
      </c>
      <c r="B20" t="str">
        <f t="shared" si="0"/>
        <v>Fatima Reddy</v>
      </c>
      <c r="C20" t="str">
        <f t="shared" si="1"/>
        <v>Sales</v>
      </c>
      <c r="D20" s="30" t="str">
        <f t="shared" si="2"/>
        <v>L4</v>
      </c>
      <c r="E20" s="30" t="str">
        <f t="shared" si="3"/>
        <v>Active</v>
      </c>
      <c r="F20" s="32">
        <v>2422000</v>
      </c>
      <c r="G20" s="33">
        <f t="shared" si="4"/>
        <v>1445000</v>
      </c>
      <c r="H20" s="33">
        <f t="shared" si="5"/>
        <v>2342500</v>
      </c>
      <c r="I20" s="33">
        <f t="shared" si="6"/>
        <v>3240000</v>
      </c>
      <c r="J20" s="25">
        <f t="shared" si="7"/>
        <v>1.03</v>
      </c>
      <c r="K20" s="22" t="str">
        <f t="shared" si="8"/>
        <v>Within Band</v>
      </c>
      <c r="L20" s="30">
        <f t="shared" si="9"/>
        <v>3</v>
      </c>
      <c r="M20" s="26">
        <v>7.8E-2</v>
      </c>
      <c r="N20" s="34">
        <f t="shared" si="10"/>
        <v>2610900</v>
      </c>
      <c r="O20" s="31">
        <v>0.08</v>
      </c>
      <c r="P20" s="34">
        <f t="shared" si="11"/>
        <v>193800</v>
      </c>
      <c r="Q20" s="22" t="s">
        <v>1701</v>
      </c>
    </row>
    <row r="21" spans="1:17" x14ac:dyDescent="0.3">
      <c r="A21" s="22" t="s">
        <v>197</v>
      </c>
      <c r="B21" t="str">
        <f t="shared" si="0"/>
        <v>Naveen Subramanian</v>
      </c>
      <c r="C21" t="str">
        <f t="shared" si="1"/>
        <v>Customer Support</v>
      </c>
      <c r="D21" s="30" t="str">
        <f t="shared" si="2"/>
        <v>L4</v>
      </c>
      <c r="E21" s="30" t="str">
        <f t="shared" si="3"/>
        <v>Active</v>
      </c>
      <c r="F21" s="32">
        <v>1731000</v>
      </c>
      <c r="G21" s="33">
        <f t="shared" si="4"/>
        <v>1445000</v>
      </c>
      <c r="H21" s="33">
        <f t="shared" si="5"/>
        <v>2342500</v>
      </c>
      <c r="I21" s="33">
        <f t="shared" si="6"/>
        <v>3240000</v>
      </c>
      <c r="J21" s="25">
        <f t="shared" si="7"/>
        <v>0.74</v>
      </c>
      <c r="K21" s="22" t="str">
        <f t="shared" si="8"/>
        <v>Within Band</v>
      </c>
      <c r="L21" s="30">
        <f t="shared" si="9"/>
        <v>3</v>
      </c>
      <c r="M21" s="26">
        <v>7.0999999999999994E-2</v>
      </c>
      <c r="N21" s="34">
        <f t="shared" si="10"/>
        <v>1853900</v>
      </c>
      <c r="O21" s="31">
        <v>0.08</v>
      </c>
      <c r="P21" s="34">
        <f t="shared" si="11"/>
        <v>138500</v>
      </c>
      <c r="Q21" s="22" t="s">
        <v>1701</v>
      </c>
    </row>
    <row r="22" spans="1:17" x14ac:dyDescent="0.3">
      <c r="A22" s="22" t="s">
        <v>203</v>
      </c>
      <c r="B22" t="str">
        <f t="shared" si="0"/>
        <v>Arun Mukherjee</v>
      </c>
      <c r="C22" t="str">
        <f t="shared" si="1"/>
        <v>Data &amp; Analytics</v>
      </c>
      <c r="D22" s="30" t="str">
        <f t="shared" si="2"/>
        <v>L5</v>
      </c>
      <c r="E22" s="30" t="str">
        <f t="shared" si="3"/>
        <v>Active</v>
      </c>
      <c r="F22" s="32">
        <v>4390000</v>
      </c>
      <c r="G22" s="33">
        <f t="shared" si="4"/>
        <v>2295000</v>
      </c>
      <c r="H22" s="33">
        <f t="shared" si="5"/>
        <v>3667500</v>
      </c>
      <c r="I22" s="33">
        <f t="shared" si="6"/>
        <v>5040000</v>
      </c>
      <c r="J22" s="25">
        <f t="shared" si="7"/>
        <v>1.2</v>
      </c>
      <c r="K22" s="22" t="str">
        <f t="shared" si="8"/>
        <v>Within Band</v>
      </c>
      <c r="L22" s="30">
        <f t="shared" si="9"/>
        <v>3</v>
      </c>
      <c r="M22" s="26">
        <v>8.3000000000000004E-2</v>
      </c>
      <c r="N22" s="34">
        <f t="shared" si="10"/>
        <v>4754400</v>
      </c>
      <c r="O22" s="31">
        <v>0.08</v>
      </c>
      <c r="P22" s="34">
        <f t="shared" si="11"/>
        <v>351200</v>
      </c>
      <c r="Q22" s="22" t="s">
        <v>1700</v>
      </c>
    </row>
    <row r="23" spans="1:17" x14ac:dyDescent="0.3">
      <c r="A23" s="22" t="s">
        <v>209</v>
      </c>
      <c r="B23" t="str">
        <f t="shared" si="0"/>
        <v>Arun Joshi</v>
      </c>
      <c r="C23" t="str">
        <f t="shared" si="1"/>
        <v>Data &amp; Analytics</v>
      </c>
      <c r="D23" s="30" t="str">
        <f t="shared" si="2"/>
        <v>L3</v>
      </c>
      <c r="E23" s="30" t="str">
        <f t="shared" si="3"/>
        <v>Active</v>
      </c>
      <c r="F23" s="32">
        <v>1559000</v>
      </c>
      <c r="G23" s="33">
        <f t="shared" si="4"/>
        <v>850000</v>
      </c>
      <c r="H23" s="33">
        <f t="shared" si="5"/>
        <v>1445000</v>
      </c>
      <c r="I23" s="33">
        <f t="shared" si="6"/>
        <v>2040000</v>
      </c>
      <c r="J23" s="25">
        <f t="shared" si="7"/>
        <v>1.08</v>
      </c>
      <c r="K23" s="22" t="str">
        <f t="shared" si="8"/>
        <v>Within Band</v>
      </c>
      <c r="L23" s="30">
        <f t="shared" si="9"/>
        <v>3</v>
      </c>
      <c r="M23" s="26">
        <v>9.8000000000000004E-2</v>
      </c>
      <c r="N23" s="34">
        <f t="shared" si="10"/>
        <v>1711800</v>
      </c>
      <c r="O23" s="31">
        <v>0.08</v>
      </c>
      <c r="P23" s="34">
        <f t="shared" si="11"/>
        <v>124700</v>
      </c>
      <c r="Q23" s="22" t="s">
        <v>1701</v>
      </c>
    </row>
    <row r="24" spans="1:17" x14ac:dyDescent="0.3">
      <c r="A24" s="22" t="s">
        <v>214</v>
      </c>
      <c r="B24" t="str">
        <f t="shared" si="0"/>
        <v>Ashish Prabhu</v>
      </c>
      <c r="C24" t="str">
        <f t="shared" si="1"/>
        <v>Operations</v>
      </c>
      <c r="D24" s="30" t="str">
        <f t="shared" si="2"/>
        <v>L3</v>
      </c>
      <c r="E24" s="30" t="str">
        <f t="shared" si="3"/>
        <v>Active</v>
      </c>
      <c r="F24" s="32">
        <v>1177000</v>
      </c>
      <c r="G24" s="33">
        <f t="shared" si="4"/>
        <v>850000</v>
      </c>
      <c r="H24" s="33">
        <f t="shared" si="5"/>
        <v>1445000</v>
      </c>
      <c r="I24" s="33">
        <f t="shared" si="6"/>
        <v>2040000</v>
      </c>
      <c r="J24" s="25">
        <f t="shared" si="7"/>
        <v>0.81</v>
      </c>
      <c r="K24" s="22" t="str">
        <f t="shared" si="8"/>
        <v>Within Band</v>
      </c>
      <c r="L24" s="30">
        <f t="shared" si="9"/>
        <v>3</v>
      </c>
      <c r="M24" s="26">
        <v>8.5000000000000006E-2</v>
      </c>
      <c r="N24" s="34">
        <f t="shared" si="10"/>
        <v>1277000</v>
      </c>
      <c r="O24" s="31">
        <v>0.08</v>
      </c>
      <c r="P24" s="34">
        <f t="shared" si="11"/>
        <v>94200</v>
      </c>
      <c r="Q24" s="22" t="s">
        <v>1701</v>
      </c>
    </row>
    <row r="25" spans="1:17" x14ac:dyDescent="0.3">
      <c r="A25" s="22" t="s">
        <v>221</v>
      </c>
      <c r="B25" t="str">
        <f t="shared" si="0"/>
        <v>Priyanka Naidu</v>
      </c>
      <c r="C25" t="str">
        <f t="shared" si="1"/>
        <v>Human Resources</v>
      </c>
      <c r="D25" s="30" t="str">
        <f t="shared" si="2"/>
        <v>L3</v>
      </c>
      <c r="E25" s="30" t="str">
        <f t="shared" si="3"/>
        <v>Active</v>
      </c>
      <c r="F25" s="32">
        <v>1471000</v>
      </c>
      <c r="G25" s="33">
        <f t="shared" si="4"/>
        <v>850000</v>
      </c>
      <c r="H25" s="33">
        <f t="shared" si="5"/>
        <v>1445000</v>
      </c>
      <c r="I25" s="33">
        <f t="shared" si="6"/>
        <v>2040000</v>
      </c>
      <c r="J25" s="25">
        <f t="shared" si="7"/>
        <v>1.02</v>
      </c>
      <c r="K25" s="22" t="str">
        <f t="shared" si="8"/>
        <v>Within Band</v>
      </c>
      <c r="L25" s="30">
        <f t="shared" si="9"/>
        <v>4</v>
      </c>
      <c r="M25" s="26">
        <v>0.13300000000000001</v>
      </c>
      <c r="N25" s="34">
        <f t="shared" si="10"/>
        <v>1666600</v>
      </c>
      <c r="O25" s="31">
        <v>0.12</v>
      </c>
      <c r="P25" s="34">
        <f t="shared" si="11"/>
        <v>176500</v>
      </c>
      <c r="Q25" s="22" t="s">
        <v>1701</v>
      </c>
    </row>
    <row r="26" spans="1:17" x14ac:dyDescent="0.3">
      <c r="A26" s="22" t="s">
        <v>227</v>
      </c>
      <c r="B26" t="str">
        <f t="shared" si="0"/>
        <v>Nikhil Agarwal</v>
      </c>
      <c r="C26" t="str">
        <f t="shared" si="1"/>
        <v>Sales</v>
      </c>
      <c r="D26" s="30" t="str">
        <f t="shared" si="2"/>
        <v>L5</v>
      </c>
      <c r="E26" s="30" t="str">
        <f t="shared" si="3"/>
        <v>Active</v>
      </c>
      <c r="F26" s="32">
        <v>3526000</v>
      </c>
      <c r="G26" s="33">
        <f t="shared" si="4"/>
        <v>2295000</v>
      </c>
      <c r="H26" s="33">
        <f t="shared" si="5"/>
        <v>3667500</v>
      </c>
      <c r="I26" s="33">
        <f t="shared" si="6"/>
        <v>5040000</v>
      </c>
      <c r="J26" s="25">
        <f t="shared" si="7"/>
        <v>0.96</v>
      </c>
      <c r="K26" s="22" t="str">
        <f t="shared" si="8"/>
        <v>Within Band</v>
      </c>
      <c r="L26" s="30">
        <f t="shared" si="9"/>
        <v>2</v>
      </c>
      <c r="M26" s="26">
        <v>2.1999999999999999E-2</v>
      </c>
      <c r="N26" s="34">
        <f t="shared" si="10"/>
        <v>3603600</v>
      </c>
      <c r="O26" s="31">
        <v>0.03</v>
      </c>
      <c r="P26" s="34">
        <f t="shared" si="11"/>
        <v>105800</v>
      </c>
      <c r="Q26" s="22" t="s">
        <v>1700</v>
      </c>
    </row>
    <row r="27" spans="1:17" x14ac:dyDescent="0.3">
      <c r="A27" s="22" t="s">
        <v>233</v>
      </c>
      <c r="B27" t="str">
        <f t="shared" si="0"/>
        <v>Revathi Rao</v>
      </c>
      <c r="C27" t="str">
        <f t="shared" si="1"/>
        <v>Sales</v>
      </c>
      <c r="D27" s="30" t="str">
        <f t="shared" si="2"/>
        <v>L3</v>
      </c>
      <c r="E27" s="30" t="str">
        <f t="shared" si="3"/>
        <v>Exited</v>
      </c>
      <c r="F27" s="32">
        <v>1607000</v>
      </c>
      <c r="G27" s="33">
        <f t="shared" si="4"/>
        <v>850000</v>
      </c>
      <c r="H27" s="33">
        <f t="shared" si="5"/>
        <v>1445000</v>
      </c>
      <c r="I27" s="33">
        <f t="shared" si="6"/>
        <v>2040000</v>
      </c>
      <c r="J27" s="25">
        <f t="shared" si="7"/>
        <v>1.1100000000000001</v>
      </c>
      <c r="K27" s="22" t="str">
        <f t="shared" si="8"/>
        <v>Within Band</v>
      </c>
      <c r="L27" s="30">
        <f t="shared" si="9"/>
        <v>3</v>
      </c>
      <c r="M27" s="26">
        <v>8.1000000000000003E-2</v>
      </c>
      <c r="N27" s="34">
        <f t="shared" si="10"/>
        <v>0</v>
      </c>
      <c r="O27" s="31">
        <v>0.08</v>
      </c>
      <c r="P27" s="34">
        <f t="shared" si="11"/>
        <v>0</v>
      </c>
      <c r="Q27" s="22" t="s">
        <v>1701</v>
      </c>
    </row>
    <row r="28" spans="1:17" x14ac:dyDescent="0.3">
      <c r="A28" s="22" t="s">
        <v>239</v>
      </c>
      <c r="B28" t="str">
        <f t="shared" si="0"/>
        <v>Yash Yadav</v>
      </c>
      <c r="C28" t="str">
        <f t="shared" si="1"/>
        <v>Engineering</v>
      </c>
      <c r="D28" s="30" t="str">
        <f t="shared" si="2"/>
        <v>L3</v>
      </c>
      <c r="E28" s="30" t="str">
        <f t="shared" si="3"/>
        <v>Active</v>
      </c>
      <c r="F28" s="32">
        <v>1429000</v>
      </c>
      <c r="G28" s="33">
        <f t="shared" si="4"/>
        <v>850000</v>
      </c>
      <c r="H28" s="33">
        <f t="shared" si="5"/>
        <v>1445000</v>
      </c>
      <c r="I28" s="33">
        <f t="shared" si="6"/>
        <v>2040000</v>
      </c>
      <c r="J28" s="25">
        <f t="shared" si="7"/>
        <v>0.99</v>
      </c>
      <c r="K28" s="22" t="str">
        <f t="shared" si="8"/>
        <v>Within Band</v>
      </c>
      <c r="L28" s="30">
        <f t="shared" si="9"/>
        <v>3</v>
      </c>
      <c r="M28" s="26">
        <v>7.2999999999999995E-2</v>
      </c>
      <c r="N28" s="34">
        <f t="shared" si="10"/>
        <v>1533300</v>
      </c>
      <c r="O28" s="31">
        <v>0.08</v>
      </c>
      <c r="P28" s="34">
        <f t="shared" si="11"/>
        <v>114300</v>
      </c>
      <c r="Q28" s="22" t="s">
        <v>1701</v>
      </c>
    </row>
    <row r="29" spans="1:17" x14ac:dyDescent="0.3">
      <c r="A29" s="22" t="s">
        <v>245</v>
      </c>
      <c r="B29" t="str">
        <f t="shared" si="0"/>
        <v>Gayatri Krishnan</v>
      </c>
      <c r="C29" t="str">
        <f t="shared" si="1"/>
        <v>Operations</v>
      </c>
      <c r="D29" s="30" t="str">
        <f t="shared" si="2"/>
        <v>L4</v>
      </c>
      <c r="E29" s="30" t="str">
        <f t="shared" si="3"/>
        <v>Exited</v>
      </c>
      <c r="F29" s="32">
        <v>1879000</v>
      </c>
      <c r="G29" s="33">
        <f t="shared" si="4"/>
        <v>1445000</v>
      </c>
      <c r="H29" s="33">
        <f t="shared" si="5"/>
        <v>2342500</v>
      </c>
      <c r="I29" s="33">
        <f t="shared" si="6"/>
        <v>3240000</v>
      </c>
      <c r="J29" s="25">
        <f t="shared" si="7"/>
        <v>0.8</v>
      </c>
      <c r="K29" s="22" t="str">
        <f t="shared" si="8"/>
        <v>Within Band</v>
      </c>
      <c r="L29" s="30">
        <f t="shared" si="9"/>
        <v>3</v>
      </c>
      <c r="M29" s="26">
        <v>7.8E-2</v>
      </c>
      <c r="N29" s="34">
        <f t="shared" si="10"/>
        <v>0</v>
      </c>
      <c r="O29" s="31">
        <v>0.08</v>
      </c>
      <c r="P29" s="34">
        <f t="shared" si="11"/>
        <v>0</v>
      </c>
      <c r="Q29" s="22" t="s">
        <v>1701</v>
      </c>
    </row>
    <row r="30" spans="1:17" x14ac:dyDescent="0.3">
      <c r="A30" s="22" t="s">
        <v>248</v>
      </c>
      <c r="B30" t="str">
        <f t="shared" si="0"/>
        <v>Nisha Jain</v>
      </c>
      <c r="C30" t="str">
        <f t="shared" si="1"/>
        <v>Customer Support</v>
      </c>
      <c r="D30" s="30" t="str">
        <f t="shared" si="2"/>
        <v>L3</v>
      </c>
      <c r="E30" s="30" t="str">
        <f t="shared" si="3"/>
        <v>Active</v>
      </c>
      <c r="F30" s="32">
        <v>891000</v>
      </c>
      <c r="G30" s="33">
        <f t="shared" si="4"/>
        <v>850000</v>
      </c>
      <c r="H30" s="33">
        <f t="shared" si="5"/>
        <v>1445000</v>
      </c>
      <c r="I30" s="33">
        <f t="shared" si="6"/>
        <v>2040000</v>
      </c>
      <c r="J30" s="25">
        <f t="shared" si="7"/>
        <v>0.62</v>
      </c>
      <c r="K30" s="22" t="str">
        <f t="shared" si="8"/>
        <v>Within Band</v>
      </c>
      <c r="L30" s="30">
        <f t="shared" si="9"/>
        <v>4</v>
      </c>
      <c r="M30" s="26">
        <v>0.13400000000000001</v>
      </c>
      <c r="N30" s="34">
        <f t="shared" si="10"/>
        <v>1010400</v>
      </c>
      <c r="O30" s="31">
        <v>0.12</v>
      </c>
      <c r="P30" s="34">
        <f t="shared" si="11"/>
        <v>106900</v>
      </c>
      <c r="Q30" s="22" t="s">
        <v>1701</v>
      </c>
    </row>
    <row r="31" spans="1:17" x14ac:dyDescent="0.3">
      <c r="A31" s="22" t="s">
        <v>254</v>
      </c>
      <c r="B31" t="str">
        <f t="shared" si="0"/>
        <v>Rashmi Ansari</v>
      </c>
      <c r="C31" t="str">
        <f t="shared" si="1"/>
        <v>Finance</v>
      </c>
      <c r="D31" s="30" t="str">
        <f t="shared" si="2"/>
        <v>L3</v>
      </c>
      <c r="E31" s="30" t="str">
        <f t="shared" si="3"/>
        <v>Active</v>
      </c>
      <c r="F31" s="32">
        <v>1225000</v>
      </c>
      <c r="G31" s="33">
        <f t="shared" si="4"/>
        <v>850000</v>
      </c>
      <c r="H31" s="33">
        <f t="shared" si="5"/>
        <v>1445000</v>
      </c>
      <c r="I31" s="33">
        <f t="shared" si="6"/>
        <v>2040000</v>
      </c>
      <c r="J31" s="25">
        <f t="shared" si="7"/>
        <v>0.85</v>
      </c>
      <c r="K31" s="22" t="str">
        <f t="shared" si="8"/>
        <v>Within Band</v>
      </c>
      <c r="L31" s="30">
        <f t="shared" si="9"/>
        <v>3</v>
      </c>
      <c r="M31" s="26">
        <v>6.8000000000000005E-2</v>
      </c>
      <c r="N31" s="34">
        <f t="shared" si="10"/>
        <v>1308300</v>
      </c>
      <c r="O31" s="31">
        <v>0.08</v>
      </c>
      <c r="P31" s="34">
        <f t="shared" si="11"/>
        <v>98000</v>
      </c>
      <c r="Q31" s="22" t="s">
        <v>1701</v>
      </c>
    </row>
    <row r="32" spans="1:17" x14ac:dyDescent="0.3">
      <c r="A32" s="22" t="s">
        <v>260</v>
      </c>
      <c r="B32" t="str">
        <f t="shared" si="0"/>
        <v>Prakash Krishnan</v>
      </c>
      <c r="C32" t="str">
        <f t="shared" si="1"/>
        <v>Marketing</v>
      </c>
      <c r="D32" s="30" t="str">
        <f t="shared" si="2"/>
        <v>L3</v>
      </c>
      <c r="E32" s="30" t="str">
        <f t="shared" si="3"/>
        <v>Active</v>
      </c>
      <c r="F32" s="32">
        <v>1551000</v>
      </c>
      <c r="G32" s="33">
        <f t="shared" si="4"/>
        <v>850000</v>
      </c>
      <c r="H32" s="33">
        <f t="shared" si="5"/>
        <v>1445000</v>
      </c>
      <c r="I32" s="33">
        <f t="shared" si="6"/>
        <v>2040000</v>
      </c>
      <c r="J32" s="25">
        <f t="shared" si="7"/>
        <v>1.07</v>
      </c>
      <c r="K32" s="22" t="str">
        <f t="shared" si="8"/>
        <v>Within Band</v>
      </c>
      <c r="L32" s="30">
        <f t="shared" si="9"/>
        <v>4</v>
      </c>
      <c r="M32" s="26">
        <v>0.115</v>
      </c>
      <c r="N32" s="34">
        <f t="shared" si="10"/>
        <v>1729400</v>
      </c>
      <c r="O32" s="31">
        <v>0.12</v>
      </c>
      <c r="P32" s="34">
        <f t="shared" si="11"/>
        <v>186100</v>
      </c>
      <c r="Q32" s="22" t="s">
        <v>1701</v>
      </c>
    </row>
    <row r="33" spans="1:17" x14ac:dyDescent="0.3">
      <c r="A33" s="22" t="s">
        <v>264</v>
      </c>
      <c r="B33" t="str">
        <f t="shared" si="0"/>
        <v>Vishal Prabhu</v>
      </c>
      <c r="C33" t="str">
        <f t="shared" si="1"/>
        <v>Operations</v>
      </c>
      <c r="D33" s="30" t="str">
        <f t="shared" si="2"/>
        <v>L3</v>
      </c>
      <c r="E33" s="30" t="str">
        <f t="shared" si="3"/>
        <v>Active</v>
      </c>
      <c r="F33" s="32">
        <v>1205000</v>
      </c>
      <c r="G33" s="33">
        <f t="shared" si="4"/>
        <v>850000</v>
      </c>
      <c r="H33" s="33">
        <f t="shared" si="5"/>
        <v>1445000</v>
      </c>
      <c r="I33" s="33">
        <f t="shared" si="6"/>
        <v>2040000</v>
      </c>
      <c r="J33" s="25">
        <f t="shared" si="7"/>
        <v>0.83</v>
      </c>
      <c r="K33" s="22" t="str">
        <f t="shared" si="8"/>
        <v>Within Band</v>
      </c>
      <c r="L33" s="30">
        <f t="shared" si="9"/>
        <v>3</v>
      </c>
      <c r="M33" s="26">
        <v>7.2999999999999995E-2</v>
      </c>
      <c r="N33" s="34">
        <f t="shared" si="10"/>
        <v>1293000</v>
      </c>
      <c r="O33" s="31">
        <v>0.08</v>
      </c>
      <c r="P33" s="34">
        <f t="shared" si="11"/>
        <v>96400</v>
      </c>
      <c r="Q33" s="22" t="s">
        <v>1701</v>
      </c>
    </row>
    <row r="34" spans="1:17" x14ac:dyDescent="0.3">
      <c r="A34" s="22" t="s">
        <v>267</v>
      </c>
      <c r="B34" t="str">
        <f t="shared" si="0"/>
        <v>Gayatri Tiwari</v>
      </c>
      <c r="C34" t="str">
        <f t="shared" si="1"/>
        <v>Sales</v>
      </c>
      <c r="D34" s="30" t="str">
        <f t="shared" si="2"/>
        <v>L6</v>
      </c>
      <c r="E34" s="30" t="str">
        <f t="shared" si="3"/>
        <v>Active</v>
      </c>
      <c r="F34" s="32">
        <v>4345000</v>
      </c>
      <c r="G34" s="33">
        <f t="shared" si="4"/>
        <v>3570000</v>
      </c>
      <c r="H34" s="33">
        <f t="shared" si="5"/>
        <v>5385000</v>
      </c>
      <c r="I34" s="33">
        <f t="shared" si="6"/>
        <v>7200000</v>
      </c>
      <c r="J34" s="25">
        <f t="shared" si="7"/>
        <v>0.81</v>
      </c>
      <c r="K34" s="22" t="str">
        <f t="shared" si="8"/>
        <v>Within Band</v>
      </c>
      <c r="L34" s="30">
        <f t="shared" si="9"/>
        <v>4</v>
      </c>
      <c r="M34" s="26">
        <v>0.123</v>
      </c>
      <c r="N34" s="34">
        <f t="shared" si="10"/>
        <v>4879400</v>
      </c>
      <c r="O34" s="31">
        <v>0.12</v>
      </c>
      <c r="P34" s="34">
        <f t="shared" si="11"/>
        <v>521400</v>
      </c>
      <c r="Q34" s="22" t="s">
        <v>1700</v>
      </c>
    </row>
    <row r="35" spans="1:17" x14ac:dyDescent="0.3">
      <c r="A35" s="22" t="s">
        <v>273</v>
      </c>
      <c r="B35" t="str">
        <f t="shared" si="0"/>
        <v>Aditi Varghese</v>
      </c>
      <c r="C35" t="str">
        <f t="shared" si="1"/>
        <v>Engineering</v>
      </c>
      <c r="D35" s="30" t="str">
        <f t="shared" si="2"/>
        <v>L4</v>
      </c>
      <c r="E35" s="30" t="str">
        <f t="shared" si="3"/>
        <v>Active</v>
      </c>
      <c r="F35" s="32">
        <v>2427000</v>
      </c>
      <c r="G35" s="33">
        <f t="shared" si="4"/>
        <v>1445000</v>
      </c>
      <c r="H35" s="33">
        <f t="shared" si="5"/>
        <v>2342500</v>
      </c>
      <c r="I35" s="33">
        <f t="shared" si="6"/>
        <v>3240000</v>
      </c>
      <c r="J35" s="25">
        <f t="shared" si="7"/>
        <v>1.04</v>
      </c>
      <c r="K35" s="22" t="str">
        <f t="shared" si="8"/>
        <v>Within Band</v>
      </c>
      <c r="L35" s="30">
        <f t="shared" si="9"/>
        <v>2</v>
      </c>
      <c r="M35" s="26">
        <v>3.1E-2</v>
      </c>
      <c r="N35" s="34">
        <f t="shared" si="10"/>
        <v>2502200</v>
      </c>
      <c r="O35" s="31">
        <v>0.03</v>
      </c>
      <c r="P35" s="34">
        <f t="shared" si="11"/>
        <v>72800</v>
      </c>
      <c r="Q35" s="22" t="s">
        <v>1701</v>
      </c>
    </row>
    <row r="36" spans="1:17" x14ac:dyDescent="0.3">
      <c r="A36" s="22" t="s">
        <v>276</v>
      </c>
      <c r="B36" t="str">
        <f t="shared" si="0"/>
        <v>Dev Gupta</v>
      </c>
      <c r="C36" t="str">
        <f t="shared" si="1"/>
        <v>Operations</v>
      </c>
      <c r="D36" s="30" t="str">
        <f t="shared" si="2"/>
        <v>L3</v>
      </c>
      <c r="E36" s="30" t="str">
        <f t="shared" si="3"/>
        <v>Active</v>
      </c>
      <c r="F36" s="32">
        <v>1185000</v>
      </c>
      <c r="G36" s="33">
        <f t="shared" si="4"/>
        <v>850000</v>
      </c>
      <c r="H36" s="33">
        <f t="shared" si="5"/>
        <v>1445000</v>
      </c>
      <c r="I36" s="33">
        <f t="shared" si="6"/>
        <v>2040000</v>
      </c>
      <c r="J36" s="25">
        <f t="shared" si="7"/>
        <v>0.82</v>
      </c>
      <c r="K36" s="22" t="str">
        <f t="shared" si="8"/>
        <v>Within Band</v>
      </c>
      <c r="L36" s="30">
        <f t="shared" si="9"/>
        <v>4</v>
      </c>
      <c r="M36" s="26">
        <v>0.11799999999999999</v>
      </c>
      <c r="N36" s="34">
        <f t="shared" si="10"/>
        <v>1324800</v>
      </c>
      <c r="O36" s="31">
        <v>0.12</v>
      </c>
      <c r="P36" s="34">
        <f t="shared" si="11"/>
        <v>142200</v>
      </c>
      <c r="Q36" s="22" t="s">
        <v>1701</v>
      </c>
    </row>
    <row r="37" spans="1:17" x14ac:dyDescent="0.3">
      <c r="A37" s="22" t="s">
        <v>279</v>
      </c>
      <c r="B37" t="str">
        <f t="shared" si="0"/>
        <v>Anjali Thomas</v>
      </c>
      <c r="C37" t="str">
        <f t="shared" si="1"/>
        <v>Human Resources</v>
      </c>
      <c r="D37" s="30" t="str">
        <f t="shared" si="2"/>
        <v>L4</v>
      </c>
      <c r="E37" s="30" t="str">
        <f t="shared" si="3"/>
        <v>Active</v>
      </c>
      <c r="F37" s="32">
        <v>2109000</v>
      </c>
      <c r="G37" s="33">
        <f t="shared" si="4"/>
        <v>1445000</v>
      </c>
      <c r="H37" s="33">
        <f t="shared" si="5"/>
        <v>2342500</v>
      </c>
      <c r="I37" s="33">
        <f t="shared" si="6"/>
        <v>3240000</v>
      </c>
      <c r="J37" s="25">
        <f t="shared" si="7"/>
        <v>0.9</v>
      </c>
      <c r="K37" s="22" t="str">
        <f t="shared" si="8"/>
        <v>Within Band</v>
      </c>
      <c r="L37" s="30">
        <f t="shared" si="9"/>
        <v>2</v>
      </c>
      <c r="M37" s="26">
        <v>2.5000000000000001E-2</v>
      </c>
      <c r="N37" s="34">
        <f t="shared" si="10"/>
        <v>2161700</v>
      </c>
      <c r="O37" s="31">
        <v>0.03</v>
      </c>
      <c r="P37" s="34">
        <f t="shared" si="11"/>
        <v>63300</v>
      </c>
      <c r="Q37" s="22" t="s">
        <v>1701</v>
      </c>
    </row>
    <row r="38" spans="1:17" x14ac:dyDescent="0.3">
      <c r="A38" s="22" t="s">
        <v>282</v>
      </c>
      <c r="B38" t="str">
        <f t="shared" si="0"/>
        <v>Aniket Khanna</v>
      </c>
      <c r="C38" t="str">
        <f t="shared" si="1"/>
        <v>Product</v>
      </c>
      <c r="D38" s="30" t="str">
        <f t="shared" si="2"/>
        <v>L4</v>
      </c>
      <c r="E38" s="30" t="str">
        <f t="shared" si="3"/>
        <v>Active</v>
      </c>
      <c r="F38" s="32">
        <v>2122000</v>
      </c>
      <c r="G38" s="33">
        <f t="shared" si="4"/>
        <v>1445000</v>
      </c>
      <c r="H38" s="33">
        <f t="shared" si="5"/>
        <v>2342500</v>
      </c>
      <c r="I38" s="33">
        <f t="shared" si="6"/>
        <v>3240000</v>
      </c>
      <c r="J38" s="25">
        <f t="shared" si="7"/>
        <v>0.91</v>
      </c>
      <c r="K38" s="22" t="str">
        <f t="shared" si="8"/>
        <v>Within Band</v>
      </c>
      <c r="L38" s="30">
        <f t="shared" si="9"/>
        <v>4</v>
      </c>
      <c r="M38" s="26">
        <v>0.12</v>
      </c>
      <c r="N38" s="34">
        <f t="shared" si="10"/>
        <v>2376600</v>
      </c>
      <c r="O38" s="31">
        <v>0.12</v>
      </c>
      <c r="P38" s="34">
        <f t="shared" si="11"/>
        <v>254600</v>
      </c>
      <c r="Q38" s="22" t="s">
        <v>1700</v>
      </c>
    </row>
    <row r="39" spans="1:17" x14ac:dyDescent="0.3">
      <c r="A39" s="22" t="s">
        <v>288</v>
      </c>
      <c r="B39" t="str">
        <f t="shared" si="0"/>
        <v>Varun Reddy</v>
      </c>
      <c r="C39" t="str">
        <f t="shared" si="1"/>
        <v>Customer Support</v>
      </c>
      <c r="D39" s="30" t="str">
        <f t="shared" si="2"/>
        <v>L3</v>
      </c>
      <c r="E39" s="30" t="str">
        <f t="shared" si="3"/>
        <v>Active</v>
      </c>
      <c r="F39" s="32">
        <v>978000</v>
      </c>
      <c r="G39" s="33">
        <f t="shared" si="4"/>
        <v>850000</v>
      </c>
      <c r="H39" s="33">
        <f t="shared" si="5"/>
        <v>1445000</v>
      </c>
      <c r="I39" s="33">
        <f t="shared" si="6"/>
        <v>2040000</v>
      </c>
      <c r="J39" s="25">
        <f t="shared" si="7"/>
        <v>0.68</v>
      </c>
      <c r="K39" s="22" t="str">
        <f t="shared" si="8"/>
        <v>Within Band</v>
      </c>
      <c r="L39" s="30">
        <f t="shared" si="9"/>
        <v>5</v>
      </c>
      <c r="M39" s="26">
        <v>0.158</v>
      </c>
      <c r="N39" s="34">
        <f t="shared" si="10"/>
        <v>1132500</v>
      </c>
      <c r="O39" s="31">
        <v>0.18</v>
      </c>
      <c r="P39" s="34">
        <f t="shared" si="11"/>
        <v>176000</v>
      </c>
      <c r="Q39" s="22" t="s">
        <v>1701</v>
      </c>
    </row>
    <row r="40" spans="1:17" x14ac:dyDescent="0.3">
      <c r="A40" s="22" t="s">
        <v>293</v>
      </c>
      <c r="B40" t="str">
        <f t="shared" si="0"/>
        <v>Karan Patel</v>
      </c>
      <c r="C40" t="str">
        <f t="shared" si="1"/>
        <v>Finance</v>
      </c>
      <c r="D40" s="30" t="str">
        <f t="shared" si="2"/>
        <v>L6</v>
      </c>
      <c r="E40" s="30" t="str">
        <f t="shared" si="3"/>
        <v>Active</v>
      </c>
      <c r="F40" s="32">
        <v>6230000</v>
      </c>
      <c r="G40" s="33">
        <f t="shared" si="4"/>
        <v>3570000</v>
      </c>
      <c r="H40" s="33">
        <f t="shared" si="5"/>
        <v>5385000</v>
      </c>
      <c r="I40" s="33">
        <f t="shared" si="6"/>
        <v>7200000</v>
      </c>
      <c r="J40" s="25">
        <f t="shared" si="7"/>
        <v>1.1599999999999999</v>
      </c>
      <c r="K40" s="22" t="str">
        <f t="shared" si="8"/>
        <v>Within Band</v>
      </c>
      <c r="L40" s="30">
        <f t="shared" si="9"/>
        <v>4</v>
      </c>
      <c r="M40" s="26">
        <v>0.115</v>
      </c>
      <c r="N40" s="34">
        <f t="shared" si="10"/>
        <v>6946500</v>
      </c>
      <c r="O40" s="31">
        <v>0.12</v>
      </c>
      <c r="P40" s="34">
        <f t="shared" si="11"/>
        <v>747600</v>
      </c>
      <c r="Q40" s="22" t="s">
        <v>1700</v>
      </c>
    </row>
    <row r="41" spans="1:17" x14ac:dyDescent="0.3">
      <c r="A41" s="22" t="s">
        <v>297</v>
      </c>
      <c r="B41" t="str">
        <f t="shared" si="0"/>
        <v>Sanjay Mehta</v>
      </c>
      <c r="C41" t="str">
        <f t="shared" si="1"/>
        <v>Human Resources</v>
      </c>
      <c r="D41" s="30" t="str">
        <f t="shared" si="2"/>
        <v>L4</v>
      </c>
      <c r="E41" s="30" t="str">
        <f t="shared" si="3"/>
        <v>Active</v>
      </c>
      <c r="F41" s="32">
        <v>2113000</v>
      </c>
      <c r="G41" s="33">
        <f t="shared" si="4"/>
        <v>1445000</v>
      </c>
      <c r="H41" s="33">
        <f t="shared" si="5"/>
        <v>2342500</v>
      </c>
      <c r="I41" s="33">
        <f t="shared" si="6"/>
        <v>3240000</v>
      </c>
      <c r="J41" s="25">
        <f t="shared" si="7"/>
        <v>0.9</v>
      </c>
      <c r="K41" s="22" t="str">
        <f t="shared" si="8"/>
        <v>Within Band</v>
      </c>
      <c r="L41" s="30">
        <f t="shared" si="9"/>
        <v>2</v>
      </c>
      <c r="M41" s="26">
        <v>3.4000000000000002E-2</v>
      </c>
      <c r="N41" s="34">
        <f t="shared" si="10"/>
        <v>2184800</v>
      </c>
      <c r="O41" s="31">
        <v>0.03</v>
      </c>
      <c r="P41" s="34">
        <f t="shared" si="11"/>
        <v>63400</v>
      </c>
      <c r="Q41" s="22" t="s">
        <v>1701</v>
      </c>
    </row>
    <row r="42" spans="1:17" x14ac:dyDescent="0.3">
      <c r="A42" s="22" t="s">
        <v>300</v>
      </c>
      <c r="B42" t="str">
        <f t="shared" si="0"/>
        <v>Nisha Mehta</v>
      </c>
      <c r="C42" t="str">
        <f t="shared" si="1"/>
        <v>Human Resources</v>
      </c>
      <c r="D42" s="30" t="str">
        <f t="shared" si="2"/>
        <v>L3</v>
      </c>
      <c r="E42" s="30" t="str">
        <f t="shared" si="3"/>
        <v>Exited</v>
      </c>
      <c r="F42" s="32">
        <v>1012000</v>
      </c>
      <c r="G42" s="33">
        <f t="shared" si="4"/>
        <v>850000</v>
      </c>
      <c r="H42" s="33">
        <f t="shared" si="5"/>
        <v>1445000</v>
      </c>
      <c r="I42" s="33">
        <f t="shared" si="6"/>
        <v>2040000</v>
      </c>
      <c r="J42" s="25">
        <f t="shared" si="7"/>
        <v>0.7</v>
      </c>
      <c r="K42" s="22" t="str">
        <f t="shared" si="8"/>
        <v>Within Band</v>
      </c>
      <c r="L42" s="30">
        <f t="shared" si="9"/>
        <v>2</v>
      </c>
      <c r="M42" s="26">
        <v>2.5000000000000001E-2</v>
      </c>
      <c r="N42" s="34">
        <f t="shared" si="10"/>
        <v>0</v>
      </c>
      <c r="O42" s="31">
        <v>0.03</v>
      </c>
      <c r="P42" s="34">
        <f t="shared" si="11"/>
        <v>0</v>
      </c>
      <c r="Q42" s="22" t="s">
        <v>1701</v>
      </c>
    </row>
    <row r="43" spans="1:17" x14ac:dyDescent="0.3">
      <c r="A43" s="22" t="s">
        <v>303</v>
      </c>
      <c r="B43" t="str">
        <f t="shared" si="0"/>
        <v>Tejaswini Hegde</v>
      </c>
      <c r="C43" t="str">
        <f t="shared" si="1"/>
        <v>Engineering</v>
      </c>
      <c r="D43" s="30" t="str">
        <f t="shared" si="2"/>
        <v>L5</v>
      </c>
      <c r="E43" s="30" t="str">
        <f t="shared" si="3"/>
        <v>Active</v>
      </c>
      <c r="F43" s="32">
        <v>3625000</v>
      </c>
      <c r="G43" s="33">
        <f t="shared" si="4"/>
        <v>2295000</v>
      </c>
      <c r="H43" s="33">
        <f t="shared" si="5"/>
        <v>3667500</v>
      </c>
      <c r="I43" s="33">
        <f t="shared" si="6"/>
        <v>5040000</v>
      </c>
      <c r="J43" s="25">
        <f t="shared" si="7"/>
        <v>0.99</v>
      </c>
      <c r="K43" s="22" t="str">
        <f t="shared" si="8"/>
        <v>Within Band</v>
      </c>
      <c r="L43" s="30">
        <f t="shared" si="9"/>
        <v>2</v>
      </c>
      <c r="M43" s="26">
        <v>1.9E-2</v>
      </c>
      <c r="N43" s="34">
        <f t="shared" si="10"/>
        <v>3693900</v>
      </c>
      <c r="O43" s="31">
        <v>0.03</v>
      </c>
      <c r="P43" s="34">
        <f t="shared" si="11"/>
        <v>108800</v>
      </c>
      <c r="Q43" s="22" t="s">
        <v>1700</v>
      </c>
    </row>
    <row r="44" spans="1:17" x14ac:dyDescent="0.3">
      <c r="A44" s="22" t="s">
        <v>207</v>
      </c>
      <c r="B44" t="str">
        <f t="shared" si="0"/>
        <v>Trisha Jain</v>
      </c>
      <c r="C44" t="str">
        <f t="shared" si="1"/>
        <v>Data &amp; Analytics</v>
      </c>
      <c r="D44" s="30" t="str">
        <f t="shared" si="2"/>
        <v>L6</v>
      </c>
      <c r="E44" s="30" t="str">
        <f t="shared" si="3"/>
        <v>Active</v>
      </c>
      <c r="F44" s="32">
        <v>5647000</v>
      </c>
      <c r="G44" s="33">
        <f t="shared" si="4"/>
        <v>3570000</v>
      </c>
      <c r="H44" s="33">
        <f t="shared" si="5"/>
        <v>5385000</v>
      </c>
      <c r="I44" s="33">
        <f t="shared" si="6"/>
        <v>7200000</v>
      </c>
      <c r="J44" s="25">
        <f t="shared" si="7"/>
        <v>1.05</v>
      </c>
      <c r="K44" s="22" t="str">
        <f t="shared" si="8"/>
        <v>Within Band</v>
      </c>
      <c r="L44" s="30">
        <f t="shared" si="9"/>
        <v>3</v>
      </c>
      <c r="M44" s="26">
        <v>8.4000000000000005E-2</v>
      </c>
      <c r="N44" s="34">
        <f t="shared" si="10"/>
        <v>6121300</v>
      </c>
      <c r="O44" s="31">
        <v>0.08</v>
      </c>
      <c r="P44" s="34">
        <f t="shared" si="11"/>
        <v>451800</v>
      </c>
      <c r="Q44" s="22" t="s">
        <v>1700</v>
      </c>
    </row>
    <row r="45" spans="1:17" x14ac:dyDescent="0.3">
      <c r="A45" s="22" t="s">
        <v>310</v>
      </c>
      <c r="B45" t="str">
        <f t="shared" si="0"/>
        <v>Rohan Patel</v>
      </c>
      <c r="C45" t="str">
        <f t="shared" si="1"/>
        <v>Engineering</v>
      </c>
      <c r="D45" s="30" t="str">
        <f t="shared" si="2"/>
        <v>L3</v>
      </c>
      <c r="E45" s="30" t="str">
        <f t="shared" si="3"/>
        <v>Active</v>
      </c>
      <c r="F45" s="32">
        <v>1514000</v>
      </c>
      <c r="G45" s="33">
        <f t="shared" si="4"/>
        <v>850000</v>
      </c>
      <c r="H45" s="33">
        <f t="shared" si="5"/>
        <v>1445000</v>
      </c>
      <c r="I45" s="33">
        <f t="shared" si="6"/>
        <v>2040000</v>
      </c>
      <c r="J45" s="25">
        <f t="shared" si="7"/>
        <v>1.05</v>
      </c>
      <c r="K45" s="22" t="str">
        <f t="shared" si="8"/>
        <v>Within Band</v>
      </c>
      <c r="L45" s="30">
        <f t="shared" si="9"/>
        <v>3</v>
      </c>
      <c r="M45" s="26">
        <v>8.8999999999999996E-2</v>
      </c>
      <c r="N45" s="34">
        <f t="shared" si="10"/>
        <v>1648700</v>
      </c>
      <c r="O45" s="31">
        <v>0.08</v>
      </c>
      <c r="P45" s="34">
        <f t="shared" si="11"/>
        <v>121100</v>
      </c>
      <c r="Q45" s="22" t="s">
        <v>1701</v>
      </c>
    </row>
    <row r="46" spans="1:17" x14ac:dyDescent="0.3">
      <c r="A46" s="22" t="s">
        <v>315</v>
      </c>
      <c r="B46" t="str">
        <f t="shared" si="0"/>
        <v>Vikas Chatterjee</v>
      </c>
      <c r="C46" t="str">
        <f t="shared" si="1"/>
        <v>Operations</v>
      </c>
      <c r="D46" s="30" t="str">
        <f t="shared" si="2"/>
        <v>L4</v>
      </c>
      <c r="E46" s="30" t="str">
        <f t="shared" si="3"/>
        <v>Exited</v>
      </c>
      <c r="F46" s="32">
        <v>1724000</v>
      </c>
      <c r="G46" s="33">
        <f t="shared" si="4"/>
        <v>1445000</v>
      </c>
      <c r="H46" s="33">
        <f t="shared" si="5"/>
        <v>2342500</v>
      </c>
      <c r="I46" s="33">
        <f t="shared" si="6"/>
        <v>3240000</v>
      </c>
      <c r="J46" s="25">
        <f t="shared" si="7"/>
        <v>0.74</v>
      </c>
      <c r="K46" s="22" t="str">
        <f t="shared" si="8"/>
        <v>Within Band</v>
      </c>
      <c r="L46" s="30">
        <f t="shared" si="9"/>
        <v>3</v>
      </c>
      <c r="M46" s="26">
        <v>9.0999999999999998E-2</v>
      </c>
      <c r="N46" s="34">
        <f t="shared" si="10"/>
        <v>0</v>
      </c>
      <c r="O46" s="31">
        <v>0.08</v>
      </c>
      <c r="P46" s="34">
        <f t="shared" si="11"/>
        <v>0</v>
      </c>
      <c r="Q46" s="22" t="s">
        <v>1701</v>
      </c>
    </row>
    <row r="47" spans="1:17" x14ac:dyDescent="0.3">
      <c r="A47" s="22" t="s">
        <v>318</v>
      </c>
      <c r="B47" t="str">
        <f t="shared" si="0"/>
        <v>Karan Gowda</v>
      </c>
      <c r="C47" t="str">
        <f t="shared" si="1"/>
        <v>Operations</v>
      </c>
      <c r="D47" s="30" t="str">
        <f t="shared" si="2"/>
        <v>L3</v>
      </c>
      <c r="E47" s="30" t="str">
        <f t="shared" si="3"/>
        <v>Active</v>
      </c>
      <c r="F47" s="32">
        <v>1360000</v>
      </c>
      <c r="G47" s="33">
        <f t="shared" si="4"/>
        <v>850000</v>
      </c>
      <c r="H47" s="33">
        <f t="shared" si="5"/>
        <v>1445000</v>
      </c>
      <c r="I47" s="33">
        <f t="shared" si="6"/>
        <v>2040000</v>
      </c>
      <c r="J47" s="25">
        <f t="shared" si="7"/>
        <v>0.94</v>
      </c>
      <c r="K47" s="22" t="str">
        <f t="shared" si="8"/>
        <v>Within Band</v>
      </c>
      <c r="L47" s="30">
        <f t="shared" si="9"/>
        <v>3</v>
      </c>
      <c r="M47" s="26">
        <v>9.5000000000000001E-2</v>
      </c>
      <c r="N47" s="34">
        <f t="shared" si="10"/>
        <v>1489200</v>
      </c>
      <c r="O47" s="31">
        <v>0.08</v>
      </c>
      <c r="P47" s="34">
        <f t="shared" si="11"/>
        <v>108800</v>
      </c>
      <c r="Q47" s="22" t="s">
        <v>1701</v>
      </c>
    </row>
    <row r="48" spans="1:17" x14ac:dyDescent="0.3">
      <c r="A48" s="22" t="s">
        <v>321</v>
      </c>
      <c r="B48" t="str">
        <f t="shared" si="0"/>
        <v>Keerthi Gupta</v>
      </c>
      <c r="C48" t="str">
        <f t="shared" si="1"/>
        <v>Customer Support</v>
      </c>
      <c r="D48" s="30" t="str">
        <f t="shared" si="2"/>
        <v>L4</v>
      </c>
      <c r="E48" s="30" t="str">
        <f t="shared" si="3"/>
        <v>Active</v>
      </c>
      <c r="F48" s="32">
        <v>1475000</v>
      </c>
      <c r="G48" s="33">
        <f t="shared" si="4"/>
        <v>1445000</v>
      </c>
      <c r="H48" s="33">
        <f t="shared" si="5"/>
        <v>2342500</v>
      </c>
      <c r="I48" s="33">
        <f t="shared" si="6"/>
        <v>3240000</v>
      </c>
      <c r="J48" s="25">
        <f t="shared" si="7"/>
        <v>0.63</v>
      </c>
      <c r="K48" s="22" t="str">
        <f t="shared" si="8"/>
        <v>Within Band</v>
      </c>
      <c r="L48" s="30">
        <f t="shared" si="9"/>
        <v>3</v>
      </c>
      <c r="M48" s="26">
        <v>8.5999999999999993E-2</v>
      </c>
      <c r="N48" s="34">
        <f t="shared" si="10"/>
        <v>1601900</v>
      </c>
      <c r="O48" s="31">
        <v>0.08</v>
      </c>
      <c r="P48" s="34">
        <f t="shared" si="11"/>
        <v>118000</v>
      </c>
      <c r="Q48" s="22" t="s">
        <v>1701</v>
      </c>
    </row>
    <row r="49" spans="1:17" x14ac:dyDescent="0.3">
      <c r="A49" s="22" t="s">
        <v>324</v>
      </c>
      <c r="B49" t="str">
        <f t="shared" si="0"/>
        <v>Sindhu Sharma</v>
      </c>
      <c r="C49" t="str">
        <f t="shared" si="1"/>
        <v>Data &amp; Analytics</v>
      </c>
      <c r="D49" s="30" t="str">
        <f t="shared" si="2"/>
        <v>L3</v>
      </c>
      <c r="E49" s="30" t="str">
        <f t="shared" si="3"/>
        <v>Active</v>
      </c>
      <c r="F49" s="32">
        <v>1314000</v>
      </c>
      <c r="G49" s="33">
        <f t="shared" si="4"/>
        <v>850000</v>
      </c>
      <c r="H49" s="33">
        <f t="shared" si="5"/>
        <v>1445000</v>
      </c>
      <c r="I49" s="33">
        <f t="shared" si="6"/>
        <v>2040000</v>
      </c>
      <c r="J49" s="25">
        <f t="shared" si="7"/>
        <v>0.91</v>
      </c>
      <c r="K49" s="22" t="str">
        <f t="shared" si="8"/>
        <v>Within Band</v>
      </c>
      <c r="L49" s="30">
        <f t="shared" si="9"/>
        <v>4</v>
      </c>
      <c r="M49" s="26">
        <v>0.13500000000000001</v>
      </c>
      <c r="N49" s="34">
        <f t="shared" si="10"/>
        <v>1491400</v>
      </c>
      <c r="O49" s="31">
        <v>0.12</v>
      </c>
      <c r="P49" s="34">
        <f t="shared" si="11"/>
        <v>157700</v>
      </c>
      <c r="Q49" s="22" t="s">
        <v>1701</v>
      </c>
    </row>
    <row r="50" spans="1:17" x14ac:dyDescent="0.3">
      <c r="A50" s="22" t="s">
        <v>218</v>
      </c>
      <c r="B50" t="str">
        <f t="shared" si="0"/>
        <v>Ajay Kumar</v>
      </c>
      <c r="C50" t="str">
        <f t="shared" si="1"/>
        <v>Operations</v>
      </c>
      <c r="D50" s="30" t="str">
        <f t="shared" si="2"/>
        <v>L5</v>
      </c>
      <c r="E50" s="30" t="str">
        <f t="shared" si="3"/>
        <v>Active</v>
      </c>
      <c r="F50" s="32">
        <v>3433000</v>
      </c>
      <c r="G50" s="33">
        <f t="shared" si="4"/>
        <v>2295000</v>
      </c>
      <c r="H50" s="33">
        <f t="shared" si="5"/>
        <v>3667500</v>
      </c>
      <c r="I50" s="33">
        <f t="shared" si="6"/>
        <v>5040000</v>
      </c>
      <c r="J50" s="25">
        <f t="shared" si="7"/>
        <v>0.94</v>
      </c>
      <c r="K50" s="22" t="str">
        <f t="shared" si="8"/>
        <v>Within Band</v>
      </c>
      <c r="L50" s="30">
        <f t="shared" si="9"/>
        <v>4</v>
      </c>
      <c r="M50" s="26">
        <v>0.124</v>
      </c>
      <c r="N50" s="34">
        <f t="shared" si="10"/>
        <v>3858700</v>
      </c>
      <c r="O50" s="31">
        <v>0.12</v>
      </c>
      <c r="P50" s="34">
        <f t="shared" si="11"/>
        <v>412000</v>
      </c>
      <c r="Q50" s="22" t="s">
        <v>1700</v>
      </c>
    </row>
    <row r="51" spans="1:17" x14ac:dyDescent="0.3">
      <c r="A51" s="22" t="s">
        <v>328</v>
      </c>
      <c r="B51" t="str">
        <f t="shared" si="0"/>
        <v>Harini Choudhary</v>
      </c>
      <c r="C51" t="str">
        <f t="shared" si="1"/>
        <v>Engineering</v>
      </c>
      <c r="D51" s="30" t="str">
        <f t="shared" si="2"/>
        <v>L4</v>
      </c>
      <c r="E51" s="30" t="str">
        <f t="shared" si="3"/>
        <v>Active</v>
      </c>
      <c r="F51" s="32">
        <v>2407000</v>
      </c>
      <c r="G51" s="33">
        <f t="shared" si="4"/>
        <v>1445000</v>
      </c>
      <c r="H51" s="33">
        <f t="shared" si="5"/>
        <v>2342500</v>
      </c>
      <c r="I51" s="33">
        <f t="shared" si="6"/>
        <v>3240000</v>
      </c>
      <c r="J51" s="25">
        <f t="shared" si="7"/>
        <v>1.03</v>
      </c>
      <c r="K51" s="22" t="str">
        <f t="shared" si="8"/>
        <v>Within Band</v>
      </c>
      <c r="L51" s="30">
        <f t="shared" si="9"/>
        <v>3</v>
      </c>
      <c r="M51" s="26">
        <v>9.1999999999999998E-2</v>
      </c>
      <c r="N51" s="34">
        <f t="shared" si="10"/>
        <v>2628400</v>
      </c>
      <c r="O51" s="31">
        <v>0.08</v>
      </c>
      <c r="P51" s="34">
        <f t="shared" si="11"/>
        <v>192600</v>
      </c>
      <c r="Q51" s="22" t="s">
        <v>1701</v>
      </c>
    </row>
    <row r="52" spans="1:17" x14ac:dyDescent="0.3">
      <c r="A52" s="22" t="s">
        <v>231</v>
      </c>
      <c r="B52" t="str">
        <f t="shared" si="0"/>
        <v>Joseph Varghese</v>
      </c>
      <c r="C52" t="str">
        <f t="shared" si="1"/>
        <v>Sales</v>
      </c>
      <c r="D52" s="30" t="str">
        <f t="shared" si="2"/>
        <v>L6</v>
      </c>
      <c r="E52" s="30" t="str">
        <f t="shared" si="3"/>
        <v>Active</v>
      </c>
      <c r="F52" s="32">
        <v>4383000</v>
      </c>
      <c r="G52" s="33">
        <f t="shared" si="4"/>
        <v>3570000</v>
      </c>
      <c r="H52" s="33">
        <f t="shared" si="5"/>
        <v>5385000</v>
      </c>
      <c r="I52" s="33">
        <f t="shared" si="6"/>
        <v>7200000</v>
      </c>
      <c r="J52" s="25">
        <f t="shared" si="7"/>
        <v>0.81</v>
      </c>
      <c r="K52" s="22" t="str">
        <f t="shared" si="8"/>
        <v>Within Band</v>
      </c>
      <c r="L52" s="30">
        <f t="shared" si="9"/>
        <v>1</v>
      </c>
      <c r="M52" s="26">
        <v>-3.0000000000000001E-3</v>
      </c>
      <c r="N52" s="34">
        <f t="shared" si="10"/>
        <v>4369900</v>
      </c>
      <c r="O52" s="31">
        <v>0</v>
      </c>
      <c r="P52" s="34">
        <f t="shared" si="11"/>
        <v>0</v>
      </c>
      <c r="Q52" s="22" t="s">
        <v>1700</v>
      </c>
    </row>
    <row r="53" spans="1:17" x14ac:dyDescent="0.3">
      <c r="A53" s="22" t="s">
        <v>332</v>
      </c>
      <c r="B53" t="str">
        <f t="shared" si="0"/>
        <v>Siddharth Mehta</v>
      </c>
      <c r="C53" t="str">
        <f t="shared" si="1"/>
        <v>Engineering</v>
      </c>
      <c r="D53" s="30" t="str">
        <f t="shared" si="2"/>
        <v>L3</v>
      </c>
      <c r="E53" s="30" t="str">
        <f t="shared" si="3"/>
        <v>Exited</v>
      </c>
      <c r="F53" s="32">
        <v>2084000</v>
      </c>
      <c r="G53" s="33">
        <f t="shared" si="4"/>
        <v>850000</v>
      </c>
      <c r="H53" s="33">
        <f t="shared" si="5"/>
        <v>1445000</v>
      </c>
      <c r="I53" s="33">
        <f t="shared" si="6"/>
        <v>2040000</v>
      </c>
      <c r="J53" s="25">
        <f t="shared" si="7"/>
        <v>1.44</v>
      </c>
      <c r="K53" s="22" t="str">
        <f t="shared" si="8"/>
        <v>Above Band</v>
      </c>
      <c r="L53" s="30">
        <f t="shared" si="9"/>
        <v>3</v>
      </c>
      <c r="M53" s="26">
        <v>9.8000000000000004E-2</v>
      </c>
      <c r="N53" s="34">
        <f t="shared" si="10"/>
        <v>0</v>
      </c>
      <c r="O53" s="31">
        <v>0.08</v>
      </c>
      <c r="P53" s="34">
        <f t="shared" si="11"/>
        <v>0</v>
      </c>
      <c r="Q53" s="22" t="s">
        <v>1701</v>
      </c>
    </row>
    <row r="54" spans="1:17" x14ac:dyDescent="0.3">
      <c r="A54" s="22" t="s">
        <v>335</v>
      </c>
      <c r="B54" t="str">
        <f t="shared" si="0"/>
        <v>Dev Jain</v>
      </c>
      <c r="C54" t="str">
        <f t="shared" si="1"/>
        <v>Sales</v>
      </c>
      <c r="D54" s="30" t="str">
        <f t="shared" si="2"/>
        <v>L3</v>
      </c>
      <c r="E54" s="30" t="str">
        <f t="shared" si="3"/>
        <v>Active</v>
      </c>
      <c r="F54" s="32">
        <v>1646000</v>
      </c>
      <c r="G54" s="33">
        <f t="shared" si="4"/>
        <v>850000</v>
      </c>
      <c r="H54" s="33">
        <f t="shared" si="5"/>
        <v>1445000</v>
      </c>
      <c r="I54" s="33">
        <f t="shared" si="6"/>
        <v>2040000</v>
      </c>
      <c r="J54" s="25">
        <f t="shared" si="7"/>
        <v>1.1399999999999999</v>
      </c>
      <c r="K54" s="22" t="str">
        <f t="shared" si="8"/>
        <v>Within Band</v>
      </c>
      <c r="L54" s="30">
        <f t="shared" si="9"/>
        <v>5</v>
      </c>
      <c r="M54" s="26">
        <v>0.182</v>
      </c>
      <c r="N54" s="34">
        <f t="shared" si="10"/>
        <v>1945600</v>
      </c>
      <c r="O54" s="31">
        <v>0.18</v>
      </c>
      <c r="P54" s="34">
        <f t="shared" si="11"/>
        <v>296300</v>
      </c>
      <c r="Q54" s="22" t="s">
        <v>1701</v>
      </c>
    </row>
    <row r="55" spans="1:17" x14ac:dyDescent="0.3">
      <c r="A55" s="22" t="s">
        <v>340</v>
      </c>
      <c r="B55" t="str">
        <f t="shared" si="0"/>
        <v>Ritu Patel</v>
      </c>
      <c r="C55" t="str">
        <f t="shared" si="1"/>
        <v>Operations</v>
      </c>
      <c r="D55" s="30" t="str">
        <f t="shared" si="2"/>
        <v>L3</v>
      </c>
      <c r="E55" s="30" t="str">
        <f t="shared" si="3"/>
        <v>Active</v>
      </c>
      <c r="F55" s="32">
        <v>917000</v>
      </c>
      <c r="G55" s="33">
        <f t="shared" si="4"/>
        <v>850000</v>
      </c>
      <c r="H55" s="33">
        <f t="shared" si="5"/>
        <v>1445000</v>
      </c>
      <c r="I55" s="33">
        <f t="shared" si="6"/>
        <v>2040000</v>
      </c>
      <c r="J55" s="25">
        <f t="shared" si="7"/>
        <v>0.63</v>
      </c>
      <c r="K55" s="22" t="str">
        <f t="shared" si="8"/>
        <v>Within Band</v>
      </c>
      <c r="L55" s="30">
        <f t="shared" si="9"/>
        <v>4</v>
      </c>
      <c r="M55" s="26">
        <v>0.128</v>
      </c>
      <c r="N55" s="34">
        <f t="shared" si="10"/>
        <v>1034400</v>
      </c>
      <c r="O55" s="31">
        <v>0.12</v>
      </c>
      <c r="P55" s="34">
        <f t="shared" si="11"/>
        <v>110000</v>
      </c>
      <c r="Q55" s="22" t="s">
        <v>1701</v>
      </c>
    </row>
    <row r="56" spans="1:17" x14ac:dyDescent="0.3">
      <c r="A56" s="22" t="s">
        <v>343</v>
      </c>
      <c r="B56" t="str">
        <f t="shared" si="0"/>
        <v>Sachin Iyer</v>
      </c>
      <c r="C56" t="str">
        <f t="shared" si="1"/>
        <v>Customer Support</v>
      </c>
      <c r="D56" s="30" t="str">
        <f t="shared" si="2"/>
        <v>L3</v>
      </c>
      <c r="E56" s="30" t="str">
        <f t="shared" si="3"/>
        <v>Active</v>
      </c>
      <c r="F56" s="32">
        <v>1320000</v>
      </c>
      <c r="G56" s="33">
        <f t="shared" si="4"/>
        <v>850000</v>
      </c>
      <c r="H56" s="33">
        <f t="shared" si="5"/>
        <v>1445000</v>
      </c>
      <c r="I56" s="33">
        <f t="shared" si="6"/>
        <v>2040000</v>
      </c>
      <c r="J56" s="25">
        <f t="shared" si="7"/>
        <v>0.91</v>
      </c>
      <c r="K56" s="22" t="str">
        <f t="shared" si="8"/>
        <v>Within Band</v>
      </c>
      <c r="L56" s="30">
        <f t="shared" si="9"/>
        <v>3</v>
      </c>
      <c r="M56" s="26">
        <v>9.8000000000000004E-2</v>
      </c>
      <c r="N56" s="34">
        <f t="shared" si="10"/>
        <v>1449400</v>
      </c>
      <c r="O56" s="31">
        <v>0.08</v>
      </c>
      <c r="P56" s="34">
        <f t="shared" si="11"/>
        <v>105600</v>
      </c>
      <c r="Q56" s="22" t="s">
        <v>1701</v>
      </c>
    </row>
    <row r="57" spans="1:17" x14ac:dyDescent="0.3">
      <c r="A57" s="22" t="s">
        <v>346</v>
      </c>
      <c r="B57" t="str">
        <f t="shared" si="0"/>
        <v>Pallavi Menon</v>
      </c>
      <c r="C57" t="str">
        <f t="shared" si="1"/>
        <v>Engineering</v>
      </c>
      <c r="D57" s="30" t="str">
        <f t="shared" si="2"/>
        <v>L3</v>
      </c>
      <c r="E57" s="30" t="str">
        <f t="shared" si="3"/>
        <v>Active</v>
      </c>
      <c r="F57" s="32">
        <v>1971000</v>
      </c>
      <c r="G57" s="33">
        <f t="shared" si="4"/>
        <v>850000</v>
      </c>
      <c r="H57" s="33">
        <f t="shared" si="5"/>
        <v>1445000</v>
      </c>
      <c r="I57" s="33">
        <f t="shared" si="6"/>
        <v>2040000</v>
      </c>
      <c r="J57" s="25">
        <f t="shared" si="7"/>
        <v>1.36</v>
      </c>
      <c r="K57" s="22" t="str">
        <f t="shared" si="8"/>
        <v>Within Band</v>
      </c>
      <c r="L57" s="30">
        <f t="shared" si="9"/>
        <v>3</v>
      </c>
      <c r="M57" s="26">
        <v>7.2999999999999995E-2</v>
      </c>
      <c r="N57" s="34">
        <f t="shared" si="10"/>
        <v>2114900</v>
      </c>
      <c r="O57" s="31">
        <v>0.08</v>
      </c>
      <c r="P57" s="34">
        <f t="shared" si="11"/>
        <v>157700</v>
      </c>
      <c r="Q57" s="22" t="s">
        <v>1701</v>
      </c>
    </row>
    <row r="58" spans="1:17" x14ac:dyDescent="0.3">
      <c r="A58" s="22" t="s">
        <v>351</v>
      </c>
      <c r="B58" t="str">
        <f t="shared" si="0"/>
        <v>Imran Jain</v>
      </c>
      <c r="C58" t="str">
        <f t="shared" si="1"/>
        <v>Engineering</v>
      </c>
      <c r="D58" s="30" t="str">
        <f t="shared" si="2"/>
        <v>L3</v>
      </c>
      <c r="E58" s="30" t="str">
        <f t="shared" si="3"/>
        <v>Active</v>
      </c>
      <c r="F58" s="32">
        <v>1902000</v>
      </c>
      <c r="G58" s="33">
        <f t="shared" si="4"/>
        <v>850000</v>
      </c>
      <c r="H58" s="33">
        <f t="shared" si="5"/>
        <v>1445000</v>
      </c>
      <c r="I58" s="33">
        <f t="shared" si="6"/>
        <v>2040000</v>
      </c>
      <c r="J58" s="25">
        <f t="shared" si="7"/>
        <v>1.32</v>
      </c>
      <c r="K58" s="22" t="str">
        <f t="shared" si="8"/>
        <v>Within Band</v>
      </c>
      <c r="L58" s="30">
        <f t="shared" si="9"/>
        <v>4</v>
      </c>
      <c r="M58" s="26">
        <v>0.112</v>
      </c>
      <c r="N58" s="34">
        <f t="shared" si="10"/>
        <v>2115000</v>
      </c>
      <c r="O58" s="31">
        <v>0.12</v>
      </c>
      <c r="P58" s="34">
        <f t="shared" si="11"/>
        <v>228200</v>
      </c>
      <c r="Q58" s="22" t="s">
        <v>1701</v>
      </c>
    </row>
    <row r="59" spans="1:17" x14ac:dyDescent="0.3">
      <c r="A59" s="22" t="s">
        <v>354</v>
      </c>
      <c r="B59" t="str">
        <f t="shared" si="0"/>
        <v>Amit Gupta</v>
      </c>
      <c r="C59" t="str">
        <f t="shared" si="1"/>
        <v>Engineering</v>
      </c>
      <c r="D59" s="30" t="str">
        <f t="shared" si="2"/>
        <v>L4</v>
      </c>
      <c r="E59" s="30" t="str">
        <f t="shared" si="3"/>
        <v>Active</v>
      </c>
      <c r="F59" s="32">
        <v>2373000</v>
      </c>
      <c r="G59" s="33">
        <f t="shared" si="4"/>
        <v>1445000</v>
      </c>
      <c r="H59" s="33">
        <f t="shared" si="5"/>
        <v>2342500</v>
      </c>
      <c r="I59" s="33">
        <f t="shared" si="6"/>
        <v>3240000</v>
      </c>
      <c r="J59" s="25">
        <f t="shared" si="7"/>
        <v>1.01</v>
      </c>
      <c r="K59" s="22" t="str">
        <f t="shared" si="8"/>
        <v>Within Band</v>
      </c>
      <c r="L59" s="30">
        <f t="shared" si="9"/>
        <v>3</v>
      </c>
      <c r="M59" s="26">
        <v>8.5999999999999993E-2</v>
      </c>
      <c r="N59" s="34">
        <f t="shared" si="10"/>
        <v>2577100</v>
      </c>
      <c r="O59" s="31">
        <v>0.08</v>
      </c>
      <c r="P59" s="34">
        <f t="shared" si="11"/>
        <v>189800</v>
      </c>
      <c r="Q59" s="22" t="s">
        <v>1701</v>
      </c>
    </row>
    <row r="60" spans="1:17" x14ac:dyDescent="0.3">
      <c r="A60" s="22" t="s">
        <v>357</v>
      </c>
      <c r="B60" t="str">
        <f t="shared" si="0"/>
        <v>Fatima Kulkarni</v>
      </c>
      <c r="C60" t="str">
        <f t="shared" si="1"/>
        <v>Engineering</v>
      </c>
      <c r="D60" s="30" t="str">
        <f t="shared" si="2"/>
        <v>L4</v>
      </c>
      <c r="E60" s="30" t="str">
        <f t="shared" si="3"/>
        <v>Exited</v>
      </c>
      <c r="F60" s="32">
        <v>2764000</v>
      </c>
      <c r="G60" s="33">
        <f t="shared" si="4"/>
        <v>1445000</v>
      </c>
      <c r="H60" s="33">
        <f t="shared" si="5"/>
        <v>2342500</v>
      </c>
      <c r="I60" s="33">
        <f t="shared" si="6"/>
        <v>3240000</v>
      </c>
      <c r="J60" s="25">
        <f t="shared" si="7"/>
        <v>1.18</v>
      </c>
      <c r="K60" s="22" t="str">
        <f t="shared" si="8"/>
        <v>Within Band</v>
      </c>
      <c r="L60" s="30">
        <f t="shared" si="9"/>
        <v>3</v>
      </c>
      <c r="M60" s="26">
        <v>8.1000000000000003E-2</v>
      </c>
      <c r="N60" s="34">
        <f t="shared" si="10"/>
        <v>0</v>
      </c>
      <c r="O60" s="31">
        <v>0.08</v>
      </c>
      <c r="P60" s="34">
        <f t="shared" si="11"/>
        <v>0</v>
      </c>
      <c r="Q60" s="22" t="s">
        <v>1701</v>
      </c>
    </row>
    <row r="61" spans="1:17" x14ac:dyDescent="0.3">
      <c r="A61" s="22" t="s">
        <v>314</v>
      </c>
      <c r="B61" t="str">
        <f t="shared" si="0"/>
        <v>Isha Jain</v>
      </c>
      <c r="C61" t="str">
        <f t="shared" si="1"/>
        <v>Engineering</v>
      </c>
      <c r="D61" s="30" t="str">
        <f t="shared" si="2"/>
        <v>L5</v>
      </c>
      <c r="E61" s="30" t="str">
        <f t="shared" si="3"/>
        <v>Active</v>
      </c>
      <c r="F61" s="32">
        <v>5090000</v>
      </c>
      <c r="G61" s="33">
        <f t="shared" si="4"/>
        <v>2295000</v>
      </c>
      <c r="H61" s="33">
        <f t="shared" si="5"/>
        <v>3667500</v>
      </c>
      <c r="I61" s="33">
        <f t="shared" si="6"/>
        <v>5040000</v>
      </c>
      <c r="J61" s="25">
        <f t="shared" si="7"/>
        <v>1.39</v>
      </c>
      <c r="K61" s="22" t="str">
        <f t="shared" si="8"/>
        <v>Above Band</v>
      </c>
      <c r="L61" s="30">
        <f t="shared" si="9"/>
        <v>5</v>
      </c>
      <c r="M61" s="26">
        <v>0.16700000000000001</v>
      </c>
      <c r="N61" s="34">
        <f t="shared" si="10"/>
        <v>5940000</v>
      </c>
      <c r="O61" s="31">
        <v>0.18</v>
      </c>
      <c r="P61" s="34">
        <f t="shared" si="11"/>
        <v>916200</v>
      </c>
      <c r="Q61" s="22" t="s">
        <v>1700</v>
      </c>
    </row>
    <row r="62" spans="1:17" x14ac:dyDescent="0.3">
      <c r="A62" s="22" t="s">
        <v>363</v>
      </c>
      <c r="B62" t="str">
        <f t="shared" si="0"/>
        <v>Sowmya Mishra</v>
      </c>
      <c r="C62" t="str">
        <f t="shared" si="1"/>
        <v>Operations</v>
      </c>
      <c r="D62" s="30" t="str">
        <f t="shared" si="2"/>
        <v>L3</v>
      </c>
      <c r="E62" s="30" t="str">
        <f t="shared" si="3"/>
        <v>Active</v>
      </c>
      <c r="F62" s="32">
        <v>937000</v>
      </c>
      <c r="G62" s="33">
        <f t="shared" si="4"/>
        <v>850000</v>
      </c>
      <c r="H62" s="33">
        <f t="shared" si="5"/>
        <v>1445000</v>
      </c>
      <c r="I62" s="33">
        <f t="shared" si="6"/>
        <v>2040000</v>
      </c>
      <c r="J62" s="25">
        <f t="shared" si="7"/>
        <v>0.65</v>
      </c>
      <c r="K62" s="22" t="str">
        <f t="shared" si="8"/>
        <v>Within Band</v>
      </c>
      <c r="L62" s="30">
        <f t="shared" si="9"/>
        <v>3</v>
      </c>
      <c r="M62" s="26">
        <v>9.5000000000000001E-2</v>
      </c>
      <c r="N62" s="34">
        <f t="shared" si="10"/>
        <v>1026000</v>
      </c>
      <c r="O62" s="31">
        <v>0.08</v>
      </c>
      <c r="P62" s="34">
        <f t="shared" si="11"/>
        <v>75000</v>
      </c>
      <c r="Q62" s="22" t="s">
        <v>1701</v>
      </c>
    </row>
    <row r="63" spans="1:17" x14ac:dyDescent="0.3">
      <c r="A63" s="22" t="s">
        <v>366</v>
      </c>
      <c r="B63" t="str">
        <f t="shared" si="0"/>
        <v>Mohit Kapoor</v>
      </c>
      <c r="C63" t="str">
        <f t="shared" si="1"/>
        <v>Engineering</v>
      </c>
      <c r="D63" s="30" t="str">
        <f t="shared" si="2"/>
        <v>L4</v>
      </c>
      <c r="E63" s="30" t="str">
        <f t="shared" si="3"/>
        <v>Active</v>
      </c>
      <c r="F63" s="32">
        <v>2612000</v>
      </c>
      <c r="G63" s="33">
        <f t="shared" si="4"/>
        <v>1445000</v>
      </c>
      <c r="H63" s="33">
        <f t="shared" si="5"/>
        <v>2342500</v>
      </c>
      <c r="I63" s="33">
        <f t="shared" si="6"/>
        <v>3240000</v>
      </c>
      <c r="J63" s="25">
        <f t="shared" si="7"/>
        <v>1.1200000000000001</v>
      </c>
      <c r="K63" s="22" t="str">
        <f t="shared" si="8"/>
        <v>Within Band</v>
      </c>
      <c r="L63" s="30">
        <f t="shared" si="9"/>
        <v>3</v>
      </c>
      <c r="M63" s="26">
        <v>9.8000000000000004E-2</v>
      </c>
      <c r="N63" s="34">
        <f t="shared" si="10"/>
        <v>2868000</v>
      </c>
      <c r="O63" s="31">
        <v>0.08</v>
      </c>
      <c r="P63" s="34">
        <f t="shared" si="11"/>
        <v>209000</v>
      </c>
      <c r="Q63" s="22" t="s">
        <v>1701</v>
      </c>
    </row>
    <row r="64" spans="1:17" x14ac:dyDescent="0.3">
      <c r="A64" s="22" t="s">
        <v>369</v>
      </c>
      <c r="B64" t="str">
        <f t="shared" si="0"/>
        <v>Akash Mukherjee</v>
      </c>
      <c r="C64" t="str">
        <f t="shared" si="1"/>
        <v>Engineering</v>
      </c>
      <c r="D64" s="30" t="str">
        <f t="shared" si="2"/>
        <v>L3</v>
      </c>
      <c r="E64" s="30" t="str">
        <f t="shared" si="3"/>
        <v>Exited</v>
      </c>
      <c r="F64" s="32">
        <v>1586000</v>
      </c>
      <c r="G64" s="33">
        <f t="shared" si="4"/>
        <v>850000</v>
      </c>
      <c r="H64" s="33">
        <f t="shared" si="5"/>
        <v>1445000</v>
      </c>
      <c r="I64" s="33">
        <f t="shared" si="6"/>
        <v>2040000</v>
      </c>
      <c r="J64" s="25">
        <f t="shared" si="7"/>
        <v>1.1000000000000001</v>
      </c>
      <c r="K64" s="22" t="str">
        <f t="shared" si="8"/>
        <v>Within Band</v>
      </c>
      <c r="L64" s="30">
        <f t="shared" si="9"/>
        <v>3</v>
      </c>
      <c r="M64" s="26">
        <v>0.08</v>
      </c>
      <c r="N64" s="34">
        <f t="shared" si="10"/>
        <v>0</v>
      </c>
      <c r="O64" s="31">
        <v>0.08</v>
      </c>
      <c r="P64" s="34">
        <f t="shared" si="11"/>
        <v>0</v>
      </c>
      <c r="Q64" s="22" t="s">
        <v>1701</v>
      </c>
    </row>
    <row r="65" spans="1:17" x14ac:dyDescent="0.3">
      <c r="A65" s="22" t="s">
        <v>372</v>
      </c>
      <c r="B65" t="str">
        <f t="shared" si="0"/>
        <v>Swathi Bose</v>
      </c>
      <c r="C65" t="str">
        <f t="shared" si="1"/>
        <v>Engineering</v>
      </c>
      <c r="D65" s="30" t="str">
        <f t="shared" si="2"/>
        <v>L3</v>
      </c>
      <c r="E65" s="30" t="str">
        <f t="shared" si="3"/>
        <v>Active</v>
      </c>
      <c r="F65" s="32">
        <v>1960000</v>
      </c>
      <c r="G65" s="33">
        <f t="shared" si="4"/>
        <v>850000</v>
      </c>
      <c r="H65" s="33">
        <f t="shared" si="5"/>
        <v>1445000</v>
      </c>
      <c r="I65" s="33">
        <f t="shared" si="6"/>
        <v>2040000</v>
      </c>
      <c r="J65" s="25">
        <f t="shared" si="7"/>
        <v>1.36</v>
      </c>
      <c r="K65" s="22" t="str">
        <f t="shared" si="8"/>
        <v>Within Band</v>
      </c>
      <c r="L65" s="30">
        <f t="shared" si="9"/>
        <v>3</v>
      </c>
      <c r="M65" s="26">
        <v>6.6000000000000003E-2</v>
      </c>
      <c r="N65" s="34">
        <f t="shared" si="10"/>
        <v>2089400</v>
      </c>
      <c r="O65" s="31">
        <v>0.08</v>
      </c>
      <c r="P65" s="34">
        <f t="shared" si="11"/>
        <v>156800</v>
      </c>
      <c r="Q65" s="22" t="s">
        <v>1701</v>
      </c>
    </row>
    <row r="66" spans="1:17" x14ac:dyDescent="0.3">
      <c r="A66" s="22" t="s">
        <v>375</v>
      </c>
      <c r="B66" t="str">
        <f t="shared" ref="B66:B129" si="12">INDEX(M_Name,MATCH($A66,M_ID,0))</f>
        <v>Rohit Iyer</v>
      </c>
      <c r="C66" t="str">
        <f t="shared" ref="C66:C129" si="13">INDEX(M_Dept,MATCH($A66,M_ID,0))</f>
        <v>Operations</v>
      </c>
      <c r="D66" s="30" t="str">
        <f t="shared" ref="D66:D129" si="14">INDEX(M_Level,MATCH($A66,M_ID,0))</f>
        <v>L3</v>
      </c>
      <c r="E66" s="30" t="str">
        <f t="shared" ref="E66:E129" si="15">INDEX(M_Status,MATCH($A66,M_ID,0))</f>
        <v>Active</v>
      </c>
      <c r="F66" s="32">
        <v>998000</v>
      </c>
      <c r="G66" s="33">
        <f t="shared" ref="G66:G129" si="16">INDEX(BandMin,MATCH(D66,BandLevels,0))</f>
        <v>850000</v>
      </c>
      <c r="H66" s="33">
        <f t="shared" ref="H66:H129" si="17">INDEX(BandMid,MATCH(D66,BandLevels,0))</f>
        <v>1445000</v>
      </c>
      <c r="I66" s="33">
        <f t="shared" ref="I66:I129" si="18">INDEX(BandMax,MATCH(D66,BandLevels,0))</f>
        <v>2040000</v>
      </c>
      <c r="J66" s="25">
        <f t="shared" ref="J66:J129" si="19">ROUND(F66/H66,2)</f>
        <v>0.69</v>
      </c>
      <c r="K66" s="22" t="str">
        <f t="shared" ref="K66:K129" si="20">IF(F66&lt;G66,"Below Band",IF(F66&gt;I66,"Above Band","Within Band"))</f>
        <v>Within Band</v>
      </c>
      <c r="L66" s="30">
        <f t="shared" ref="L66:L129" si="21">INDEX(P_Rating,MATCH($A66,M_ID,0))</f>
        <v>4</v>
      </c>
      <c r="M66" s="26">
        <v>0.13600000000000001</v>
      </c>
      <c r="N66" s="34">
        <f t="shared" ref="N66:N129" si="22">IF(E66="Exited",0,ROUND(F66*(1+M66),-2))</f>
        <v>1133700</v>
      </c>
      <c r="O66" s="31">
        <v>0.12</v>
      </c>
      <c r="P66" s="34">
        <f t="shared" ref="P66:P129" si="23">IF(E66="Exited",0,ROUND(F66*O66,-2))</f>
        <v>119800</v>
      </c>
      <c r="Q66" s="22" t="s">
        <v>1701</v>
      </c>
    </row>
    <row r="67" spans="1:17" x14ac:dyDescent="0.3">
      <c r="A67" s="22" t="s">
        <v>380</v>
      </c>
      <c r="B67" t="str">
        <f t="shared" si="12"/>
        <v>Ajay Joshi</v>
      </c>
      <c r="C67" t="str">
        <f t="shared" si="13"/>
        <v>Operations</v>
      </c>
      <c r="D67" s="30" t="str">
        <f t="shared" si="14"/>
        <v>L4</v>
      </c>
      <c r="E67" s="30" t="str">
        <f t="shared" si="15"/>
        <v>Active</v>
      </c>
      <c r="F67" s="32">
        <v>1722000</v>
      </c>
      <c r="G67" s="33">
        <f t="shared" si="16"/>
        <v>1445000</v>
      </c>
      <c r="H67" s="33">
        <f t="shared" si="17"/>
        <v>2342500</v>
      </c>
      <c r="I67" s="33">
        <f t="shared" si="18"/>
        <v>3240000</v>
      </c>
      <c r="J67" s="25">
        <f t="shared" si="19"/>
        <v>0.74</v>
      </c>
      <c r="K67" s="22" t="str">
        <f t="shared" si="20"/>
        <v>Within Band</v>
      </c>
      <c r="L67" s="30">
        <f t="shared" si="21"/>
        <v>2</v>
      </c>
      <c r="M67" s="26">
        <v>4.1000000000000002E-2</v>
      </c>
      <c r="N67" s="34">
        <f t="shared" si="22"/>
        <v>1792600</v>
      </c>
      <c r="O67" s="31">
        <v>0.03</v>
      </c>
      <c r="P67" s="34">
        <f t="shared" si="23"/>
        <v>51700</v>
      </c>
      <c r="Q67" s="22" t="s">
        <v>1701</v>
      </c>
    </row>
    <row r="68" spans="1:17" x14ac:dyDescent="0.3">
      <c r="A68" s="22" t="s">
        <v>271</v>
      </c>
      <c r="B68" t="str">
        <f t="shared" si="12"/>
        <v>Akash Bansal</v>
      </c>
      <c r="C68" t="str">
        <f t="shared" si="13"/>
        <v>Sales</v>
      </c>
      <c r="D68" s="30" t="str">
        <f t="shared" si="14"/>
        <v>L7</v>
      </c>
      <c r="E68" s="30" t="str">
        <f t="shared" si="15"/>
        <v>Active</v>
      </c>
      <c r="F68" s="32">
        <v>7656000</v>
      </c>
      <c r="G68" s="33">
        <f t="shared" si="16"/>
        <v>5100000</v>
      </c>
      <c r="H68" s="33">
        <f t="shared" si="17"/>
        <v>8250000</v>
      </c>
      <c r="I68" s="33">
        <f t="shared" si="18"/>
        <v>11400000</v>
      </c>
      <c r="J68" s="25">
        <f t="shared" si="19"/>
        <v>0.93</v>
      </c>
      <c r="K68" s="22" t="str">
        <f t="shared" si="20"/>
        <v>Within Band</v>
      </c>
      <c r="L68" s="30">
        <f t="shared" si="21"/>
        <v>3</v>
      </c>
      <c r="M68" s="26">
        <v>8.7999999999999995E-2</v>
      </c>
      <c r="N68" s="34">
        <f t="shared" si="22"/>
        <v>8329700</v>
      </c>
      <c r="O68" s="31">
        <v>0.08</v>
      </c>
      <c r="P68" s="34">
        <f t="shared" si="23"/>
        <v>612500</v>
      </c>
      <c r="Q68" s="22" t="s">
        <v>1700</v>
      </c>
    </row>
    <row r="69" spans="1:17" x14ac:dyDescent="0.3">
      <c r="A69" s="22" t="s">
        <v>387</v>
      </c>
      <c r="B69" t="str">
        <f t="shared" si="12"/>
        <v>Pooja Mehta</v>
      </c>
      <c r="C69" t="str">
        <f t="shared" si="13"/>
        <v>Customer Support</v>
      </c>
      <c r="D69" s="30" t="str">
        <f t="shared" si="14"/>
        <v>L4</v>
      </c>
      <c r="E69" s="30" t="str">
        <f t="shared" si="15"/>
        <v>Active</v>
      </c>
      <c r="F69" s="32">
        <v>1603000</v>
      </c>
      <c r="G69" s="33">
        <f t="shared" si="16"/>
        <v>1445000</v>
      </c>
      <c r="H69" s="33">
        <f t="shared" si="17"/>
        <v>2342500</v>
      </c>
      <c r="I69" s="33">
        <f t="shared" si="18"/>
        <v>3240000</v>
      </c>
      <c r="J69" s="25">
        <f t="shared" si="19"/>
        <v>0.68</v>
      </c>
      <c r="K69" s="22" t="str">
        <f t="shared" si="20"/>
        <v>Within Band</v>
      </c>
      <c r="L69" s="30">
        <f t="shared" si="21"/>
        <v>3</v>
      </c>
      <c r="M69" s="26">
        <v>7.2999999999999995E-2</v>
      </c>
      <c r="N69" s="34">
        <f t="shared" si="22"/>
        <v>1720000</v>
      </c>
      <c r="O69" s="31">
        <v>0.08</v>
      </c>
      <c r="P69" s="34">
        <f t="shared" si="23"/>
        <v>128200</v>
      </c>
      <c r="Q69" s="22" t="s">
        <v>1701</v>
      </c>
    </row>
    <row r="70" spans="1:17" x14ac:dyDescent="0.3">
      <c r="A70" s="22" t="s">
        <v>176</v>
      </c>
      <c r="B70" t="str">
        <f t="shared" si="12"/>
        <v>Akash Dsouza</v>
      </c>
      <c r="C70" t="str">
        <f t="shared" si="13"/>
        <v>Customer Support</v>
      </c>
      <c r="D70" s="30" t="str">
        <f t="shared" si="14"/>
        <v>L6</v>
      </c>
      <c r="E70" s="30" t="str">
        <f t="shared" si="15"/>
        <v>Active</v>
      </c>
      <c r="F70" s="32">
        <v>4097000</v>
      </c>
      <c r="G70" s="33">
        <f t="shared" si="16"/>
        <v>3570000</v>
      </c>
      <c r="H70" s="33">
        <f t="shared" si="17"/>
        <v>5385000</v>
      </c>
      <c r="I70" s="33">
        <f t="shared" si="18"/>
        <v>7200000</v>
      </c>
      <c r="J70" s="25">
        <f t="shared" si="19"/>
        <v>0.76</v>
      </c>
      <c r="K70" s="22" t="str">
        <f t="shared" si="20"/>
        <v>Within Band</v>
      </c>
      <c r="L70" s="30">
        <f t="shared" si="21"/>
        <v>5</v>
      </c>
      <c r="M70" s="26">
        <v>0.18099999999999999</v>
      </c>
      <c r="N70" s="34">
        <f t="shared" si="22"/>
        <v>4838600</v>
      </c>
      <c r="O70" s="31">
        <v>0.18</v>
      </c>
      <c r="P70" s="34">
        <f t="shared" si="23"/>
        <v>737500</v>
      </c>
      <c r="Q70" s="22" t="s">
        <v>1700</v>
      </c>
    </row>
    <row r="71" spans="1:17" x14ac:dyDescent="0.3">
      <c r="A71" s="22" t="s">
        <v>394</v>
      </c>
      <c r="B71" t="str">
        <f t="shared" si="12"/>
        <v>Naveen Mehta</v>
      </c>
      <c r="C71" t="str">
        <f t="shared" si="13"/>
        <v>Data &amp; Analytics</v>
      </c>
      <c r="D71" s="30" t="str">
        <f t="shared" si="14"/>
        <v>L3</v>
      </c>
      <c r="E71" s="30" t="str">
        <f t="shared" si="15"/>
        <v>Exited</v>
      </c>
      <c r="F71" s="32">
        <v>1787000</v>
      </c>
      <c r="G71" s="33">
        <f t="shared" si="16"/>
        <v>850000</v>
      </c>
      <c r="H71" s="33">
        <f t="shared" si="17"/>
        <v>1445000</v>
      </c>
      <c r="I71" s="33">
        <f t="shared" si="18"/>
        <v>2040000</v>
      </c>
      <c r="J71" s="25">
        <f t="shared" si="19"/>
        <v>1.24</v>
      </c>
      <c r="K71" s="22" t="str">
        <f t="shared" si="20"/>
        <v>Within Band</v>
      </c>
      <c r="L71" s="30">
        <f t="shared" si="21"/>
        <v>3</v>
      </c>
      <c r="M71" s="26">
        <v>8.8999999999999996E-2</v>
      </c>
      <c r="N71" s="34">
        <f t="shared" si="22"/>
        <v>0</v>
      </c>
      <c r="O71" s="31">
        <v>0.08</v>
      </c>
      <c r="P71" s="34">
        <f t="shared" si="23"/>
        <v>0</v>
      </c>
      <c r="Q71" s="22" t="s">
        <v>1701</v>
      </c>
    </row>
    <row r="72" spans="1:17" x14ac:dyDescent="0.3">
      <c r="A72" s="22" t="s">
        <v>397</v>
      </c>
      <c r="B72" t="str">
        <f t="shared" si="12"/>
        <v>Varsha Siddiqui</v>
      </c>
      <c r="C72" t="str">
        <f t="shared" si="13"/>
        <v>Engineering</v>
      </c>
      <c r="D72" s="30" t="str">
        <f t="shared" si="14"/>
        <v>L4</v>
      </c>
      <c r="E72" s="30" t="str">
        <f t="shared" si="15"/>
        <v>Active</v>
      </c>
      <c r="F72" s="32">
        <v>2525000</v>
      </c>
      <c r="G72" s="33">
        <f t="shared" si="16"/>
        <v>1445000</v>
      </c>
      <c r="H72" s="33">
        <f t="shared" si="17"/>
        <v>2342500</v>
      </c>
      <c r="I72" s="33">
        <f t="shared" si="18"/>
        <v>3240000</v>
      </c>
      <c r="J72" s="25">
        <f t="shared" si="19"/>
        <v>1.08</v>
      </c>
      <c r="K72" s="22" t="str">
        <f t="shared" si="20"/>
        <v>Within Band</v>
      </c>
      <c r="L72" s="30">
        <f t="shared" si="21"/>
        <v>4</v>
      </c>
      <c r="M72" s="26">
        <v>0.126</v>
      </c>
      <c r="N72" s="34">
        <f t="shared" si="22"/>
        <v>2843200</v>
      </c>
      <c r="O72" s="31">
        <v>0.12</v>
      </c>
      <c r="P72" s="34">
        <f t="shared" si="23"/>
        <v>303000</v>
      </c>
      <c r="Q72" s="22" t="s">
        <v>1700</v>
      </c>
    </row>
    <row r="73" spans="1:17" x14ac:dyDescent="0.3">
      <c r="A73" s="22" t="s">
        <v>402</v>
      </c>
      <c r="B73" t="str">
        <f t="shared" si="12"/>
        <v>Rajesh Shah</v>
      </c>
      <c r="C73" t="str">
        <f t="shared" si="13"/>
        <v>Marketing</v>
      </c>
      <c r="D73" s="30" t="str">
        <f t="shared" si="14"/>
        <v>L4</v>
      </c>
      <c r="E73" s="30" t="str">
        <f t="shared" si="15"/>
        <v>Active</v>
      </c>
      <c r="F73" s="32">
        <v>2370000</v>
      </c>
      <c r="G73" s="33">
        <f t="shared" si="16"/>
        <v>1445000</v>
      </c>
      <c r="H73" s="33">
        <f t="shared" si="17"/>
        <v>2342500</v>
      </c>
      <c r="I73" s="33">
        <f t="shared" si="18"/>
        <v>3240000</v>
      </c>
      <c r="J73" s="25">
        <f t="shared" si="19"/>
        <v>1.01</v>
      </c>
      <c r="K73" s="22" t="str">
        <f t="shared" si="20"/>
        <v>Within Band</v>
      </c>
      <c r="L73" s="30">
        <f t="shared" si="21"/>
        <v>5</v>
      </c>
      <c r="M73" s="26">
        <v>0.156</v>
      </c>
      <c r="N73" s="34">
        <f t="shared" si="22"/>
        <v>2739700</v>
      </c>
      <c r="O73" s="31">
        <v>0.18</v>
      </c>
      <c r="P73" s="34">
        <f t="shared" si="23"/>
        <v>426600</v>
      </c>
      <c r="Q73" s="22" t="s">
        <v>1700</v>
      </c>
    </row>
    <row r="74" spans="1:17" x14ac:dyDescent="0.3">
      <c r="A74" s="22" t="s">
        <v>405</v>
      </c>
      <c r="B74" t="str">
        <f t="shared" si="12"/>
        <v>Vishal Ansari</v>
      </c>
      <c r="C74" t="str">
        <f t="shared" si="13"/>
        <v>Product</v>
      </c>
      <c r="D74" s="30" t="str">
        <f t="shared" si="14"/>
        <v>L3</v>
      </c>
      <c r="E74" s="30" t="str">
        <f t="shared" si="15"/>
        <v>Active</v>
      </c>
      <c r="F74" s="32">
        <v>1350000</v>
      </c>
      <c r="G74" s="33">
        <f t="shared" si="16"/>
        <v>850000</v>
      </c>
      <c r="H74" s="33">
        <f t="shared" si="17"/>
        <v>1445000</v>
      </c>
      <c r="I74" s="33">
        <f t="shared" si="18"/>
        <v>2040000</v>
      </c>
      <c r="J74" s="25">
        <f t="shared" si="19"/>
        <v>0.93</v>
      </c>
      <c r="K74" s="22" t="str">
        <f t="shared" si="20"/>
        <v>Within Band</v>
      </c>
      <c r="L74" s="30">
        <f t="shared" si="21"/>
        <v>4</v>
      </c>
      <c r="M74" s="26">
        <v>0.13900000000000001</v>
      </c>
      <c r="N74" s="34">
        <f t="shared" si="22"/>
        <v>1537700</v>
      </c>
      <c r="O74" s="31">
        <v>0.12</v>
      </c>
      <c r="P74" s="34">
        <f t="shared" si="23"/>
        <v>162000</v>
      </c>
      <c r="Q74" s="22" t="s">
        <v>1701</v>
      </c>
    </row>
    <row r="75" spans="1:17" x14ac:dyDescent="0.3">
      <c r="A75" s="22" t="s">
        <v>409</v>
      </c>
      <c r="B75" t="str">
        <f t="shared" si="12"/>
        <v>Mansi Reddy</v>
      </c>
      <c r="C75" t="str">
        <f t="shared" si="13"/>
        <v>Sales</v>
      </c>
      <c r="D75" s="30" t="str">
        <f t="shared" si="14"/>
        <v>L3</v>
      </c>
      <c r="E75" s="30" t="str">
        <f t="shared" si="15"/>
        <v>Active</v>
      </c>
      <c r="F75" s="32">
        <v>1627000</v>
      </c>
      <c r="G75" s="33">
        <f t="shared" si="16"/>
        <v>850000</v>
      </c>
      <c r="H75" s="33">
        <f t="shared" si="17"/>
        <v>1445000</v>
      </c>
      <c r="I75" s="33">
        <f t="shared" si="18"/>
        <v>2040000</v>
      </c>
      <c r="J75" s="25">
        <f t="shared" si="19"/>
        <v>1.1299999999999999</v>
      </c>
      <c r="K75" s="22" t="str">
        <f t="shared" si="20"/>
        <v>Within Band</v>
      </c>
      <c r="L75" s="30">
        <f t="shared" si="21"/>
        <v>2</v>
      </c>
      <c r="M75" s="26">
        <v>3.5000000000000003E-2</v>
      </c>
      <c r="N75" s="34">
        <f t="shared" si="22"/>
        <v>1683900</v>
      </c>
      <c r="O75" s="31">
        <v>0.03</v>
      </c>
      <c r="P75" s="34">
        <f t="shared" si="23"/>
        <v>48800</v>
      </c>
      <c r="Q75" s="22" t="s">
        <v>1701</v>
      </c>
    </row>
    <row r="76" spans="1:17" x14ac:dyDescent="0.3">
      <c r="A76" s="22" t="s">
        <v>412</v>
      </c>
      <c r="B76" t="str">
        <f t="shared" si="12"/>
        <v>Sandeep Gupta</v>
      </c>
      <c r="C76" t="str">
        <f t="shared" si="13"/>
        <v>Operations</v>
      </c>
      <c r="D76" s="30" t="str">
        <f t="shared" si="14"/>
        <v>L3</v>
      </c>
      <c r="E76" s="30" t="str">
        <f t="shared" si="15"/>
        <v>Active</v>
      </c>
      <c r="F76" s="32">
        <v>1379000</v>
      </c>
      <c r="G76" s="33">
        <f t="shared" si="16"/>
        <v>850000</v>
      </c>
      <c r="H76" s="33">
        <f t="shared" si="17"/>
        <v>1445000</v>
      </c>
      <c r="I76" s="33">
        <f t="shared" si="18"/>
        <v>2040000</v>
      </c>
      <c r="J76" s="25">
        <f t="shared" si="19"/>
        <v>0.95</v>
      </c>
      <c r="K76" s="22" t="str">
        <f t="shared" si="20"/>
        <v>Within Band</v>
      </c>
      <c r="L76" s="30">
        <f t="shared" si="21"/>
        <v>3</v>
      </c>
      <c r="M76" s="26">
        <v>9.7000000000000003E-2</v>
      </c>
      <c r="N76" s="34">
        <f t="shared" si="22"/>
        <v>1512800</v>
      </c>
      <c r="O76" s="31">
        <v>0.08</v>
      </c>
      <c r="P76" s="34">
        <f t="shared" si="23"/>
        <v>110300</v>
      </c>
      <c r="Q76" s="22" t="s">
        <v>1701</v>
      </c>
    </row>
    <row r="77" spans="1:17" x14ac:dyDescent="0.3">
      <c r="A77" s="22" t="s">
        <v>417</v>
      </c>
      <c r="B77" t="str">
        <f t="shared" si="12"/>
        <v>Sneha Hegde</v>
      </c>
      <c r="C77" t="str">
        <f t="shared" si="13"/>
        <v>Engineering</v>
      </c>
      <c r="D77" s="30" t="str">
        <f t="shared" si="14"/>
        <v>L3</v>
      </c>
      <c r="E77" s="30" t="str">
        <f t="shared" si="15"/>
        <v>Active</v>
      </c>
      <c r="F77" s="32">
        <v>1770000</v>
      </c>
      <c r="G77" s="33">
        <f t="shared" si="16"/>
        <v>850000</v>
      </c>
      <c r="H77" s="33">
        <f t="shared" si="17"/>
        <v>1445000</v>
      </c>
      <c r="I77" s="33">
        <f t="shared" si="18"/>
        <v>2040000</v>
      </c>
      <c r="J77" s="25">
        <f t="shared" si="19"/>
        <v>1.22</v>
      </c>
      <c r="K77" s="22" t="str">
        <f t="shared" si="20"/>
        <v>Within Band</v>
      </c>
      <c r="L77" s="30">
        <f t="shared" si="21"/>
        <v>4</v>
      </c>
      <c r="M77" s="26">
        <v>0.11899999999999999</v>
      </c>
      <c r="N77" s="34">
        <f t="shared" si="22"/>
        <v>1980600</v>
      </c>
      <c r="O77" s="31">
        <v>0.12</v>
      </c>
      <c r="P77" s="34">
        <f t="shared" si="23"/>
        <v>212400</v>
      </c>
      <c r="Q77" s="22" t="s">
        <v>1701</v>
      </c>
    </row>
    <row r="78" spans="1:17" x14ac:dyDescent="0.3">
      <c r="A78" s="22" t="s">
        <v>420</v>
      </c>
      <c r="B78" t="str">
        <f t="shared" si="12"/>
        <v>Kiran Chatterjee</v>
      </c>
      <c r="C78" t="str">
        <f t="shared" si="13"/>
        <v>Operations</v>
      </c>
      <c r="D78" s="30" t="str">
        <f t="shared" si="14"/>
        <v>L3</v>
      </c>
      <c r="E78" s="30" t="str">
        <f t="shared" si="15"/>
        <v>Active</v>
      </c>
      <c r="F78" s="32">
        <v>1120000</v>
      </c>
      <c r="G78" s="33">
        <f t="shared" si="16"/>
        <v>850000</v>
      </c>
      <c r="H78" s="33">
        <f t="shared" si="17"/>
        <v>1445000</v>
      </c>
      <c r="I78" s="33">
        <f t="shared" si="18"/>
        <v>2040000</v>
      </c>
      <c r="J78" s="25">
        <f t="shared" si="19"/>
        <v>0.78</v>
      </c>
      <c r="K78" s="22" t="str">
        <f t="shared" si="20"/>
        <v>Within Band</v>
      </c>
      <c r="L78" s="30">
        <f t="shared" si="21"/>
        <v>3</v>
      </c>
      <c r="M78" s="26">
        <v>9.8000000000000004E-2</v>
      </c>
      <c r="N78" s="34">
        <f t="shared" si="22"/>
        <v>1229800</v>
      </c>
      <c r="O78" s="31">
        <v>0.08</v>
      </c>
      <c r="P78" s="34">
        <f t="shared" si="23"/>
        <v>89600</v>
      </c>
      <c r="Q78" s="22" t="s">
        <v>1701</v>
      </c>
    </row>
    <row r="79" spans="1:17" x14ac:dyDescent="0.3">
      <c r="A79" s="22" t="s">
        <v>423</v>
      </c>
      <c r="B79" t="str">
        <f t="shared" si="12"/>
        <v>Aishwarya Joshi</v>
      </c>
      <c r="C79" t="str">
        <f t="shared" si="13"/>
        <v>Finance</v>
      </c>
      <c r="D79" s="30" t="str">
        <f t="shared" si="14"/>
        <v>L4</v>
      </c>
      <c r="E79" s="30" t="str">
        <f t="shared" si="15"/>
        <v>Active</v>
      </c>
      <c r="F79" s="32">
        <v>1887000</v>
      </c>
      <c r="G79" s="33">
        <f t="shared" si="16"/>
        <v>1445000</v>
      </c>
      <c r="H79" s="33">
        <f t="shared" si="17"/>
        <v>2342500</v>
      </c>
      <c r="I79" s="33">
        <f t="shared" si="18"/>
        <v>3240000</v>
      </c>
      <c r="J79" s="25">
        <f t="shared" si="19"/>
        <v>0.81</v>
      </c>
      <c r="K79" s="22" t="str">
        <f t="shared" si="20"/>
        <v>Within Band</v>
      </c>
      <c r="L79" s="30">
        <f t="shared" si="21"/>
        <v>4</v>
      </c>
      <c r="M79" s="26">
        <v>0.11899999999999999</v>
      </c>
      <c r="N79" s="34">
        <f t="shared" si="22"/>
        <v>2111600</v>
      </c>
      <c r="O79" s="31">
        <v>0.12</v>
      </c>
      <c r="P79" s="34">
        <f t="shared" si="23"/>
        <v>226400</v>
      </c>
      <c r="Q79" s="22" t="s">
        <v>1700</v>
      </c>
    </row>
    <row r="80" spans="1:17" x14ac:dyDescent="0.3">
      <c r="A80" s="22" t="s">
        <v>427</v>
      </c>
      <c r="B80" t="str">
        <f t="shared" si="12"/>
        <v>Sindhu Das</v>
      </c>
      <c r="C80" t="str">
        <f t="shared" si="13"/>
        <v>Marketing</v>
      </c>
      <c r="D80" s="30" t="str">
        <f t="shared" si="14"/>
        <v>L3</v>
      </c>
      <c r="E80" s="30" t="str">
        <f t="shared" si="15"/>
        <v>Active</v>
      </c>
      <c r="F80" s="32">
        <v>1316000</v>
      </c>
      <c r="G80" s="33">
        <f t="shared" si="16"/>
        <v>850000</v>
      </c>
      <c r="H80" s="33">
        <f t="shared" si="17"/>
        <v>1445000</v>
      </c>
      <c r="I80" s="33">
        <f t="shared" si="18"/>
        <v>2040000</v>
      </c>
      <c r="J80" s="25">
        <f t="shared" si="19"/>
        <v>0.91</v>
      </c>
      <c r="K80" s="22" t="str">
        <f t="shared" si="20"/>
        <v>Within Band</v>
      </c>
      <c r="L80" s="30">
        <f t="shared" si="21"/>
        <v>3</v>
      </c>
      <c r="M80" s="26">
        <v>7.6999999999999999E-2</v>
      </c>
      <c r="N80" s="34">
        <f t="shared" si="22"/>
        <v>1417300</v>
      </c>
      <c r="O80" s="31">
        <v>0.08</v>
      </c>
      <c r="P80" s="34">
        <f t="shared" si="23"/>
        <v>105300</v>
      </c>
      <c r="Q80" s="22" t="s">
        <v>1701</v>
      </c>
    </row>
    <row r="81" spans="1:17" x14ac:dyDescent="0.3">
      <c r="A81" s="22" t="s">
        <v>430</v>
      </c>
      <c r="B81" t="str">
        <f t="shared" si="12"/>
        <v>Nandini Shetty</v>
      </c>
      <c r="C81" t="str">
        <f t="shared" si="13"/>
        <v>Data &amp; Analytics</v>
      </c>
      <c r="D81" s="30" t="str">
        <f t="shared" si="14"/>
        <v>L3</v>
      </c>
      <c r="E81" s="30" t="str">
        <f t="shared" si="15"/>
        <v>Active</v>
      </c>
      <c r="F81" s="32">
        <v>2005000</v>
      </c>
      <c r="G81" s="33">
        <f t="shared" si="16"/>
        <v>850000</v>
      </c>
      <c r="H81" s="33">
        <f t="shared" si="17"/>
        <v>1445000</v>
      </c>
      <c r="I81" s="33">
        <f t="shared" si="18"/>
        <v>2040000</v>
      </c>
      <c r="J81" s="25">
        <f t="shared" si="19"/>
        <v>1.39</v>
      </c>
      <c r="K81" s="22" t="str">
        <f t="shared" si="20"/>
        <v>Within Band</v>
      </c>
      <c r="L81" s="30">
        <f t="shared" si="21"/>
        <v>4</v>
      </c>
      <c r="M81" s="26">
        <v>0.127</v>
      </c>
      <c r="N81" s="34">
        <f t="shared" si="22"/>
        <v>2259600</v>
      </c>
      <c r="O81" s="31">
        <v>0.12</v>
      </c>
      <c r="P81" s="34">
        <f t="shared" si="23"/>
        <v>240600</v>
      </c>
      <c r="Q81" s="22" t="s">
        <v>1701</v>
      </c>
    </row>
    <row r="82" spans="1:17" x14ac:dyDescent="0.3">
      <c r="A82" s="22" t="s">
        <v>435</v>
      </c>
      <c r="B82" t="str">
        <f t="shared" si="12"/>
        <v>Deepak Thomas</v>
      </c>
      <c r="C82" t="str">
        <f t="shared" si="13"/>
        <v>Engineering</v>
      </c>
      <c r="D82" s="30" t="str">
        <f t="shared" si="14"/>
        <v>L3</v>
      </c>
      <c r="E82" s="30" t="str">
        <f t="shared" si="15"/>
        <v>Active</v>
      </c>
      <c r="F82" s="32">
        <v>1489000</v>
      </c>
      <c r="G82" s="33">
        <f t="shared" si="16"/>
        <v>850000</v>
      </c>
      <c r="H82" s="33">
        <f t="shared" si="17"/>
        <v>1445000</v>
      </c>
      <c r="I82" s="33">
        <f t="shared" si="18"/>
        <v>2040000</v>
      </c>
      <c r="J82" s="25">
        <f t="shared" si="19"/>
        <v>1.03</v>
      </c>
      <c r="K82" s="22" t="str">
        <f t="shared" si="20"/>
        <v>Within Band</v>
      </c>
      <c r="L82" s="30">
        <f t="shared" si="21"/>
        <v>3</v>
      </c>
      <c r="M82" s="26">
        <v>7.0999999999999994E-2</v>
      </c>
      <c r="N82" s="34">
        <f t="shared" si="22"/>
        <v>1594700</v>
      </c>
      <c r="O82" s="31">
        <v>0.08</v>
      </c>
      <c r="P82" s="34">
        <f t="shared" si="23"/>
        <v>119100</v>
      </c>
      <c r="Q82" s="22" t="s">
        <v>1701</v>
      </c>
    </row>
    <row r="83" spans="1:17" x14ac:dyDescent="0.3">
      <c r="A83" s="22" t="s">
        <v>438</v>
      </c>
      <c r="B83" t="str">
        <f t="shared" si="12"/>
        <v>Mansi Dsouza</v>
      </c>
      <c r="C83" t="str">
        <f t="shared" si="13"/>
        <v>Engineering</v>
      </c>
      <c r="D83" s="30" t="str">
        <f t="shared" si="14"/>
        <v>L4</v>
      </c>
      <c r="E83" s="30" t="str">
        <f t="shared" si="15"/>
        <v>Active</v>
      </c>
      <c r="F83" s="32">
        <v>2914000</v>
      </c>
      <c r="G83" s="33">
        <f t="shared" si="16"/>
        <v>1445000</v>
      </c>
      <c r="H83" s="33">
        <f t="shared" si="17"/>
        <v>2342500</v>
      </c>
      <c r="I83" s="33">
        <f t="shared" si="18"/>
        <v>3240000</v>
      </c>
      <c r="J83" s="25">
        <f t="shared" si="19"/>
        <v>1.24</v>
      </c>
      <c r="K83" s="22" t="str">
        <f t="shared" si="20"/>
        <v>Within Band</v>
      </c>
      <c r="L83" s="30">
        <f t="shared" si="21"/>
        <v>3</v>
      </c>
      <c r="M83" s="26">
        <v>7.0999999999999994E-2</v>
      </c>
      <c r="N83" s="34">
        <f t="shared" si="22"/>
        <v>3120900</v>
      </c>
      <c r="O83" s="31">
        <v>0.08</v>
      </c>
      <c r="P83" s="34">
        <f t="shared" si="23"/>
        <v>233100</v>
      </c>
      <c r="Q83" s="22" t="s">
        <v>1701</v>
      </c>
    </row>
    <row r="84" spans="1:17" x14ac:dyDescent="0.3">
      <c r="A84" s="22" t="s">
        <v>167</v>
      </c>
      <c r="B84" t="str">
        <f t="shared" si="12"/>
        <v>Akash Das</v>
      </c>
      <c r="C84" t="str">
        <f t="shared" si="13"/>
        <v>Human Resources</v>
      </c>
      <c r="D84" s="30" t="str">
        <f t="shared" si="14"/>
        <v>L5</v>
      </c>
      <c r="E84" s="30" t="str">
        <f t="shared" si="15"/>
        <v>Active</v>
      </c>
      <c r="F84" s="32">
        <v>4005000</v>
      </c>
      <c r="G84" s="33">
        <f t="shared" si="16"/>
        <v>2295000</v>
      </c>
      <c r="H84" s="33">
        <f t="shared" si="17"/>
        <v>3667500</v>
      </c>
      <c r="I84" s="33">
        <f t="shared" si="18"/>
        <v>5040000</v>
      </c>
      <c r="J84" s="25">
        <f t="shared" si="19"/>
        <v>1.0900000000000001</v>
      </c>
      <c r="K84" s="22" t="str">
        <f t="shared" si="20"/>
        <v>Within Band</v>
      </c>
      <c r="L84" s="30">
        <f t="shared" si="21"/>
        <v>4</v>
      </c>
      <c r="M84" s="26">
        <v>0.126</v>
      </c>
      <c r="N84" s="34">
        <f t="shared" si="22"/>
        <v>4509600</v>
      </c>
      <c r="O84" s="31">
        <v>0.12</v>
      </c>
      <c r="P84" s="34">
        <f t="shared" si="23"/>
        <v>480600</v>
      </c>
      <c r="Q84" s="22" t="s">
        <v>1700</v>
      </c>
    </row>
    <row r="85" spans="1:17" x14ac:dyDescent="0.3">
      <c r="A85" s="22" t="s">
        <v>286</v>
      </c>
      <c r="B85" t="str">
        <f t="shared" si="12"/>
        <v>Mansi Pillai</v>
      </c>
      <c r="C85" t="str">
        <f t="shared" si="13"/>
        <v>Product</v>
      </c>
      <c r="D85" s="30" t="str">
        <f t="shared" si="14"/>
        <v>L5</v>
      </c>
      <c r="E85" s="30" t="str">
        <f t="shared" si="15"/>
        <v>Active</v>
      </c>
      <c r="F85" s="32">
        <v>3372000</v>
      </c>
      <c r="G85" s="33">
        <f t="shared" si="16"/>
        <v>2295000</v>
      </c>
      <c r="H85" s="33">
        <f t="shared" si="17"/>
        <v>3667500</v>
      </c>
      <c r="I85" s="33">
        <f t="shared" si="18"/>
        <v>5040000</v>
      </c>
      <c r="J85" s="25">
        <f t="shared" si="19"/>
        <v>0.92</v>
      </c>
      <c r="K85" s="22" t="str">
        <f t="shared" si="20"/>
        <v>Within Band</v>
      </c>
      <c r="L85" s="30">
        <f t="shared" si="21"/>
        <v>4</v>
      </c>
      <c r="M85" s="26">
        <v>0.112</v>
      </c>
      <c r="N85" s="34">
        <f t="shared" si="22"/>
        <v>3749700</v>
      </c>
      <c r="O85" s="31">
        <v>0.12</v>
      </c>
      <c r="P85" s="34">
        <f t="shared" si="23"/>
        <v>404600</v>
      </c>
      <c r="Q85" s="22" t="s">
        <v>1700</v>
      </c>
    </row>
    <row r="86" spans="1:17" x14ac:dyDescent="0.3">
      <c r="A86" s="22" t="s">
        <v>445</v>
      </c>
      <c r="B86" t="str">
        <f t="shared" si="12"/>
        <v>Rohan Menon</v>
      </c>
      <c r="C86" t="str">
        <f t="shared" si="13"/>
        <v>Operations</v>
      </c>
      <c r="D86" s="30" t="str">
        <f t="shared" si="14"/>
        <v>L3</v>
      </c>
      <c r="E86" s="30" t="str">
        <f t="shared" si="15"/>
        <v>Active</v>
      </c>
      <c r="F86" s="32">
        <v>1406000</v>
      </c>
      <c r="G86" s="33">
        <f t="shared" si="16"/>
        <v>850000</v>
      </c>
      <c r="H86" s="33">
        <f t="shared" si="17"/>
        <v>1445000</v>
      </c>
      <c r="I86" s="33">
        <f t="shared" si="18"/>
        <v>2040000</v>
      </c>
      <c r="J86" s="25">
        <f t="shared" si="19"/>
        <v>0.97</v>
      </c>
      <c r="K86" s="22" t="str">
        <f t="shared" si="20"/>
        <v>Within Band</v>
      </c>
      <c r="L86" s="30">
        <f t="shared" si="21"/>
        <v>2</v>
      </c>
      <c r="M86" s="26">
        <v>2.9000000000000001E-2</v>
      </c>
      <c r="N86" s="34">
        <f t="shared" si="22"/>
        <v>1446800</v>
      </c>
      <c r="O86" s="31">
        <v>0.03</v>
      </c>
      <c r="P86" s="34">
        <f t="shared" si="23"/>
        <v>42200</v>
      </c>
      <c r="Q86" s="22" t="s">
        <v>1701</v>
      </c>
    </row>
    <row r="87" spans="1:17" x14ac:dyDescent="0.3">
      <c r="A87" s="22" t="s">
        <v>243</v>
      </c>
      <c r="B87" t="str">
        <f t="shared" si="12"/>
        <v>Bhavana Hegde</v>
      </c>
      <c r="C87" t="str">
        <f t="shared" si="13"/>
        <v>Engineering</v>
      </c>
      <c r="D87" s="30" t="str">
        <f t="shared" si="14"/>
        <v>L5</v>
      </c>
      <c r="E87" s="30" t="str">
        <f t="shared" si="15"/>
        <v>Active</v>
      </c>
      <c r="F87" s="32">
        <v>3692000</v>
      </c>
      <c r="G87" s="33">
        <f t="shared" si="16"/>
        <v>2295000</v>
      </c>
      <c r="H87" s="33">
        <f t="shared" si="17"/>
        <v>3667500</v>
      </c>
      <c r="I87" s="33">
        <f t="shared" si="18"/>
        <v>5040000</v>
      </c>
      <c r="J87" s="25">
        <f t="shared" si="19"/>
        <v>1.01</v>
      </c>
      <c r="K87" s="22" t="str">
        <f t="shared" si="20"/>
        <v>Within Band</v>
      </c>
      <c r="L87" s="30">
        <f t="shared" si="21"/>
        <v>3</v>
      </c>
      <c r="M87" s="26">
        <v>7.4999999999999997E-2</v>
      </c>
      <c r="N87" s="34">
        <f t="shared" si="22"/>
        <v>3968900</v>
      </c>
      <c r="O87" s="31">
        <v>0.08</v>
      </c>
      <c r="P87" s="34">
        <f t="shared" si="23"/>
        <v>295400</v>
      </c>
      <c r="Q87" s="22" t="s">
        <v>1700</v>
      </c>
    </row>
    <row r="88" spans="1:17" x14ac:dyDescent="0.3">
      <c r="A88" s="22" t="s">
        <v>449</v>
      </c>
      <c r="B88" t="str">
        <f t="shared" si="12"/>
        <v>Arun Choudhary</v>
      </c>
      <c r="C88" t="str">
        <f t="shared" si="13"/>
        <v>Engineering</v>
      </c>
      <c r="D88" s="30" t="str">
        <f t="shared" si="14"/>
        <v>L3</v>
      </c>
      <c r="E88" s="30" t="str">
        <f t="shared" si="15"/>
        <v>Active</v>
      </c>
      <c r="F88" s="32">
        <v>1678000</v>
      </c>
      <c r="G88" s="33">
        <f t="shared" si="16"/>
        <v>850000</v>
      </c>
      <c r="H88" s="33">
        <f t="shared" si="17"/>
        <v>1445000</v>
      </c>
      <c r="I88" s="33">
        <f t="shared" si="18"/>
        <v>2040000</v>
      </c>
      <c r="J88" s="25">
        <f t="shared" si="19"/>
        <v>1.1599999999999999</v>
      </c>
      <c r="K88" s="22" t="str">
        <f t="shared" si="20"/>
        <v>Within Band</v>
      </c>
      <c r="L88" s="30">
        <f t="shared" si="21"/>
        <v>3</v>
      </c>
      <c r="M88" s="26">
        <v>8.1000000000000003E-2</v>
      </c>
      <c r="N88" s="34">
        <f t="shared" si="22"/>
        <v>1813900</v>
      </c>
      <c r="O88" s="31">
        <v>0.08</v>
      </c>
      <c r="P88" s="34">
        <f t="shared" si="23"/>
        <v>134200</v>
      </c>
      <c r="Q88" s="22" t="s">
        <v>1701</v>
      </c>
    </row>
    <row r="89" spans="1:17" x14ac:dyDescent="0.3">
      <c r="A89" s="22" t="s">
        <v>452</v>
      </c>
      <c r="B89" t="str">
        <f t="shared" si="12"/>
        <v>Ankit Tiwari</v>
      </c>
      <c r="C89" t="str">
        <f t="shared" si="13"/>
        <v>Human Resources</v>
      </c>
      <c r="D89" s="30" t="str">
        <f t="shared" si="14"/>
        <v>L3</v>
      </c>
      <c r="E89" s="30" t="str">
        <f t="shared" si="15"/>
        <v>Active</v>
      </c>
      <c r="F89" s="32">
        <v>1315000</v>
      </c>
      <c r="G89" s="33">
        <f t="shared" si="16"/>
        <v>850000</v>
      </c>
      <c r="H89" s="33">
        <f t="shared" si="17"/>
        <v>1445000</v>
      </c>
      <c r="I89" s="33">
        <f t="shared" si="18"/>
        <v>2040000</v>
      </c>
      <c r="J89" s="25">
        <f t="shared" si="19"/>
        <v>0.91</v>
      </c>
      <c r="K89" s="22" t="str">
        <f t="shared" si="20"/>
        <v>Within Band</v>
      </c>
      <c r="L89" s="30">
        <f t="shared" si="21"/>
        <v>5</v>
      </c>
      <c r="M89" s="26">
        <v>0.155</v>
      </c>
      <c r="N89" s="34">
        <f t="shared" si="22"/>
        <v>1518800</v>
      </c>
      <c r="O89" s="31">
        <v>0.18</v>
      </c>
      <c r="P89" s="34">
        <f t="shared" si="23"/>
        <v>236700</v>
      </c>
      <c r="Q89" s="22" t="s">
        <v>1701</v>
      </c>
    </row>
    <row r="90" spans="1:17" x14ac:dyDescent="0.3">
      <c r="A90" s="22" t="s">
        <v>455</v>
      </c>
      <c r="B90" t="str">
        <f t="shared" si="12"/>
        <v>Mary Varghese</v>
      </c>
      <c r="C90" t="str">
        <f t="shared" si="13"/>
        <v>Customer Support</v>
      </c>
      <c r="D90" s="30" t="str">
        <f t="shared" si="14"/>
        <v>L3</v>
      </c>
      <c r="E90" s="30" t="str">
        <f t="shared" si="15"/>
        <v>Active</v>
      </c>
      <c r="F90" s="32">
        <v>931000</v>
      </c>
      <c r="G90" s="33">
        <f t="shared" si="16"/>
        <v>850000</v>
      </c>
      <c r="H90" s="33">
        <f t="shared" si="17"/>
        <v>1445000</v>
      </c>
      <c r="I90" s="33">
        <f t="shared" si="18"/>
        <v>2040000</v>
      </c>
      <c r="J90" s="25">
        <f t="shared" si="19"/>
        <v>0.64</v>
      </c>
      <c r="K90" s="22" t="str">
        <f t="shared" si="20"/>
        <v>Within Band</v>
      </c>
      <c r="L90" s="30">
        <f t="shared" si="21"/>
        <v>2</v>
      </c>
      <c r="M90" s="26">
        <v>4.7E-2</v>
      </c>
      <c r="N90" s="34">
        <f t="shared" si="22"/>
        <v>974800</v>
      </c>
      <c r="O90" s="31">
        <v>0.03</v>
      </c>
      <c r="P90" s="34">
        <f t="shared" si="23"/>
        <v>27900</v>
      </c>
      <c r="Q90" s="22" t="s">
        <v>1701</v>
      </c>
    </row>
    <row r="91" spans="1:17" x14ac:dyDescent="0.3">
      <c r="A91" s="22" t="s">
        <v>458</v>
      </c>
      <c r="B91" t="str">
        <f t="shared" si="12"/>
        <v>Madhuri Malhotra</v>
      </c>
      <c r="C91" t="str">
        <f t="shared" si="13"/>
        <v>Sales</v>
      </c>
      <c r="D91" s="30" t="str">
        <f t="shared" si="14"/>
        <v>L5</v>
      </c>
      <c r="E91" s="30" t="str">
        <f t="shared" si="15"/>
        <v>Exited</v>
      </c>
      <c r="F91" s="32">
        <v>3247000</v>
      </c>
      <c r="G91" s="33">
        <f t="shared" si="16"/>
        <v>2295000</v>
      </c>
      <c r="H91" s="33">
        <f t="shared" si="17"/>
        <v>3667500</v>
      </c>
      <c r="I91" s="33">
        <f t="shared" si="18"/>
        <v>5040000</v>
      </c>
      <c r="J91" s="25">
        <f t="shared" si="19"/>
        <v>0.89</v>
      </c>
      <c r="K91" s="22" t="str">
        <f t="shared" si="20"/>
        <v>Within Band</v>
      </c>
      <c r="L91" s="30">
        <f t="shared" si="21"/>
        <v>3</v>
      </c>
      <c r="M91" s="26">
        <v>0.1</v>
      </c>
      <c r="N91" s="34">
        <f t="shared" si="22"/>
        <v>0</v>
      </c>
      <c r="O91" s="31">
        <v>0.08</v>
      </c>
      <c r="P91" s="34">
        <f t="shared" si="23"/>
        <v>0</v>
      </c>
      <c r="Q91" s="22" t="s">
        <v>1700</v>
      </c>
    </row>
    <row r="92" spans="1:17" x14ac:dyDescent="0.3">
      <c r="A92" s="22" t="s">
        <v>461</v>
      </c>
      <c r="B92" t="str">
        <f t="shared" si="12"/>
        <v>Srinivas Bose</v>
      </c>
      <c r="C92" t="str">
        <f t="shared" si="13"/>
        <v>Engineering</v>
      </c>
      <c r="D92" s="30" t="str">
        <f t="shared" si="14"/>
        <v>L4</v>
      </c>
      <c r="E92" s="30" t="str">
        <f t="shared" si="15"/>
        <v>Active</v>
      </c>
      <c r="F92" s="32">
        <v>2245000</v>
      </c>
      <c r="G92" s="33">
        <f t="shared" si="16"/>
        <v>1445000</v>
      </c>
      <c r="H92" s="33">
        <f t="shared" si="17"/>
        <v>2342500</v>
      </c>
      <c r="I92" s="33">
        <f t="shared" si="18"/>
        <v>3240000</v>
      </c>
      <c r="J92" s="25">
        <f t="shared" si="19"/>
        <v>0.96</v>
      </c>
      <c r="K92" s="22" t="str">
        <f t="shared" si="20"/>
        <v>Within Band</v>
      </c>
      <c r="L92" s="30">
        <f t="shared" si="21"/>
        <v>3</v>
      </c>
      <c r="M92" s="26">
        <v>0.08</v>
      </c>
      <c r="N92" s="34">
        <f t="shared" si="22"/>
        <v>2424600</v>
      </c>
      <c r="O92" s="31">
        <v>0.08</v>
      </c>
      <c r="P92" s="34">
        <f t="shared" si="23"/>
        <v>179600</v>
      </c>
      <c r="Q92" s="22" t="s">
        <v>1701</v>
      </c>
    </row>
    <row r="93" spans="1:17" x14ac:dyDescent="0.3">
      <c r="A93" s="22" t="s">
        <v>464</v>
      </c>
      <c r="B93" t="str">
        <f t="shared" si="12"/>
        <v>Kunal Jain</v>
      </c>
      <c r="C93" t="str">
        <f t="shared" si="13"/>
        <v>Operations</v>
      </c>
      <c r="D93" s="30" t="str">
        <f t="shared" si="14"/>
        <v>L3</v>
      </c>
      <c r="E93" s="30" t="str">
        <f t="shared" si="15"/>
        <v>Active</v>
      </c>
      <c r="F93" s="32">
        <v>1344000</v>
      </c>
      <c r="G93" s="33">
        <f t="shared" si="16"/>
        <v>850000</v>
      </c>
      <c r="H93" s="33">
        <f t="shared" si="17"/>
        <v>1445000</v>
      </c>
      <c r="I93" s="33">
        <f t="shared" si="18"/>
        <v>2040000</v>
      </c>
      <c r="J93" s="25">
        <f t="shared" si="19"/>
        <v>0.93</v>
      </c>
      <c r="K93" s="22" t="str">
        <f t="shared" si="20"/>
        <v>Within Band</v>
      </c>
      <c r="L93" s="30">
        <f t="shared" si="21"/>
        <v>3</v>
      </c>
      <c r="M93" s="26">
        <v>7.9000000000000001E-2</v>
      </c>
      <c r="N93" s="34">
        <f t="shared" si="22"/>
        <v>1450200</v>
      </c>
      <c r="O93" s="31">
        <v>0.08</v>
      </c>
      <c r="P93" s="34">
        <f t="shared" si="23"/>
        <v>107500</v>
      </c>
      <c r="Q93" s="22" t="s">
        <v>1701</v>
      </c>
    </row>
    <row r="94" spans="1:17" x14ac:dyDescent="0.3">
      <c r="A94" s="22" t="s">
        <v>467</v>
      </c>
      <c r="B94" t="str">
        <f t="shared" si="12"/>
        <v>Priyanka Hegde</v>
      </c>
      <c r="C94" t="str">
        <f t="shared" si="13"/>
        <v>Product</v>
      </c>
      <c r="D94" s="30" t="str">
        <f t="shared" si="14"/>
        <v>L3</v>
      </c>
      <c r="E94" s="30" t="str">
        <f t="shared" si="15"/>
        <v>Active</v>
      </c>
      <c r="F94" s="32">
        <v>1952000</v>
      </c>
      <c r="G94" s="33">
        <f t="shared" si="16"/>
        <v>850000</v>
      </c>
      <c r="H94" s="33">
        <f t="shared" si="17"/>
        <v>1445000</v>
      </c>
      <c r="I94" s="33">
        <f t="shared" si="18"/>
        <v>2040000</v>
      </c>
      <c r="J94" s="25">
        <f t="shared" si="19"/>
        <v>1.35</v>
      </c>
      <c r="K94" s="22" t="str">
        <f t="shared" si="20"/>
        <v>Within Band</v>
      </c>
      <c r="L94" s="30">
        <f t="shared" si="21"/>
        <v>3</v>
      </c>
      <c r="M94" s="26">
        <v>7.1999999999999995E-2</v>
      </c>
      <c r="N94" s="34">
        <f t="shared" si="22"/>
        <v>2092500</v>
      </c>
      <c r="O94" s="31">
        <v>0.08</v>
      </c>
      <c r="P94" s="34">
        <f t="shared" si="23"/>
        <v>156200</v>
      </c>
      <c r="Q94" s="22" t="s">
        <v>1701</v>
      </c>
    </row>
    <row r="95" spans="1:17" x14ac:dyDescent="0.3">
      <c r="A95" s="22" t="s">
        <v>470</v>
      </c>
      <c r="B95" t="str">
        <f t="shared" si="12"/>
        <v>Gayatri Thomas</v>
      </c>
      <c r="C95" t="str">
        <f t="shared" si="13"/>
        <v>Product</v>
      </c>
      <c r="D95" s="30" t="str">
        <f t="shared" si="14"/>
        <v>L3</v>
      </c>
      <c r="E95" s="30" t="str">
        <f t="shared" si="15"/>
        <v>Active</v>
      </c>
      <c r="F95" s="32">
        <v>1980000</v>
      </c>
      <c r="G95" s="33">
        <f t="shared" si="16"/>
        <v>850000</v>
      </c>
      <c r="H95" s="33">
        <f t="shared" si="17"/>
        <v>1445000</v>
      </c>
      <c r="I95" s="33">
        <f t="shared" si="18"/>
        <v>2040000</v>
      </c>
      <c r="J95" s="25">
        <f t="shared" si="19"/>
        <v>1.37</v>
      </c>
      <c r="K95" s="22" t="str">
        <f t="shared" si="20"/>
        <v>Within Band</v>
      </c>
      <c r="L95" s="30">
        <f t="shared" si="21"/>
        <v>4</v>
      </c>
      <c r="M95" s="26">
        <v>0.11600000000000001</v>
      </c>
      <c r="N95" s="34">
        <f t="shared" si="22"/>
        <v>2209700</v>
      </c>
      <c r="O95" s="31">
        <v>0.12</v>
      </c>
      <c r="P95" s="34">
        <f t="shared" si="23"/>
        <v>237600</v>
      </c>
      <c r="Q95" s="22" t="s">
        <v>1701</v>
      </c>
    </row>
    <row r="96" spans="1:17" x14ac:dyDescent="0.3">
      <c r="A96" s="22" t="s">
        <v>473</v>
      </c>
      <c r="B96" t="str">
        <f t="shared" si="12"/>
        <v>Mary Banerjee</v>
      </c>
      <c r="C96" t="str">
        <f t="shared" si="13"/>
        <v>Data &amp; Analytics</v>
      </c>
      <c r="D96" s="30" t="str">
        <f t="shared" si="14"/>
        <v>L4</v>
      </c>
      <c r="E96" s="30" t="str">
        <f t="shared" si="15"/>
        <v>Active</v>
      </c>
      <c r="F96" s="32">
        <v>2933000</v>
      </c>
      <c r="G96" s="33">
        <f t="shared" si="16"/>
        <v>1445000</v>
      </c>
      <c r="H96" s="33">
        <f t="shared" si="17"/>
        <v>2342500</v>
      </c>
      <c r="I96" s="33">
        <f t="shared" si="18"/>
        <v>3240000</v>
      </c>
      <c r="J96" s="25">
        <f t="shared" si="19"/>
        <v>1.25</v>
      </c>
      <c r="K96" s="22" t="str">
        <f t="shared" si="20"/>
        <v>Within Band</v>
      </c>
      <c r="L96" s="30">
        <f t="shared" si="21"/>
        <v>3</v>
      </c>
      <c r="M96" s="26">
        <v>8.7999999999999995E-2</v>
      </c>
      <c r="N96" s="34">
        <f t="shared" si="22"/>
        <v>3191100</v>
      </c>
      <c r="O96" s="31">
        <v>0.08</v>
      </c>
      <c r="P96" s="34">
        <f t="shared" si="23"/>
        <v>234600</v>
      </c>
      <c r="Q96" s="22" t="s">
        <v>1701</v>
      </c>
    </row>
    <row r="97" spans="1:17" x14ac:dyDescent="0.3">
      <c r="A97" s="22" t="s">
        <v>477</v>
      </c>
      <c r="B97" t="str">
        <f t="shared" si="12"/>
        <v>Pallavi Malhotra</v>
      </c>
      <c r="C97" t="str">
        <f t="shared" si="13"/>
        <v>Marketing</v>
      </c>
      <c r="D97" s="30" t="str">
        <f t="shared" si="14"/>
        <v>L4</v>
      </c>
      <c r="E97" s="30" t="str">
        <f t="shared" si="15"/>
        <v>Active</v>
      </c>
      <c r="F97" s="32">
        <v>1889000</v>
      </c>
      <c r="G97" s="33">
        <f t="shared" si="16"/>
        <v>1445000</v>
      </c>
      <c r="H97" s="33">
        <f t="shared" si="17"/>
        <v>2342500</v>
      </c>
      <c r="I97" s="33">
        <f t="shared" si="18"/>
        <v>3240000</v>
      </c>
      <c r="J97" s="25">
        <f t="shared" si="19"/>
        <v>0.81</v>
      </c>
      <c r="K97" s="22" t="str">
        <f t="shared" si="20"/>
        <v>Within Band</v>
      </c>
      <c r="L97" s="30">
        <f t="shared" si="21"/>
        <v>4</v>
      </c>
      <c r="M97" s="26">
        <v>0.125</v>
      </c>
      <c r="N97" s="34">
        <f t="shared" si="22"/>
        <v>2125100</v>
      </c>
      <c r="O97" s="31">
        <v>0.12</v>
      </c>
      <c r="P97" s="34">
        <f t="shared" si="23"/>
        <v>226700</v>
      </c>
      <c r="Q97" s="22" t="s">
        <v>1700</v>
      </c>
    </row>
    <row r="98" spans="1:17" x14ac:dyDescent="0.3">
      <c r="A98" s="22" t="s">
        <v>480</v>
      </c>
      <c r="B98" t="str">
        <f t="shared" si="12"/>
        <v>Sowmya Menon</v>
      </c>
      <c r="C98" t="str">
        <f t="shared" si="13"/>
        <v>Product</v>
      </c>
      <c r="D98" s="30" t="str">
        <f t="shared" si="14"/>
        <v>L3</v>
      </c>
      <c r="E98" s="30" t="str">
        <f t="shared" si="15"/>
        <v>Exited</v>
      </c>
      <c r="F98" s="32">
        <v>1456000</v>
      </c>
      <c r="G98" s="33">
        <f t="shared" si="16"/>
        <v>850000</v>
      </c>
      <c r="H98" s="33">
        <f t="shared" si="17"/>
        <v>1445000</v>
      </c>
      <c r="I98" s="33">
        <f t="shared" si="18"/>
        <v>2040000</v>
      </c>
      <c r="J98" s="25">
        <f t="shared" si="19"/>
        <v>1.01</v>
      </c>
      <c r="K98" s="22" t="str">
        <f t="shared" si="20"/>
        <v>Within Band</v>
      </c>
      <c r="L98" s="30">
        <f t="shared" si="21"/>
        <v>3</v>
      </c>
      <c r="M98" s="26">
        <v>7.1999999999999995E-2</v>
      </c>
      <c r="N98" s="34">
        <f t="shared" si="22"/>
        <v>0</v>
      </c>
      <c r="O98" s="31">
        <v>0.08</v>
      </c>
      <c r="P98" s="34">
        <f t="shared" si="23"/>
        <v>0</v>
      </c>
      <c r="Q98" s="22" t="s">
        <v>1701</v>
      </c>
    </row>
    <row r="99" spans="1:17" x14ac:dyDescent="0.3">
      <c r="A99" s="22" t="s">
        <v>485</v>
      </c>
      <c r="B99" t="str">
        <f t="shared" si="12"/>
        <v>Sanjana Verma</v>
      </c>
      <c r="C99" t="str">
        <f t="shared" si="13"/>
        <v>Human Resources</v>
      </c>
      <c r="D99" s="30" t="str">
        <f t="shared" si="14"/>
        <v>L4</v>
      </c>
      <c r="E99" s="30" t="str">
        <f t="shared" si="15"/>
        <v>Active</v>
      </c>
      <c r="F99" s="32">
        <v>2388000</v>
      </c>
      <c r="G99" s="33">
        <f t="shared" si="16"/>
        <v>1445000</v>
      </c>
      <c r="H99" s="33">
        <f t="shared" si="17"/>
        <v>2342500</v>
      </c>
      <c r="I99" s="33">
        <f t="shared" si="18"/>
        <v>3240000</v>
      </c>
      <c r="J99" s="25">
        <f t="shared" si="19"/>
        <v>1.02</v>
      </c>
      <c r="K99" s="22" t="str">
        <f t="shared" si="20"/>
        <v>Within Band</v>
      </c>
      <c r="L99" s="30">
        <f t="shared" si="21"/>
        <v>3</v>
      </c>
      <c r="M99" s="26">
        <v>8.1000000000000003E-2</v>
      </c>
      <c r="N99" s="34">
        <f t="shared" si="22"/>
        <v>2581400</v>
      </c>
      <c r="O99" s="31">
        <v>0.08</v>
      </c>
      <c r="P99" s="34">
        <f t="shared" si="23"/>
        <v>191000</v>
      </c>
      <c r="Q99" s="22" t="s">
        <v>1701</v>
      </c>
    </row>
    <row r="100" spans="1:17" x14ac:dyDescent="0.3">
      <c r="A100" s="22" t="s">
        <v>488</v>
      </c>
      <c r="B100" t="str">
        <f t="shared" si="12"/>
        <v>Karan Khan</v>
      </c>
      <c r="C100" t="str">
        <f t="shared" si="13"/>
        <v>Sales</v>
      </c>
      <c r="D100" s="30" t="str">
        <f t="shared" si="14"/>
        <v>L3</v>
      </c>
      <c r="E100" s="30" t="str">
        <f t="shared" si="15"/>
        <v>Active</v>
      </c>
      <c r="F100" s="32">
        <v>1095000</v>
      </c>
      <c r="G100" s="33">
        <f t="shared" si="16"/>
        <v>850000</v>
      </c>
      <c r="H100" s="33">
        <f t="shared" si="17"/>
        <v>1445000</v>
      </c>
      <c r="I100" s="33">
        <f t="shared" si="18"/>
        <v>2040000</v>
      </c>
      <c r="J100" s="25">
        <f t="shared" si="19"/>
        <v>0.76</v>
      </c>
      <c r="K100" s="22" t="str">
        <f t="shared" si="20"/>
        <v>Within Band</v>
      </c>
      <c r="L100" s="30">
        <f t="shared" si="21"/>
        <v>2</v>
      </c>
      <c r="M100" s="26">
        <v>0.05</v>
      </c>
      <c r="N100" s="34">
        <f t="shared" si="22"/>
        <v>1149800</v>
      </c>
      <c r="O100" s="31">
        <v>0.03</v>
      </c>
      <c r="P100" s="34">
        <f t="shared" si="23"/>
        <v>32900</v>
      </c>
      <c r="Q100" s="22" t="s">
        <v>1701</v>
      </c>
    </row>
    <row r="101" spans="1:17" x14ac:dyDescent="0.3">
      <c r="A101" s="22" t="s">
        <v>491</v>
      </c>
      <c r="B101" t="str">
        <f t="shared" si="12"/>
        <v>Arjun Iyer</v>
      </c>
      <c r="C101" t="str">
        <f t="shared" si="13"/>
        <v>Engineering</v>
      </c>
      <c r="D101" s="30" t="str">
        <f t="shared" si="14"/>
        <v>L3</v>
      </c>
      <c r="E101" s="30" t="str">
        <f t="shared" si="15"/>
        <v>Active</v>
      </c>
      <c r="F101" s="32">
        <v>1610000</v>
      </c>
      <c r="G101" s="33">
        <f t="shared" si="16"/>
        <v>850000</v>
      </c>
      <c r="H101" s="33">
        <f t="shared" si="17"/>
        <v>1445000</v>
      </c>
      <c r="I101" s="33">
        <f t="shared" si="18"/>
        <v>2040000</v>
      </c>
      <c r="J101" s="25">
        <f t="shared" si="19"/>
        <v>1.1100000000000001</v>
      </c>
      <c r="K101" s="22" t="str">
        <f t="shared" si="20"/>
        <v>Within Band</v>
      </c>
      <c r="L101" s="30">
        <f t="shared" si="21"/>
        <v>3</v>
      </c>
      <c r="M101" s="26">
        <v>9.4E-2</v>
      </c>
      <c r="N101" s="34">
        <f t="shared" si="22"/>
        <v>1761300</v>
      </c>
      <c r="O101" s="31">
        <v>0.08</v>
      </c>
      <c r="P101" s="34">
        <f t="shared" si="23"/>
        <v>128800</v>
      </c>
      <c r="Q101" s="22" t="s">
        <v>1701</v>
      </c>
    </row>
    <row r="102" spans="1:17" x14ac:dyDescent="0.3">
      <c r="A102" s="22" t="s">
        <v>379</v>
      </c>
      <c r="B102" t="str">
        <f t="shared" si="12"/>
        <v>Pallavi Nair</v>
      </c>
      <c r="C102" t="str">
        <f t="shared" si="13"/>
        <v>Operations</v>
      </c>
      <c r="D102" s="30" t="str">
        <f t="shared" si="14"/>
        <v>L5</v>
      </c>
      <c r="E102" s="30" t="str">
        <f t="shared" si="15"/>
        <v>Active</v>
      </c>
      <c r="F102" s="32">
        <v>3005000</v>
      </c>
      <c r="G102" s="33">
        <f t="shared" si="16"/>
        <v>2295000</v>
      </c>
      <c r="H102" s="33">
        <f t="shared" si="17"/>
        <v>3667500</v>
      </c>
      <c r="I102" s="33">
        <f t="shared" si="18"/>
        <v>5040000</v>
      </c>
      <c r="J102" s="25">
        <f t="shared" si="19"/>
        <v>0.82</v>
      </c>
      <c r="K102" s="22" t="str">
        <f t="shared" si="20"/>
        <v>Within Band</v>
      </c>
      <c r="L102" s="30">
        <f t="shared" si="21"/>
        <v>1</v>
      </c>
      <c r="M102" s="26">
        <v>-6.0000000000000001E-3</v>
      </c>
      <c r="N102" s="34">
        <f t="shared" si="22"/>
        <v>2987000</v>
      </c>
      <c r="O102" s="31">
        <v>0</v>
      </c>
      <c r="P102" s="34">
        <f t="shared" si="23"/>
        <v>0</v>
      </c>
      <c r="Q102" s="22" t="s">
        <v>1700</v>
      </c>
    </row>
    <row r="103" spans="1:17" x14ac:dyDescent="0.3">
      <c r="A103" s="22" t="s">
        <v>495</v>
      </c>
      <c r="B103" t="str">
        <f t="shared" si="12"/>
        <v>Ravi Kumar</v>
      </c>
      <c r="C103" t="str">
        <f t="shared" si="13"/>
        <v>Sales</v>
      </c>
      <c r="D103" s="30" t="str">
        <f t="shared" si="14"/>
        <v>L3</v>
      </c>
      <c r="E103" s="30" t="str">
        <f t="shared" si="15"/>
        <v>Active</v>
      </c>
      <c r="F103" s="32">
        <v>1251000</v>
      </c>
      <c r="G103" s="33">
        <f t="shared" si="16"/>
        <v>850000</v>
      </c>
      <c r="H103" s="33">
        <f t="shared" si="17"/>
        <v>1445000</v>
      </c>
      <c r="I103" s="33">
        <f t="shared" si="18"/>
        <v>2040000</v>
      </c>
      <c r="J103" s="25">
        <f t="shared" si="19"/>
        <v>0.87</v>
      </c>
      <c r="K103" s="22" t="str">
        <f t="shared" si="20"/>
        <v>Within Band</v>
      </c>
      <c r="L103" s="30">
        <f t="shared" si="21"/>
        <v>4</v>
      </c>
      <c r="M103" s="26">
        <v>0.125</v>
      </c>
      <c r="N103" s="34">
        <f t="shared" si="22"/>
        <v>1407400</v>
      </c>
      <c r="O103" s="31">
        <v>0.12</v>
      </c>
      <c r="P103" s="34">
        <f t="shared" si="23"/>
        <v>150100</v>
      </c>
      <c r="Q103" s="22" t="s">
        <v>1701</v>
      </c>
    </row>
    <row r="104" spans="1:17" x14ac:dyDescent="0.3">
      <c r="A104" s="22" t="s">
        <v>498</v>
      </c>
      <c r="B104" t="str">
        <f t="shared" si="12"/>
        <v>Sowmya Verma</v>
      </c>
      <c r="C104" t="str">
        <f t="shared" si="13"/>
        <v>Finance</v>
      </c>
      <c r="D104" s="30" t="str">
        <f t="shared" si="14"/>
        <v>L4</v>
      </c>
      <c r="E104" s="30" t="str">
        <f t="shared" si="15"/>
        <v>Active</v>
      </c>
      <c r="F104" s="32">
        <v>2344000</v>
      </c>
      <c r="G104" s="33">
        <f t="shared" si="16"/>
        <v>1445000</v>
      </c>
      <c r="H104" s="33">
        <f t="shared" si="17"/>
        <v>2342500</v>
      </c>
      <c r="I104" s="33">
        <f t="shared" si="18"/>
        <v>3240000</v>
      </c>
      <c r="J104" s="25">
        <f t="shared" si="19"/>
        <v>1</v>
      </c>
      <c r="K104" s="22" t="str">
        <f t="shared" si="20"/>
        <v>Within Band</v>
      </c>
      <c r="L104" s="30">
        <f t="shared" si="21"/>
        <v>4</v>
      </c>
      <c r="M104" s="26">
        <v>0.121</v>
      </c>
      <c r="N104" s="34">
        <f t="shared" si="22"/>
        <v>2627600</v>
      </c>
      <c r="O104" s="31">
        <v>0.12</v>
      </c>
      <c r="P104" s="34">
        <f t="shared" si="23"/>
        <v>281300</v>
      </c>
      <c r="Q104" s="22" t="s">
        <v>1700</v>
      </c>
    </row>
    <row r="105" spans="1:17" x14ac:dyDescent="0.3">
      <c r="A105" s="22" t="s">
        <v>503</v>
      </c>
      <c r="B105" t="str">
        <f t="shared" si="12"/>
        <v>Arun Agarwal</v>
      </c>
      <c r="C105" t="str">
        <f t="shared" si="13"/>
        <v>Sales</v>
      </c>
      <c r="D105" s="30" t="str">
        <f t="shared" si="14"/>
        <v>L4</v>
      </c>
      <c r="E105" s="30" t="str">
        <f t="shared" si="15"/>
        <v>Active</v>
      </c>
      <c r="F105" s="32">
        <v>1718000</v>
      </c>
      <c r="G105" s="33">
        <f t="shared" si="16"/>
        <v>1445000</v>
      </c>
      <c r="H105" s="33">
        <f t="shared" si="17"/>
        <v>2342500</v>
      </c>
      <c r="I105" s="33">
        <f t="shared" si="18"/>
        <v>3240000</v>
      </c>
      <c r="J105" s="25">
        <f t="shared" si="19"/>
        <v>0.73</v>
      </c>
      <c r="K105" s="22" t="str">
        <f t="shared" si="20"/>
        <v>Within Band</v>
      </c>
      <c r="L105" s="30">
        <f t="shared" si="21"/>
        <v>3</v>
      </c>
      <c r="M105" s="26">
        <v>6.8000000000000005E-2</v>
      </c>
      <c r="N105" s="34">
        <f t="shared" si="22"/>
        <v>1834800</v>
      </c>
      <c r="O105" s="31">
        <v>0.08</v>
      </c>
      <c r="P105" s="34">
        <f t="shared" si="23"/>
        <v>137400</v>
      </c>
      <c r="Q105" s="22" t="s">
        <v>1701</v>
      </c>
    </row>
    <row r="106" spans="1:17" x14ac:dyDescent="0.3">
      <c r="A106" s="22" t="s">
        <v>506</v>
      </c>
      <c r="B106" t="str">
        <f t="shared" si="12"/>
        <v>Shreya Gowda</v>
      </c>
      <c r="C106" t="str">
        <f t="shared" si="13"/>
        <v>Engineering</v>
      </c>
      <c r="D106" s="30" t="str">
        <f t="shared" si="14"/>
        <v>L3</v>
      </c>
      <c r="E106" s="30" t="str">
        <f t="shared" si="15"/>
        <v>Active</v>
      </c>
      <c r="F106" s="32">
        <v>1834000</v>
      </c>
      <c r="G106" s="33">
        <f t="shared" si="16"/>
        <v>850000</v>
      </c>
      <c r="H106" s="33">
        <f t="shared" si="17"/>
        <v>1445000</v>
      </c>
      <c r="I106" s="33">
        <f t="shared" si="18"/>
        <v>2040000</v>
      </c>
      <c r="J106" s="25">
        <f t="shared" si="19"/>
        <v>1.27</v>
      </c>
      <c r="K106" s="22" t="str">
        <f t="shared" si="20"/>
        <v>Within Band</v>
      </c>
      <c r="L106" s="30">
        <f t="shared" si="21"/>
        <v>4</v>
      </c>
      <c r="M106" s="26">
        <v>0.13700000000000001</v>
      </c>
      <c r="N106" s="34">
        <f t="shared" si="22"/>
        <v>2085300</v>
      </c>
      <c r="O106" s="31">
        <v>0.12</v>
      </c>
      <c r="P106" s="34">
        <f t="shared" si="23"/>
        <v>220100</v>
      </c>
      <c r="Q106" s="22" t="s">
        <v>1701</v>
      </c>
    </row>
    <row r="107" spans="1:17" x14ac:dyDescent="0.3">
      <c r="A107" s="22" t="s">
        <v>182</v>
      </c>
      <c r="B107" t="str">
        <f t="shared" si="12"/>
        <v>Harsh Siddiqui</v>
      </c>
      <c r="C107" t="str">
        <f t="shared" si="13"/>
        <v>Engineering</v>
      </c>
      <c r="D107" s="30" t="str">
        <f t="shared" si="14"/>
        <v>L5</v>
      </c>
      <c r="E107" s="30" t="str">
        <f t="shared" si="15"/>
        <v>Active</v>
      </c>
      <c r="F107" s="32">
        <v>4066000</v>
      </c>
      <c r="G107" s="33">
        <f t="shared" si="16"/>
        <v>2295000</v>
      </c>
      <c r="H107" s="33">
        <f t="shared" si="17"/>
        <v>3667500</v>
      </c>
      <c r="I107" s="33">
        <f t="shared" si="18"/>
        <v>5040000</v>
      </c>
      <c r="J107" s="25">
        <f t="shared" si="19"/>
        <v>1.1100000000000001</v>
      </c>
      <c r="K107" s="22" t="str">
        <f t="shared" si="20"/>
        <v>Within Band</v>
      </c>
      <c r="L107" s="30">
        <f t="shared" si="21"/>
        <v>4</v>
      </c>
      <c r="M107" s="26">
        <v>0.13400000000000001</v>
      </c>
      <c r="N107" s="34">
        <f t="shared" si="22"/>
        <v>4610800</v>
      </c>
      <c r="O107" s="31">
        <v>0.12</v>
      </c>
      <c r="P107" s="34">
        <f t="shared" si="23"/>
        <v>487900</v>
      </c>
      <c r="Q107" s="22" t="s">
        <v>1700</v>
      </c>
    </row>
    <row r="108" spans="1:17" x14ac:dyDescent="0.3">
      <c r="A108" s="22" t="s">
        <v>510</v>
      </c>
      <c r="B108" t="str">
        <f t="shared" si="12"/>
        <v>Imran Subramanian</v>
      </c>
      <c r="C108" t="str">
        <f t="shared" si="13"/>
        <v>Product</v>
      </c>
      <c r="D108" s="30" t="str">
        <f t="shared" si="14"/>
        <v>L4</v>
      </c>
      <c r="E108" s="30" t="str">
        <f t="shared" si="15"/>
        <v>Active</v>
      </c>
      <c r="F108" s="32">
        <v>2981000</v>
      </c>
      <c r="G108" s="33">
        <f t="shared" si="16"/>
        <v>1445000</v>
      </c>
      <c r="H108" s="33">
        <f t="shared" si="17"/>
        <v>2342500</v>
      </c>
      <c r="I108" s="33">
        <f t="shared" si="18"/>
        <v>3240000</v>
      </c>
      <c r="J108" s="25">
        <f t="shared" si="19"/>
        <v>1.27</v>
      </c>
      <c r="K108" s="22" t="str">
        <f t="shared" si="20"/>
        <v>Within Band</v>
      </c>
      <c r="L108" s="30">
        <f t="shared" si="21"/>
        <v>3</v>
      </c>
      <c r="M108" s="26">
        <v>7.9000000000000001E-2</v>
      </c>
      <c r="N108" s="34">
        <f t="shared" si="22"/>
        <v>3216500</v>
      </c>
      <c r="O108" s="31">
        <v>0.08</v>
      </c>
      <c r="P108" s="34">
        <f t="shared" si="23"/>
        <v>238500</v>
      </c>
      <c r="Q108" s="22" t="s">
        <v>1701</v>
      </c>
    </row>
    <row r="109" spans="1:17" x14ac:dyDescent="0.3">
      <c r="A109" s="22" t="s">
        <v>515</v>
      </c>
      <c r="B109" t="str">
        <f t="shared" si="12"/>
        <v>Keerthi Siddiqui</v>
      </c>
      <c r="C109" t="str">
        <f t="shared" si="13"/>
        <v>Customer Support</v>
      </c>
      <c r="D109" s="30" t="str">
        <f t="shared" si="14"/>
        <v>L3</v>
      </c>
      <c r="E109" s="30" t="str">
        <f t="shared" si="15"/>
        <v>Active</v>
      </c>
      <c r="F109" s="32">
        <v>1230000</v>
      </c>
      <c r="G109" s="33">
        <f t="shared" si="16"/>
        <v>850000</v>
      </c>
      <c r="H109" s="33">
        <f t="shared" si="17"/>
        <v>1445000</v>
      </c>
      <c r="I109" s="33">
        <f t="shared" si="18"/>
        <v>2040000</v>
      </c>
      <c r="J109" s="25">
        <f t="shared" si="19"/>
        <v>0.85</v>
      </c>
      <c r="K109" s="22" t="str">
        <f t="shared" si="20"/>
        <v>Within Band</v>
      </c>
      <c r="L109" s="30">
        <f t="shared" si="21"/>
        <v>3</v>
      </c>
      <c r="M109" s="26">
        <v>9.5000000000000001E-2</v>
      </c>
      <c r="N109" s="34">
        <f t="shared" si="22"/>
        <v>1346900</v>
      </c>
      <c r="O109" s="31">
        <v>0.08</v>
      </c>
      <c r="P109" s="34">
        <f t="shared" si="23"/>
        <v>98400</v>
      </c>
      <c r="Q109" s="22" t="s">
        <v>1701</v>
      </c>
    </row>
    <row r="110" spans="1:17" x14ac:dyDescent="0.3">
      <c r="A110" s="22" t="s">
        <v>518</v>
      </c>
      <c r="B110" t="str">
        <f t="shared" si="12"/>
        <v>Nandini Choudhary</v>
      </c>
      <c r="C110" t="str">
        <f t="shared" si="13"/>
        <v>Engineering</v>
      </c>
      <c r="D110" s="30" t="str">
        <f t="shared" si="14"/>
        <v>L3</v>
      </c>
      <c r="E110" s="30" t="str">
        <f t="shared" si="15"/>
        <v>Active</v>
      </c>
      <c r="F110" s="32">
        <v>1629000</v>
      </c>
      <c r="G110" s="33">
        <f t="shared" si="16"/>
        <v>850000</v>
      </c>
      <c r="H110" s="33">
        <f t="shared" si="17"/>
        <v>1445000</v>
      </c>
      <c r="I110" s="33">
        <f t="shared" si="18"/>
        <v>2040000</v>
      </c>
      <c r="J110" s="25">
        <f t="shared" si="19"/>
        <v>1.1299999999999999</v>
      </c>
      <c r="K110" s="22" t="str">
        <f t="shared" si="20"/>
        <v>Within Band</v>
      </c>
      <c r="L110" s="30">
        <f t="shared" si="21"/>
        <v>4</v>
      </c>
      <c r="M110" s="26">
        <v>0.111</v>
      </c>
      <c r="N110" s="34">
        <f t="shared" si="22"/>
        <v>1809800</v>
      </c>
      <c r="O110" s="31">
        <v>0.12</v>
      </c>
      <c r="P110" s="34">
        <f t="shared" si="23"/>
        <v>195500</v>
      </c>
      <c r="Q110" s="22" t="s">
        <v>1701</v>
      </c>
    </row>
    <row r="111" spans="1:17" x14ac:dyDescent="0.3">
      <c r="A111" s="22" t="s">
        <v>188</v>
      </c>
      <c r="B111" t="str">
        <f t="shared" si="12"/>
        <v>Aishwarya Mukherjee</v>
      </c>
      <c r="C111" t="str">
        <f t="shared" si="13"/>
        <v>Marketing</v>
      </c>
      <c r="D111" s="30" t="str">
        <f t="shared" si="14"/>
        <v>L6</v>
      </c>
      <c r="E111" s="30" t="str">
        <f t="shared" si="15"/>
        <v>Active</v>
      </c>
      <c r="F111" s="32">
        <v>5248000</v>
      </c>
      <c r="G111" s="33">
        <f t="shared" si="16"/>
        <v>3570000</v>
      </c>
      <c r="H111" s="33">
        <f t="shared" si="17"/>
        <v>5385000</v>
      </c>
      <c r="I111" s="33">
        <f t="shared" si="18"/>
        <v>7200000</v>
      </c>
      <c r="J111" s="25">
        <f t="shared" si="19"/>
        <v>0.97</v>
      </c>
      <c r="K111" s="22" t="str">
        <f t="shared" si="20"/>
        <v>Within Band</v>
      </c>
      <c r="L111" s="30">
        <f t="shared" si="21"/>
        <v>3</v>
      </c>
      <c r="M111" s="26">
        <v>0.08</v>
      </c>
      <c r="N111" s="34">
        <f t="shared" si="22"/>
        <v>5667800</v>
      </c>
      <c r="O111" s="31">
        <v>0.08</v>
      </c>
      <c r="P111" s="34">
        <f t="shared" si="23"/>
        <v>419800</v>
      </c>
      <c r="Q111" s="22" t="s">
        <v>1700</v>
      </c>
    </row>
    <row r="112" spans="1:17" x14ac:dyDescent="0.3">
      <c r="A112" s="22" t="s">
        <v>225</v>
      </c>
      <c r="B112" t="str">
        <f t="shared" si="12"/>
        <v>Ajay Patel</v>
      </c>
      <c r="C112" t="str">
        <f t="shared" si="13"/>
        <v>Human Resources</v>
      </c>
      <c r="D112" s="30" t="str">
        <f t="shared" si="14"/>
        <v>L5</v>
      </c>
      <c r="E112" s="30" t="str">
        <f t="shared" si="15"/>
        <v>Exited</v>
      </c>
      <c r="F112" s="32">
        <v>3051000</v>
      </c>
      <c r="G112" s="33">
        <f t="shared" si="16"/>
        <v>2295000</v>
      </c>
      <c r="H112" s="33">
        <f t="shared" si="17"/>
        <v>3667500</v>
      </c>
      <c r="I112" s="33">
        <f t="shared" si="18"/>
        <v>5040000</v>
      </c>
      <c r="J112" s="25">
        <f t="shared" si="19"/>
        <v>0.83</v>
      </c>
      <c r="K112" s="22" t="str">
        <f t="shared" si="20"/>
        <v>Within Band</v>
      </c>
      <c r="L112" s="30">
        <f t="shared" si="21"/>
        <v>1</v>
      </c>
      <c r="M112" s="26">
        <v>8.0000000000000002E-3</v>
      </c>
      <c r="N112" s="34">
        <f t="shared" si="22"/>
        <v>0</v>
      </c>
      <c r="O112" s="31">
        <v>0</v>
      </c>
      <c r="P112" s="34">
        <f t="shared" si="23"/>
        <v>0</v>
      </c>
      <c r="Q112" s="22" t="s">
        <v>1700</v>
      </c>
    </row>
    <row r="113" spans="1:17" x14ac:dyDescent="0.3">
      <c r="A113" s="22" t="s">
        <v>526</v>
      </c>
      <c r="B113" t="str">
        <f t="shared" si="12"/>
        <v>Trisha Saxena</v>
      </c>
      <c r="C113" t="str">
        <f t="shared" si="13"/>
        <v>Sales</v>
      </c>
      <c r="D113" s="30" t="str">
        <f t="shared" si="14"/>
        <v>L3</v>
      </c>
      <c r="E113" s="30" t="str">
        <f t="shared" si="15"/>
        <v>Active</v>
      </c>
      <c r="F113" s="32">
        <v>1429000</v>
      </c>
      <c r="G113" s="33">
        <f t="shared" si="16"/>
        <v>850000</v>
      </c>
      <c r="H113" s="33">
        <f t="shared" si="17"/>
        <v>1445000</v>
      </c>
      <c r="I113" s="33">
        <f t="shared" si="18"/>
        <v>2040000</v>
      </c>
      <c r="J113" s="25">
        <f t="shared" si="19"/>
        <v>0.99</v>
      </c>
      <c r="K113" s="22" t="str">
        <f t="shared" si="20"/>
        <v>Within Band</v>
      </c>
      <c r="L113" s="30">
        <f t="shared" si="21"/>
        <v>2</v>
      </c>
      <c r="M113" s="26">
        <v>1.7999999999999999E-2</v>
      </c>
      <c r="N113" s="34">
        <f t="shared" si="22"/>
        <v>1454700</v>
      </c>
      <c r="O113" s="31">
        <v>0.03</v>
      </c>
      <c r="P113" s="34">
        <f t="shared" si="23"/>
        <v>42900</v>
      </c>
      <c r="Q113" s="22" t="s">
        <v>1701</v>
      </c>
    </row>
    <row r="114" spans="1:17" x14ac:dyDescent="0.3">
      <c r="A114" s="22" t="s">
        <v>529</v>
      </c>
      <c r="B114" t="str">
        <f t="shared" si="12"/>
        <v>Vikas Shah</v>
      </c>
      <c r="C114" t="str">
        <f t="shared" si="13"/>
        <v>Customer Support</v>
      </c>
      <c r="D114" s="30" t="str">
        <f t="shared" si="14"/>
        <v>L3</v>
      </c>
      <c r="E114" s="30" t="str">
        <f t="shared" si="15"/>
        <v>Active</v>
      </c>
      <c r="F114" s="32">
        <v>1161000</v>
      </c>
      <c r="G114" s="33">
        <f t="shared" si="16"/>
        <v>850000</v>
      </c>
      <c r="H114" s="33">
        <f t="shared" si="17"/>
        <v>1445000</v>
      </c>
      <c r="I114" s="33">
        <f t="shared" si="18"/>
        <v>2040000</v>
      </c>
      <c r="J114" s="25">
        <f t="shared" si="19"/>
        <v>0.8</v>
      </c>
      <c r="K114" s="22" t="str">
        <f t="shared" si="20"/>
        <v>Within Band</v>
      </c>
      <c r="L114" s="30">
        <f t="shared" si="21"/>
        <v>3</v>
      </c>
      <c r="M114" s="26">
        <v>6.7000000000000004E-2</v>
      </c>
      <c r="N114" s="34">
        <f t="shared" si="22"/>
        <v>1238800</v>
      </c>
      <c r="O114" s="31">
        <v>0.08</v>
      </c>
      <c r="P114" s="34">
        <f t="shared" si="23"/>
        <v>92900</v>
      </c>
      <c r="Q114" s="22" t="s">
        <v>1701</v>
      </c>
    </row>
    <row r="115" spans="1:17" x14ac:dyDescent="0.3">
      <c r="A115" s="22" t="s">
        <v>532</v>
      </c>
      <c r="B115" t="str">
        <f t="shared" si="12"/>
        <v>Aarav Thomas</v>
      </c>
      <c r="C115" t="str">
        <f t="shared" si="13"/>
        <v>Sales</v>
      </c>
      <c r="D115" s="30" t="str">
        <f t="shared" si="14"/>
        <v>L3</v>
      </c>
      <c r="E115" s="30" t="str">
        <f t="shared" si="15"/>
        <v>Active</v>
      </c>
      <c r="F115" s="32">
        <v>1647000</v>
      </c>
      <c r="G115" s="33">
        <f t="shared" si="16"/>
        <v>850000</v>
      </c>
      <c r="H115" s="33">
        <f t="shared" si="17"/>
        <v>1445000</v>
      </c>
      <c r="I115" s="33">
        <f t="shared" si="18"/>
        <v>2040000</v>
      </c>
      <c r="J115" s="25">
        <f t="shared" si="19"/>
        <v>1.1399999999999999</v>
      </c>
      <c r="K115" s="22" t="str">
        <f t="shared" si="20"/>
        <v>Within Band</v>
      </c>
      <c r="L115" s="30">
        <f t="shared" si="21"/>
        <v>4</v>
      </c>
      <c r="M115" s="26">
        <v>0.111</v>
      </c>
      <c r="N115" s="34">
        <f t="shared" si="22"/>
        <v>1829800</v>
      </c>
      <c r="O115" s="31">
        <v>0.12</v>
      </c>
      <c r="P115" s="34">
        <f t="shared" si="23"/>
        <v>197600</v>
      </c>
      <c r="Q115" s="22" t="s">
        <v>1701</v>
      </c>
    </row>
    <row r="116" spans="1:17" x14ac:dyDescent="0.3">
      <c r="A116" s="22" t="s">
        <v>535</v>
      </c>
      <c r="B116" t="str">
        <f t="shared" si="12"/>
        <v>Naveen Verma</v>
      </c>
      <c r="C116" t="str">
        <f t="shared" si="13"/>
        <v>Operations</v>
      </c>
      <c r="D116" s="30" t="str">
        <f t="shared" si="14"/>
        <v>L3</v>
      </c>
      <c r="E116" s="30" t="str">
        <f t="shared" si="15"/>
        <v>Active</v>
      </c>
      <c r="F116" s="32">
        <v>1471000</v>
      </c>
      <c r="G116" s="33">
        <f t="shared" si="16"/>
        <v>850000</v>
      </c>
      <c r="H116" s="33">
        <f t="shared" si="17"/>
        <v>1445000</v>
      </c>
      <c r="I116" s="33">
        <f t="shared" si="18"/>
        <v>2040000</v>
      </c>
      <c r="J116" s="25">
        <f t="shared" si="19"/>
        <v>1.02</v>
      </c>
      <c r="K116" s="22" t="str">
        <f t="shared" si="20"/>
        <v>Within Band</v>
      </c>
      <c r="L116" s="30">
        <f t="shared" si="21"/>
        <v>4</v>
      </c>
      <c r="M116" s="26">
        <v>0.124</v>
      </c>
      <c r="N116" s="34">
        <f t="shared" si="22"/>
        <v>1653400</v>
      </c>
      <c r="O116" s="31">
        <v>0.12</v>
      </c>
      <c r="P116" s="34">
        <f t="shared" si="23"/>
        <v>176500</v>
      </c>
      <c r="Q116" s="22" t="s">
        <v>1701</v>
      </c>
    </row>
    <row r="117" spans="1:17" x14ac:dyDescent="0.3">
      <c r="A117" s="22" t="s">
        <v>538</v>
      </c>
      <c r="B117" t="str">
        <f t="shared" si="12"/>
        <v>Tanvi Tiwari</v>
      </c>
      <c r="C117" t="str">
        <f t="shared" si="13"/>
        <v>Legal &amp; Compliance</v>
      </c>
      <c r="D117" s="30" t="str">
        <f t="shared" si="14"/>
        <v>L3</v>
      </c>
      <c r="E117" s="30" t="str">
        <f t="shared" si="15"/>
        <v>Active</v>
      </c>
      <c r="F117" s="32">
        <v>1509000</v>
      </c>
      <c r="G117" s="33">
        <f t="shared" si="16"/>
        <v>850000</v>
      </c>
      <c r="H117" s="33">
        <f t="shared" si="17"/>
        <v>1445000</v>
      </c>
      <c r="I117" s="33">
        <f t="shared" si="18"/>
        <v>2040000</v>
      </c>
      <c r="J117" s="25">
        <f t="shared" si="19"/>
        <v>1.04</v>
      </c>
      <c r="K117" s="22" t="str">
        <f t="shared" si="20"/>
        <v>Within Band</v>
      </c>
      <c r="L117" s="30">
        <f t="shared" si="21"/>
        <v>1</v>
      </c>
      <c r="M117" s="26">
        <v>-1.2999999999999999E-2</v>
      </c>
      <c r="N117" s="34">
        <f t="shared" si="22"/>
        <v>1489400</v>
      </c>
      <c r="O117" s="31">
        <v>0</v>
      </c>
      <c r="P117" s="34">
        <f t="shared" si="23"/>
        <v>0</v>
      </c>
      <c r="Q117" s="22" t="s">
        <v>1701</v>
      </c>
    </row>
    <row r="118" spans="1:17" x14ac:dyDescent="0.3">
      <c r="A118" s="22" t="s">
        <v>542</v>
      </c>
      <c r="B118" t="str">
        <f t="shared" si="12"/>
        <v>Sneha Saxena</v>
      </c>
      <c r="C118" t="str">
        <f t="shared" si="13"/>
        <v>Product</v>
      </c>
      <c r="D118" s="30" t="str">
        <f t="shared" si="14"/>
        <v>L2</v>
      </c>
      <c r="E118" s="30" t="str">
        <f t="shared" si="15"/>
        <v>Active</v>
      </c>
      <c r="F118" s="32">
        <v>1065000</v>
      </c>
      <c r="G118" s="33">
        <f t="shared" si="16"/>
        <v>510000</v>
      </c>
      <c r="H118" s="33">
        <f t="shared" si="17"/>
        <v>855000</v>
      </c>
      <c r="I118" s="33">
        <f t="shared" si="18"/>
        <v>1200000</v>
      </c>
      <c r="J118" s="25">
        <f t="shared" si="19"/>
        <v>1.25</v>
      </c>
      <c r="K118" s="22" t="str">
        <f t="shared" si="20"/>
        <v>Within Band</v>
      </c>
      <c r="L118" s="30">
        <f t="shared" si="21"/>
        <v>3</v>
      </c>
      <c r="M118" s="26">
        <v>9.7000000000000003E-2</v>
      </c>
      <c r="N118" s="34">
        <f t="shared" si="22"/>
        <v>1168300</v>
      </c>
      <c r="O118" s="31">
        <v>0.08</v>
      </c>
      <c r="P118" s="34">
        <f t="shared" si="23"/>
        <v>85200</v>
      </c>
      <c r="Q118" s="22" t="s">
        <v>1701</v>
      </c>
    </row>
    <row r="119" spans="1:17" x14ac:dyDescent="0.3">
      <c r="A119" s="22" t="s">
        <v>154</v>
      </c>
      <c r="B119" t="str">
        <f t="shared" si="12"/>
        <v>Amit Kumar</v>
      </c>
      <c r="C119" t="str">
        <f t="shared" si="13"/>
        <v>Operations</v>
      </c>
      <c r="D119" s="30" t="str">
        <f t="shared" si="14"/>
        <v>L5</v>
      </c>
      <c r="E119" s="30" t="str">
        <f t="shared" si="15"/>
        <v>Exited</v>
      </c>
      <c r="F119" s="32">
        <v>3592000</v>
      </c>
      <c r="G119" s="33">
        <f t="shared" si="16"/>
        <v>2295000</v>
      </c>
      <c r="H119" s="33">
        <f t="shared" si="17"/>
        <v>3667500</v>
      </c>
      <c r="I119" s="33">
        <f t="shared" si="18"/>
        <v>5040000</v>
      </c>
      <c r="J119" s="25">
        <f t="shared" si="19"/>
        <v>0.98</v>
      </c>
      <c r="K119" s="22" t="str">
        <f t="shared" si="20"/>
        <v>Within Band</v>
      </c>
      <c r="L119" s="30">
        <f t="shared" si="21"/>
        <v>3</v>
      </c>
      <c r="M119" s="26">
        <v>7.9000000000000001E-2</v>
      </c>
      <c r="N119" s="34">
        <f t="shared" si="22"/>
        <v>0</v>
      </c>
      <c r="O119" s="31">
        <v>0.08</v>
      </c>
      <c r="P119" s="34">
        <f t="shared" si="23"/>
        <v>0</v>
      </c>
      <c r="Q119" s="22" t="s">
        <v>1700</v>
      </c>
    </row>
    <row r="120" spans="1:17" x14ac:dyDescent="0.3">
      <c r="A120" s="22" t="s">
        <v>547</v>
      </c>
      <c r="B120" t="str">
        <f t="shared" si="12"/>
        <v>Pranav Banerjee</v>
      </c>
      <c r="C120" t="str">
        <f t="shared" si="13"/>
        <v>Operations</v>
      </c>
      <c r="D120" s="30" t="str">
        <f t="shared" si="14"/>
        <v>L2</v>
      </c>
      <c r="E120" s="30" t="str">
        <f t="shared" si="15"/>
        <v>Active</v>
      </c>
      <c r="F120" s="32">
        <v>754000</v>
      </c>
      <c r="G120" s="33">
        <f t="shared" si="16"/>
        <v>510000</v>
      </c>
      <c r="H120" s="33">
        <f t="shared" si="17"/>
        <v>855000</v>
      </c>
      <c r="I120" s="33">
        <f t="shared" si="18"/>
        <v>1200000</v>
      </c>
      <c r="J120" s="25">
        <f t="shared" si="19"/>
        <v>0.88</v>
      </c>
      <c r="K120" s="22" t="str">
        <f t="shared" si="20"/>
        <v>Within Band</v>
      </c>
      <c r="L120" s="30">
        <f t="shared" si="21"/>
        <v>1</v>
      </c>
      <c r="M120" s="26">
        <v>-1.0999999999999999E-2</v>
      </c>
      <c r="N120" s="34">
        <f t="shared" si="22"/>
        <v>745700</v>
      </c>
      <c r="O120" s="31">
        <v>0</v>
      </c>
      <c r="P120" s="34">
        <f t="shared" si="23"/>
        <v>0</v>
      </c>
      <c r="Q120" s="22" t="s">
        <v>1701</v>
      </c>
    </row>
    <row r="121" spans="1:17" x14ac:dyDescent="0.3">
      <c r="A121" s="22" t="s">
        <v>551</v>
      </c>
      <c r="B121" t="str">
        <f t="shared" si="12"/>
        <v>Ayesha Reddy</v>
      </c>
      <c r="C121" t="str">
        <f t="shared" si="13"/>
        <v>Data &amp; Analytics</v>
      </c>
      <c r="D121" s="30" t="str">
        <f t="shared" si="14"/>
        <v>L3</v>
      </c>
      <c r="E121" s="30" t="str">
        <f t="shared" si="15"/>
        <v>Exited</v>
      </c>
      <c r="F121" s="32">
        <v>1508000</v>
      </c>
      <c r="G121" s="33">
        <f t="shared" si="16"/>
        <v>850000</v>
      </c>
      <c r="H121" s="33">
        <f t="shared" si="17"/>
        <v>1445000</v>
      </c>
      <c r="I121" s="33">
        <f t="shared" si="18"/>
        <v>2040000</v>
      </c>
      <c r="J121" s="25">
        <f t="shared" si="19"/>
        <v>1.04</v>
      </c>
      <c r="K121" s="22" t="str">
        <f t="shared" si="20"/>
        <v>Within Band</v>
      </c>
      <c r="L121" s="30">
        <f t="shared" si="21"/>
        <v>4</v>
      </c>
      <c r="M121" s="26">
        <v>0.13100000000000001</v>
      </c>
      <c r="N121" s="34">
        <f t="shared" si="22"/>
        <v>0</v>
      </c>
      <c r="O121" s="31">
        <v>0.12</v>
      </c>
      <c r="P121" s="34">
        <f t="shared" si="23"/>
        <v>0</v>
      </c>
      <c r="Q121" s="22" t="s">
        <v>1701</v>
      </c>
    </row>
    <row r="122" spans="1:17" x14ac:dyDescent="0.3">
      <c r="A122" s="22" t="s">
        <v>554</v>
      </c>
      <c r="B122" t="str">
        <f t="shared" si="12"/>
        <v>Srinivas Kulkarni</v>
      </c>
      <c r="C122" t="str">
        <f t="shared" si="13"/>
        <v>Finance</v>
      </c>
      <c r="D122" s="30" t="str">
        <f t="shared" si="14"/>
        <v>L4</v>
      </c>
      <c r="E122" s="30" t="str">
        <f t="shared" si="15"/>
        <v>Active</v>
      </c>
      <c r="F122" s="32">
        <v>2359000</v>
      </c>
      <c r="G122" s="33">
        <f t="shared" si="16"/>
        <v>1445000</v>
      </c>
      <c r="H122" s="33">
        <f t="shared" si="17"/>
        <v>2342500</v>
      </c>
      <c r="I122" s="33">
        <f t="shared" si="18"/>
        <v>3240000</v>
      </c>
      <c r="J122" s="25">
        <f t="shared" si="19"/>
        <v>1.01</v>
      </c>
      <c r="K122" s="22" t="str">
        <f t="shared" si="20"/>
        <v>Within Band</v>
      </c>
      <c r="L122" s="30">
        <f t="shared" si="21"/>
        <v>4</v>
      </c>
      <c r="M122" s="26">
        <v>0.13200000000000001</v>
      </c>
      <c r="N122" s="34">
        <f t="shared" si="22"/>
        <v>2670400</v>
      </c>
      <c r="O122" s="31">
        <v>0.12</v>
      </c>
      <c r="P122" s="34">
        <f t="shared" si="23"/>
        <v>283100</v>
      </c>
      <c r="Q122" s="22" t="s">
        <v>1700</v>
      </c>
    </row>
    <row r="123" spans="1:17" x14ac:dyDescent="0.3">
      <c r="A123" s="22" t="s">
        <v>557</v>
      </c>
      <c r="B123" t="str">
        <f t="shared" si="12"/>
        <v>Divya Kulkarni</v>
      </c>
      <c r="C123" t="str">
        <f t="shared" si="13"/>
        <v>Customer Support</v>
      </c>
      <c r="D123" s="30" t="str">
        <f t="shared" si="14"/>
        <v>L2</v>
      </c>
      <c r="E123" s="30" t="str">
        <f t="shared" si="15"/>
        <v>Exited</v>
      </c>
      <c r="F123" s="32">
        <v>596000</v>
      </c>
      <c r="G123" s="33">
        <f t="shared" si="16"/>
        <v>510000</v>
      </c>
      <c r="H123" s="33">
        <f t="shared" si="17"/>
        <v>855000</v>
      </c>
      <c r="I123" s="33">
        <f t="shared" si="18"/>
        <v>1200000</v>
      </c>
      <c r="J123" s="25">
        <f t="shared" si="19"/>
        <v>0.7</v>
      </c>
      <c r="K123" s="22" t="str">
        <f t="shared" si="20"/>
        <v>Within Band</v>
      </c>
      <c r="L123" s="30">
        <f t="shared" si="21"/>
        <v>3</v>
      </c>
      <c r="M123" s="26">
        <v>7.0999999999999994E-2</v>
      </c>
      <c r="N123" s="34">
        <f t="shared" si="22"/>
        <v>0</v>
      </c>
      <c r="O123" s="31">
        <v>0.08</v>
      </c>
      <c r="P123" s="34">
        <f t="shared" si="23"/>
        <v>0</v>
      </c>
      <c r="Q123" s="22" t="s">
        <v>1701</v>
      </c>
    </row>
    <row r="124" spans="1:17" x14ac:dyDescent="0.3">
      <c r="A124" s="22" t="s">
        <v>561</v>
      </c>
      <c r="B124" t="str">
        <f t="shared" si="12"/>
        <v>Arjun Bansal</v>
      </c>
      <c r="C124" t="str">
        <f t="shared" si="13"/>
        <v>Operations</v>
      </c>
      <c r="D124" s="30" t="str">
        <f t="shared" si="14"/>
        <v>L2</v>
      </c>
      <c r="E124" s="30" t="str">
        <f t="shared" si="15"/>
        <v>Active</v>
      </c>
      <c r="F124" s="32">
        <v>569000</v>
      </c>
      <c r="G124" s="33">
        <f t="shared" si="16"/>
        <v>510000</v>
      </c>
      <c r="H124" s="33">
        <f t="shared" si="17"/>
        <v>855000</v>
      </c>
      <c r="I124" s="33">
        <f t="shared" si="18"/>
        <v>1200000</v>
      </c>
      <c r="J124" s="25">
        <f t="shared" si="19"/>
        <v>0.67</v>
      </c>
      <c r="K124" s="22" t="str">
        <f t="shared" si="20"/>
        <v>Within Band</v>
      </c>
      <c r="L124" s="30">
        <f t="shared" si="21"/>
        <v>1</v>
      </c>
      <c r="M124" s="26">
        <v>-1.2999999999999999E-2</v>
      </c>
      <c r="N124" s="34">
        <f t="shared" si="22"/>
        <v>561600</v>
      </c>
      <c r="O124" s="31">
        <v>0</v>
      </c>
      <c r="P124" s="34">
        <f t="shared" si="23"/>
        <v>0</v>
      </c>
      <c r="Q124" s="22" t="s">
        <v>1701</v>
      </c>
    </row>
    <row r="125" spans="1:17" x14ac:dyDescent="0.3">
      <c r="A125" s="22" t="s">
        <v>392</v>
      </c>
      <c r="B125" t="str">
        <f t="shared" si="12"/>
        <v>Vikram Joshi</v>
      </c>
      <c r="C125" t="str">
        <f t="shared" si="13"/>
        <v>Customer Support</v>
      </c>
      <c r="D125" s="30" t="str">
        <f t="shared" si="14"/>
        <v>L7</v>
      </c>
      <c r="E125" s="30" t="str">
        <f t="shared" si="15"/>
        <v>Active</v>
      </c>
      <c r="F125" s="32">
        <v>4890000</v>
      </c>
      <c r="G125" s="33">
        <f t="shared" si="16"/>
        <v>5100000</v>
      </c>
      <c r="H125" s="33">
        <f t="shared" si="17"/>
        <v>8250000</v>
      </c>
      <c r="I125" s="33">
        <f t="shared" si="18"/>
        <v>11400000</v>
      </c>
      <c r="J125" s="25">
        <f t="shared" si="19"/>
        <v>0.59</v>
      </c>
      <c r="K125" s="22" t="str">
        <f t="shared" si="20"/>
        <v>Below Band</v>
      </c>
      <c r="L125" s="30">
        <f t="shared" si="21"/>
        <v>4</v>
      </c>
      <c r="M125" s="26">
        <v>0.127</v>
      </c>
      <c r="N125" s="34">
        <f t="shared" si="22"/>
        <v>5511000</v>
      </c>
      <c r="O125" s="31">
        <v>0.12</v>
      </c>
      <c r="P125" s="34">
        <f t="shared" si="23"/>
        <v>586800</v>
      </c>
      <c r="Q125" s="22" t="s">
        <v>1700</v>
      </c>
    </row>
    <row r="126" spans="1:17" x14ac:dyDescent="0.3">
      <c r="A126" s="22" t="s">
        <v>566</v>
      </c>
      <c r="B126" t="str">
        <f t="shared" si="12"/>
        <v>Rohan Pandey</v>
      </c>
      <c r="C126" t="str">
        <f t="shared" si="13"/>
        <v>Engineering</v>
      </c>
      <c r="D126" s="30" t="str">
        <f t="shared" si="14"/>
        <v>L2</v>
      </c>
      <c r="E126" s="30" t="str">
        <f t="shared" si="15"/>
        <v>Active</v>
      </c>
      <c r="F126" s="32">
        <v>1068000</v>
      </c>
      <c r="G126" s="33">
        <f t="shared" si="16"/>
        <v>510000</v>
      </c>
      <c r="H126" s="33">
        <f t="shared" si="17"/>
        <v>855000</v>
      </c>
      <c r="I126" s="33">
        <f t="shared" si="18"/>
        <v>1200000</v>
      </c>
      <c r="J126" s="25">
        <f t="shared" si="19"/>
        <v>1.25</v>
      </c>
      <c r="K126" s="22" t="str">
        <f t="shared" si="20"/>
        <v>Within Band</v>
      </c>
      <c r="L126" s="30">
        <f t="shared" si="21"/>
        <v>3</v>
      </c>
      <c r="M126" s="26">
        <v>8.1000000000000003E-2</v>
      </c>
      <c r="N126" s="34">
        <f t="shared" si="22"/>
        <v>1154500</v>
      </c>
      <c r="O126" s="31">
        <v>0.08</v>
      </c>
      <c r="P126" s="34">
        <f t="shared" si="23"/>
        <v>85400</v>
      </c>
      <c r="Q126" s="22" t="s">
        <v>1701</v>
      </c>
    </row>
    <row r="127" spans="1:17" x14ac:dyDescent="0.3">
      <c r="A127" s="22" t="s">
        <v>570</v>
      </c>
      <c r="B127" t="str">
        <f t="shared" si="12"/>
        <v>Imran Krishnan</v>
      </c>
      <c r="C127" t="str">
        <f t="shared" si="13"/>
        <v>Operations</v>
      </c>
      <c r="D127" s="30" t="str">
        <f t="shared" si="14"/>
        <v>L2</v>
      </c>
      <c r="E127" s="30" t="str">
        <f t="shared" si="15"/>
        <v>Active</v>
      </c>
      <c r="F127" s="32">
        <v>690000</v>
      </c>
      <c r="G127" s="33">
        <f t="shared" si="16"/>
        <v>510000</v>
      </c>
      <c r="H127" s="33">
        <f t="shared" si="17"/>
        <v>855000</v>
      </c>
      <c r="I127" s="33">
        <f t="shared" si="18"/>
        <v>1200000</v>
      </c>
      <c r="J127" s="25">
        <f t="shared" si="19"/>
        <v>0.81</v>
      </c>
      <c r="K127" s="22" t="str">
        <f t="shared" si="20"/>
        <v>Within Band</v>
      </c>
      <c r="L127" s="30">
        <f t="shared" si="21"/>
        <v>5</v>
      </c>
      <c r="M127" s="26">
        <v>0.16900000000000001</v>
      </c>
      <c r="N127" s="34">
        <f t="shared" si="22"/>
        <v>806600</v>
      </c>
      <c r="O127" s="31">
        <v>0.18</v>
      </c>
      <c r="P127" s="34">
        <f t="shared" si="23"/>
        <v>124200</v>
      </c>
      <c r="Q127" s="22" t="s">
        <v>1701</v>
      </c>
    </row>
    <row r="128" spans="1:17" x14ac:dyDescent="0.3">
      <c r="A128" s="22" t="s">
        <v>573</v>
      </c>
      <c r="B128" t="str">
        <f t="shared" si="12"/>
        <v>Ayesha Raghavan</v>
      </c>
      <c r="C128" t="str">
        <f t="shared" si="13"/>
        <v>Sales</v>
      </c>
      <c r="D128" s="30" t="str">
        <f t="shared" si="14"/>
        <v>L2</v>
      </c>
      <c r="E128" s="30" t="str">
        <f t="shared" si="15"/>
        <v>Active</v>
      </c>
      <c r="F128" s="32">
        <v>689000</v>
      </c>
      <c r="G128" s="33">
        <f t="shared" si="16"/>
        <v>510000</v>
      </c>
      <c r="H128" s="33">
        <f t="shared" si="17"/>
        <v>855000</v>
      </c>
      <c r="I128" s="33">
        <f t="shared" si="18"/>
        <v>1200000</v>
      </c>
      <c r="J128" s="25">
        <f t="shared" si="19"/>
        <v>0.81</v>
      </c>
      <c r="K128" s="22" t="str">
        <f t="shared" si="20"/>
        <v>Within Band</v>
      </c>
      <c r="L128" s="30">
        <f t="shared" si="21"/>
        <v>4</v>
      </c>
      <c r="M128" s="26">
        <v>0.106</v>
      </c>
      <c r="N128" s="34">
        <f t="shared" si="22"/>
        <v>762000</v>
      </c>
      <c r="O128" s="31">
        <v>0.12</v>
      </c>
      <c r="P128" s="34">
        <f t="shared" si="23"/>
        <v>82700</v>
      </c>
      <c r="Q128" s="22" t="s">
        <v>1701</v>
      </c>
    </row>
    <row r="129" spans="1:17" x14ac:dyDescent="0.3">
      <c r="A129" s="22" t="s">
        <v>577</v>
      </c>
      <c r="B129" t="str">
        <f t="shared" si="12"/>
        <v>Abhishek Das</v>
      </c>
      <c r="C129" t="str">
        <f t="shared" si="13"/>
        <v>Operations</v>
      </c>
      <c r="D129" s="30" t="str">
        <f t="shared" si="14"/>
        <v>L2</v>
      </c>
      <c r="E129" s="30" t="str">
        <f t="shared" si="15"/>
        <v>Active</v>
      </c>
      <c r="F129" s="32">
        <v>601000</v>
      </c>
      <c r="G129" s="33">
        <f t="shared" si="16"/>
        <v>510000</v>
      </c>
      <c r="H129" s="33">
        <f t="shared" si="17"/>
        <v>855000</v>
      </c>
      <c r="I129" s="33">
        <f t="shared" si="18"/>
        <v>1200000</v>
      </c>
      <c r="J129" s="25">
        <f t="shared" si="19"/>
        <v>0.7</v>
      </c>
      <c r="K129" s="22" t="str">
        <f t="shared" si="20"/>
        <v>Within Band</v>
      </c>
      <c r="L129" s="30">
        <f t="shared" si="21"/>
        <v>2</v>
      </c>
      <c r="M129" s="26">
        <v>0.04</v>
      </c>
      <c r="N129" s="34">
        <f t="shared" si="22"/>
        <v>625000</v>
      </c>
      <c r="O129" s="31">
        <v>0.03</v>
      </c>
      <c r="P129" s="34">
        <f t="shared" si="23"/>
        <v>18000</v>
      </c>
      <c r="Q129" s="22" t="s">
        <v>1701</v>
      </c>
    </row>
    <row r="130" spans="1:17" x14ac:dyDescent="0.3">
      <c r="A130" s="22" t="s">
        <v>401</v>
      </c>
      <c r="B130" t="str">
        <f t="shared" ref="B130:B193" si="24">INDEX(M_Name,MATCH($A130,M_ID,0))</f>
        <v>Madhuri Menon</v>
      </c>
      <c r="C130" t="str">
        <f t="shared" ref="C130:C193" si="25">INDEX(M_Dept,MATCH($A130,M_ID,0))</f>
        <v>Engineering</v>
      </c>
      <c r="D130" s="30" t="str">
        <f t="shared" ref="D130:D193" si="26">INDEX(M_Level,MATCH($A130,M_ID,0))</f>
        <v>L5</v>
      </c>
      <c r="E130" s="30" t="str">
        <f t="shared" ref="E130:E193" si="27">INDEX(M_Status,MATCH($A130,M_ID,0))</f>
        <v>Active</v>
      </c>
      <c r="F130" s="32">
        <v>3565000</v>
      </c>
      <c r="G130" s="33">
        <f t="shared" ref="G130:G193" si="28">INDEX(BandMin,MATCH(D130,BandLevels,0))</f>
        <v>2295000</v>
      </c>
      <c r="H130" s="33">
        <f t="shared" ref="H130:H193" si="29">INDEX(BandMid,MATCH(D130,BandLevels,0))</f>
        <v>3667500</v>
      </c>
      <c r="I130" s="33">
        <f t="shared" ref="I130:I193" si="30">INDEX(BandMax,MATCH(D130,BandLevels,0))</f>
        <v>5040000</v>
      </c>
      <c r="J130" s="25">
        <f t="shared" ref="J130:J193" si="31">ROUND(F130/H130,2)</f>
        <v>0.97</v>
      </c>
      <c r="K130" s="22" t="str">
        <f t="shared" ref="K130:K193" si="32">IF(F130&lt;G130,"Below Band",IF(F130&gt;I130,"Above Band","Within Band"))</f>
        <v>Within Band</v>
      </c>
      <c r="L130" s="30">
        <f t="shared" ref="L130:L193" si="33">INDEX(P_Rating,MATCH($A130,M_ID,0))</f>
        <v>3</v>
      </c>
      <c r="M130" s="26">
        <v>8.7999999999999995E-2</v>
      </c>
      <c r="N130" s="34">
        <f t="shared" ref="N130:N193" si="34">IF(E130="Exited",0,ROUND(F130*(1+M130),-2))</f>
        <v>3878700</v>
      </c>
      <c r="O130" s="31">
        <v>0.08</v>
      </c>
      <c r="P130" s="34">
        <f t="shared" ref="P130:P193" si="35">IF(E130="Exited",0,ROUND(F130*O130,-2))</f>
        <v>285200</v>
      </c>
      <c r="Q130" s="22" t="s">
        <v>1700</v>
      </c>
    </row>
    <row r="131" spans="1:17" x14ac:dyDescent="0.3">
      <c r="A131" s="22" t="s">
        <v>237</v>
      </c>
      <c r="B131" t="str">
        <f t="shared" si="24"/>
        <v>Yash Raghavan</v>
      </c>
      <c r="C131" t="str">
        <f t="shared" si="25"/>
        <v>Sales</v>
      </c>
      <c r="D131" s="30" t="str">
        <f t="shared" si="26"/>
        <v>L5</v>
      </c>
      <c r="E131" s="30" t="str">
        <f t="shared" si="27"/>
        <v>Active</v>
      </c>
      <c r="F131" s="32">
        <v>3162000</v>
      </c>
      <c r="G131" s="33">
        <f t="shared" si="28"/>
        <v>2295000</v>
      </c>
      <c r="H131" s="33">
        <f t="shared" si="29"/>
        <v>3667500</v>
      </c>
      <c r="I131" s="33">
        <f t="shared" si="30"/>
        <v>5040000</v>
      </c>
      <c r="J131" s="25">
        <f t="shared" si="31"/>
        <v>0.86</v>
      </c>
      <c r="K131" s="22" t="str">
        <f t="shared" si="32"/>
        <v>Within Band</v>
      </c>
      <c r="L131" s="30">
        <f t="shared" si="33"/>
        <v>1</v>
      </c>
      <c r="M131" s="26">
        <v>1E-3</v>
      </c>
      <c r="N131" s="34">
        <f t="shared" si="34"/>
        <v>3165200</v>
      </c>
      <c r="O131" s="31">
        <v>0</v>
      </c>
      <c r="P131" s="34">
        <f t="shared" si="35"/>
        <v>0</v>
      </c>
      <c r="Q131" s="22" t="s">
        <v>1700</v>
      </c>
    </row>
    <row r="132" spans="1:17" x14ac:dyDescent="0.3">
      <c r="A132" s="22" t="s">
        <v>582</v>
      </c>
      <c r="B132" t="str">
        <f t="shared" si="24"/>
        <v>Vidya Saxena</v>
      </c>
      <c r="C132" t="str">
        <f t="shared" si="25"/>
        <v>Engineering</v>
      </c>
      <c r="D132" s="30" t="str">
        <f t="shared" si="26"/>
        <v>L2</v>
      </c>
      <c r="E132" s="30" t="str">
        <f t="shared" si="27"/>
        <v>Active</v>
      </c>
      <c r="F132" s="32">
        <v>777000</v>
      </c>
      <c r="G132" s="33">
        <f t="shared" si="28"/>
        <v>510000</v>
      </c>
      <c r="H132" s="33">
        <f t="shared" si="29"/>
        <v>855000</v>
      </c>
      <c r="I132" s="33">
        <f t="shared" si="30"/>
        <v>1200000</v>
      </c>
      <c r="J132" s="25">
        <f t="shared" si="31"/>
        <v>0.91</v>
      </c>
      <c r="K132" s="22" t="str">
        <f t="shared" si="32"/>
        <v>Within Band</v>
      </c>
      <c r="L132" s="30">
        <f t="shared" si="33"/>
        <v>3</v>
      </c>
      <c r="M132" s="26">
        <v>8.7999999999999995E-2</v>
      </c>
      <c r="N132" s="34">
        <f t="shared" si="34"/>
        <v>845400</v>
      </c>
      <c r="O132" s="31">
        <v>0.08</v>
      </c>
      <c r="P132" s="34">
        <f t="shared" si="35"/>
        <v>62200</v>
      </c>
      <c r="Q132" s="22" t="s">
        <v>1701</v>
      </c>
    </row>
    <row r="133" spans="1:17" x14ac:dyDescent="0.3">
      <c r="A133" s="22" t="s">
        <v>585</v>
      </c>
      <c r="B133" t="str">
        <f t="shared" si="24"/>
        <v>Ramya Mukherjee</v>
      </c>
      <c r="C133" t="str">
        <f t="shared" si="25"/>
        <v>Engineering</v>
      </c>
      <c r="D133" s="30" t="str">
        <f t="shared" si="26"/>
        <v>L3</v>
      </c>
      <c r="E133" s="30" t="str">
        <f t="shared" si="27"/>
        <v>Active</v>
      </c>
      <c r="F133" s="32">
        <v>1787000</v>
      </c>
      <c r="G133" s="33">
        <f t="shared" si="28"/>
        <v>850000</v>
      </c>
      <c r="H133" s="33">
        <f t="shared" si="29"/>
        <v>1445000</v>
      </c>
      <c r="I133" s="33">
        <f t="shared" si="30"/>
        <v>2040000</v>
      </c>
      <c r="J133" s="25">
        <f t="shared" si="31"/>
        <v>1.24</v>
      </c>
      <c r="K133" s="22" t="str">
        <f t="shared" si="32"/>
        <v>Within Band</v>
      </c>
      <c r="L133" s="30">
        <f t="shared" si="33"/>
        <v>2</v>
      </c>
      <c r="M133" s="26">
        <v>0.03</v>
      </c>
      <c r="N133" s="34">
        <f t="shared" si="34"/>
        <v>1840600</v>
      </c>
      <c r="O133" s="31">
        <v>0.03</v>
      </c>
      <c r="P133" s="34">
        <f t="shared" si="35"/>
        <v>53600</v>
      </c>
      <c r="Q133" s="22" t="s">
        <v>1701</v>
      </c>
    </row>
    <row r="134" spans="1:17" x14ac:dyDescent="0.3">
      <c r="A134" s="22" t="s">
        <v>588</v>
      </c>
      <c r="B134" t="str">
        <f t="shared" si="24"/>
        <v>Meera Naidu</v>
      </c>
      <c r="C134" t="str">
        <f t="shared" si="25"/>
        <v>Customer Support</v>
      </c>
      <c r="D134" s="30" t="str">
        <f t="shared" si="26"/>
        <v>L2</v>
      </c>
      <c r="E134" s="30" t="str">
        <f t="shared" si="27"/>
        <v>Active</v>
      </c>
      <c r="F134" s="32">
        <v>615000</v>
      </c>
      <c r="G134" s="33">
        <f t="shared" si="28"/>
        <v>510000</v>
      </c>
      <c r="H134" s="33">
        <f t="shared" si="29"/>
        <v>855000</v>
      </c>
      <c r="I134" s="33">
        <f t="shared" si="30"/>
        <v>1200000</v>
      </c>
      <c r="J134" s="25">
        <f t="shared" si="31"/>
        <v>0.72</v>
      </c>
      <c r="K134" s="22" t="str">
        <f t="shared" si="32"/>
        <v>Within Band</v>
      </c>
      <c r="L134" s="30">
        <f t="shared" si="33"/>
        <v>3</v>
      </c>
      <c r="M134" s="26">
        <v>7.4999999999999997E-2</v>
      </c>
      <c r="N134" s="34">
        <f t="shared" si="34"/>
        <v>661100</v>
      </c>
      <c r="O134" s="31">
        <v>0.08</v>
      </c>
      <c r="P134" s="34">
        <f t="shared" si="35"/>
        <v>49200</v>
      </c>
      <c r="Q134" s="22" t="s">
        <v>1701</v>
      </c>
    </row>
    <row r="135" spans="1:17" x14ac:dyDescent="0.3">
      <c r="A135" s="22" t="s">
        <v>591</v>
      </c>
      <c r="B135" t="str">
        <f t="shared" si="24"/>
        <v>Krishna Shah</v>
      </c>
      <c r="C135" t="str">
        <f t="shared" si="25"/>
        <v>Human Resources</v>
      </c>
      <c r="D135" s="30" t="str">
        <f t="shared" si="26"/>
        <v>L3</v>
      </c>
      <c r="E135" s="30" t="str">
        <f t="shared" si="27"/>
        <v>Active</v>
      </c>
      <c r="F135" s="32">
        <v>1131000</v>
      </c>
      <c r="G135" s="33">
        <f t="shared" si="28"/>
        <v>850000</v>
      </c>
      <c r="H135" s="33">
        <f t="shared" si="29"/>
        <v>1445000</v>
      </c>
      <c r="I135" s="33">
        <f t="shared" si="30"/>
        <v>2040000</v>
      </c>
      <c r="J135" s="25">
        <f t="shared" si="31"/>
        <v>0.78</v>
      </c>
      <c r="K135" s="22" t="str">
        <f t="shared" si="32"/>
        <v>Within Band</v>
      </c>
      <c r="L135" s="30">
        <f t="shared" si="33"/>
        <v>4</v>
      </c>
      <c r="M135" s="26">
        <v>0.13400000000000001</v>
      </c>
      <c r="N135" s="34">
        <f t="shared" si="34"/>
        <v>1282600</v>
      </c>
      <c r="O135" s="31">
        <v>0.12</v>
      </c>
      <c r="P135" s="34">
        <f t="shared" si="35"/>
        <v>135700</v>
      </c>
      <c r="Q135" s="22" t="s">
        <v>1701</v>
      </c>
    </row>
    <row r="136" spans="1:17" x14ac:dyDescent="0.3">
      <c r="A136" s="22" t="s">
        <v>594</v>
      </c>
      <c r="B136" t="str">
        <f t="shared" si="24"/>
        <v>Neha Kamath</v>
      </c>
      <c r="C136" t="str">
        <f t="shared" si="25"/>
        <v>Operations</v>
      </c>
      <c r="D136" s="30" t="str">
        <f t="shared" si="26"/>
        <v>L2</v>
      </c>
      <c r="E136" s="30" t="str">
        <f t="shared" si="27"/>
        <v>Active</v>
      </c>
      <c r="F136" s="32">
        <v>767000</v>
      </c>
      <c r="G136" s="33">
        <f t="shared" si="28"/>
        <v>510000</v>
      </c>
      <c r="H136" s="33">
        <f t="shared" si="29"/>
        <v>855000</v>
      </c>
      <c r="I136" s="33">
        <f t="shared" si="30"/>
        <v>1200000</v>
      </c>
      <c r="J136" s="25">
        <f t="shared" si="31"/>
        <v>0.9</v>
      </c>
      <c r="K136" s="22" t="str">
        <f t="shared" si="32"/>
        <v>Within Band</v>
      </c>
      <c r="L136" s="30">
        <f t="shared" si="33"/>
        <v>4</v>
      </c>
      <c r="M136" s="26">
        <v>0.111</v>
      </c>
      <c r="N136" s="34">
        <f t="shared" si="34"/>
        <v>852100</v>
      </c>
      <c r="O136" s="31">
        <v>0.12</v>
      </c>
      <c r="P136" s="34">
        <f t="shared" si="35"/>
        <v>92000</v>
      </c>
      <c r="Q136" s="22" t="s">
        <v>1701</v>
      </c>
    </row>
    <row r="137" spans="1:17" x14ac:dyDescent="0.3">
      <c r="A137" s="22" t="s">
        <v>597</v>
      </c>
      <c r="B137" t="str">
        <f t="shared" si="24"/>
        <v>Lakshmi Iyer</v>
      </c>
      <c r="C137" t="str">
        <f t="shared" si="25"/>
        <v>Operations</v>
      </c>
      <c r="D137" s="30" t="str">
        <f t="shared" si="26"/>
        <v>L3</v>
      </c>
      <c r="E137" s="30" t="str">
        <f t="shared" si="27"/>
        <v>Active</v>
      </c>
      <c r="F137" s="32">
        <v>961000</v>
      </c>
      <c r="G137" s="33">
        <f t="shared" si="28"/>
        <v>850000</v>
      </c>
      <c r="H137" s="33">
        <f t="shared" si="29"/>
        <v>1445000</v>
      </c>
      <c r="I137" s="33">
        <f t="shared" si="30"/>
        <v>2040000</v>
      </c>
      <c r="J137" s="25">
        <f t="shared" si="31"/>
        <v>0.67</v>
      </c>
      <c r="K137" s="22" t="str">
        <f t="shared" si="32"/>
        <v>Within Band</v>
      </c>
      <c r="L137" s="30">
        <f t="shared" si="33"/>
        <v>3</v>
      </c>
      <c r="M137" s="26">
        <v>9.0999999999999998E-2</v>
      </c>
      <c r="N137" s="34">
        <f t="shared" si="34"/>
        <v>1048500</v>
      </c>
      <c r="O137" s="31">
        <v>0.08</v>
      </c>
      <c r="P137" s="34">
        <f t="shared" si="35"/>
        <v>76900</v>
      </c>
      <c r="Q137" s="22" t="s">
        <v>1701</v>
      </c>
    </row>
    <row r="138" spans="1:17" x14ac:dyDescent="0.3">
      <c r="A138" s="22" t="s">
        <v>600</v>
      </c>
      <c r="B138" t="str">
        <f t="shared" si="24"/>
        <v>Aarav Choudhary</v>
      </c>
      <c r="C138" t="str">
        <f t="shared" si="25"/>
        <v>Data &amp; Analytics</v>
      </c>
      <c r="D138" s="30" t="str">
        <f t="shared" si="26"/>
        <v>L3</v>
      </c>
      <c r="E138" s="30" t="str">
        <f t="shared" si="27"/>
        <v>Exited</v>
      </c>
      <c r="F138" s="32">
        <v>1302000</v>
      </c>
      <c r="G138" s="33">
        <f t="shared" si="28"/>
        <v>850000</v>
      </c>
      <c r="H138" s="33">
        <f t="shared" si="29"/>
        <v>1445000</v>
      </c>
      <c r="I138" s="33">
        <f t="shared" si="30"/>
        <v>2040000</v>
      </c>
      <c r="J138" s="25">
        <f t="shared" si="31"/>
        <v>0.9</v>
      </c>
      <c r="K138" s="22" t="str">
        <f t="shared" si="32"/>
        <v>Within Band</v>
      </c>
      <c r="L138" s="30">
        <f t="shared" si="33"/>
        <v>3</v>
      </c>
      <c r="M138" s="26">
        <v>8.7999999999999995E-2</v>
      </c>
      <c r="N138" s="34">
        <f t="shared" si="34"/>
        <v>0</v>
      </c>
      <c r="O138" s="31">
        <v>0.08</v>
      </c>
      <c r="P138" s="34">
        <f t="shared" si="35"/>
        <v>0</v>
      </c>
      <c r="Q138" s="22" t="s">
        <v>1701</v>
      </c>
    </row>
    <row r="139" spans="1:17" x14ac:dyDescent="0.3">
      <c r="A139" s="22" t="s">
        <v>603</v>
      </c>
      <c r="B139" t="str">
        <f t="shared" si="24"/>
        <v>Ananya Banerjee</v>
      </c>
      <c r="C139" t="str">
        <f t="shared" si="25"/>
        <v>Engineering</v>
      </c>
      <c r="D139" s="30" t="str">
        <f t="shared" si="26"/>
        <v>L3</v>
      </c>
      <c r="E139" s="30" t="str">
        <f t="shared" si="27"/>
        <v>Exited</v>
      </c>
      <c r="F139" s="32">
        <v>1165000</v>
      </c>
      <c r="G139" s="33">
        <f t="shared" si="28"/>
        <v>850000</v>
      </c>
      <c r="H139" s="33">
        <f t="shared" si="29"/>
        <v>1445000</v>
      </c>
      <c r="I139" s="33">
        <f t="shared" si="30"/>
        <v>2040000</v>
      </c>
      <c r="J139" s="25">
        <f t="shared" si="31"/>
        <v>0.81</v>
      </c>
      <c r="K139" s="22" t="str">
        <f t="shared" si="32"/>
        <v>Within Band</v>
      </c>
      <c r="L139" s="30">
        <f t="shared" si="33"/>
        <v>1</v>
      </c>
      <c r="M139" s="26">
        <v>-5.0000000000000001E-3</v>
      </c>
      <c r="N139" s="34">
        <f t="shared" si="34"/>
        <v>0</v>
      </c>
      <c r="O139" s="31">
        <v>0</v>
      </c>
      <c r="P139" s="34">
        <f t="shared" si="35"/>
        <v>0</v>
      </c>
      <c r="Q139" s="22" t="s">
        <v>1701</v>
      </c>
    </row>
    <row r="140" spans="1:17" x14ac:dyDescent="0.3">
      <c r="A140" s="22" t="s">
        <v>606</v>
      </c>
      <c r="B140" t="str">
        <f t="shared" si="24"/>
        <v>Prakash Kamath</v>
      </c>
      <c r="C140" t="str">
        <f t="shared" si="25"/>
        <v>Operations</v>
      </c>
      <c r="D140" s="30" t="str">
        <f t="shared" si="26"/>
        <v>L4</v>
      </c>
      <c r="E140" s="30" t="str">
        <f t="shared" si="27"/>
        <v>Active</v>
      </c>
      <c r="F140" s="32">
        <v>1892000</v>
      </c>
      <c r="G140" s="33">
        <f t="shared" si="28"/>
        <v>1445000</v>
      </c>
      <c r="H140" s="33">
        <f t="shared" si="29"/>
        <v>2342500</v>
      </c>
      <c r="I140" s="33">
        <f t="shared" si="30"/>
        <v>3240000</v>
      </c>
      <c r="J140" s="25">
        <f t="shared" si="31"/>
        <v>0.81</v>
      </c>
      <c r="K140" s="22" t="str">
        <f t="shared" si="32"/>
        <v>Within Band</v>
      </c>
      <c r="L140" s="30">
        <f t="shared" si="33"/>
        <v>3</v>
      </c>
      <c r="M140" s="26">
        <v>7.0999999999999994E-2</v>
      </c>
      <c r="N140" s="34">
        <f t="shared" si="34"/>
        <v>2026300</v>
      </c>
      <c r="O140" s="31">
        <v>0.08</v>
      </c>
      <c r="P140" s="34">
        <f t="shared" si="35"/>
        <v>151400</v>
      </c>
      <c r="Q140" s="22" t="s">
        <v>1701</v>
      </c>
    </row>
    <row r="141" spans="1:17" x14ac:dyDescent="0.3">
      <c r="A141" s="22" t="s">
        <v>609</v>
      </c>
      <c r="B141" t="str">
        <f t="shared" si="24"/>
        <v>Anusha Jain</v>
      </c>
      <c r="C141" t="str">
        <f t="shared" si="25"/>
        <v>Engineering</v>
      </c>
      <c r="D141" s="30" t="str">
        <f t="shared" si="26"/>
        <v>L3</v>
      </c>
      <c r="E141" s="30" t="str">
        <f t="shared" si="27"/>
        <v>Active</v>
      </c>
      <c r="F141" s="32">
        <v>1894000</v>
      </c>
      <c r="G141" s="33">
        <f t="shared" si="28"/>
        <v>850000</v>
      </c>
      <c r="H141" s="33">
        <f t="shared" si="29"/>
        <v>1445000</v>
      </c>
      <c r="I141" s="33">
        <f t="shared" si="30"/>
        <v>2040000</v>
      </c>
      <c r="J141" s="25">
        <f t="shared" si="31"/>
        <v>1.31</v>
      </c>
      <c r="K141" s="22" t="str">
        <f t="shared" si="32"/>
        <v>Within Band</v>
      </c>
      <c r="L141" s="30">
        <f t="shared" si="33"/>
        <v>4</v>
      </c>
      <c r="M141" s="26">
        <v>0.13600000000000001</v>
      </c>
      <c r="N141" s="34">
        <f t="shared" si="34"/>
        <v>2151600</v>
      </c>
      <c r="O141" s="31">
        <v>0.12</v>
      </c>
      <c r="P141" s="34">
        <f t="shared" si="35"/>
        <v>227300</v>
      </c>
      <c r="Q141" s="22" t="s">
        <v>1701</v>
      </c>
    </row>
    <row r="142" spans="1:17" x14ac:dyDescent="0.3">
      <c r="A142" s="22" t="s">
        <v>612</v>
      </c>
      <c r="B142" t="str">
        <f t="shared" si="24"/>
        <v>Abhishek Banerjee</v>
      </c>
      <c r="C142" t="str">
        <f t="shared" si="25"/>
        <v>Operations</v>
      </c>
      <c r="D142" s="30" t="str">
        <f t="shared" si="26"/>
        <v>L2</v>
      </c>
      <c r="E142" s="30" t="str">
        <f t="shared" si="27"/>
        <v>Active</v>
      </c>
      <c r="F142" s="32">
        <v>739000</v>
      </c>
      <c r="G142" s="33">
        <f t="shared" si="28"/>
        <v>510000</v>
      </c>
      <c r="H142" s="33">
        <f t="shared" si="29"/>
        <v>855000</v>
      </c>
      <c r="I142" s="33">
        <f t="shared" si="30"/>
        <v>1200000</v>
      </c>
      <c r="J142" s="25">
        <f t="shared" si="31"/>
        <v>0.86</v>
      </c>
      <c r="K142" s="22" t="str">
        <f t="shared" si="32"/>
        <v>Within Band</v>
      </c>
      <c r="L142" s="30">
        <f t="shared" si="33"/>
        <v>4</v>
      </c>
      <c r="M142" s="26">
        <v>0.12</v>
      </c>
      <c r="N142" s="34">
        <f t="shared" si="34"/>
        <v>827700</v>
      </c>
      <c r="O142" s="31">
        <v>0.12</v>
      </c>
      <c r="P142" s="34">
        <f t="shared" si="35"/>
        <v>88700</v>
      </c>
      <c r="Q142" s="22" t="s">
        <v>1701</v>
      </c>
    </row>
    <row r="143" spans="1:17" x14ac:dyDescent="0.3">
      <c r="A143" s="22" t="s">
        <v>615</v>
      </c>
      <c r="B143" t="str">
        <f t="shared" si="24"/>
        <v>Nisha Naidu</v>
      </c>
      <c r="C143" t="str">
        <f t="shared" si="25"/>
        <v>Sales</v>
      </c>
      <c r="D143" s="30" t="str">
        <f t="shared" si="26"/>
        <v>L2</v>
      </c>
      <c r="E143" s="30" t="str">
        <f t="shared" si="27"/>
        <v>Active</v>
      </c>
      <c r="F143" s="32">
        <v>629000</v>
      </c>
      <c r="G143" s="33">
        <f t="shared" si="28"/>
        <v>510000</v>
      </c>
      <c r="H143" s="33">
        <f t="shared" si="29"/>
        <v>855000</v>
      </c>
      <c r="I143" s="33">
        <f t="shared" si="30"/>
        <v>1200000</v>
      </c>
      <c r="J143" s="25">
        <f t="shared" si="31"/>
        <v>0.74</v>
      </c>
      <c r="K143" s="22" t="str">
        <f t="shared" si="32"/>
        <v>Within Band</v>
      </c>
      <c r="L143" s="30">
        <f t="shared" si="33"/>
        <v>4</v>
      </c>
      <c r="M143" s="26">
        <v>0.127</v>
      </c>
      <c r="N143" s="34">
        <f t="shared" si="34"/>
        <v>708900</v>
      </c>
      <c r="O143" s="31">
        <v>0.12</v>
      </c>
      <c r="P143" s="34">
        <f t="shared" si="35"/>
        <v>75500</v>
      </c>
      <c r="Q143" s="22" t="s">
        <v>1701</v>
      </c>
    </row>
    <row r="144" spans="1:17" x14ac:dyDescent="0.3">
      <c r="A144" s="22" t="s">
        <v>618</v>
      </c>
      <c r="B144" t="str">
        <f t="shared" si="24"/>
        <v>Tejaswini Naidu</v>
      </c>
      <c r="C144" t="str">
        <f t="shared" si="25"/>
        <v>Operations</v>
      </c>
      <c r="D144" s="30" t="str">
        <f t="shared" si="26"/>
        <v>L7</v>
      </c>
      <c r="E144" s="30" t="str">
        <f t="shared" si="27"/>
        <v>Active</v>
      </c>
      <c r="F144" s="32">
        <v>7321000</v>
      </c>
      <c r="G144" s="33">
        <f t="shared" si="28"/>
        <v>5100000</v>
      </c>
      <c r="H144" s="33">
        <f t="shared" si="29"/>
        <v>8250000</v>
      </c>
      <c r="I144" s="33">
        <f t="shared" si="30"/>
        <v>11400000</v>
      </c>
      <c r="J144" s="25">
        <f t="shared" si="31"/>
        <v>0.89</v>
      </c>
      <c r="K144" s="22" t="str">
        <f t="shared" si="32"/>
        <v>Within Band</v>
      </c>
      <c r="L144" s="30">
        <f t="shared" si="33"/>
        <v>5</v>
      </c>
      <c r="M144" s="26">
        <v>0.17799999999999999</v>
      </c>
      <c r="N144" s="34">
        <f t="shared" si="34"/>
        <v>8624100</v>
      </c>
      <c r="O144" s="31">
        <v>0.18</v>
      </c>
      <c r="P144" s="34">
        <f t="shared" si="35"/>
        <v>1317800</v>
      </c>
      <c r="Q144" s="22" t="s">
        <v>1700</v>
      </c>
    </row>
    <row r="145" spans="1:17" x14ac:dyDescent="0.3">
      <c r="A145" s="22" t="s">
        <v>622</v>
      </c>
      <c r="B145" t="str">
        <f t="shared" si="24"/>
        <v>Nandini Bansal</v>
      </c>
      <c r="C145" t="str">
        <f t="shared" si="25"/>
        <v>Marketing</v>
      </c>
      <c r="D145" s="30" t="str">
        <f t="shared" si="26"/>
        <v>L2</v>
      </c>
      <c r="E145" s="30" t="str">
        <f t="shared" si="27"/>
        <v>Active</v>
      </c>
      <c r="F145" s="32">
        <v>829000</v>
      </c>
      <c r="G145" s="33">
        <f t="shared" si="28"/>
        <v>510000</v>
      </c>
      <c r="H145" s="33">
        <f t="shared" si="29"/>
        <v>855000</v>
      </c>
      <c r="I145" s="33">
        <f t="shared" si="30"/>
        <v>1200000</v>
      </c>
      <c r="J145" s="25">
        <f t="shared" si="31"/>
        <v>0.97</v>
      </c>
      <c r="K145" s="22" t="str">
        <f t="shared" si="32"/>
        <v>Within Band</v>
      </c>
      <c r="L145" s="30">
        <f t="shared" si="33"/>
        <v>2</v>
      </c>
      <c r="M145" s="26">
        <v>1.9E-2</v>
      </c>
      <c r="N145" s="34">
        <f t="shared" si="34"/>
        <v>844800</v>
      </c>
      <c r="O145" s="31">
        <v>0.03</v>
      </c>
      <c r="P145" s="34">
        <f t="shared" si="35"/>
        <v>24900</v>
      </c>
      <c r="Q145" s="22" t="s">
        <v>1701</v>
      </c>
    </row>
    <row r="146" spans="1:17" x14ac:dyDescent="0.3">
      <c r="A146" s="22" t="s">
        <v>626</v>
      </c>
      <c r="B146" t="str">
        <f t="shared" si="24"/>
        <v>Srinivas Bansal</v>
      </c>
      <c r="C146" t="str">
        <f t="shared" si="25"/>
        <v>Sales</v>
      </c>
      <c r="D146" s="30" t="str">
        <f t="shared" si="26"/>
        <v>L2</v>
      </c>
      <c r="E146" s="30" t="str">
        <f t="shared" si="27"/>
        <v>Active</v>
      </c>
      <c r="F146" s="32">
        <v>866000</v>
      </c>
      <c r="G146" s="33">
        <f t="shared" si="28"/>
        <v>510000</v>
      </c>
      <c r="H146" s="33">
        <f t="shared" si="29"/>
        <v>855000</v>
      </c>
      <c r="I146" s="33">
        <f t="shared" si="30"/>
        <v>1200000</v>
      </c>
      <c r="J146" s="25">
        <f t="shared" si="31"/>
        <v>1.01</v>
      </c>
      <c r="K146" s="22" t="str">
        <f t="shared" si="32"/>
        <v>Within Band</v>
      </c>
      <c r="L146" s="30">
        <f t="shared" si="33"/>
        <v>3</v>
      </c>
      <c r="M146" s="26">
        <v>8.1000000000000003E-2</v>
      </c>
      <c r="N146" s="34">
        <f t="shared" si="34"/>
        <v>936100</v>
      </c>
      <c r="O146" s="31">
        <v>0.08</v>
      </c>
      <c r="P146" s="34">
        <f t="shared" si="35"/>
        <v>69300</v>
      </c>
      <c r="Q146" s="22" t="s">
        <v>1701</v>
      </c>
    </row>
    <row r="147" spans="1:17" x14ac:dyDescent="0.3">
      <c r="A147" s="22" t="s">
        <v>629</v>
      </c>
      <c r="B147" t="str">
        <f t="shared" si="24"/>
        <v>Tejaswini Dsouza</v>
      </c>
      <c r="C147" t="str">
        <f t="shared" si="25"/>
        <v>Sales</v>
      </c>
      <c r="D147" s="30" t="str">
        <f t="shared" si="26"/>
        <v>L2</v>
      </c>
      <c r="E147" s="30" t="str">
        <f t="shared" si="27"/>
        <v>Exited</v>
      </c>
      <c r="F147" s="32">
        <v>781000</v>
      </c>
      <c r="G147" s="33">
        <f t="shared" si="28"/>
        <v>510000</v>
      </c>
      <c r="H147" s="33">
        <f t="shared" si="29"/>
        <v>855000</v>
      </c>
      <c r="I147" s="33">
        <f t="shared" si="30"/>
        <v>1200000</v>
      </c>
      <c r="J147" s="25">
        <f t="shared" si="31"/>
        <v>0.91</v>
      </c>
      <c r="K147" s="22" t="str">
        <f t="shared" si="32"/>
        <v>Within Band</v>
      </c>
      <c r="L147" s="30">
        <f t="shared" si="33"/>
        <v>1</v>
      </c>
      <c r="M147" s="26">
        <v>-1.2999999999999999E-2</v>
      </c>
      <c r="N147" s="34">
        <f t="shared" si="34"/>
        <v>0</v>
      </c>
      <c r="O147" s="31">
        <v>0</v>
      </c>
      <c r="P147" s="34">
        <f t="shared" si="35"/>
        <v>0</v>
      </c>
      <c r="Q147" s="22" t="s">
        <v>1701</v>
      </c>
    </row>
    <row r="148" spans="1:17" x14ac:dyDescent="0.3">
      <c r="A148" s="22" t="s">
        <v>632</v>
      </c>
      <c r="B148" t="str">
        <f t="shared" si="24"/>
        <v>Zara Krishnan</v>
      </c>
      <c r="C148" t="str">
        <f t="shared" si="25"/>
        <v>Legal &amp; Compliance</v>
      </c>
      <c r="D148" s="30" t="str">
        <f t="shared" si="26"/>
        <v>L3</v>
      </c>
      <c r="E148" s="30" t="str">
        <f t="shared" si="27"/>
        <v>Active</v>
      </c>
      <c r="F148" s="32">
        <v>1380000</v>
      </c>
      <c r="G148" s="33">
        <f t="shared" si="28"/>
        <v>850000</v>
      </c>
      <c r="H148" s="33">
        <f t="shared" si="29"/>
        <v>1445000</v>
      </c>
      <c r="I148" s="33">
        <f t="shared" si="30"/>
        <v>2040000</v>
      </c>
      <c r="J148" s="25">
        <f t="shared" si="31"/>
        <v>0.96</v>
      </c>
      <c r="K148" s="22" t="str">
        <f t="shared" si="32"/>
        <v>Within Band</v>
      </c>
      <c r="L148" s="30">
        <f t="shared" si="33"/>
        <v>3</v>
      </c>
      <c r="M148" s="26">
        <v>7.1999999999999995E-2</v>
      </c>
      <c r="N148" s="34">
        <f t="shared" si="34"/>
        <v>1479400</v>
      </c>
      <c r="O148" s="31">
        <v>0.08</v>
      </c>
      <c r="P148" s="34">
        <f t="shared" si="35"/>
        <v>110400</v>
      </c>
      <c r="Q148" s="22" t="s">
        <v>1701</v>
      </c>
    </row>
    <row r="149" spans="1:17" x14ac:dyDescent="0.3">
      <c r="A149" s="22" t="s">
        <v>635</v>
      </c>
      <c r="B149" t="str">
        <f t="shared" si="24"/>
        <v>Suresh Bansal</v>
      </c>
      <c r="C149" t="str">
        <f t="shared" si="25"/>
        <v>Product</v>
      </c>
      <c r="D149" s="30" t="str">
        <f t="shared" si="26"/>
        <v>L3</v>
      </c>
      <c r="E149" s="30" t="str">
        <f t="shared" si="27"/>
        <v>Active</v>
      </c>
      <c r="F149" s="32">
        <v>1446000</v>
      </c>
      <c r="G149" s="33">
        <f t="shared" si="28"/>
        <v>850000</v>
      </c>
      <c r="H149" s="33">
        <f t="shared" si="29"/>
        <v>1445000</v>
      </c>
      <c r="I149" s="33">
        <f t="shared" si="30"/>
        <v>2040000</v>
      </c>
      <c r="J149" s="25">
        <f t="shared" si="31"/>
        <v>1</v>
      </c>
      <c r="K149" s="22" t="str">
        <f t="shared" si="32"/>
        <v>Within Band</v>
      </c>
      <c r="L149" s="30">
        <f t="shared" si="33"/>
        <v>4</v>
      </c>
      <c r="M149" s="26">
        <v>0.13700000000000001</v>
      </c>
      <c r="N149" s="34">
        <f t="shared" si="34"/>
        <v>1644100</v>
      </c>
      <c r="O149" s="31">
        <v>0.12</v>
      </c>
      <c r="P149" s="34">
        <f t="shared" si="35"/>
        <v>173500</v>
      </c>
      <c r="Q149" s="22" t="s">
        <v>1701</v>
      </c>
    </row>
    <row r="150" spans="1:17" x14ac:dyDescent="0.3">
      <c r="A150" s="22" t="s">
        <v>638</v>
      </c>
      <c r="B150" t="str">
        <f t="shared" si="24"/>
        <v>Ashish Sharma</v>
      </c>
      <c r="C150" t="str">
        <f t="shared" si="25"/>
        <v>Sales</v>
      </c>
      <c r="D150" s="30" t="str">
        <f t="shared" si="26"/>
        <v>L3</v>
      </c>
      <c r="E150" s="30" t="str">
        <f t="shared" si="27"/>
        <v>Active</v>
      </c>
      <c r="F150" s="32">
        <v>1094000</v>
      </c>
      <c r="G150" s="33">
        <f t="shared" si="28"/>
        <v>850000</v>
      </c>
      <c r="H150" s="33">
        <f t="shared" si="29"/>
        <v>1445000</v>
      </c>
      <c r="I150" s="33">
        <f t="shared" si="30"/>
        <v>2040000</v>
      </c>
      <c r="J150" s="25">
        <f t="shared" si="31"/>
        <v>0.76</v>
      </c>
      <c r="K150" s="22" t="str">
        <f t="shared" si="32"/>
        <v>Within Band</v>
      </c>
      <c r="L150" s="30">
        <f t="shared" si="33"/>
        <v>2</v>
      </c>
      <c r="M150" s="26">
        <v>1.6E-2</v>
      </c>
      <c r="N150" s="34">
        <f t="shared" si="34"/>
        <v>1111500</v>
      </c>
      <c r="O150" s="31">
        <v>0.03</v>
      </c>
      <c r="P150" s="34">
        <f t="shared" si="35"/>
        <v>32800</v>
      </c>
      <c r="Q150" s="22" t="s">
        <v>1701</v>
      </c>
    </row>
    <row r="151" spans="1:17" x14ac:dyDescent="0.3">
      <c r="A151" s="22" t="s">
        <v>252</v>
      </c>
      <c r="B151" t="str">
        <f t="shared" si="24"/>
        <v>Vidya Chatterjee</v>
      </c>
      <c r="C151" t="str">
        <f t="shared" si="25"/>
        <v>Customer Support</v>
      </c>
      <c r="D151" s="30" t="str">
        <f t="shared" si="26"/>
        <v>L5</v>
      </c>
      <c r="E151" s="30" t="str">
        <f t="shared" si="27"/>
        <v>Active</v>
      </c>
      <c r="F151" s="32">
        <v>2139000</v>
      </c>
      <c r="G151" s="33">
        <f t="shared" si="28"/>
        <v>2295000</v>
      </c>
      <c r="H151" s="33">
        <f t="shared" si="29"/>
        <v>3667500</v>
      </c>
      <c r="I151" s="33">
        <f t="shared" si="30"/>
        <v>5040000</v>
      </c>
      <c r="J151" s="25">
        <f t="shared" si="31"/>
        <v>0.57999999999999996</v>
      </c>
      <c r="K151" s="22" t="str">
        <f t="shared" si="32"/>
        <v>Below Band</v>
      </c>
      <c r="L151" s="30">
        <f t="shared" si="33"/>
        <v>3</v>
      </c>
      <c r="M151" s="26">
        <v>6.6000000000000003E-2</v>
      </c>
      <c r="N151" s="34">
        <f t="shared" si="34"/>
        <v>2280200</v>
      </c>
      <c r="O151" s="31">
        <v>0.08</v>
      </c>
      <c r="P151" s="34">
        <f t="shared" si="35"/>
        <v>171100</v>
      </c>
      <c r="Q151" s="22" t="s">
        <v>1700</v>
      </c>
    </row>
    <row r="152" spans="1:17" x14ac:dyDescent="0.3">
      <c r="A152" s="22" t="s">
        <v>644</v>
      </c>
      <c r="B152" t="str">
        <f t="shared" si="24"/>
        <v>Abhishek Verma</v>
      </c>
      <c r="C152" t="str">
        <f t="shared" si="25"/>
        <v>Engineering</v>
      </c>
      <c r="D152" s="30" t="str">
        <f t="shared" si="26"/>
        <v>L2</v>
      </c>
      <c r="E152" s="30" t="str">
        <f t="shared" si="27"/>
        <v>Active</v>
      </c>
      <c r="F152" s="32">
        <v>1139000</v>
      </c>
      <c r="G152" s="33">
        <f t="shared" si="28"/>
        <v>510000</v>
      </c>
      <c r="H152" s="33">
        <f t="shared" si="29"/>
        <v>855000</v>
      </c>
      <c r="I152" s="33">
        <f t="shared" si="30"/>
        <v>1200000</v>
      </c>
      <c r="J152" s="25">
        <f t="shared" si="31"/>
        <v>1.33</v>
      </c>
      <c r="K152" s="22" t="str">
        <f t="shared" si="32"/>
        <v>Within Band</v>
      </c>
      <c r="L152" s="30">
        <f t="shared" si="33"/>
        <v>3</v>
      </c>
      <c r="M152" s="26">
        <v>8.8999999999999996E-2</v>
      </c>
      <c r="N152" s="34">
        <f t="shared" si="34"/>
        <v>1240400</v>
      </c>
      <c r="O152" s="31">
        <v>0.08</v>
      </c>
      <c r="P152" s="34">
        <f t="shared" si="35"/>
        <v>91100</v>
      </c>
      <c r="Q152" s="22" t="s">
        <v>1701</v>
      </c>
    </row>
    <row r="153" spans="1:17" x14ac:dyDescent="0.3">
      <c r="A153" s="22" t="s">
        <v>647</v>
      </c>
      <c r="B153" t="str">
        <f t="shared" si="24"/>
        <v>Tarun Pillai</v>
      </c>
      <c r="C153" t="str">
        <f t="shared" si="25"/>
        <v>Engineering</v>
      </c>
      <c r="D153" s="30" t="str">
        <f t="shared" si="26"/>
        <v>L3</v>
      </c>
      <c r="E153" s="30" t="str">
        <f t="shared" si="27"/>
        <v>Active</v>
      </c>
      <c r="F153" s="32">
        <v>1245000</v>
      </c>
      <c r="G153" s="33">
        <f t="shared" si="28"/>
        <v>850000</v>
      </c>
      <c r="H153" s="33">
        <f t="shared" si="29"/>
        <v>1445000</v>
      </c>
      <c r="I153" s="33">
        <f t="shared" si="30"/>
        <v>2040000</v>
      </c>
      <c r="J153" s="25">
        <f t="shared" si="31"/>
        <v>0.86</v>
      </c>
      <c r="K153" s="22" t="str">
        <f t="shared" si="32"/>
        <v>Within Band</v>
      </c>
      <c r="L153" s="30">
        <f t="shared" si="33"/>
        <v>2</v>
      </c>
      <c r="M153" s="26">
        <v>4.9000000000000002E-2</v>
      </c>
      <c r="N153" s="34">
        <f t="shared" si="34"/>
        <v>1306000</v>
      </c>
      <c r="O153" s="31">
        <v>0.03</v>
      </c>
      <c r="P153" s="34">
        <f t="shared" si="35"/>
        <v>37400</v>
      </c>
      <c r="Q153" s="22" t="s">
        <v>1701</v>
      </c>
    </row>
    <row r="154" spans="1:17" x14ac:dyDescent="0.3">
      <c r="A154" s="22" t="s">
        <v>650</v>
      </c>
      <c r="B154" t="str">
        <f t="shared" si="24"/>
        <v>Zara Bose</v>
      </c>
      <c r="C154" t="str">
        <f t="shared" si="25"/>
        <v>Operations</v>
      </c>
      <c r="D154" s="30" t="str">
        <f t="shared" si="26"/>
        <v>L3</v>
      </c>
      <c r="E154" s="30" t="str">
        <f t="shared" si="27"/>
        <v>Active</v>
      </c>
      <c r="F154" s="32">
        <v>944000</v>
      </c>
      <c r="G154" s="33">
        <f t="shared" si="28"/>
        <v>850000</v>
      </c>
      <c r="H154" s="33">
        <f t="shared" si="29"/>
        <v>1445000</v>
      </c>
      <c r="I154" s="33">
        <f t="shared" si="30"/>
        <v>2040000</v>
      </c>
      <c r="J154" s="25">
        <f t="shared" si="31"/>
        <v>0.65</v>
      </c>
      <c r="K154" s="22" t="str">
        <f t="shared" si="32"/>
        <v>Within Band</v>
      </c>
      <c r="L154" s="30">
        <f t="shared" si="33"/>
        <v>3</v>
      </c>
      <c r="M154" s="26">
        <v>9.4E-2</v>
      </c>
      <c r="N154" s="34">
        <f t="shared" si="34"/>
        <v>1032700</v>
      </c>
      <c r="O154" s="31">
        <v>0.08</v>
      </c>
      <c r="P154" s="34">
        <f t="shared" si="35"/>
        <v>75500</v>
      </c>
      <c r="Q154" s="22" t="s">
        <v>1701</v>
      </c>
    </row>
    <row r="155" spans="1:17" x14ac:dyDescent="0.3">
      <c r="A155" s="22" t="s">
        <v>653</v>
      </c>
      <c r="B155" t="str">
        <f t="shared" si="24"/>
        <v>Krishna Chatterjee</v>
      </c>
      <c r="C155" t="str">
        <f t="shared" si="25"/>
        <v>Operations</v>
      </c>
      <c r="D155" s="30" t="str">
        <f t="shared" si="26"/>
        <v>L2</v>
      </c>
      <c r="E155" s="30" t="str">
        <f t="shared" si="27"/>
        <v>Active</v>
      </c>
      <c r="F155" s="32">
        <v>809000</v>
      </c>
      <c r="G155" s="33">
        <f t="shared" si="28"/>
        <v>510000</v>
      </c>
      <c r="H155" s="33">
        <f t="shared" si="29"/>
        <v>855000</v>
      </c>
      <c r="I155" s="33">
        <f t="shared" si="30"/>
        <v>1200000</v>
      </c>
      <c r="J155" s="25">
        <f t="shared" si="31"/>
        <v>0.95</v>
      </c>
      <c r="K155" s="22" t="str">
        <f t="shared" si="32"/>
        <v>Within Band</v>
      </c>
      <c r="L155" s="30">
        <f t="shared" si="33"/>
        <v>5</v>
      </c>
      <c r="M155" s="26">
        <v>0.18</v>
      </c>
      <c r="N155" s="34">
        <f t="shared" si="34"/>
        <v>954600</v>
      </c>
      <c r="O155" s="31">
        <v>0.18</v>
      </c>
      <c r="P155" s="34">
        <f t="shared" si="35"/>
        <v>145600</v>
      </c>
      <c r="Q155" s="22" t="s">
        <v>1701</v>
      </c>
    </row>
    <row r="156" spans="1:17" x14ac:dyDescent="0.3">
      <c r="A156" s="22" t="s">
        <v>656</v>
      </c>
      <c r="B156" t="str">
        <f t="shared" si="24"/>
        <v>Mary Singh</v>
      </c>
      <c r="C156" t="str">
        <f t="shared" si="25"/>
        <v>Human Resources</v>
      </c>
      <c r="D156" s="30" t="str">
        <f t="shared" si="26"/>
        <v>L2</v>
      </c>
      <c r="E156" s="30" t="str">
        <f t="shared" si="27"/>
        <v>Active</v>
      </c>
      <c r="F156" s="32">
        <v>610000</v>
      </c>
      <c r="G156" s="33">
        <f t="shared" si="28"/>
        <v>510000</v>
      </c>
      <c r="H156" s="33">
        <f t="shared" si="29"/>
        <v>855000</v>
      </c>
      <c r="I156" s="33">
        <f t="shared" si="30"/>
        <v>1200000</v>
      </c>
      <c r="J156" s="25">
        <f t="shared" si="31"/>
        <v>0.71</v>
      </c>
      <c r="K156" s="22" t="str">
        <f t="shared" si="32"/>
        <v>Within Band</v>
      </c>
      <c r="L156" s="30">
        <f t="shared" si="33"/>
        <v>3</v>
      </c>
      <c r="M156" s="26">
        <v>8.3000000000000004E-2</v>
      </c>
      <c r="N156" s="34">
        <f t="shared" si="34"/>
        <v>660600</v>
      </c>
      <c r="O156" s="31">
        <v>0.08</v>
      </c>
      <c r="P156" s="34">
        <f t="shared" si="35"/>
        <v>48800</v>
      </c>
      <c r="Q156" s="22" t="s">
        <v>1701</v>
      </c>
    </row>
    <row r="157" spans="1:17" x14ac:dyDescent="0.3">
      <c r="A157" s="22" t="s">
        <v>660</v>
      </c>
      <c r="B157" t="str">
        <f t="shared" si="24"/>
        <v>Lakshmi Pillai</v>
      </c>
      <c r="C157" t="str">
        <f t="shared" si="25"/>
        <v>Finance</v>
      </c>
      <c r="D157" s="30" t="str">
        <f t="shared" si="26"/>
        <v>L3</v>
      </c>
      <c r="E157" s="30" t="str">
        <f t="shared" si="27"/>
        <v>Active</v>
      </c>
      <c r="F157" s="32">
        <v>1634000</v>
      </c>
      <c r="G157" s="33">
        <f t="shared" si="28"/>
        <v>850000</v>
      </c>
      <c r="H157" s="33">
        <f t="shared" si="29"/>
        <v>1445000</v>
      </c>
      <c r="I157" s="33">
        <f t="shared" si="30"/>
        <v>2040000</v>
      </c>
      <c r="J157" s="25">
        <f t="shared" si="31"/>
        <v>1.1299999999999999</v>
      </c>
      <c r="K157" s="22" t="str">
        <f t="shared" si="32"/>
        <v>Within Band</v>
      </c>
      <c r="L157" s="30">
        <f t="shared" si="33"/>
        <v>3</v>
      </c>
      <c r="M157" s="26">
        <v>7.5999999999999998E-2</v>
      </c>
      <c r="N157" s="34">
        <f t="shared" si="34"/>
        <v>1758200</v>
      </c>
      <c r="O157" s="31">
        <v>0.08</v>
      </c>
      <c r="P157" s="34">
        <f t="shared" si="35"/>
        <v>130700</v>
      </c>
      <c r="Q157" s="22" t="s">
        <v>1701</v>
      </c>
    </row>
    <row r="158" spans="1:17" x14ac:dyDescent="0.3">
      <c r="A158" s="22" t="s">
        <v>663</v>
      </c>
      <c r="B158" t="str">
        <f t="shared" si="24"/>
        <v>Varun Subramanian</v>
      </c>
      <c r="C158" t="str">
        <f t="shared" si="25"/>
        <v>Data &amp; Analytics</v>
      </c>
      <c r="D158" s="30" t="str">
        <f t="shared" si="26"/>
        <v>L3</v>
      </c>
      <c r="E158" s="30" t="str">
        <f t="shared" si="27"/>
        <v>Active</v>
      </c>
      <c r="F158" s="32">
        <v>1628000</v>
      </c>
      <c r="G158" s="33">
        <f t="shared" si="28"/>
        <v>850000</v>
      </c>
      <c r="H158" s="33">
        <f t="shared" si="29"/>
        <v>1445000</v>
      </c>
      <c r="I158" s="33">
        <f t="shared" si="30"/>
        <v>2040000</v>
      </c>
      <c r="J158" s="25">
        <f t="shared" si="31"/>
        <v>1.1299999999999999</v>
      </c>
      <c r="K158" s="22" t="str">
        <f t="shared" si="32"/>
        <v>Within Band</v>
      </c>
      <c r="L158" s="30">
        <f t="shared" si="33"/>
        <v>2</v>
      </c>
      <c r="M158" s="26">
        <v>3.6999999999999998E-2</v>
      </c>
      <c r="N158" s="34">
        <f t="shared" si="34"/>
        <v>1688200</v>
      </c>
      <c r="O158" s="31">
        <v>0.03</v>
      </c>
      <c r="P158" s="34">
        <f t="shared" si="35"/>
        <v>48800</v>
      </c>
      <c r="Q158" s="22" t="s">
        <v>1701</v>
      </c>
    </row>
    <row r="159" spans="1:17" x14ac:dyDescent="0.3">
      <c r="A159" s="22" t="s">
        <v>122</v>
      </c>
      <c r="B159" t="str">
        <f t="shared" si="24"/>
        <v>Pallavi Shah</v>
      </c>
      <c r="C159" t="str">
        <f t="shared" si="25"/>
        <v>Operations</v>
      </c>
      <c r="D159" s="30" t="str">
        <f t="shared" si="26"/>
        <v>L6</v>
      </c>
      <c r="E159" s="30" t="str">
        <f t="shared" si="27"/>
        <v>Active</v>
      </c>
      <c r="F159" s="32">
        <v>5200000</v>
      </c>
      <c r="G159" s="33">
        <f t="shared" si="28"/>
        <v>3570000</v>
      </c>
      <c r="H159" s="33">
        <f t="shared" si="29"/>
        <v>5385000</v>
      </c>
      <c r="I159" s="33">
        <f t="shared" si="30"/>
        <v>7200000</v>
      </c>
      <c r="J159" s="25">
        <f t="shared" si="31"/>
        <v>0.97</v>
      </c>
      <c r="K159" s="22" t="str">
        <f t="shared" si="32"/>
        <v>Within Band</v>
      </c>
      <c r="L159" s="30">
        <f t="shared" si="33"/>
        <v>3</v>
      </c>
      <c r="M159" s="26">
        <v>7.9000000000000001E-2</v>
      </c>
      <c r="N159" s="34">
        <f t="shared" si="34"/>
        <v>5610800</v>
      </c>
      <c r="O159" s="31">
        <v>0.08</v>
      </c>
      <c r="P159" s="34">
        <f t="shared" si="35"/>
        <v>416000</v>
      </c>
      <c r="Q159" s="22" t="s">
        <v>1700</v>
      </c>
    </row>
    <row r="160" spans="1:17" x14ac:dyDescent="0.3">
      <c r="A160" s="22" t="s">
        <v>668</v>
      </c>
      <c r="B160" t="str">
        <f t="shared" si="24"/>
        <v>Sanjana Kamath</v>
      </c>
      <c r="C160" t="str">
        <f t="shared" si="25"/>
        <v>Finance</v>
      </c>
      <c r="D160" s="30" t="str">
        <f t="shared" si="26"/>
        <v>L2</v>
      </c>
      <c r="E160" s="30" t="str">
        <f t="shared" si="27"/>
        <v>Active</v>
      </c>
      <c r="F160" s="32">
        <v>802000</v>
      </c>
      <c r="G160" s="33">
        <f t="shared" si="28"/>
        <v>510000</v>
      </c>
      <c r="H160" s="33">
        <f t="shared" si="29"/>
        <v>855000</v>
      </c>
      <c r="I160" s="33">
        <f t="shared" si="30"/>
        <v>1200000</v>
      </c>
      <c r="J160" s="25">
        <f t="shared" si="31"/>
        <v>0.94</v>
      </c>
      <c r="K160" s="22" t="str">
        <f t="shared" si="32"/>
        <v>Within Band</v>
      </c>
      <c r="L160" s="30">
        <f t="shared" si="33"/>
        <v>3</v>
      </c>
      <c r="M160" s="26">
        <v>7.2999999999999995E-2</v>
      </c>
      <c r="N160" s="34">
        <f t="shared" si="34"/>
        <v>860500</v>
      </c>
      <c r="O160" s="31">
        <v>0.08</v>
      </c>
      <c r="P160" s="34">
        <f t="shared" si="35"/>
        <v>64200</v>
      </c>
      <c r="Q160" s="22" t="s">
        <v>1701</v>
      </c>
    </row>
    <row r="161" spans="1:17" x14ac:dyDescent="0.3">
      <c r="A161" s="22" t="s">
        <v>672</v>
      </c>
      <c r="B161" t="str">
        <f t="shared" si="24"/>
        <v>Bhavana Varghese</v>
      </c>
      <c r="C161" t="str">
        <f t="shared" si="25"/>
        <v>Customer Support</v>
      </c>
      <c r="D161" s="30" t="str">
        <f t="shared" si="26"/>
        <v>L4</v>
      </c>
      <c r="E161" s="30" t="str">
        <f t="shared" si="27"/>
        <v>Exited</v>
      </c>
      <c r="F161" s="32">
        <v>1409000</v>
      </c>
      <c r="G161" s="33">
        <f t="shared" si="28"/>
        <v>1445000</v>
      </c>
      <c r="H161" s="33">
        <f t="shared" si="29"/>
        <v>2342500</v>
      </c>
      <c r="I161" s="33">
        <f t="shared" si="30"/>
        <v>3240000</v>
      </c>
      <c r="J161" s="25">
        <f t="shared" si="31"/>
        <v>0.6</v>
      </c>
      <c r="K161" s="22" t="str">
        <f t="shared" si="32"/>
        <v>Below Band</v>
      </c>
      <c r="L161" s="30">
        <f t="shared" si="33"/>
        <v>3</v>
      </c>
      <c r="M161" s="26">
        <v>7.5999999999999998E-2</v>
      </c>
      <c r="N161" s="34">
        <f t="shared" si="34"/>
        <v>0</v>
      </c>
      <c r="O161" s="31">
        <v>0.08</v>
      </c>
      <c r="P161" s="34">
        <f t="shared" si="35"/>
        <v>0</v>
      </c>
      <c r="Q161" s="22" t="s">
        <v>1701</v>
      </c>
    </row>
    <row r="162" spans="1:17" x14ac:dyDescent="0.3">
      <c r="A162" s="22" t="s">
        <v>675</v>
      </c>
      <c r="B162" t="str">
        <f t="shared" si="24"/>
        <v>Tanvi Siddiqui</v>
      </c>
      <c r="C162" t="str">
        <f t="shared" si="25"/>
        <v>Sales</v>
      </c>
      <c r="D162" s="30" t="str">
        <f t="shared" si="26"/>
        <v>L4</v>
      </c>
      <c r="E162" s="30" t="str">
        <f t="shared" si="27"/>
        <v>Active</v>
      </c>
      <c r="F162" s="32">
        <v>1694000</v>
      </c>
      <c r="G162" s="33">
        <f t="shared" si="28"/>
        <v>1445000</v>
      </c>
      <c r="H162" s="33">
        <f t="shared" si="29"/>
        <v>2342500</v>
      </c>
      <c r="I162" s="33">
        <f t="shared" si="30"/>
        <v>3240000</v>
      </c>
      <c r="J162" s="25">
        <f t="shared" si="31"/>
        <v>0.72</v>
      </c>
      <c r="K162" s="22" t="str">
        <f t="shared" si="32"/>
        <v>Within Band</v>
      </c>
      <c r="L162" s="30">
        <f t="shared" si="33"/>
        <v>3</v>
      </c>
      <c r="M162" s="26">
        <v>8.7999999999999995E-2</v>
      </c>
      <c r="N162" s="34">
        <f t="shared" si="34"/>
        <v>1843100</v>
      </c>
      <c r="O162" s="31">
        <v>0.08</v>
      </c>
      <c r="P162" s="34">
        <f t="shared" si="35"/>
        <v>135500</v>
      </c>
      <c r="Q162" s="22" t="s">
        <v>1701</v>
      </c>
    </row>
    <row r="163" spans="1:17" x14ac:dyDescent="0.3">
      <c r="A163" s="22" t="s">
        <v>678</v>
      </c>
      <c r="B163" t="str">
        <f t="shared" si="24"/>
        <v>Aditi Siddiqui</v>
      </c>
      <c r="C163" t="str">
        <f t="shared" si="25"/>
        <v>Engineering</v>
      </c>
      <c r="D163" s="30" t="str">
        <f t="shared" si="26"/>
        <v>L2</v>
      </c>
      <c r="E163" s="30" t="str">
        <f t="shared" si="27"/>
        <v>Active</v>
      </c>
      <c r="F163" s="32">
        <v>764000</v>
      </c>
      <c r="G163" s="33">
        <f t="shared" si="28"/>
        <v>510000</v>
      </c>
      <c r="H163" s="33">
        <f t="shared" si="29"/>
        <v>855000</v>
      </c>
      <c r="I163" s="33">
        <f t="shared" si="30"/>
        <v>1200000</v>
      </c>
      <c r="J163" s="25">
        <f t="shared" si="31"/>
        <v>0.89</v>
      </c>
      <c r="K163" s="22" t="str">
        <f t="shared" si="32"/>
        <v>Within Band</v>
      </c>
      <c r="L163" s="30">
        <f t="shared" si="33"/>
        <v>4</v>
      </c>
      <c r="M163" s="26">
        <v>0.112</v>
      </c>
      <c r="N163" s="34">
        <f t="shared" si="34"/>
        <v>849600</v>
      </c>
      <c r="O163" s="31">
        <v>0.12</v>
      </c>
      <c r="P163" s="34">
        <f t="shared" si="35"/>
        <v>91700</v>
      </c>
      <c r="Q163" s="22" t="s">
        <v>1701</v>
      </c>
    </row>
    <row r="164" spans="1:17" x14ac:dyDescent="0.3">
      <c r="A164" s="22" t="s">
        <v>681</v>
      </c>
      <c r="B164" t="str">
        <f t="shared" si="24"/>
        <v>Aditi Yadav</v>
      </c>
      <c r="C164" t="str">
        <f t="shared" si="25"/>
        <v>Legal &amp; Compliance</v>
      </c>
      <c r="D164" s="30" t="str">
        <f t="shared" si="26"/>
        <v>L2</v>
      </c>
      <c r="E164" s="30" t="str">
        <f t="shared" si="27"/>
        <v>Active</v>
      </c>
      <c r="F164" s="32">
        <v>773000</v>
      </c>
      <c r="G164" s="33">
        <f t="shared" si="28"/>
        <v>510000</v>
      </c>
      <c r="H164" s="33">
        <f t="shared" si="29"/>
        <v>855000</v>
      </c>
      <c r="I164" s="33">
        <f t="shared" si="30"/>
        <v>1200000</v>
      </c>
      <c r="J164" s="25">
        <f t="shared" si="31"/>
        <v>0.9</v>
      </c>
      <c r="K164" s="22" t="str">
        <f t="shared" si="32"/>
        <v>Within Band</v>
      </c>
      <c r="L164" s="30">
        <f t="shared" si="33"/>
        <v>4</v>
      </c>
      <c r="M164" s="26">
        <v>0.128</v>
      </c>
      <c r="N164" s="34">
        <f t="shared" si="34"/>
        <v>871900</v>
      </c>
      <c r="O164" s="31">
        <v>0.12</v>
      </c>
      <c r="P164" s="34">
        <f t="shared" si="35"/>
        <v>92800</v>
      </c>
      <c r="Q164" s="22" t="s">
        <v>1701</v>
      </c>
    </row>
    <row r="165" spans="1:17" x14ac:dyDescent="0.3">
      <c r="A165" s="22" t="s">
        <v>687</v>
      </c>
      <c r="B165" t="str">
        <f t="shared" si="24"/>
        <v>Gaurav Saxena</v>
      </c>
      <c r="C165" t="str">
        <f t="shared" si="25"/>
        <v>Sales</v>
      </c>
      <c r="D165" s="30" t="str">
        <f t="shared" si="26"/>
        <v>L2</v>
      </c>
      <c r="E165" s="30" t="str">
        <f t="shared" si="27"/>
        <v>Active</v>
      </c>
      <c r="F165" s="32">
        <v>743000</v>
      </c>
      <c r="G165" s="33">
        <f t="shared" si="28"/>
        <v>510000</v>
      </c>
      <c r="H165" s="33">
        <f t="shared" si="29"/>
        <v>855000</v>
      </c>
      <c r="I165" s="33">
        <f t="shared" si="30"/>
        <v>1200000</v>
      </c>
      <c r="J165" s="25">
        <f t="shared" si="31"/>
        <v>0.87</v>
      </c>
      <c r="K165" s="22" t="str">
        <f t="shared" si="32"/>
        <v>Within Band</v>
      </c>
      <c r="L165" s="30">
        <f t="shared" si="33"/>
        <v>5</v>
      </c>
      <c r="M165" s="26">
        <v>0.17699999999999999</v>
      </c>
      <c r="N165" s="34">
        <f t="shared" si="34"/>
        <v>874500</v>
      </c>
      <c r="O165" s="31">
        <v>0.18</v>
      </c>
      <c r="P165" s="34">
        <f t="shared" si="35"/>
        <v>133700</v>
      </c>
      <c r="Q165" s="22" t="s">
        <v>1701</v>
      </c>
    </row>
    <row r="166" spans="1:17" x14ac:dyDescent="0.3">
      <c r="A166" s="22" t="s">
        <v>690</v>
      </c>
      <c r="B166" t="str">
        <f t="shared" si="24"/>
        <v>Kiran Hegde</v>
      </c>
      <c r="C166" t="str">
        <f t="shared" si="25"/>
        <v>Sales</v>
      </c>
      <c r="D166" s="30" t="str">
        <f t="shared" si="26"/>
        <v>L4</v>
      </c>
      <c r="E166" s="30" t="str">
        <f t="shared" si="27"/>
        <v>Active</v>
      </c>
      <c r="F166" s="32">
        <v>1723000</v>
      </c>
      <c r="G166" s="33">
        <f t="shared" si="28"/>
        <v>1445000</v>
      </c>
      <c r="H166" s="33">
        <f t="shared" si="29"/>
        <v>2342500</v>
      </c>
      <c r="I166" s="33">
        <f t="shared" si="30"/>
        <v>3240000</v>
      </c>
      <c r="J166" s="25">
        <f t="shared" si="31"/>
        <v>0.74</v>
      </c>
      <c r="K166" s="22" t="str">
        <f t="shared" si="32"/>
        <v>Within Band</v>
      </c>
      <c r="L166" s="30">
        <f t="shared" si="33"/>
        <v>3</v>
      </c>
      <c r="M166" s="26">
        <v>9.6000000000000002E-2</v>
      </c>
      <c r="N166" s="34">
        <f t="shared" si="34"/>
        <v>1888400</v>
      </c>
      <c r="O166" s="31">
        <v>0.08</v>
      </c>
      <c r="P166" s="34">
        <f t="shared" si="35"/>
        <v>137800</v>
      </c>
      <c r="Q166" s="22" t="s">
        <v>1701</v>
      </c>
    </row>
    <row r="167" spans="1:17" x14ac:dyDescent="0.3">
      <c r="A167" s="22" t="s">
        <v>693</v>
      </c>
      <c r="B167" t="str">
        <f t="shared" si="24"/>
        <v>Aditi Prabhu</v>
      </c>
      <c r="C167" t="str">
        <f t="shared" si="25"/>
        <v>Engineering</v>
      </c>
      <c r="D167" s="30" t="str">
        <f t="shared" si="26"/>
        <v>L4</v>
      </c>
      <c r="E167" s="30" t="str">
        <f t="shared" si="27"/>
        <v>Active</v>
      </c>
      <c r="F167" s="32">
        <v>2665000</v>
      </c>
      <c r="G167" s="33">
        <f t="shared" si="28"/>
        <v>1445000</v>
      </c>
      <c r="H167" s="33">
        <f t="shared" si="29"/>
        <v>2342500</v>
      </c>
      <c r="I167" s="33">
        <f t="shared" si="30"/>
        <v>3240000</v>
      </c>
      <c r="J167" s="25">
        <f t="shared" si="31"/>
        <v>1.1399999999999999</v>
      </c>
      <c r="K167" s="22" t="str">
        <f t="shared" si="32"/>
        <v>Within Band</v>
      </c>
      <c r="L167" s="30">
        <f t="shared" si="33"/>
        <v>4</v>
      </c>
      <c r="M167" s="26">
        <v>0.13200000000000001</v>
      </c>
      <c r="N167" s="34">
        <f t="shared" si="34"/>
        <v>3016800</v>
      </c>
      <c r="O167" s="31">
        <v>0.12</v>
      </c>
      <c r="P167" s="34">
        <f t="shared" si="35"/>
        <v>319800</v>
      </c>
      <c r="Q167" s="22" t="s">
        <v>1700</v>
      </c>
    </row>
    <row r="168" spans="1:17" x14ac:dyDescent="0.3">
      <c r="A168" s="22" t="s">
        <v>696</v>
      </c>
      <c r="B168" t="str">
        <f t="shared" si="24"/>
        <v>Sanjay Krishnan</v>
      </c>
      <c r="C168" t="str">
        <f t="shared" si="25"/>
        <v>Operations</v>
      </c>
      <c r="D168" s="30" t="str">
        <f t="shared" si="26"/>
        <v>L2</v>
      </c>
      <c r="E168" s="30" t="str">
        <f t="shared" si="27"/>
        <v>Exited</v>
      </c>
      <c r="F168" s="32">
        <v>727000</v>
      </c>
      <c r="G168" s="33">
        <f t="shared" si="28"/>
        <v>510000</v>
      </c>
      <c r="H168" s="33">
        <f t="shared" si="29"/>
        <v>855000</v>
      </c>
      <c r="I168" s="33">
        <f t="shared" si="30"/>
        <v>1200000</v>
      </c>
      <c r="J168" s="25">
        <f t="shared" si="31"/>
        <v>0.85</v>
      </c>
      <c r="K168" s="22" t="str">
        <f t="shared" si="32"/>
        <v>Within Band</v>
      </c>
      <c r="L168" s="30">
        <f t="shared" si="33"/>
        <v>4</v>
      </c>
      <c r="M168" s="26">
        <v>0.14000000000000001</v>
      </c>
      <c r="N168" s="34">
        <f t="shared" si="34"/>
        <v>0</v>
      </c>
      <c r="O168" s="31">
        <v>0.12</v>
      </c>
      <c r="P168" s="34">
        <f t="shared" si="35"/>
        <v>0</v>
      </c>
      <c r="Q168" s="22" t="s">
        <v>1701</v>
      </c>
    </row>
    <row r="169" spans="1:17" x14ac:dyDescent="0.3">
      <c r="A169" s="22" t="s">
        <v>699</v>
      </c>
      <c r="B169" t="str">
        <f t="shared" si="24"/>
        <v>Priya Fernandes</v>
      </c>
      <c r="C169" t="str">
        <f t="shared" si="25"/>
        <v>Legal &amp; Compliance</v>
      </c>
      <c r="D169" s="30" t="str">
        <f t="shared" si="26"/>
        <v>L2</v>
      </c>
      <c r="E169" s="30" t="str">
        <f t="shared" si="27"/>
        <v>Active</v>
      </c>
      <c r="F169" s="32">
        <v>966000</v>
      </c>
      <c r="G169" s="33">
        <f t="shared" si="28"/>
        <v>510000</v>
      </c>
      <c r="H169" s="33">
        <f t="shared" si="29"/>
        <v>855000</v>
      </c>
      <c r="I169" s="33">
        <f t="shared" si="30"/>
        <v>1200000</v>
      </c>
      <c r="J169" s="25">
        <f t="shared" si="31"/>
        <v>1.1299999999999999</v>
      </c>
      <c r="K169" s="22" t="str">
        <f t="shared" si="32"/>
        <v>Within Band</v>
      </c>
      <c r="L169" s="30">
        <f t="shared" si="33"/>
        <v>3</v>
      </c>
      <c r="M169" s="26">
        <v>9.2999999999999999E-2</v>
      </c>
      <c r="N169" s="34">
        <f t="shared" si="34"/>
        <v>1055800</v>
      </c>
      <c r="O169" s="31">
        <v>0.08</v>
      </c>
      <c r="P169" s="34">
        <f t="shared" si="35"/>
        <v>77300</v>
      </c>
      <c r="Q169" s="22" t="s">
        <v>1701</v>
      </c>
    </row>
    <row r="170" spans="1:17" x14ac:dyDescent="0.3">
      <c r="A170" s="22" t="s">
        <v>702</v>
      </c>
      <c r="B170" t="str">
        <f t="shared" si="24"/>
        <v>Aniket Siddiqui</v>
      </c>
      <c r="C170" t="str">
        <f t="shared" si="25"/>
        <v>Engineering</v>
      </c>
      <c r="D170" s="30" t="str">
        <f t="shared" si="26"/>
        <v>L3</v>
      </c>
      <c r="E170" s="30" t="str">
        <f t="shared" si="27"/>
        <v>Active</v>
      </c>
      <c r="F170" s="32">
        <v>1903000</v>
      </c>
      <c r="G170" s="33">
        <f t="shared" si="28"/>
        <v>850000</v>
      </c>
      <c r="H170" s="33">
        <f t="shared" si="29"/>
        <v>1445000</v>
      </c>
      <c r="I170" s="33">
        <f t="shared" si="30"/>
        <v>2040000</v>
      </c>
      <c r="J170" s="25">
        <f t="shared" si="31"/>
        <v>1.32</v>
      </c>
      <c r="K170" s="22" t="str">
        <f t="shared" si="32"/>
        <v>Within Band</v>
      </c>
      <c r="L170" s="30">
        <f t="shared" si="33"/>
        <v>1</v>
      </c>
      <c r="M170" s="26">
        <v>5.0000000000000001E-3</v>
      </c>
      <c r="N170" s="34">
        <f t="shared" si="34"/>
        <v>1912500</v>
      </c>
      <c r="O170" s="31">
        <v>0</v>
      </c>
      <c r="P170" s="34">
        <f t="shared" si="35"/>
        <v>0</v>
      </c>
      <c r="Q170" s="22" t="s">
        <v>1701</v>
      </c>
    </row>
    <row r="171" spans="1:17" x14ac:dyDescent="0.3">
      <c r="A171" s="22" t="s">
        <v>705</v>
      </c>
      <c r="B171" t="str">
        <f t="shared" si="24"/>
        <v>Deepak Saxena</v>
      </c>
      <c r="C171" t="str">
        <f t="shared" si="25"/>
        <v>Engineering</v>
      </c>
      <c r="D171" s="30" t="str">
        <f t="shared" si="26"/>
        <v>L2</v>
      </c>
      <c r="E171" s="30" t="str">
        <f t="shared" si="27"/>
        <v>Active</v>
      </c>
      <c r="F171" s="32">
        <v>860000</v>
      </c>
      <c r="G171" s="33">
        <f t="shared" si="28"/>
        <v>510000</v>
      </c>
      <c r="H171" s="33">
        <f t="shared" si="29"/>
        <v>855000</v>
      </c>
      <c r="I171" s="33">
        <f t="shared" si="30"/>
        <v>1200000</v>
      </c>
      <c r="J171" s="25">
        <f t="shared" si="31"/>
        <v>1.01</v>
      </c>
      <c r="K171" s="22" t="str">
        <f t="shared" si="32"/>
        <v>Within Band</v>
      </c>
      <c r="L171" s="30">
        <f t="shared" si="33"/>
        <v>3</v>
      </c>
      <c r="M171" s="26">
        <v>6.8000000000000005E-2</v>
      </c>
      <c r="N171" s="34">
        <f t="shared" si="34"/>
        <v>918500</v>
      </c>
      <c r="O171" s="31">
        <v>0.08</v>
      </c>
      <c r="P171" s="34">
        <f t="shared" si="35"/>
        <v>68800</v>
      </c>
      <c r="Q171" s="22" t="s">
        <v>1701</v>
      </c>
    </row>
    <row r="172" spans="1:17" x14ac:dyDescent="0.3">
      <c r="A172" s="22" t="s">
        <v>708</v>
      </c>
      <c r="B172" t="str">
        <f t="shared" si="24"/>
        <v>Kritika Gowda</v>
      </c>
      <c r="C172" t="str">
        <f t="shared" si="25"/>
        <v>Marketing</v>
      </c>
      <c r="D172" s="30" t="str">
        <f t="shared" si="26"/>
        <v>L3</v>
      </c>
      <c r="E172" s="30" t="str">
        <f t="shared" si="27"/>
        <v>Active</v>
      </c>
      <c r="F172" s="32">
        <v>1212000</v>
      </c>
      <c r="G172" s="33">
        <f t="shared" si="28"/>
        <v>850000</v>
      </c>
      <c r="H172" s="33">
        <f t="shared" si="29"/>
        <v>1445000</v>
      </c>
      <c r="I172" s="33">
        <f t="shared" si="30"/>
        <v>2040000</v>
      </c>
      <c r="J172" s="25">
        <f t="shared" si="31"/>
        <v>0.84</v>
      </c>
      <c r="K172" s="22" t="str">
        <f t="shared" si="32"/>
        <v>Within Band</v>
      </c>
      <c r="L172" s="30">
        <f t="shared" si="33"/>
        <v>3</v>
      </c>
      <c r="M172" s="26">
        <v>8.6999999999999994E-2</v>
      </c>
      <c r="N172" s="34">
        <f t="shared" si="34"/>
        <v>1317400</v>
      </c>
      <c r="O172" s="31">
        <v>0.08</v>
      </c>
      <c r="P172" s="34">
        <f t="shared" si="35"/>
        <v>97000</v>
      </c>
      <c r="Q172" s="22" t="s">
        <v>1701</v>
      </c>
    </row>
    <row r="173" spans="1:17" x14ac:dyDescent="0.3">
      <c r="A173" s="22" t="s">
        <v>711</v>
      </c>
      <c r="B173" t="str">
        <f t="shared" si="24"/>
        <v>Sai Desai</v>
      </c>
      <c r="C173" t="str">
        <f t="shared" si="25"/>
        <v>Sales</v>
      </c>
      <c r="D173" s="30" t="str">
        <f t="shared" si="26"/>
        <v>L4</v>
      </c>
      <c r="E173" s="30" t="str">
        <f t="shared" si="27"/>
        <v>Active</v>
      </c>
      <c r="F173" s="32">
        <v>2123000</v>
      </c>
      <c r="G173" s="33">
        <f t="shared" si="28"/>
        <v>1445000</v>
      </c>
      <c r="H173" s="33">
        <f t="shared" si="29"/>
        <v>2342500</v>
      </c>
      <c r="I173" s="33">
        <f t="shared" si="30"/>
        <v>3240000</v>
      </c>
      <c r="J173" s="25">
        <f t="shared" si="31"/>
        <v>0.91</v>
      </c>
      <c r="K173" s="22" t="str">
        <f t="shared" si="32"/>
        <v>Within Band</v>
      </c>
      <c r="L173" s="30">
        <f t="shared" si="33"/>
        <v>4</v>
      </c>
      <c r="M173" s="26">
        <v>0.13700000000000001</v>
      </c>
      <c r="N173" s="34">
        <f t="shared" si="34"/>
        <v>2413900</v>
      </c>
      <c r="O173" s="31">
        <v>0.12</v>
      </c>
      <c r="P173" s="34">
        <f t="shared" si="35"/>
        <v>254800</v>
      </c>
      <c r="Q173" s="22" t="s">
        <v>1700</v>
      </c>
    </row>
    <row r="174" spans="1:17" x14ac:dyDescent="0.3">
      <c r="A174" s="22" t="s">
        <v>714</v>
      </c>
      <c r="B174" t="str">
        <f t="shared" si="24"/>
        <v>Rashmi Kulkarni</v>
      </c>
      <c r="C174" t="str">
        <f t="shared" si="25"/>
        <v>Marketing</v>
      </c>
      <c r="D174" s="30" t="str">
        <f t="shared" si="26"/>
        <v>L3</v>
      </c>
      <c r="E174" s="30" t="str">
        <f t="shared" si="27"/>
        <v>Active</v>
      </c>
      <c r="F174" s="32">
        <v>1565000</v>
      </c>
      <c r="G174" s="33">
        <f t="shared" si="28"/>
        <v>850000</v>
      </c>
      <c r="H174" s="33">
        <f t="shared" si="29"/>
        <v>1445000</v>
      </c>
      <c r="I174" s="33">
        <f t="shared" si="30"/>
        <v>2040000</v>
      </c>
      <c r="J174" s="25">
        <f t="shared" si="31"/>
        <v>1.08</v>
      </c>
      <c r="K174" s="22" t="str">
        <f t="shared" si="32"/>
        <v>Within Band</v>
      </c>
      <c r="L174" s="30">
        <f t="shared" si="33"/>
        <v>4</v>
      </c>
      <c r="M174" s="26">
        <v>0.11</v>
      </c>
      <c r="N174" s="34">
        <f t="shared" si="34"/>
        <v>1737200</v>
      </c>
      <c r="O174" s="31">
        <v>0.12</v>
      </c>
      <c r="P174" s="34">
        <f t="shared" si="35"/>
        <v>187800</v>
      </c>
      <c r="Q174" s="22" t="s">
        <v>1701</v>
      </c>
    </row>
    <row r="175" spans="1:17" x14ac:dyDescent="0.3">
      <c r="A175" s="22" t="s">
        <v>717</v>
      </c>
      <c r="B175" t="str">
        <f t="shared" si="24"/>
        <v>Nikhil Desai</v>
      </c>
      <c r="C175" t="str">
        <f t="shared" si="25"/>
        <v>Operations</v>
      </c>
      <c r="D175" s="30" t="str">
        <f t="shared" si="26"/>
        <v>L2</v>
      </c>
      <c r="E175" s="30" t="str">
        <f t="shared" si="27"/>
        <v>Active</v>
      </c>
      <c r="F175" s="32">
        <v>558000</v>
      </c>
      <c r="G175" s="33">
        <f t="shared" si="28"/>
        <v>510000</v>
      </c>
      <c r="H175" s="33">
        <f t="shared" si="29"/>
        <v>855000</v>
      </c>
      <c r="I175" s="33">
        <f t="shared" si="30"/>
        <v>1200000</v>
      </c>
      <c r="J175" s="25">
        <f t="shared" si="31"/>
        <v>0.65</v>
      </c>
      <c r="K175" s="22" t="str">
        <f t="shared" si="32"/>
        <v>Within Band</v>
      </c>
      <c r="L175" s="30">
        <f t="shared" si="33"/>
        <v>1</v>
      </c>
      <c r="M175" s="26">
        <v>1.2E-2</v>
      </c>
      <c r="N175" s="34">
        <f t="shared" si="34"/>
        <v>564700</v>
      </c>
      <c r="O175" s="31">
        <v>0</v>
      </c>
      <c r="P175" s="34">
        <f t="shared" si="35"/>
        <v>0</v>
      </c>
      <c r="Q175" s="22" t="s">
        <v>1701</v>
      </c>
    </row>
    <row r="176" spans="1:17" x14ac:dyDescent="0.3">
      <c r="A176" s="22" t="s">
        <v>720</v>
      </c>
      <c r="B176" t="str">
        <f t="shared" si="24"/>
        <v>Ananya Sharma</v>
      </c>
      <c r="C176" t="str">
        <f t="shared" si="25"/>
        <v>Human Resources</v>
      </c>
      <c r="D176" s="30" t="str">
        <f t="shared" si="26"/>
        <v>L2</v>
      </c>
      <c r="E176" s="30" t="str">
        <f t="shared" si="27"/>
        <v>Active</v>
      </c>
      <c r="F176" s="32">
        <v>889000</v>
      </c>
      <c r="G176" s="33">
        <f t="shared" si="28"/>
        <v>510000</v>
      </c>
      <c r="H176" s="33">
        <f t="shared" si="29"/>
        <v>855000</v>
      </c>
      <c r="I176" s="33">
        <f t="shared" si="30"/>
        <v>1200000</v>
      </c>
      <c r="J176" s="25">
        <f t="shared" si="31"/>
        <v>1.04</v>
      </c>
      <c r="K176" s="22" t="str">
        <f t="shared" si="32"/>
        <v>Within Band</v>
      </c>
      <c r="L176" s="30">
        <f t="shared" si="33"/>
        <v>4</v>
      </c>
      <c r="M176" s="26">
        <v>0.13900000000000001</v>
      </c>
      <c r="N176" s="34">
        <f t="shared" si="34"/>
        <v>1012600</v>
      </c>
      <c r="O176" s="31">
        <v>0.12</v>
      </c>
      <c r="P176" s="34">
        <f t="shared" si="35"/>
        <v>106700</v>
      </c>
      <c r="Q176" s="22" t="s">
        <v>1701</v>
      </c>
    </row>
    <row r="177" spans="1:17" x14ac:dyDescent="0.3">
      <c r="A177" s="22" t="s">
        <v>723</v>
      </c>
      <c r="B177" t="str">
        <f t="shared" si="24"/>
        <v>Manish Khanna</v>
      </c>
      <c r="C177" t="str">
        <f t="shared" si="25"/>
        <v>Customer Support</v>
      </c>
      <c r="D177" s="30" t="str">
        <f t="shared" si="26"/>
        <v>L3</v>
      </c>
      <c r="E177" s="30" t="str">
        <f t="shared" si="27"/>
        <v>Active</v>
      </c>
      <c r="F177" s="32">
        <v>1177000</v>
      </c>
      <c r="G177" s="33">
        <f t="shared" si="28"/>
        <v>850000</v>
      </c>
      <c r="H177" s="33">
        <f t="shared" si="29"/>
        <v>1445000</v>
      </c>
      <c r="I177" s="33">
        <f t="shared" si="30"/>
        <v>2040000</v>
      </c>
      <c r="J177" s="25">
        <f t="shared" si="31"/>
        <v>0.81</v>
      </c>
      <c r="K177" s="22" t="str">
        <f t="shared" si="32"/>
        <v>Within Band</v>
      </c>
      <c r="L177" s="30">
        <f t="shared" si="33"/>
        <v>4</v>
      </c>
      <c r="M177" s="26">
        <v>0.107</v>
      </c>
      <c r="N177" s="34">
        <f t="shared" si="34"/>
        <v>1302900</v>
      </c>
      <c r="O177" s="31">
        <v>0.12</v>
      </c>
      <c r="P177" s="34">
        <f t="shared" si="35"/>
        <v>141200</v>
      </c>
      <c r="Q177" s="22" t="s">
        <v>1701</v>
      </c>
    </row>
    <row r="178" spans="1:17" x14ac:dyDescent="0.3">
      <c r="A178" s="22" t="s">
        <v>728</v>
      </c>
      <c r="B178" t="str">
        <f t="shared" si="24"/>
        <v>Vinay Malhotra</v>
      </c>
      <c r="C178" t="str">
        <f t="shared" si="25"/>
        <v>Customer Support</v>
      </c>
      <c r="D178" s="30" t="str">
        <f t="shared" si="26"/>
        <v>L3</v>
      </c>
      <c r="E178" s="30" t="str">
        <f t="shared" si="27"/>
        <v>Active</v>
      </c>
      <c r="F178" s="32">
        <v>835000</v>
      </c>
      <c r="G178" s="33">
        <f t="shared" si="28"/>
        <v>850000</v>
      </c>
      <c r="H178" s="33">
        <f t="shared" si="29"/>
        <v>1445000</v>
      </c>
      <c r="I178" s="33">
        <f t="shared" si="30"/>
        <v>2040000</v>
      </c>
      <c r="J178" s="25">
        <f t="shared" si="31"/>
        <v>0.57999999999999996</v>
      </c>
      <c r="K178" s="22" t="str">
        <f t="shared" si="32"/>
        <v>Below Band</v>
      </c>
      <c r="L178" s="30">
        <f t="shared" si="33"/>
        <v>5</v>
      </c>
      <c r="M178" s="26">
        <v>0.187</v>
      </c>
      <c r="N178" s="34">
        <f t="shared" si="34"/>
        <v>991100</v>
      </c>
      <c r="O178" s="31">
        <v>0.18</v>
      </c>
      <c r="P178" s="34">
        <f t="shared" si="35"/>
        <v>150300</v>
      </c>
      <c r="Q178" s="22" t="s">
        <v>1701</v>
      </c>
    </row>
    <row r="179" spans="1:17" x14ac:dyDescent="0.3">
      <c r="A179" s="22" t="s">
        <v>731</v>
      </c>
      <c r="B179" t="str">
        <f t="shared" si="24"/>
        <v>Sai Kumar</v>
      </c>
      <c r="C179" t="str">
        <f t="shared" si="25"/>
        <v>Operations</v>
      </c>
      <c r="D179" s="30" t="str">
        <f t="shared" si="26"/>
        <v>L4</v>
      </c>
      <c r="E179" s="30" t="str">
        <f t="shared" si="27"/>
        <v>Active</v>
      </c>
      <c r="F179" s="32">
        <v>1954000</v>
      </c>
      <c r="G179" s="33">
        <f t="shared" si="28"/>
        <v>1445000</v>
      </c>
      <c r="H179" s="33">
        <f t="shared" si="29"/>
        <v>2342500</v>
      </c>
      <c r="I179" s="33">
        <f t="shared" si="30"/>
        <v>3240000</v>
      </c>
      <c r="J179" s="25">
        <f t="shared" si="31"/>
        <v>0.83</v>
      </c>
      <c r="K179" s="22" t="str">
        <f t="shared" si="32"/>
        <v>Within Band</v>
      </c>
      <c r="L179" s="30">
        <f t="shared" si="33"/>
        <v>4</v>
      </c>
      <c r="M179" s="26">
        <v>0.123</v>
      </c>
      <c r="N179" s="34">
        <f t="shared" si="34"/>
        <v>2194300</v>
      </c>
      <c r="O179" s="31">
        <v>0.12</v>
      </c>
      <c r="P179" s="34">
        <f t="shared" si="35"/>
        <v>234500</v>
      </c>
      <c r="Q179" s="22" t="s">
        <v>1700</v>
      </c>
    </row>
    <row r="180" spans="1:17" x14ac:dyDescent="0.3">
      <c r="A180" s="22" t="s">
        <v>734</v>
      </c>
      <c r="B180" t="str">
        <f t="shared" si="24"/>
        <v>Zara Chatterjee</v>
      </c>
      <c r="C180" t="str">
        <f t="shared" si="25"/>
        <v>Customer Support</v>
      </c>
      <c r="D180" s="30" t="str">
        <f t="shared" si="26"/>
        <v>L2</v>
      </c>
      <c r="E180" s="30" t="str">
        <f t="shared" si="27"/>
        <v>Active</v>
      </c>
      <c r="F180" s="32">
        <v>679000</v>
      </c>
      <c r="G180" s="33">
        <f t="shared" si="28"/>
        <v>510000</v>
      </c>
      <c r="H180" s="33">
        <f t="shared" si="29"/>
        <v>855000</v>
      </c>
      <c r="I180" s="33">
        <f t="shared" si="30"/>
        <v>1200000</v>
      </c>
      <c r="J180" s="25">
        <f t="shared" si="31"/>
        <v>0.79</v>
      </c>
      <c r="K180" s="22" t="str">
        <f t="shared" si="32"/>
        <v>Within Band</v>
      </c>
      <c r="L180" s="30">
        <f t="shared" si="33"/>
        <v>2</v>
      </c>
      <c r="M180" s="26">
        <v>3.3000000000000002E-2</v>
      </c>
      <c r="N180" s="34">
        <f t="shared" si="34"/>
        <v>701400</v>
      </c>
      <c r="O180" s="31">
        <v>0.03</v>
      </c>
      <c r="P180" s="34">
        <f t="shared" si="35"/>
        <v>20400</v>
      </c>
      <c r="Q180" s="22" t="s">
        <v>1701</v>
      </c>
    </row>
    <row r="181" spans="1:17" x14ac:dyDescent="0.3">
      <c r="A181" s="22" t="s">
        <v>737</v>
      </c>
      <c r="B181" t="str">
        <f t="shared" si="24"/>
        <v>Venkat Subramanian</v>
      </c>
      <c r="C181" t="str">
        <f t="shared" si="25"/>
        <v>Operations</v>
      </c>
      <c r="D181" s="30" t="str">
        <f t="shared" si="26"/>
        <v>L2</v>
      </c>
      <c r="E181" s="30" t="str">
        <f t="shared" si="27"/>
        <v>Exited</v>
      </c>
      <c r="F181" s="32">
        <v>802000</v>
      </c>
      <c r="G181" s="33">
        <f t="shared" si="28"/>
        <v>510000</v>
      </c>
      <c r="H181" s="33">
        <f t="shared" si="29"/>
        <v>855000</v>
      </c>
      <c r="I181" s="33">
        <f t="shared" si="30"/>
        <v>1200000</v>
      </c>
      <c r="J181" s="25">
        <f t="shared" si="31"/>
        <v>0.94</v>
      </c>
      <c r="K181" s="22" t="str">
        <f t="shared" si="32"/>
        <v>Within Band</v>
      </c>
      <c r="L181" s="30">
        <f t="shared" si="33"/>
        <v>4</v>
      </c>
      <c r="M181" s="26">
        <v>0.105</v>
      </c>
      <c r="N181" s="34">
        <f t="shared" si="34"/>
        <v>0</v>
      </c>
      <c r="O181" s="31">
        <v>0.12</v>
      </c>
      <c r="P181" s="34">
        <f t="shared" si="35"/>
        <v>0</v>
      </c>
      <c r="Q181" s="22" t="s">
        <v>1701</v>
      </c>
    </row>
    <row r="182" spans="1:17" x14ac:dyDescent="0.3">
      <c r="A182" s="22" t="s">
        <v>740</v>
      </c>
      <c r="B182" t="str">
        <f t="shared" si="24"/>
        <v>Radhika Saxena</v>
      </c>
      <c r="C182" t="str">
        <f t="shared" si="25"/>
        <v>Finance</v>
      </c>
      <c r="D182" s="30" t="str">
        <f t="shared" si="26"/>
        <v>L3</v>
      </c>
      <c r="E182" s="30" t="str">
        <f t="shared" si="27"/>
        <v>Active</v>
      </c>
      <c r="F182" s="32">
        <v>1055000</v>
      </c>
      <c r="G182" s="33">
        <f t="shared" si="28"/>
        <v>850000</v>
      </c>
      <c r="H182" s="33">
        <f t="shared" si="29"/>
        <v>1445000</v>
      </c>
      <c r="I182" s="33">
        <f t="shared" si="30"/>
        <v>2040000</v>
      </c>
      <c r="J182" s="25">
        <f t="shared" si="31"/>
        <v>0.73</v>
      </c>
      <c r="K182" s="22" t="str">
        <f t="shared" si="32"/>
        <v>Within Band</v>
      </c>
      <c r="L182" s="30">
        <f t="shared" si="33"/>
        <v>3</v>
      </c>
      <c r="M182" s="26">
        <v>9.1999999999999998E-2</v>
      </c>
      <c r="N182" s="34">
        <f t="shared" si="34"/>
        <v>1152100</v>
      </c>
      <c r="O182" s="31">
        <v>0.08</v>
      </c>
      <c r="P182" s="34">
        <f t="shared" si="35"/>
        <v>84400</v>
      </c>
      <c r="Q182" s="22" t="s">
        <v>1701</v>
      </c>
    </row>
    <row r="183" spans="1:17" x14ac:dyDescent="0.3">
      <c r="A183" s="22" t="s">
        <v>743</v>
      </c>
      <c r="B183" t="str">
        <f t="shared" si="24"/>
        <v>Revathi Pandey</v>
      </c>
      <c r="C183" t="str">
        <f t="shared" si="25"/>
        <v>Human Resources</v>
      </c>
      <c r="D183" s="30" t="str">
        <f t="shared" si="26"/>
        <v>L2</v>
      </c>
      <c r="E183" s="30" t="str">
        <f t="shared" si="27"/>
        <v>Active</v>
      </c>
      <c r="F183" s="32">
        <v>660000</v>
      </c>
      <c r="G183" s="33">
        <f t="shared" si="28"/>
        <v>510000</v>
      </c>
      <c r="H183" s="33">
        <f t="shared" si="29"/>
        <v>855000</v>
      </c>
      <c r="I183" s="33">
        <f t="shared" si="30"/>
        <v>1200000</v>
      </c>
      <c r="J183" s="25">
        <f t="shared" si="31"/>
        <v>0.77</v>
      </c>
      <c r="K183" s="22" t="str">
        <f t="shared" si="32"/>
        <v>Within Band</v>
      </c>
      <c r="L183" s="30">
        <f t="shared" si="33"/>
        <v>4</v>
      </c>
      <c r="M183" s="26">
        <v>0.113</v>
      </c>
      <c r="N183" s="34">
        <f t="shared" si="34"/>
        <v>734600</v>
      </c>
      <c r="O183" s="31">
        <v>0.12</v>
      </c>
      <c r="P183" s="34">
        <f t="shared" si="35"/>
        <v>79200</v>
      </c>
      <c r="Q183" s="22" t="s">
        <v>1701</v>
      </c>
    </row>
    <row r="184" spans="1:17" x14ac:dyDescent="0.3">
      <c r="A184" s="22" t="s">
        <v>746</v>
      </c>
      <c r="B184" t="str">
        <f t="shared" si="24"/>
        <v>Tarun Pandey</v>
      </c>
      <c r="C184" t="str">
        <f t="shared" si="25"/>
        <v>Data &amp; Analytics</v>
      </c>
      <c r="D184" s="30" t="str">
        <f t="shared" si="26"/>
        <v>L2</v>
      </c>
      <c r="E184" s="30" t="str">
        <f t="shared" si="27"/>
        <v>Active</v>
      </c>
      <c r="F184" s="32">
        <v>924000</v>
      </c>
      <c r="G184" s="33">
        <f t="shared" si="28"/>
        <v>510000</v>
      </c>
      <c r="H184" s="33">
        <f t="shared" si="29"/>
        <v>855000</v>
      </c>
      <c r="I184" s="33">
        <f t="shared" si="30"/>
        <v>1200000</v>
      </c>
      <c r="J184" s="25">
        <f t="shared" si="31"/>
        <v>1.08</v>
      </c>
      <c r="K184" s="22" t="str">
        <f t="shared" si="32"/>
        <v>Within Band</v>
      </c>
      <c r="L184" s="30">
        <f t="shared" si="33"/>
        <v>4</v>
      </c>
      <c r="M184" s="26">
        <v>0.114</v>
      </c>
      <c r="N184" s="34">
        <f t="shared" si="34"/>
        <v>1029300</v>
      </c>
      <c r="O184" s="31">
        <v>0.12</v>
      </c>
      <c r="P184" s="34">
        <f t="shared" si="35"/>
        <v>110900</v>
      </c>
      <c r="Q184" s="22" t="s">
        <v>1701</v>
      </c>
    </row>
    <row r="185" spans="1:17" x14ac:dyDescent="0.3">
      <c r="A185" s="22" t="s">
        <v>750</v>
      </c>
      <c r="B185" t="str">
        <f t="shared" si="24"/>
        <v>Amit Shah</v>
      </c>
      <c r="C185" t="str">
        <f t="shared" si="25"/>
        <v>Operations</v>
      </c>
      <c r="D185" s="30" t="str">
        <f t="shared" si="26"/>
        <v>L2</v>
      </c>
      <c r="E185" s="30" t="str">
        <f t="shared" si="27"/>
        <v>Active</v>
      </c>
      <c r="F185" s="32">
        <v>558000</v>
      </c>
      <c r="G185" s="33">
        <f t="shared" si="28"/>
        <v>510000</v>
      </c>
      <c r="H185" s="33">
        <f t="shared" si="29"/>
        <v>855000</v>
      </c>
      <c r="I185" s="33">
        <f t="shared" si="30"/>
        <v>1200000</v>
      </c>
      <c r="J185" s="25">
        <f t="shared" si="31"/>
        <v>0.65</v>
      </c>
      <c r="K185" s="22" t="str">
        <f t="shared" si="32"/>
        <v>Within Band</v>
      </c>
      <c r="L185" s="30">
        <f t="shared" si="33"/>
        <v>3</v>
      </c>
      <c r="M185" s="26">
        <v>7.0000000000000007E-2</v>
      </c>
      <c r="N185" s="34">
        <f t="shared" si="34"/>
        <v>597100</v>
      </c>
      <c r="O185" s="31">
        <v>0.08</v>
      </c>
      <c r="P185" s="34">
        <f t="shared" si="35"/>
        <v>44600</v>
      </c>
      <c r="Q185" s="22" t="s">
        <v>1701</v>
      </c>
    </row>
    <row r="186" spans="1:17" x14ac:dyDescent="0.3">
      <c r="A186" s="22" t="s">
        <v>753</v>
      </c>
      <c r="B186" t="str">
        <f t="shared" si="24"/>
        <v>Arjun Nair</v>
      </c>
      <c r="C186" t="str">
        <f t="shared" si="25"/>
        <v>Marketing</v>
      </c>
      <c r="D186" s="30" t="str">
        <f t="shared" si="26"/>
        <v>L2</v>
      </c>
      <c r="E186" s="30" t="str">
        <f t="shared" si="27"/>
        <v>Active</v>
      </c>
      <c r="F186" s="32">
        <v>790000</v>
      </c>
      <c r="G186" s="33">
        <f t="shared" si="28"/>
        <v>510000</v>
      </c>
      <c r="H186" s="33">
        <f t="shared" si="29"/>
        <v>855000</v>
      </c>
      <c r="I186" s="33">
        <f t="shared" si="30"/>
        <v>1200000</v>
      </c>
      <c r="J186" s="25">
        <f t="shared" si="31"/>
        <v>0.92</v>
      </c>
      <c r="K186" s="22" t="str">
        <f t="shared" si="32"/>
        <v>Within Band</v>
      </c>
      <c r="L186" s="30">
        <f t="shared" si="33"/>
        <v>3</v>
      </c>
      <c r="M186" s="26">
        <v>7.1999999999999995E-2</v>
      </c>
      <c r="N186" s="34">
        <f t="shared" si="34"/>
        <v>846900</v>
      </c>
      <c r="O186" s="31">
        <v>0.08</v>
      </c>
      <c r="P186" s="34">
        <f t="shared" si="35"/>
        <v>63200</v>
      </c>
      <c r="Q186" s="22" t="s">
        <v>1701</v>
      </c>
    </row>
    <row r="187" spans="1:17" x14ac:dyDescent="0.3">
      <c r="A187" s="22" t="s">
        <v>756</v>
      </c>
      <c r="B187" t="str">
        <f t="shared" si="24"/>
        <v>Yash Das</v>
      </c>
      <c r="C187" t="str">
        <f t="shared" si="25"/>
        <v>Product</v>
      </c>
      <c r="D187" s="30" t="str">
        <f t="shared" si="26"/>
        <v>L2</v>
      </c>
      <c r="E187" s="30" t="str">
        <f t="shared" si="27"/>
        <v>Active</v>
      </c>
      <c r="F187" s="32">
        <v>846000</v>
      </c>
      <c r="G187" s="33">
        <f t="shared" si="28"/>
        <v>510000</v>
      </c>
      <c r="H187" s="33">
        <f t="shared" si="29"/>
        <v>855000</v>
      </c>
      <c r="I187" s="33">
        <f t="shared" si="30"/>
        <v>1200000</v>
      </c>
      <c r="J187" s="25">
        <f t="shared" si="31"/>
        <v>0.99</v>
      </c>
      <c r="K187" s="22" t="str">
        <f t="shared" si="32"/>
        <v>Within Band</v>
      </c>
      <c r="L187" s="30">
        <f t="shared" si="33"/>
        <v>1</v>
      </c>
      <c r="M187" s="26">
        <v>7.0000000000000001E-3</v>
      </c>
      <c r="N187" s="34">
        <f t="shared" si="34"/>
        <v>851900</v>
      </c>
      <c r="O187" s="31">
        <v>0</v>
      </c>
      <c r="P187" s="34">
        <f t="shared" si="35"/>
        <v>0</v>
      </c>
      <c r="Q187" s="22" t="s">
        <v>1701</v>
      </c>
    </row>
    <row r="188" spans="1:17" x14ac:dyDescent="0.3">
      <c r="A188" s="22" t="s">
        <v>759</v>
      </c>
      <c r="B188" t="str">
        <f t="shared" si="24"/>
        <v>Manish Siddiqui</v>
      </c>
      <c r="C188" t="str">
        <f t="shared" si="25"/>
        <v>Legal &amp; Compliance</v>
      </c>
      <c r="D188" s="30" t="str">
        <f t="shared" si="26"/>
        <v>L2</v>
      </c>
      <c r="E188" s="30" t="str">
        <f t="shared" si="27"/>
        <v>Active</v>
      </c>
      <c r="F188" s="32">
        <v>781000</v>
      </c>
      <c r="G188" s="33">
        <f t="shared" si="28"/>
        <v>510000</v>
      </c>
      <c r="H188" s="33">
        <f t="shared" si="29"/>
        <v>855000</v>
      </c>
      <c r="I188" s="33">
        <f t="shared" si="30"/>
        <v>1200000</v>
      </c>
      <c r="J188" s="25">
        <f t="shared" si="31"/>
        <v>0.91</v>
      </c>
      <c r="K188" s="22" t="str">
        <f t="shared" si="32"/>
        <v>Within Band</v>
      </c>
      <c r="L188" s="30">
        <f t="shared" si="33"/>
        <v>4</v>
      </c>
      <c r="M188" s="26">
        <v>0.13</v>
      </c>
      <c r="N188" s="34">
        <f t="shared" si="34"/>
        <v>882500</v>
      </c>
      <c r="O188" s="31">
        <v>0.12</v>
      </c>
      <c r="P188" s="34">
        <f t="shared" si="35"/>
        <v>93700</v>
      </c>
      <c r="Q188" s="22" t="s">
        <v>1701</v>
      </c>
    </row>
    <row r="189" spans="1:17" x14ac:dyDescent="0.3">
      <c r="A189" s="22" t="s">
        <v>762</v>
      </c>
      <c r="B189" t="str">
        <f t="shared" si="24"/>
        <v>Gaurav Ansari</v>
      </c>
      <c r="C189" t="str">
        <f t="shared" si="25"/>
        <v>Human Resources</v>
      </c>
      <c r="D189" s="30" t="str">
        <f t="shared" si="26"/>
        <v>L3</v>
      </c>
      <c r="E189" s="30" t="str">
        <f t="shared" si="27"/>
        <v>Active</v>
      </c>
      <c r="F189" s="32">
        <v>1672000</v>
      </c>
      <c r="G189" s="33">
        <f t="shared" si="28"/>
        <v>850000</v>
      </c>
      <c r="H189" s="33">
        <f t="shared" si="29"/>
        <v>1445000</v>
      </c>
      <c r="I189" s="33">
        <f t="shared" si="30"/>
        <v>2040000</v>
      </c>
      <c r="J189" s="25">
        <f t="shared" si="31"/>
        <v>1.1599999999999999</v>
      </c>
      <c r="K189" s="22" t="str">
        <f t="shared" si="32"/>
        <v>Within Band</v>
      </c>
      <c r="L189" s="30">
        <f t="shared" si="33"/>
        <v>3</v>
      </c>
      <c r="M189" s="26">
        <v>8.1000000000000003E-2</v>
      </c>
      <c r="N189" s="34">
        <f t="shared" si="34"/>
        <v>1807400</v>
      </c>
      <c r="O189" s="31">
        <v>0.08</v>
      </c>
      <c r="P189" s="34">
        <f t="shared" si="35"/>
        <v>133800</v>
      </c>
      <c r="Q189" s="22" t="s">
        <v>1701</v>
      </c>
    </row>
    <row r="190" spans="1:17" x14ac:dyDescent="0.3">
      <c r="A190" s="22" t="s">
        <v>416</v>
      </c>
      <c r="B190" t="str">
        <f t="shared" si="24"/>
        <v>Ramya Menon</v>
      </c>
      <c r="C190" t="str">
        <f t="shared" si="25"/>
        <v>Operations</v>
      </c>
      <c r="D190" s="30" t="str">
        <f t="shared" si="26"/>
        <v>L5</v>
      </c>
      <c r="E190" s="30" t="str">
        <f t="shared" si="27"/>
        <v>Active</v>
      </c>
      <c r="F190" s="32">
        <v>3755000</v>
      </c>
      <c r="G190" s="33">
        <f t="shared" si="28"/>
        <v>2295000</v>
      </c>
      <c r="H190" s="33">
        <f t="shared" si="29"/>
        <v>3667500</v>
      </c>
      <c r="I190" s="33">
        <f t="shared" si="30"/>
        <v>5040000</v>
      </c>
      <c r="J190" s="25">
        <f t="shared" si="31"/>
        <v>1.02</v>
      </c>
      <c r="K190" s="22" t="str">
        <f t="shared" si="32"/>
        <v>Within Band</v>
      </c>
      <c r="L190" s="30">
        <f t="shared" si="33"/>
        <v>5</v>
      </c>
      <c r="M190" s="26">
        <v>0.16</v>
      </c>
      <c r="N190" s="34">
        <f t="shared" si="34"/>
        <v>4355800</v>
      </c>
      <c r="O190" s="31">
        <v>0.18</v>
      </c>
      <c r="P190" s="34">
        <f t="shared" si="35"/>
        <v>675900</v>
      </c>
      <c r="Q190" s="22" t="s">
        <v>1700</v>
      </c>
    </row>
    <row r="191" spans="1:17" x14ac:dyDescent="0.3">
      <c r="A191" s="22" t="s">
        <v>766</v>
      </c>
      <c r="B191" t="str">
        <f t="shared" si="24"/>
        <v>Imran Kapoor</v>
      </c>
      <c r="C191" t="str">
        <f t="shared" si="25"/>
        <v>Operations</v>
      </c>
      <c r="D191" s="30" t="str">
        <f t="shared" si="26"/>
        <v>L2</v>
      </c>
      <c r="E191" s="30" t="str">
        <f t="shared" si="27"/>
        <v>Active</v>
      </c>
      <c r="F191" s="32">
        <v>661000</v>
      </c>
      <c r="G191" s="33">
        <f t="shared" si="28"/>
        <v>510000</v>
      </c>
      <c r="H191" s="33">
        <f t="shared" si="29"/>
        <v>855000</v>
      </c>
      <c r="I191" s="33">
        <f t="shared" si="30"/>
        <v>1200000</v>
      </c>
      <c r="J191" s="25">
        <f t="shared" si="31"/>
        <v>0.77</v>
      </c>
      <c r="K191" s="22" t="str">
        <f t="shared" si="32"/>
        <v>Within Band</v>
      </c>
      <c r="L191" s="30">
        <f t="shared" si="33"/>
        <v>4</v>
      </c>
      <c r="M191" s="26">
        <v>0.13300000000000001</v>
      </c>
      <c r="N191" s="34">
        <f t="shared" si="34"/>
        <v>748900</v>
      </c>
      <c r="O191" s="31">
        <v>0.12</v>
      </c>
      <c r="P191" s="34">
        <f t="shared" si="35"/>
        <v>79300</v>
      </c>
      <c r="Q191" s="22" t="s">
        <v>1701</v>
      </c>
    </row>
    <row r="192" spans="1:17" x14ac:dyDescent="0.3">
      <c r="A192" s="22" t="s">
        <v>769</v>
      </c>
      <c r="B192" t="str">
        <f t="shared" si="24"/>
        <v>Pooja Choudhary</v>
      </c>
      <c r="C192" t="str">
        <f t="shared" si="25"/>
        <v>Sales</v>
      </c>
      <c r="D192" s="30" t="str">
        <f t="shared" si="26"/>
        <v>L4</v>
      </c>
      <c r="E192" s="30" t="str">
        <f t="shared" si="27"/>
        <v>Active</v>
      </c>
      <c r="F192" s="32">
        <v>1669000</v>
      </c>
      <c r="G192" s="33">
        <f t="shared" si="28"/>
        <v>1445000</v>
      </c>
      <c r="H192" s="33">
        <f t="shared" si="29"/>
        <v>2342500</v>
      </c>
      <c r="I192" s="33">
        <f t="shared" si="30"/>
        <v>3240000</v>
      </c>
      <c r="J192" s="25">
        <f t="shared" si="31"/>
        <v>0.71</v>
      </c>
      <c r="K192" s="22" t="str">
        <f t="shared" si="32"/>
        <v>Within Band</v>
      </c>
      <c r="L192" s="30">
        <f t="shared" si="33"/>
        <v>2</v>
      </c>
      <c r="M192" s="26">
        <v>4.2999999999999997E-2</v>
      </c>
      <c r="N192" s="34">
        <f t="shared" si="34"/>
        <v>1740800</v>
      </c>
      <c r="O192" s="31">
        <v>0.03</v>
      </c>
      <c r="P192" s="34">
        <f t="shared" si="35"/>
        <v>50100</v>
      </c>
      <c r="Q192" s="22" t="s">
        <v>1701</v>
      </c>
    </row>
    <row r="193" spans="1:17" x14ac:dyDescent="0.3">
      <c r="A193" s="22" t="s">
        <v>772</v>
      </c>
      <c r="B193" t="str">
        <f t="shared" si="24"/>
        <v>Ayesha Mishra</v>
      </c>
      <c r="C193" t="str">
        <f t="shared" si="25"/>
        <v>Sales</v>
      </c>
      <c r="D193" s="30" t="str">
        <f t="shared" si="26"/>
        <v>L3</v>
      </c>
      <c r="E193" s="30" t="str">
        <f t="shared" si="27"/>
        <v>Active</v>
      </c>
      <c r="F193" s="32">
        <v>1312000</v>
      </c>
      <c r="G193" s="33">
        <f t="shared" si="28"/>
        <v>850000</v>
      </c>
      <c r="H193" s="33">
        <f t="shared" si="29"/>
        <v>1445000</v>
      </c>
      <c r="I193" s="33">
        <f t="shared" si="30"/>
        <v>2040000</v>
      </c>
      <c r="J193" s="25">
        <f t="shared" si="31"/>
        <v>0.91</v>
      </c>
      <c r="K193" s="22" t="str">
        <f t="shared" si="32"/>
        <v>Within Band</v>
      </c>
      <c r="L193" s="30">
        <f t="shared" si="33"/>
        <v>4</v>
      </c>
      <c r="M193" s="26">
        <v>0.13300000000000001</v>
      </c>
      <c r="N193" s="34">
        <f t="shared" si="34"/>
        <v>1486500</v>
      </c>
      <c r="O193" s="31">
        <v>0.12</v>
      </c>
      <c r="P193" s="34">
        <f t="shared" si="35"/>
        <v>157400</v>
      </c>
      <c r="Q193" s="22" t="s">
        <v>1701</v>
      </c>
    </row>
    <row r="194" spans="1:17" x14ac:dyDescent="0.3">
      <c r="A194" s="22" t="s">
        <v>775</v>
      </c>
      <c r="B194" t="str">
        <f t="shared" ref="B194:B257" si="36">INDEX(M_Name,MATCH($A194,M_ID,0))</f>
        <v>Rajesh Kapoor</v>
      </c>
      <c r="C194" t="str">
        <f t="shared" ref="C194:C257" si="37">INDEX(M_Dept,MATCH($A194,M_ID,0))</f>
        <v>Sales</v>
      </c>
      <c r="D194" s="30" t="str">
        <f t="shared" ref="D194:D257" si="38">INDEX(M_Level,MATCH($A194,M_ID,0))</f>
        <v>L2</v>
      </c>
      <c r="E194" s="30" t="str">
        <f t="shared" ref="E194:E257" si="39">INDEX(M_Status,MATCH($A194,M_ID,0))</f>
        <v>Exited</v>
      </c>
      <c r="F194" s="32">
        <v>838000</v>
      </c>
      <c r="G194" s="33">
        <f t="shared" ref="G194:G257" si="40">INDEX(BandMin,MATCH(D194,BandLevels,0))</f>
        <v>510000</v>
      </c>
      <c r="H194" s="33">
        <f t="shared" ref="H194:H257" si="41">INDEX(BandMid,MATCH(D194,BandLevels,0))</f>
        <v>855000</v>
      </c>
      <c r="I194" s="33">
        <f t="shared" ref="I194:I257" si="42">INDEX(BandMax,MATCH(D194,BandLevels,0))</f>
        <v>1200000</v>
      </c>
      <c r="J194" s="25">
        <f t="shared" ref="J194:J257" si="43">ROUND(F194/H194,2)</f>
        <v>0.98</v>
      </c>
      <c r="K194" s="22" t="str">
        <f t="shared" ref="K194:K257" si="44">IF(F194&lt;G194,"Below Band",IF(F194&gt;I194,"Above Band","Within Band"))</f>
        <v>Within Band</v>
      </c>
      <c r="L194" s="30">
        <f t="shared" ref="L194:L257" si="45">INDEX(P_Rating,MATCH($A194,M_ID,0))</f>
        <v>1</v>
      </c>
      <c r="M194" s="26">
        <v>-7.0000000000000001E-3</v>
      </c>
      <c r="N194" s="34">
        <f t="shared" ref="N194:N257" si="46">IF(E194="Exited",0,ROUND(F194*(1+M194),-2))</f>
        <v>0</v>
      </c>
      <c r="O194" s="31">
        <v>0</v>
      </c>
      <c r="P194" s="34">
        <f t="shared" ref="P194:P257" si="47">IF(E194="Exited",0,ROUND(F194*O194,-2))</f>
        <v>0</v>
      </c>
      <c r="Q194" s="22" t="s">
        <v>1701</v>
      </c>
    </row>
    <row r="195" spans="1:17" x14ac:dyDescent="0.3">
      <c r="A195" s="22" t="s">
        <v>201</v>
      </c>
      <c r="B195" t="str">
        <f t="shared" si="36"/>
        <v>Ashish Varghese</v>
      </c>
      <c r="C195" t="str">
        <f t="shared" si="37"/>
        <v>Customer Support</v>
      </c>
      <c r="D195" s="30" t="str">
        <f t="shared" si="38"/>
        <v>L5</v>
      </c>
      <c r="E195" s="30" t="str">
        <f t="shared" si="39"/>
        <v>Active</v>
      </c>
      <c r="F195" s="32">
        <v>3049000</v>
      </c>
      <c r="G195" s="33">
        <f t="shared" si="40"/>
        <v>2295000</v>
      </c>
      <c r="H195" s="33">
        <f t="shared" si="41"/>
        <v>3667500</v>
      </c>
      <c r="I195" s="33">
        <f t="shared" si="42"/>
        <v>5040000</v>
      </c>
      <c r="J195" s="25">
        <f t="shared" si="43"/>
        <v>0.83</v>
      </c>
      <c r="K195" s="22" t="str">
        <f t="shared" si="44"/>
        <v>Within Band</v>
      </c>
      <c r="L195" s="30">
        <f t="shared" si="45"/>
        <v>4</v>
      </c>
      <c r="M195" s="26">
        <v>0.11700000000000001</v>
      </c>
      <c r="N195" s="34">
        <f t="shared" si="46"/>
        <v>3405700</v>
      </c>
      <c r="O195" s="31">
        <v>0.12</v>
      </c>
      <c r="P195" s="34">
        <f t="shared" si="47"/>
        <v>365900</v>
      </c>
      <c r="Q195" s="22" t="s">
        <v>1700</v>
      </c>
    </row>
    <row r="196" spans="1:17" x14ac:dyDescent="0.3">
      <c r="A196" s="22" t="s">
        <v>779</v>
      </c>
      <c r="B196" t="str">
        <f t="shared" si="36"/>
        <v>Pallavi Das</v>
      </c>
      <c r="C196" t="str">
        <f t="shared" si="37"/>
        <v>Finance</v>
      </c>
      <c r="D196" s="30" t="str">
        <f t="shared" si="38"/>
        <v>L2</v>
      </c>
      <c r="E196" s="30" t="str">
        <f t="shared" si="39"/>
        <v>Active</v>
      </c>
      <c r="F196" s="32">
        <v>710000</v>
      </c>
      <c r="G196" s="33">
        <f t="shared" si="40"/>
        <v>510000</v>
      </c>
      <c r="H196" s="33">
        <f t="shared" si="41"/>
        <v>855000</v>
      </c>
      <c r="I196" s="33">
        <f t="shared" si="42"/>
        <v>1200000</v>
      </c>
      <c r="J196" s="25">
        <f t="shared" si="43"/>
        <v>0.83</v>
      </c>
      <c r="K196" s="22" t="str">
        <f t="shared" si="44"/>
        <v>Within Band</v>
      </c>
      <c r="L196" s="30">
        <f t="shared" si="45"/>
        <v>3</v>
      </c>
      <c r="M196" s="26">
        <v>6.7000000000000004E-2</v>
      </c>
      <c r="N196" s="34">
        <f t="shared" si="46"/>
        <v>757600</v>
      </c>
      <c r="O196" s="31">
        <v>0.08</v>
      </c>
      <c r="P196" s="34">
        <f t="shared" si="47"/>
        <v>56800</v>
      </c>
      <c r="Q196" s="22" t="s">
        <v>1701</v>
      </c>
    </row>
    <row r="197" spans="1:17" x14ac:dyDescent="0.3">
      <c r="A197" s="22" t="s">
        <v>782</v>
      </c>
      <c r="B197" t="str">
        <f t="shared" si="36"/>
        <v>Vikas Bansal</v>
      </c>
      <c r="C197" t="str">
        <f t="shared" si="37"/>
        <v>Engineering</v>
      </c>
      <c r="D197" s="30" t="str">
        <f t="shared" si="38"/>
        <v>L4</v>
      </c>
      <c r="E197" s="30" t="str">
        <f t="shared" si="39"/>
        <v>Active</v>
      </c>
      <c r="F197" s="32">
        <v>3212000</v>
      </c>
      <c r="G197" s="33">
        <f t="shared" si="40"/>
        <v>1445000</v>
      </c>
      <c r="H197" s="33">
        <f t="shared" si="41"/>
        <v>2342500</v>
      </c>
      <c r="I197" s="33">
        <f t="shared" si="42"/>
        <v>3240000</v>
      </c>
      <c r="J197" s="25">
        <f t="shared" si="43"/>
        <v>1.37</v>
      </c>
      <c r="K197" s="22" t="str">
        <f t="shared" si="44"/>
        <v>Within Band</v>
      </c>
      <c r="L197" s="30">
        <f t="shared" si="45"/>
        <v>3</v>
      </c>
      <c r="M197" s="26">
        <v>0.1</v>
      </c>
      <c r="N197" s="34">
        <f t="shared" si="46"/>
        <v>3533200</v>
      </c>
      <c r="O197" s="31">
        <v>0.08</v>
      </c>
      <c r="P197" s="34">
        <f t="shared" si="47"/>
        <v>257000</v>
      </c>
      <c r="Q197" s="22" t="s">
        <v>1701</v>
      </c>
    </row>
    <row r="198" spans="1:17" x14ac:dyDescent="0.3">
      <c r="A198" s="22" t="s">
        <v>785</v>
      </c>
      <c r="B198" t="str">
        <f t="shared" si="36"/>
        <v>Mansi Naidu</v>
      </c>
      <c r="C198" t="str">
        <f t="shared" si="37"/>
        <v>Legal &amp; Compliance</v>
      </c>
      <c r="D198" s="30" t="str">
        <f t="shared" si="38"/>
        <v>L3</v>
      </c>
      <c r="E198" s="30" t="str">
        <f t="shared" si="39"/>
        <v>Active</v>
      </c>
      <c r="F198" s="32">
        <v>1606000</v>
      </c>
      <c r="G198" s="33">
        <f t="shared" si="40"/>
        <v>850000</v>
      </c>
      <c r="H198" s="33">
        <f t="shared" si="41"/>
        <v>1445000</v>
      </c>
      <c r="I198" s="33">
        <f t="shared" si="42"/>
        <v>2040000</v>
      </c>
      <c r="J198" s="25">
        <f t="shared" si="43"/>
        <v>1.1100000000000001</v>
      </c>
      <c r="K198" s="22" t="str">
        <f t="shared" si="44"/>
        <v>Within Band</v>
      </c>
      <c r="L198" s="30">
        <f t="shared" si="45"/>
        <v>1</v>
      </c>
      <c r="M198" s="26">
        <v>8.9999999999999993E-3</v>
      </c>
      <c r="N198" s="34">
        <f t="shared" si="46"/>
        <v>1620500</v>
      </c>
      <c r="O198" s="31">
        <v>0</v>
      </c>
      <c r="P198" s="34">
        <f t="shared" si="47"/>
        <v>0</v>
      </c>
      <c r="Q198" s="22" t="s">
        <v>1701</v>
      </c>
    </row>
    <row r="199" spans="1:17" x14ac:dyDescent="0.3">
      <c r="A199" s="22" t="s">
        <v>788</v>
      </c>
      <c r="B199" t="str">
        <f t="shared" si="36"/>
        <v>Siddharth Dsouza</v>
      </c>
      <c r="C199" t="str">
        <f t="shared" si="37"/>
        <v>Sales</v>
      </c>
      <c r="D199" s="30" t="str">
        <f t="shared" si="38"/>
        <v>L3</v>
      </c>
      <c r="E199" s="30" t="str">
        <f t="shared" si="39"/>
        <v>Active</v>
      </c>
      <c r="F199" s="32">
        <v>1142000</v>
      </c>
      <c r="G199" s="33">
        <f t="shared" si="40"/>
        <v>850000</v>
      </c>
      <c r="H199" s="33">
        <f t="shared" si="41"/>
        <v>1445000</v>
      </c>
      <c r="I199" s="33">
        <f t="shared" si="42"/>
        <v>2040000</v>
      </c>
      <c r="J199" s="25">
        <f t="shared" si="43"/>
        <v>0.79</v>
      </c>
      <c r="K199" s="22" t="str">
        <f t="shared" si="44"/>
        <v>Within Band</v>
      </c>
      <c r="L199" s="30">
        <f t="shared" si="45"/>
        <v>3</v>
      </c>
      <c r="M199" s="26">
        <v>9.6000000000000002E-2</v>
      </c>
      <c r="N199" s="34">
        <f t="shared" si="46"/>
        <v>1251600</v>
      </c>
      <c r="O199" s="31">
        <v>0.08</v>
      </c>
      <c r="P199" s="34">
        <f t="shared" si="47"/>
        <v>91400</v>
      </c>
      <c r="Q199" s="22" t="s">
        <v>1701</v>
      </c>
    </row>
    <row r="200" spans="1:17" x14ac:dyDescent="0.3">
      <c r="A200" s="22" t="s">
        <v>791</v>
      </c>
      <c r="B200" t="str">
        <f t="shared" si="36"/>
        <v>Anjali Bansal</v>
      </c>
      <c r="C200" t="str">
        <f t="shared" si="37"/>
        <v>Operations</v>
      </c>
      <c r="D200" s="30" t="str">
        <f t="shared" si="38"/>
        <v>L3</v>
      </c>
      <c r="E200" s="30" t="str">
        <f t="shared" si="39"/>
        <v>Active</v>
      </c>
      <c r="F200" s="32">
        <v>1172000</v>
      </c>
      <c r="G200" s="33">
        <f t="shared" si="40"/>
        <v>850000</v>
      </c>
      <c r="H200" s="33">
        <f t="shared" si="41"/>
        <v>1445000</v>
      </c>
      <c r="I200" s="33">
        <f t="shared" si="42"/>
        <v>2040000</v>
      </c>
      <c r="J200" s="25">
        <f t="shared" si="43"/>
        <v>0.81</v>
      </c>
      <c r="K200" s="22" t="str">
        <f t="shared" si="44"/>
        <v>Within Band</v>
      </c>
      <c r="L200" s="30">
        <f t="shared" si="45"/>
        <v>2</v>
      </c>
      <c r="M200" s="26">
        <v>2.1000000000000001E-2</v>
      </c>
      <c r="N200" s="34">
        <f t="shared" si="46"/>
        <v>1196600</v>
      </c>
      <c r="O200" s="31">
        <v>0.03</v>
      </c>
      <c r="P200" s="34">
        <f t="shared" si="47"/>
        <v>35200</v>
      </c>
      <c r="Q200" s="22" t="s">
        <v>1701</v>
      </c>
    </row>
    <row r="201" spans="1:17" x14ac:dyDescent="0.3">
      <c r="A201" s="22" t="s">
        <v>794</v>
      </c>
      <c r="B201" t="str">
        <f t="shared" si="36"/>
        <v>Arun Jain</v>
      </c>
      <c r="C201" t="str">
        <f t="shared" si="37"/>
        <v>Operations</v>
      </c>
      <c r="D201" s="30" t="str">
        <f t="shared" si="38"/>
        <v>L4</v>
      </c>
      <c r="E201" s="30" t="str">
        <f t="shared" si="39"/>
        <v>Active</v>
      </c>
      <c r="F201" s="32">
        <v>1941000</v>
      </c>
      <c r="G201" s="33">
        <f t="shared" si="40"/>
        <v>1445000</v>
      </c>
      <c r="H201" s="33">
        <f t="shared" si="41"/>
        <v>2342500</v>
      </c>
      <c r="I201" s="33">
        <f t="shared" si="42"/>
        <v>3240000</v>
      </c>
      <c r="J201" s="25">
        <f t="shared" si="43"/>
        <v>0.83</v>
      </c>
      <c r="K201" s="22" t="str">
        <f t="shared" si="44"/>
        <v>Within Band</v>
      </c>
      <c r="L201" s="30">
        <f t="shared" si="45"/>
        <v>1</v>
      </c>
      <c r="M201" s="26">
        <v>-1.2999999999999999E-2</v>
      </c>
      <c r="N201" s="34">
        <f t="shared" si="46"/>
        <v>1915800</v>
      </c>
      <c r="O201" s="31">
        <v>0</v>
      </c>
      <c r="P201" s="34">
        <f t="shared" si="47"/>
        <v>0</v>
      </c>
      <c r="Q201" s="22" t="s">
        <v>1701</v>
      </c>
    </row>
    <row r="202" spans="1:17" x14ac:dyDescent="0.3">
      <c r="A202" s="22" t="s">
        <v>797</v>
      </c>
      <c r="B202" t="str">
        <f t="shared" si="36"/>
        <v>Anjali Shah</v>
      </c>
      <c r="C202" t="str">
        <f t="shared" si="37"/>
        <v>Marketing</v>
      </c>
      <c r="D202" s="30" t="str">
        <f t="shared" si="38"/>
        <v>L3</v>
      </c>
      <c r="E202" s="30" t="str">
        <f t="shared" si="39"/>
        <v>Active</v>
      </c>
      <c r="F202" s="32">
        <v>1405000</v>
      </c>
      <c r="G202" s="33">
        <f t="shared" si="40"/>
        <v>850000</v>
      </c>
      <c r="H202" s="33">
        <f t="shared" si="41"/>
        <v>1445000</v>
      </c>
      <c r="I202" s="33">
        <f t="shared" si="42"/>
        <v>2040000</v>
      </c>
      <c r="J202" s="25">
        <f t="shared" si="43"/>
        <v>0.97</v>
      </c>
      <c r="K202" s="22" t="str">
        <f t="shared" si="44"/>
        <v>Within Band</v>
      </c>
      <c r="L202" s="30">
        <f t="shared" si="45"/>
        <v>5</v>
      </c>
      <c r="M202" s="26">
        <v>0.188</v>
      </c>
      <c r="N202" s="34">
        <f t="shared" si="46"/>
        <v>1669100</v>
      </c>
      <c r="O202" s="31">
        <v>0.18</v>
      </c>
      <c r="P202" s="34">
        <f t="shared" si="47"/>
        <v>252900</v>
      </c>
      <c r="Q202" s="22" t="s">
        <v>1701</v>
      </c>
    </row>
    <row r="203" spans="1:17" x14ac:dyDescent="0.3">
      <c r="A203" s="22" t="s">
        <v>800</v>
      </c>
      <c r="B203" t="str">
        <f t="shared" si="36"/>
        <v>Ankit Mukherjee</v>
      </c>
      <c r="C203" t="str">
        <f t="shared" si="37"/>
        <v>Data &amp; Analytics</v>
      </c>
      <c r="D203" s="30" t="str">
        <f t="shared" si="38"/>
        <v>L2</v>
      </c>
      <c r="E203" s="30" t="str">
        <f t="shared" si="39"/>
        <v>Active</v>
      </c>
      <c r="F203" s="32">
        <v>702000</v>
      </c>
      <c r="G203" s="33">
        <f t="shared" si="40"/>
        <v>510000</v>
      </c>
      <c r="H203" s="33">
        <f t="shared" si="41"/>
        <v>855000</v>
      </c>
      <c r="I203" s="33">
        <f t="shared" si="42"/>
        <v>1200000</v>
      </c>
      <c r="J203" s="25">
        <f t="shared" si="43"/>
        <v>0.82</v>
      </c>
      <c r="K203" s="22" t="str">
        <f t="shared" si="44"/>
        <v>Within Band</v>
      </c>
      <c r="L203" s="30">
        <f t="shared" si="45"/>
        <v>2</v>
      </c>
      <c r="M203" s="26">
        <v>0.05</v>
      </c>
      <c r="N203" s="34">
        <f t="shared" si="46"/>
        <v>737100</v>
      </c>
      <c r="O203" s="31">
        <v>0.03</v>
      </c>
      <c r="P203" s="34">
        <f t="shared" si="47"/>
        <v>21100</v>
      </c>
      <c r="Q203" s="22" t="s">
        <v>1701</v>
      </c>
    </row>
    <row r="204" spans="1:17" x14ac:dyDescent="0.3">
      <c r="A204" s="22" t="s">
        <v>803</v>
      </c>
      <c r="B204" t="str">
        <f t="shared" si="36"/>
        <v>Anjali Rao</v>
      </c>
      <c r="C204" t="str">
        <f t="shared" si="37"/>
        <v>Customer Support</v>
      </c>
      <c r="D204" s="30" t="str">
        <f t="shared" si="38"/>
        <v>L3</v>
      </c>
      <c r="E204" s="30" t="str">
        <f t="shared" si="39"/>
        <v>Active</v>
      </c>
      <c r="F204" s="32">
        <v>1292000</v>
      </c>
      <c r="G204" s="33">
        <f t="shared" si="40"/>
        <v>850000</v>
      </c>
      <c r="H204" s="33">
        <f t="shared" si="41"/>
        <v>1445000</v>
      </c>
      <c r="I204" s="33">
        <f t="shared" si="42"/>
        <v>2040000</v>
      </c>
      <c r="J204" s="25">
        <f t="shared" si="43"/>
        <v>0.89</v>
      </c>
      <c r="K204" s="22" t="str">
        <f t="shared" si="44"/>
        <v>Within Band</v>
      </c>
      <c r="L204" s="30">
        <f t="shared" si="45"/>
        <v>3</v>
      </c>
      <c r="M204" s="26">
        <v>6.9000000000000006E-2</v>
      </c>
      <c r="N204" s="34">
        <f t="shared" si="46"/>
        <v>1381100</v>
      </c>
      <c r="O204" s="31">
        <v>0.08</v>
      </c>
      <c r="P204" s="34">
        <f t="shared" si="47"/>
        <v>103400</v>
      </c>
      <c r="Q204" s="22" t="s">
        <v>1701</v>
      </c>
    </row>
    <row r="205" spans="1:17" x14ac:dyDescent="0.3">
      <c r="A205" s="22" t="s">
        <v>806</v>
      </c>
      <c r="B205" t="str">
        <f t="shared" si="36"/>
        <v>Anand Shetty</v>
      </c>
      <c r="C205" t="str">
        <f t="shared" si="37"/>
        <v>Marketing</v>
      </c>
      <c r="D205" s="30" t="str">
        <f t="shared" si="38"/>
        <v>L4</v>
      </c>
      <c r="E205" s="30" t="str">
        <f t="shared" si="39"/>
        <v>Active</v>
      </c>
      <c r="F205" s="32">
        <v>1798000</v>
      </c>
      <c r="G205" s="33">
        <f t="shared" si="40"/>
        <v>1445000</v>
      </c>
      <c r="H205" s="33">
        <f t="shared" si="41"/>
        <v>2342500</v>
      </c>
      <c r="I205" s="33">
        <f t="shared" si="42"/>
        <v>3240000</v>
      </c>
      <c r="J205" s="25">
        <f t="shared" si="43"/>
        <v>0.77</v>
      </c>
      <c r="K205" s="22" t="str">
        <f t="shared" si="44"/>
        <v>Within Band</v>
      </c>
      <c r="L205" s="30">
        <f t="shared" si="45"/>
        <v>2</v>
      </c>
      <c r="M205" s="26">
        <v>3.4000000000000002E-2</v>
      </c>
      <c r="N205" s="34">
        <f t="shared" si="46"/>
        <v>1859100</v>
      </c>
      <c r="O205" s="31">
        <v>0.03</v>
      </c>
      <c r="P205" s="34">
        <f t="shared" si="47"/>
        <v>53900</v>
      </c>
      <c r="Q205" s="22" t="s">
        <v>1701</v>
      </c>
    </row>
    <row r="206" spans="1:17" x14ac:dyDescent="0.3">
      <c r="A206" s="22" t="s">
        <v>195</v>
      </c>
      <c r="B206" t="str">
        <f t="shared" si="36"/>
        <v>Srinivas Shah</v>
      </c>
      <c r="C206" t="str">
        <f t="shared" si="37"/>
        <v>Sales</v>
      </c>
      <c r="D206" s="30" t="str">
        <f t="shared" si="38"/>
        <v>L5</v>
      </c>
      <c r="E206" s="30" t="str">
        <f t="shared" si="39"/>
        <v>Active</v>
      </c>
      <c r="F206" s="32">
        <v>3846000</v>
      </c>
      <c r="G206" s="33">
        <f t="shared" si="40"/>
        <v>2295000</v>
      </c>
      <c r="H206" s="33">
        <f t="shared" si="41"/>
        <v>3667500</v>
      </c>
      <c r="I206" s="33">
        <f t="shared" si="42"/>
        <v>5040000</v>
      </c>
      <c r="J206" s="25">
        <f t="shared" si="43"/>
        <v>1.05</v>
      </c>
      <c r="K206" s="22" t="str">
        <f t="shared" si="44"/>
        <v>Within Band</v>
      </c>
      <c r="L206" s="30">
        <f t="shared" si="45"/>
        <v>3</v>
      </c>
      <c r="M206" s="26">
        <v>7.1999999999999995E-2</v>
      </c>
      <c r="N206" s="34">
        <f t="shared" si="46"/>
        <v>4122900</v>
      </c>
      <c r="O206" s="31">
        <v>0.08</v>
      </c>
      <c r="P206" s="34">
        <f t="shared" si="47"/>
        <v>307700</v>
      </c>
      <c r="Q206" s="22" t="s">
        <v>1700</v>
      </c>
    </row>
    <row r="207" spans="1:17" x14ac:dyDescent="0.3">
      <c r="A207" s="22" t="s">
        <v>810</v>
      </c>
      <c r="B207" t="str">
        <f t="shared" si="36"/>
        <v>Meera Chatterjee</v>
      </c>
      <c r="C207" t="str">
        <f t="shared" si="37"/>
        <v>Engineering</v>
      </c>
      <c r="D207" s="30" t="str">
        <f t="shared" si="38"/>
        <v>L3</v>
      </c>
      <c r="E207" s="30" t="str">
        <f t="shared" si="39"/>
        <v>Active</v>
      </c>
      <c r="F207" s="32">
        <v>1711000</v>
      </c>
      <c r="G207" s="33">
        <f t="shared" si="40"/>
        <v>850000</v>
      </c>
      <c r="H207" s="33">
        <f t="shared" si="41"/>
        <v>1445000</v>
      </c>
      <c r="I207" s="33">
        <f t="shared" si="42"/>
        <v>2040000</v>
      </c>
      <c r="J207" s="25">
        <f t="shared" si="43"/>
        <v>1.18</v>
      </c>
      <c r="K207" s="22" t="str">
        <f t="shared" si="44"/>
        <v>Within Band</v>
      </c>
      <c r="L207" s="30">
        <f t="shared" si="45"/>
        <v>4</v>
      </c>
      <c r="M207" s="26">
        <v>0.12</v>
      </c>
      <c r="N207" s="34">
        <f t="shared" si="46"/>
        <v>1916300</v>
      </c>
      <c r="O207" s="31">
        <v>0.12</v>
      </c>
      <c r="P207" s="34">
        <f t="shared" si="47"/>
        <v>205300</v>
      </c>
      <c r="Q207" s="22" t="s">
        <v>1701</v>
      </c>
    </row>
    <row r="208" spans="1:17" x14ac:dyDescent="0.3">
      <c r="A208" s="22" t="s">
        <v>813</v>
      </c>
      <c r="B208" t="str">
        <f t="shared" si="36"/>
        <v>Tejaswini Nair</v>
      </c>
      <c r="C208" t="str">
        <f t="shared" si="37"/>
        <v>Finance</v>
      </c>
      <c r="D208" s="30" t="str">
        <f t="shared" si="38"/>
        <v>L3</v>
      </c>
      <c r="E208" s="30" t="str">
        <f t="shared" si="39"/>
        <v>Exited</v>
      </c>
      <c r="F208" s="32">
        <v>1460000</v>
      </c>
      <c r="G208" s="33">
        <f t="shared" si="40"/>
        <v>850000</v>
      </c>
      <c r="H208" s="33">
        <f t="shared" si="41"/>
        <v>1445000</v>
      </c>
      <c r="I208" s="33">
        <f t="shared" si="42"/>
        <v>2040000</v>
      </c>
      <c r="J208" s="25">
        <f t="shared" si="43"/>
        <v>1.01</v>
      </c>
      <c r="K208" s="22" t="str">
        <f t="shared" si="44"/>
        <v>Within Band</v>
      </c>
      <c r="L208" s="30">
        <f t="shared" si="45"/>
        <v>5</v>
      </c>
      <c r="M208" s="26">
        <v>0.161</v>
      </c>
      <c r="N208" s="34">
        <f t="shared" si="46"/>
        <v>0</v>
      </c>
      <c r="O208" s="31">
        <v>0.18</v>
      </c>
      <c r="P208" s="34">
        <f t="shared" si="47"/>
        <v>0</v>
      </c>
      <c r="Q208" s="22" t="s">
        <v>1701</v>
      </c>
    </row>
    <row r="209" spans="1:17" x14ac:dyDescent="0.3">
      <c r="A209" s="22" t="s">
        <v>816</v>
      </c>
      <c r="B209" t="str">
        <f t="shared" si="36"/>
        <v>Ashish Fernandes</v>
      </c>
      <c r="C209" t="str">
        <f t="shared" si="37"/>
        <v>Engineering</v>
      </c>
      <c r="D209" s="30" t="str">
        <f t="shared" si="38"/>
        <v>L2</v>
      </c>
      <c r="E209" s="30" t="str">
        <f t="shared" si="39"/>
        <v>Active</v>
      </c>
      <c r="F209" s="32">
        <v>833000</v>
      </c>
      <c r="G209" s="33">
        <f t="shared" si="40"/>
        <v>510000</v>
      </c>
      <c r="H209" s="33">
        <f t="shared" si="41"/>
        <v>855000</v>
      </c>
      <c r="I209" s="33">
        <f t="shared" si="42"/>
        <v>1200000</v>
      </c>
      <c r="J209" s="25">
        <f t="shared" si="43"/>
        <v>0.97</v>
      </c>
      <c r="K209" s="22" t="str">
        <f t="shared" si="44"/>
        <v>Within Band</v>
      </c>
      <c r="L209" s="30">
        <f t="shared" si="45"/>
        <v>3</v>
      </c>
      <c r="M209" s="26">
        <v>0.08</v>
      </c>
      <c r="N209" s="34">
        <f t="shared" si="46"/>
        <v>899600</v>
      </c>
      <c r="O209" s="31">
        <v>0.08</v>
      </c>
      <c r="P209" s="34">
        <f t="shared" si="47"/>
        <v>66600</v>
      </c>
      <c r="Q209" s="22" t="s">
        <v>1701</v>
      </c>
    </row>
    <row r="210" spans="1:17" x14ac:dyDescent="0.3">
      <c r="A210" s="22" t="s">
        <v>819</v>
      </c>
      <c r="B210" t="str">
        <f t="shared" si="36"/>
        <v>Ritu Hegde</v>
      </c>
      <c r="C210" t="str">
        <f t="shared" si="37"/>
        <v>Customer Support</v>
      </c>
      <c r="D210" s="30" t="str">
        <f t="shared" si="38"/>
        <v>L3</v>
      </c>
      <c r="E210" s="30" t="str">
        <f t="shared" si="39"/>
        <v>Active</v>
      </c>
      <c r="F210" s="32">
        <v>1079000</v>
      </c>
      <c r="G210" s="33">
        <f t="shared" si="40"/>
        <v>850000</v>
      </c>
      <c r="H210" s="33">
        <f t="shared" si="41"/>
        <v>1445000</v>
      </c>
      <c r="I210" s="33">
        <f t="shared" si="42"/>
        <v>2040000</v>
      </c>
      <c r="J210" s="25">
        <f t="shared" si="43"/>
        <v>0.75</v>
      </c>
      <c r="K210" s="22" t="str">
        <f t="shared" si="44"/>
        <v>Within Band</v>
      </c>
      <c r="L210" s="30">
        <f t="shared" si="45"/>
        <v>2</v>
      </c>
      <c r="M210" s="26">
        <v>2.5999999999999999E-2</v>
      </c>
      <c r="N210" s="34">
        <f t="shared" si="46"/>
        <v>1107100</v>
      </c>
      <c r="O210" s="31">
        <v>0.03</v>
      </c>
      <c r="P210" s="34">
        <f t="shared" si="47"/>
        <v>32400</v>
      </c>
      <c r="Q210" s="22" t="s">
        <v>1701</v>
      </c>
    </row>
    <row r="211" spans="1:17" x14ac:dyDescent="0.3">
      <c r="A211" s="22" t="s">
        <v>824</v>
      </c>
      <c r="B211" t="str">
        <f t="shared" si="36"/>
        <v>Srinivas Kumar</v>
      </c>
      <c r="C211" t="str">
        <f t="shared" si="37"/>
        <v>Product</v>
      </c>
      <c r="D211" s="30" t="str">
        <f t="shared" si="38"/>
        <v>L3</v>
      </c>
      <c r="E211" s="30" t="str">
        <f t="shared" si="39"/>
        <v>Active</v>
      </c>
      <c r="F211" s="32">
        <v>1775000</v>
      </c>
      <c r="G211" s="33">
        <f t="shared" si="40"/>
        <v>850000</v>
      </c>
      <c r="H211" s="33">
        <f t="shared" si="41"/>
        <v>1445000</v>
      </c>
      <c r="I211" s="33">
        <f t="shared" si="42"/>
        <v>2040000</v>
      </c>
      <c r="J211" s="25">
        <f t="shared" si="43"/>
        <v>1.23</v>
      </c>
      <c r="K211" s="22" t="str">
        <f t="shared" si="44"/>
        <v>Within Band</v>
      </c>
      <c r="L211" s="30">
        <f t="shared" si="45"/>
        <v>5</v>
      </c>
      <c r="M211" s="26">
        <v>0.189</v>
      </c>
      <c r="N211" s="34">
        <f t="shared" si="46"/>
        <v>2110500</v>
      </c>
      <c r="O211" s="31">
        <v>0.18</v>
      </c>
      <c r="P211" s="34">
        <f t="shared" si="47"/>
        <v>319500</v>
      </c>
      <c r="Q211" s="22" t="s">
        <v>1701</v>
      </c>
    </row>
    <row r="212" spans="1:17" x14ac:dyDescent="0.3">
      <c r="A212" s="22" t="s">
        <v>827</v>
      </c>
      <c r="B212" t="str">
        <f t="shared" si="36"/>
        <v>Tarun Das</v>
      </c>
      <c r="C212" t="str">
        <f t="shared" si="37"/>
        <v>Customer Support</v>
      </c>
      <c r="D212" s="30" t="str">
        <f t="shared" si="38"/>
        <v>L2</v>
      </c>
      <c r="E212" s="30" t="str">
        <f t="shared" si="39"/>
        <v>Exited</v>
      </c>
      <c r="F212" s="32">
        <v>561000</v>
      </c>
      <c r="G212" s="33">
        <f t="shared" si="40"/>
        <v>510000</v>
      </c>
      <c r="H212" s="33">
        <f t="shared" si="41"/>
        <v>855000</v>
      </c>
      <c r="I212" s="33">
        <f t="shared" si="42"/>
        <v>1200000</v>
      </c>
      <c r="J212" s="25">
        <f t="shared" si="43"/>
        <v>0.66</v>
      </c>
      <c r="K212" s="22" t="str">
        <f t="shared" si="44"/>
        <v>Within Band</v>
      </c>
      <c r="L212" s="30">
        <f t="shared" si="45"/>
        <v>5</v>
      </c>
      <c r="M212" s="26">
        <v>0.185</v>
      </c>
      <c r="N212" s="34">
        <f t="shared" si="46"/>
        <v>0</v>
      </c>
      <c r="O212" s="31">
        <v>0.18</v>
      </c>
      <c r="P212" s="34">
        <f t="shared" si="47"/>
        <v>0</v>
      </c>
      <c r="Q212" s="22" t="s">
        <v>1701</v>
      </c>
    </row>
    <row r="213" spans="1:17" x14ac:dyDescent="0.3">
      <c r="A213" s="22" t="s">
        <v>830</v>
      </c>
      <c r="B213" t="str">
        <f t="shared" si="36"/>
        <v>Arun Kamath</v>
      </c>
      <c r="C213" t="str">
        <f t="shared" si="37"/>
        <v>Product</v>
      </c>
      <c r="D213" s="30" t="str">
        <f t="shared" si="38"/>
        <v>L2</v>
      </c>
      <c r="E213" s="30" t="str">
        <f t="shared" si="39"/>
        <v>Active</v>
      </c>
      <c r="F213" s="32">
        <v>948000</v>
      </c>
      <c r="G213" s="33">
        <f t="shared" si="40"/>
        <v>510000</v>
      </c>
      <c r="H213" s="33">
        <f t="shared" si="41"/>
        <v>855000</v>
      </c>
      <c r="I213" s="33">
        <f t="shared" si="42"/>
        <v>1200000</v>
      </c>
      <c r="J213" s="25">
        <f t="shared" si="43"/>
        <v>1.1100000000000001</v>
      </c>
      <c r="K213" s="22" t="str">
        <f t="shared" si="44"/>
        <v>Within Band</v>
      </c>
      <c r="L213" s="30">
        <f t="shared" si="45"/>
        <v>3</v>
      </c>
      <c r="M213" s="26">
        <v>9.8000000000000004E-2</v>
      </c>
      <c r="N213" s="34">
        <f t="shared" si="46"/>
        <v>1040900</v>
      </c>
      <c r="O213" s="31">
        <v>0.08</v>
      </c>
      <c r="P213" s="34">
        <f t="shared" si="47"/>
        <v>75800</v>
      </c>
      <c r="Q213" s="22" t="s">
        <v>1701</v>
      </c>
    </row>
    <row r="214" spans="1:17" x14ac:dyDescent="0.3">
      <c r="A214" s="22" t="s">
        <v>362</v>
      </c>
      <c r="B214" t="str">
        <f t="shared" si="36"/>
        <v>Vikram Verma</v>
      </c>
      <c r="C214" t="str">
        <f t="shared" si="37"/>
        <v>Engineering</v>
      </c>
      <c r="D214" s="30" t="str">
        <f t="shared" si="38"/>
        <v>L6</v>
      </c>
      <c r="E214" s="30" t="str">
        <f t="shared" si="39"/>
        <v>Active</v>
      </c>
      <c r="F214" s="32">
        <v>6292000</v>
      </c>
      <c r="G214" s="33">
        <f t="shared" si="40"/>
        <v>3570000</v>
      </c>
      <c r="H214" s="33">
        <f t="shared" si="41"/>
        <v>5385000</v>
      </c>
      <c r="I214" s="33">
        <f t="shared" si="42"/>
        <v>7200000</v>
      </c>
      <c r="J214" s="25">
        <f t="shared" si="43"/>
        <v>1.17</v>
      </c>
      <c r="K214" s="22" t="str">
        <f t="shared" si="44"/>
        <v>Within Band</v>
      </c>
      <c r="L214" s="30">
        <f t="shared" si="45"/>
        <v>5</v>
      </c>
      <c r="M214" s="26">
        <v>0.16800000000000001</v>
      </c>
      <c r="N214" s="34">
        <f t="shared" si="46"/>
        <v>7349100</v>
      </c>
      <c r="O214" s="31">
        <v>0.18</v>
      </c>
      <c r="P214" s="34">
        <f t="shared" si="47"/>
        <v>1132600</v>
      </c>
      <c r="Q214" s="22" t="s">
        <v>1700</v>
      </c>
    </row>
    <row r="215" spans="1:17" x14ac:dyDescent="0.3">
      <c r="A215" s="22" t="s">
        <v>835</v>
      </c>
      <c r="B215" t="str">
        <f t="shared" si="36"/>
        <v>Kunal Subramanian</v>
      </c>
      <c r="C215" t="str">
        <f t="shared" si="37"/>
        <v>Human Resources</v>
      </c>
      <c r="D215" s="30" t="str">
        <f t="shared" si="38"/>
        <v>L2</v>
      </c>
      <c r="E215" s="30" t="str">
        <f t="shared" si="39"/>
        <v>Exited</v>
      </c>
      <c r="F215" s="32">
        <v>801000</v>
      </c>
      <c r="G215" s="33">
        <f t="shared" si="40"/>
        <v>510000</v>
      </c>
      <c r="H215" s="33">
        <f t="shared" si="41"/>
        <v>855000</v>
      </c>
      <c r="I215" s="33">
        <f t="shared" si="42"/>
        <v>1200000</v>
      </c>
      <c r="J215" s="25">
        <f t="shared" si="43"/>
        <v>0.94</v>
      </c>
      <c r="K215" s="22" t="str">
        <f t="shared" si="44"/>
        <v>Within Band</v>
      </c>
      <c r="L215" s="30">
        <f t="shared" si="45"/>
        <v>4</v>
      </c>
      <c r="M215" s="26">
        <v>0.12</v>
      </c>
      <c r="N215" s="34">
        <f t="shared" si="46"/>
        <v>0</v>
      </c>
      <c r="O215" s="31">
        <v>0.12</v>
      </c>
      <c r="P215" s="34">
        <f t="shared" si="47"/>
        <v>0</v>
      </c>
      <c r="Q215" s="22" t="s">
        <v>1701</v>
      </c>
    </row>
    <row r="216" spans="1:17" x14ac:dyDescent="0.3">
      <c r="A216" s="22" t="s">
        <v>838</v>
      </c>
      <c r="B216" t="str">
        <f t="shared" si="36"/>
        <v>Krishna Siddiqui</v>
      </c>
      <c r="C216" t="str">
        <f t="shared" si="37"/>
        <v>Product</v>
      </c>
      <c r="D216" s="30" t="str">
        <f t="shared" si="38"/>
        <v>L2</v>
      </c>
      <c r="E216" s="30" t="str">
        <f t="shared" si="39"/>
        <v>Active</v>
      </c>
      <c r="F216" s="32">
        <v>980000</v>
      </c>
      <c r="G216" s="33">
        <f t="shared" si="40"/>
        <v>510000</v>
      </c>
      <c r="H216" s="33">
        <f t="shared" si="41"/>
        <v>855000</v>
      </c>
      <c r="I216" s="33">
        <f t="shared" si="42"/>
        <v>1200000</v>
      </c>
      <c r="J216" s="25">
        <f t="shared" si="43"/>
        <v>1.1499999999999999</v>
      </c>
      <c r="K216" s="22" t="str">
        <f t="shared" si="44"/>
        <v>Within Band</v>
      </c>
      <c r="L216" s="30">
        <f t="shared" si="45"/>
        <v>2</v>
      </c>
      <c r="M216" s="26">
        <v>0.03</v>
      </c>
      <c r="N216" s="34">
        <f t="shared" si="46"/>
        <v>1009400</v>
      </c>
      <c r="O216" s="31">
        <v>0.03</v>
      </c>
      <c r="P216" s="34">
        <f t="shared" si="47"/>
        <v>29400</v>
      </c>
      <c r="Q216" s="22" t="s">
        <v>1701</v>
      </c>
    </row>
    <row r="217" spans="1:17" x14ac:dyDescent="0.3">
      <c r="A217" s="22" t="s">
        <v>841</v>
      </c>
      <c r="B217" t="str">
        <f t="shared" si="36"/>
        <v>Bhavana Siddiqui</v>
      </c>
      <c r="C217" t="str">
        <f t="shared" si="37"/>
        <v>Engineering</v>
      </c>
      <c r="D217" s="30" t="str">
        <f t="shared" si="38"/>
        <v>L2</v>
      </c>
      <c r="E217" s="30" t="str">
        <f t="shared" si="39"/>
        <v>Active</v>
      </c>
      <c r="F217" s="32">
        <v>813000</v>
      </c>
      <c r="G217" s="33">
        <f t="shared" si="40"/>
        <v>510000</v>
      </c>
      <c r="H217" s="33">
        <f t="shared" si="41"/>
        <v>855000</v>
      </c>
      <c r="I217" s="33">
        <f t="shared" si="42"/>
        <v>1200000</v>
      </c>
      <c r="J217" s="25">
        <f t="shared" si="43"/>
        <v>0.95</v>
      </c>
      <c r="K217" s="22" t="str">
        <f t="shared" si="44"/>
        <v>Within Band</v>
      </c>
      <c r="L217" s="30">
        <f t="shared" si="45"/>
        <v>3</v>
      </c>
      <c r="M217" s="26">
        <v>9.8000000000000004E-2</v>
      </c>
      <c r="N217" s="34">
        <f t="shared" si="46"/>
        <v>892700</v>
      </c>
      <c r="O217" s="31">
        <v>0.08</v>
      </c>
      <c r="P217" s="34">
        <f t="shared" si="47"/>
        <v>65000</v>
      </c>
      <c r="Q217" s="22" t="s">
        <v>1701</v>
      </c>
    </row>
    <row r="218" spans="1:17" x14ac:dyDescent="0.3">
      <c r="A218" s="22" t="s">
        <v>844</v>
      </c>
      <c r="B218" t="str">
        <f t="shared" si="36"/>
        <v>Krishna Pillai</v>
      </c>
      <c r="C218" t="str">
        <f t="shared" si="37"/>
        <v>Sales</v>
      </c>
      <c r="D218" s="30" t="str">
        <f t="shared" si="38"/>
        <v>L3</v>
      </c>
      <c r="E218" s="30" t="str">
        <f t="shared" si="39"/>
        <v>Active</v>
      </c>
      <c r="F218" s="32">
        <v>1321000</v>
      </c>
      <c r="G218" s="33">
        <f t="shared" si="40"/>
        <v>850000</v>
      </c>
      <c r="H218" s="33">
        <f t="shared" si="41"/>
        <v>1445000</v>
      </c>
      <c r="I218" s="33">
        <f t="shared" si="42"/>
        <v>2040000</v>
      </c>
      <c r="J218" s="25">
        <f t="shared" si="43"/>
        <v>0.91</v>
      </c>
      <c r="K218" s="22" t="str">
        <f t="shared" si="44"/>
        <v>Within Band</v>
      </c>
      <c r="L218" s="30">
        <f t="shared" si="45"/>
        <v>3</v>
      </c>
      <c r="M218" s="26">
        <v>9.1999999999999998E-2</v>
      </c>
      <c r="N218" s="34">
        <f t="shared" si="46"/>
        <v>1442500</v>
      </c>
      <c r="O218" s="31">
        <v>0.08</v>
      </c>
      <c r="P218" s="34">
        <f t="shared" si="47"/>
        <v>105700</v>
      </c>
      <c r="Q218" s="22" t="s">
        <v>1701</v>
      </c>
    </row>
    <row r="219" spans="1:17" x14ac:dyDescent="0.3">
      <c r="A219" s="22" t="s">
        <v>847</v>
      </c>
      <c r="B219" t="str">
        <f t="shared" si="36"/>
        <v>Nisha Subramanian</v>
      </c>
      <c r="C219" t="str">
        <f t="shared" si="37"/>
        <v>Customer Support</v>
      </c>
      <c r="D219" s="30" t="str">
        <f t="shared" si="38"/>
        <v>L3</v>
      </c>
      <c r="E219" s="30" t="str">
        <f t="shared" si="39"/>
        <v>Active</v>
      </c>
      <c r="F219" s="32">
        <v>1043000</v>
      </c>
      <c r="G219" s="33">
        <f t="shared" si="40"/>
        <v>850000</v>
      </c>
      <c r="H219" s="33">
        <f t="shared" si="41"/>
        <v>1445000</v>
      </c>
      <c r="I219" s="33">
        <f t="shared" si="42"/>
        <v>2040000</v>
      </c>
      <c r="J219" s="25">
        <f t="shared" si="43"/>
        <v>0.72</v>
      </c>
      <c r="K219" s="22" t="str">
        <f t="shared" si="44"/>
        <v>Within Band</v>
      </c>
      <c r="L219" s="30">
        <f t="shared" si="45"/>
        <v>4</v>
      </c>
      <c r="M219" s="26">
        <v>0.108</v>
      </c>
      <c r="N219" s="34">
        <f t="shared" si="46"/>
        <v>1155600</v>
      </c>
      <c r="O219" s="31">
        <v>0.12</v>
      </c>
      <c r="P219" s="34">
        <f t="shared" si="47"/>
        <v>125200</v>
      </c>
      <c r="Q219" s="22" t="s">
        <v>1701</v>
      </c>
    </row>
    <row r="220" spans="1:17" x14ac:dyDescent="0.3">
      <c r="A220" s="22" t="s">
        <v>850</v>
      </c>
      <c r="B220" t="str">
        <f t="shared" si="36"/>
        <v>Neha Patel</v>
      </c>
      <c r="C220" t="str">
        <f t="shared" si="37"/>
        <v>Customer Support</v>
      </c>
      <c r="D220" s="30" t="str">
        <f t="shared" si="38"/>
        <v>L3</v>
      </c>
      <c r="E220" s="30" t="str">
        <f t="shared" si="39"/>
        <v>Active</v>
      </c>
      <c r="F220" s="32">
        <v>1312000</v>
      </c>
      <c r="G220" s="33">
        <f t="shared" si="40"/>
        <v>850000</v>
      </c>
      <c r="H220" s="33">
        <f t="shared" si="41"/>
        <v>1445000</v>
      </c>
      <c r="I220" s="33">
        <f t="shared" si="42"/>
        <v>2040000</v>
      </c>
      <c r="J220" s="25">
        <f t="shared" si="43"/>
        <v>0.91</v>
      </c>
      <c r="K220" s="22" t="str">
        <f t="shared" si="44"/>
        <v>Within Band</v>
      </c>
      <c r="L220" s="30">
        <f t="shared" si="45"/>
        <v>4</v>
      </c>
      <c r="M220" s="26">
        <v>0.11600000000000001</v>
      </c>
      <c r="N220" s="34">
        <f t="shared" si="46"/>
        <v>1464200</v>
      </c>
      <c r="O220" s="31">
        <v>0.12</v>
      </c>
      <c r="P220" s="34">
        <f t="shared" si="47"/>
        <v>157400</v>
      </c>
      <c r="Q220" s="22" t="s">
        <v>1701</v>
      </c>
    </row>
    <row r="221" spans="1:17" x14ac:dyDescent="0.3">
      <c r="A221" s="22" t="s">
        <v>853</v>
      </c>
      <c r="B221" t="str">
        <f t="shared" si="36"/>
        <v>Madhuri Choudhary</v>
      </c>
      <c r="C221" t="str">
        <f t="shared" si="37"/>
        <v>Finance</v>
      </c>
      <c r="D221" s="30" t="str">
        <f t="shared" si="38"/>
        <v>L3</v>
      </c>
      <c r="E221" s="30" t="str">
        <f t="shared" si="39"/>
        <v>Active</v>
      </c>
      <c r="F221" s="32">
        <v>1472000</v>
      </c>
      <c r="G221" s="33">
        <f t="shared" si="40"/>
        <v>850000</v>
      </c>
      <c r="H221" s="33">
        <f t="shared" si="41"/>
        <v>1445000</v>
      </c>
      <c r="I221" s="33">
        <f t="shared" si="42"/>
        <v>2040000</v>
      </c>
      <c r="J221" s="25">
        <f t="shared" si="43"/>
        <v>1.02</v>
      </c>
      <c r="K221" s="22" t="str">
        <f t="shared" si="44"/>
        <v>Within Band</v>
      </c>
      <c r="L221" s="30">
        <f t="shared" si="45"/>
        <v>4</v>
      </c>
      <c r="M221" s="26">
        <v>0.124</v>
      </c>
      <c r="N221" s="34">
        <f t="shared" si="46"/>
        <v>1654500</v>
      </c>
      <c r="O221" s="31">
        <v>0.12</v>
      </c>
      <c r="P221" s="34">
        <f t="shared" si="47"/>
        <v>176600</v>
      </c>
      <c r="Q221" s="22" t="s">
        <v>1701</v>
      </c>
    </row>
    <row r="222" spans="1:17" x14ac:dyDescent="0.3">
      <c r="A222" s="22" t="s">
        <v>856</v>
      </c>
      <c r="B222" t="str">
        <f t="shared" si="36"/>
        <v>Sai Khanna</v>
      </c>
      <c r="C222" t="str">
        <f t="shared" si="37"/>
        <v>Engineering</v>
      </c>
      <c r="D222" s="30" t="str">
        <f t="shared" si="38"/>
        <v>L2</v>
      </c>
      <c r="E222" s="30" t="str">
        <f t="shared" si="39"/>
        <v>Active</v>
      </c>
      <c r="F222" s="32">
        <v>799000</v>
      </c>
      <c r="G222" s="33">
        <f t="shared" si="40"/>
        <v>510000</v>
      </c>
      <c r="H222" s="33">
        <f t="shared" si="41"/>
        <v>855000</v>
      </c>
      <c r="I222" s="33">
        <f t="shared" si="42"/>
        <v>1200000</v>
      </c>
      <c r="J222" s="25">
        <f t="shared" si="43"/>
        <v>0.93</v>
      </c>
      <c r="K222" s="22" t="str">
        <f t="shared" si="44"/>
        <v>Within Band</v>
      </c>
      <c r="L222" s="30">
        <f t="shared" si="45"/>
        <v>2</v>
      </c>
      <c r="M222" s="26">
        <v>2.8000000000000001E-2</v>
      </c>
      <c r="N222" s="34">
        <f t="shared" si="46"/>
        <v>821400</v>
      </c>
      <c r="O222" s="31">
        <v>0.03</v>
      </c>
      <c r="P222" s="34">
        <f t="shared" si="47"/>
        <v>24000</v>
      </c>
      <c r="Q222" s="22" t="s">
        <v>1701</v>
      </c>
    </row>
    <row r="223" spans="1:17" x14ac:dyDescent="0.3">
      <c r="A223" s="22" t="s">
        <v>859</v>
      </c>
      <c r="B223" t="str">
        <f t="shared" si="36"/>
        <v>Karan Varghese</v>
      </c>
      <c r="C223" t="str">
        <f t="shared" si="37"/>
        <v>Operations</v>
      </c>
      <c r="D223" s="30" t="str">
        <f t="shared" si="38"/>
        <v>L4</v>
      </c>
      <c r="E223" s="30" t="str">
        <f t="shared" si="39"/>
        <v>Active</v>
      </c>
      <c r="F223" s="32">
        <v>1824000</v>
      </c>
      <c r="G223" s="33">
        <f t="shared" si="40"/>
        <v>1445000</v>
      </c>
      <c r="H223" s="33">
        <f t="shared" si="41"/>
        <v>2342500</v>
      </c>
      <c r="I223" s="33">
        <f t="shared" si="42"/>
        <v>3240000</v>
      </c>
      <c r="J223" s="25">
        <f t="shared" si="43"/>
        <v>0.78</v>
      </c>
      <c r="K223" s="22" t="str">
        <f t="shared" si="44"/>
        <v>Within Band</v>
      </c>
      <c r="L223" s="30">
        <f t="shared" si="45"/>
        <v>4</v>
      </c>
      <c r="M223" s="26">
        <v>0.115</v>
      </c>
      <c r="N223" s="34">
        <f t="shared" si="46"/>
        <v>2033800</v>
      </c>
      <c r="O223" s="31">
        <v>0.12</v>
      </c>
      <c r="P223" s="34">
        <f t="shared" si="47"/>
        <v>218900</v>
      </c>
      <c r="Q223" s="22" t="s">
        <v>1700</v>
      </c>
    </row>
    <row r="224" spans="1:17" x14ac:dyDescent="0.3">
      <c r="A224" s="22" t="s">
        <v>862</v>
      </c>
      <c r="B224" t="str">
        <f t="shared" si="36"/>
        <v>Meera Kumar</v>
      </c>
      <c r="C224" t="str">
        <f t="shared" si="37"/>
        <v>Marketing</v>
      </c>
      <c r="D224" s="30" t="str">
        <f t="shared" si="38"/>
        <v>L2</v>
      </c>
      <c r="E224" s="30" t="str">
        <f t="shared" si="39"/>
        <v>Active</v>
      </c>
      <c r="F224" s="32">
        <v>815000</v>
      </c>
      <c r="G224" s="33">
        <f t="shared" si="40"/>
        <v>510000</v>
      </c>
      <c r="H224" s="33">
        <f t="shared" si="41"/>
        <v>855000</v>
      </c>
      <c r="I224" s="33">
        <f t="shared" si="42"/>
        <v>1200000</v>
      </c>
      <c r="J224" s="25">
        <f t="shared" si="43"/>
        <v>0.95</v>
      </c>
      <c r="K224" s="22" t="str">
        <f t="shared" si="44"/>
        <v>Within Band</v>
      </c>
      <c r="L224" s="30">
        <f t="shared" si="45"/>
        <v>3</v>
      </c>
      <c r="M224" s="26">
        <v>8.2000000000000003E-2</v>
      </c>
      <c r="N224" s="34">
        <f t="shared" si="46"/>
        <v>881800</v>
      </c>
      <c r="O224" s="31">
        <v>0.08</v>
      </c>
      <c r="P224" s="34">
        <f t="shared" si="47"/>
        <v>65200</v>
      </c>
      <c r="Q224" s="22" t="s">
        <v>1701</v>
      </c>
    </row>
    <row r="225" spans="1:17" x14ac:dyDescent="0.3">
      <c r="A225" s="22" t="s">
        <v>865</v>
      </c>
      <c r="B225" t="str">
        <f t="shared" si="36"/>
        <v>Aditya Bose</v>
      </c>
      <c r="C225" t="str">
        <f t="shared" si="37"/>
        <v>Data &amp; Analytics</v>
      </c>
      <c r="D225" s="30" t="str">
        <f t="shared" si="38"/>
        <v>L2</v>
      </c>
      <c r="E225" s="30" t="str">
        <f t="shared" si="39"/>
        <v>Active</v>
      </c>
      <c r="F225" s="32">
        <v>854000</v>
      </c>
      <c r="G225" s="33">
        <f t="shared" si="40"/>
        <v>510000</v>
      </c>
      <c r="H225" s="33">
        <f t="shared" si="41"/>
        <v>855000</v>
      </c>
      <c r="I225" s="33">
        <f t="shared" si="42"/>
        <v>1200000</v>
      </c>
      <c r="J225" s="25">
        <f t="shared" si="43"/>
        <v>1</v>
      </c>
      <c r="K225" s="22" t="str">
        <f t="shared" si="44"/>
        <v>Within Band</v>
      </c>
      <c r="L225" s="30">
        <f t="shared" si="45"/>
        <v>3</v>
      </c>
      <c r="M225" s="26">
        <v>0.09</v>
      </c>
      <c r="N225" s="34">
        <f t="shared" si="46"/>
        <v>930900</v>
      </c>
      <c r="O225" s="31">
        <v>0.08</v>
      </c>
      <c r="P225" s="34">
        <f t="shared" si="47"/>
        <v>68300</v>
      </c>
      <c r="Q225" s="22" t="s">
        <v>1701</v>
      </c>
    </row>
    <row r="226" spans="1:17" x14ac:dyDescent="0.3">
      <c r="A226" s="22" t="s">
        <v>384</v>
      </c>
      <c r="B226" t="str">
        <f t="shared" si="36"/>
        <v>Nandini Fernandes</v>
      </c>
      <c r="C226" t="str">
        <f t="shared" si="37"/>
        <v>Operations</v>
      </c>
      <c r="D226" s="30" t="str">
        <f t="shared" si="38"/>
        <v>L5</v>
      </c>
      <c r="E226" s="30" t="str">
        <f t="shared" si="39"/>
        <v>Active</v>
      </c>
      <c r="F226" s="32">
        <v>2799000</v>
      </c>
      <c r="G226" s="33">
        <f t="shared" si="40"/>
        <v>2295000</v>
      </c>
      <c r="H226" s="33">
        <f t="shared" si="41"/>
        <v>3667500</v>
      </c>
      <c r="I226" s="33">
        <f t="shared" si="42"/>
        <v>5040000</v>
      </c>
      <c r="J226" s="25">
        <f t="shared" si="43"/>
        <v>0.76</v>
      </c>
      <c r="K226" s="22" t="str">
        <f t="shared" si="44"/>
        <v>Within Band</v>
      </c>
      <c r="L226" s="30">
        <f t="shared" si="45"/>
        <v>5</v>
      </c>
      <c r="M226" s="26">
        <v>0.187</v>
      </c>
      <c r="N226" s="34">
        <f t="shared" si="46"/>
        <v>3322400</v>
      </c>
      <c r="O226" s="31">
        <v>0.18</v>
      </c>
      <c r="P226" s="34">
        <f t="shared" si="47"/>
        <v>503800</v>
      </c>
      <c r="Q226" s="22" t="s">
        <v>1700</v>
      </c>
    </row>
    <row r="227" spans="1:17" x14ac:dyDescent="0.3">
      <c r="A227" s="22" t="s">
        <v>869</v>
      </c>
      <c r="B227" t="str">
        <f t="shared" si="36"/>
        <v>Revathi Thomas</v>
      </c>
      <c r="C227" t="str">
        <f t="shared" si="37"/>
        <v>Operations</v>
      </c>
      <c r="D227" s="30" t="str">
        <f t="shared" si="38"/>
        <v>L2</v>
      </c>
      <c r="E227" s="30" t="str">
        <f t="shared" si="39"/>
        <v>Active</v>
      </c>
      <c r="F227" s="32">
        <v>563000</v>
      </c>
      <c r="G227" s="33">
        <f t="shared" si="40"/>
        <v>510000</v>
      </c>
      <c r="H227" s="33">
        <f t="shared" si="41"/>
        <v>855000</v>
      </c>
      <c r="I227" s="33">
        <f t="shared" si="42"/>
        <v>1200000</v>
      </c>
      <c r="J227" s="25">
        <f t="shared" si="43"/>
        <v>0.66</v>
      </c>
      <c r="K227" s="22" t="str">
        <f t="shared" si="44"/>
        <v>Within Band</v>
      </c>
      <c r="L227" s="30">
        <f t="shared" si="45"/>
        <v>5</v>
      </c>
      <c r="M227" s="26">
        <v>0.185</v>
      </c>
      <c r="N227" s="34">
        <f t="shared" si="46"/>
        <v>667200</v>
      </c>
      <c r="O227" s="31">
        <v>0.18</v>
      </c>
      <c r="P227" s="34">
        <f t="shared" si="47"/>
        <v>101300</v>
      </c>
      <c r="Q227" s="22" t="s">
        <v>1701</v>
      </c>
    </row>
    <row r="228" spans="1:17" x14ac:dyDescent="0.3">
      <c r="A228" s="22" t="s">
        <v>872</v>
      </c>
      <c r="B228" t="str">
        <f t="shared" si="36"/>
        <v>Akash Bose</v>
      </c>
      <c r="C228" t="str">
        <f t="shared" si="37"/>
        <v>Engineering</v>
      </c>
      <c r="D228" s="30" t="str">
        <f t="shared" si="38"/>
        <v>L4</v>
      </c>
      <c r="E228" s="30" t="str">
        <f t="shared" si="39"/>
        <v>Active</v>
      </c>
      <c r="F228" s="32">
        <v>3069000</v>
      </c>
      <c r="G228" s="33">
        <f t="shared" si="40"/>
        <v>1445000</v>
      </c>
      <c r="H228" s="33">
        <f t="shared" si="41"/>
        <v>2342500</v>
      </c>
      <c r="I228" s="33">
        <f t="shared" si="42"/>
        <v>3240000</v>
      </c>
      <c r="J228" s="25">
        <f t="shared" si="43"/>
        <v>1.31</v>
      </c>
      <c r="K228" s="22" t="str">
        <f t="shared" si="44"/>
        <v>Within Band</v>
      </c>
      <c r="L228" s="30">
        <f t="shared" si="45"/>
        <v>4</v>
      </c>
      <c r="M228" s="26">
        <v>0.11799999999999999</v>
      </c>
      <c r="N228" s="34">
        <f t="shared" si="46"/>
        <v>3431100</v>
      </c>
      <c r="O228" s="31">
        <v>0.12</v>
      </c>
      <c r="P228" s="34">
        <f t="shared" si="47"/>
        <v>368300</v>
      </c>
      <c r="Q228" s="22" t="s">
        <v>1700</v>
      </c>
    </row>
    <row r="229" spans="1:17" x14ac:dyDescent="0.3">
      <c r="A229" s="22" t="s">
        <v>875</v>
      </c>
      <c r="B229" t="str">
        <f t="shared" si="36"/>
        <v>Venkat Menon</v>
      </c>
      <c r="C229" t="str">
        <f t="shared" si="37"/>
        <v>Operations</v>
      </c>
      <c r="D229" s="30" t="str">
        <f t="shared" si="38"/>
        <v>L3</v>
      </c>
      <c r="E229" s="30" t="str">
        <f t="shared" si="39"/>
        <v>Active</v>
      </c>
      <c r="F229" s="32">
        <v>1167000</v>
      </c>
      <c r="G229" s="33">
        <f t="shared" si="40"/>
        <v>850000</v>
      </c>
      <c r="H229" s="33">
        <f t="shared" si="41"/>
        <v>1445000</v>
      </c>
      <c r="I229" s="33">
        <f t="shared" si="42"/>
        <v>2040000</v>
      </c>
      <c r="J229" s="25">
        <f t="shared" si="43"/>
        <v>0.81</v>
      </c>
      <c r="K229" s="22" t="str">
        <f t="shared" si="44"/>
        <v>Within Band</v>
      </c>
      <c r="L229" s="30">
        <f t="shared" si="45"/>
        <v>4</v>
      </c>
      <c r="M229" s="26">
        <v>0.12</v>
      </c>
      <c r="N229" s="34">
        <f t="shared" si="46"/>
        <v>1307000</v>
      </c>
      <c r="O229" s="31">
        <v>0.12</v>
      </c>
      <c r="P229" s="34">
        <f t="shared" si="47"/>
        <v>140000</v>
      </c>
      <c r="Q229" s="22" t="s">
        <v>1701</v>
      </c>
    </row>
    <row r="230" spans="1:17" x14ac:dyDescent="0.3">
      <c r="A230" s="22" t="s">
        <v>878</v>
      </c>
      <c r="B230" t="str">
        <f t="shared" si="36"/>
        <v>Vikram Shah</v>
      </c>
      <c r="C230" t="str">
        <f t="shared" si="37"/>
        <v>Customer Support</v>
      </c>
      <c r="D230" s="30" t="str">
        <f t="shared" si="38"/>
        <v>L3</v>
      </c>
      <c r="E230" s="30" t="str">
        <f t="shared" si="39"/>
        <v>Active</v>
      </c>
      <c r="F230" s="32">
        <v>995000</v>
      </c>
      <c r="G230" s="33">
        <f t="shared" si="40"/>
        <v>850000</v>
      </c>
      <c r="H230" s="33">
        <f t="shared" si="41"/>
        <v>1445000</v>
      </c>
      <c r="I230" s="33">
        <f t="shared" si="42"/>
        <v>2040000</v>
      </c>
      <c r="J230" s="25">
        <f t="shared" si="43"/>
        <v>0.69</v>
      </c>
      <c r="K230" s="22" t="str">
        <f t="shared" si="44"/>
        <v>Within Band</v>
      </c>
      <c r="L230" s="30">
        <f t="shared" si="45"/>
        <v>3</v>
      </c>
      <c r="M230" s="26">
        <v>9.0999999999999998E-2</v>
      </c>
      <c r="N230" s="34">
        <f t="shared" si="46"/>
        <v>1085500</v>
      </c>
      <c r="O230" s="31">
        <v>0.08</v>
      </c>
      <c r="P230" s="34">
        <f t="shared" si="47"/>
        <v>79600</v>
      </c>
      <c r="Q230" s="22" t="s">
        <v>1701</v>
      </c>
    </row>
    <row r="231" spans="1:17" x14ac:dyDescent="0.3">
      <c r="A231" s="22" t="s">
        <v>881</v>
      </c>
      <c r="B231" t="str">
        <f t="shared" si="36"/>
        <v>Sneha Chatterjee</v>
      </c>
      <c r="C231" t="str">
        <f t="shared" si="37"/>
        <v>Sales</v>
      </c>
      <c r="D231" s="30" t="str">
        <f t="shared" si="38"/>
        <v>L2</v>
      </c>
      <c r="E231" s="30" t="str">
        <f t="shared" si="39"/>
        <v>Active</v>
      </c>
      <c r="F231" s="32">
        <v>766000</v>
      </c>
      <c r="G231" s="33">
        <f t="shared" si="40"/>
        <v>510000</v>
      </c>
      <c r="H231" s="33">
        <f t="shared" si="41"/>
        <v>855000</v>
      </c>
      <c r="I231" s="33">
        <f t="shared" si="42"/>
        <v>1200000</v>
      </c>
      <c r="J231" s="25">
        <f t="shared" si="43"/>
        <v>0.9</v>
      </c>
      <c r="K231" s="22" t="str">
        <f t="shared" si="44"/>
        <v>Within Band</v>
      </c>
      <c r="L231" s="30">
        <f t="shared" si="45"/>
        <v>4</v>
      </c>
      <c r="M231" s="26">
        <v>0.11600000000000001</v>
      </c>
      <c r="N231" s="34">
        <f t="shared" si="46"/>
        <v>854900</v>
      </c>
      <c r="O231" s="31">
        <v>0.12</v>
      </c>
      <c r="P231" s="34">
        <f t="shared" si="47"/>
        <v>91900</v>
      </c>
      <c r="Q231" s="22" t="s">
        <v>1701</v>
      </c>
    </row>
    <row r="232" spans="1:17" x14ac:dyDescent="0.3">
      <c r="A232" s="22" t="s">
        <v>884</v>
      </c>
      <c r="B232" t="str">
        <f t="shared" si="36"/>
        <v>Lakshmi Raghavan</v>
      </c>
      <c r="C232" t="str">
        <f t="shared" si="37"/>
        <v>Engineering</v>
      </c>
      <c r="D232" s="30" t="str">
        <f t="shared" si="38"/>
        <v>L3</v>
      </c>
      <c r="E232" s="30" t="str">
        <f t="shared" si="39"/>
        <v>Active</v>
      </c>
      <c r="F232" s="32">
        <v>2076000</v>
      </c>
      <c r="G232" s="33">
        <f t="shared" si="40"/>
        <v>850000</v>
      </c>
      <c r="H232" s="33">
        <f t="shared" si="41"/>
        <v>1445000</v>
      </c>
      <c r="I232" s="33">
        <f t="shared" si="42"/>
        <v>2040000</v>
      </c>
      <c r="J232" s="25">
        <f t="shared" si="43"/>
        <v>1.44</v>
      </c>
      <c r="K232" s="22" t="str">
        <f t="shared" si="44"/>
        <v>Above Band</v>
      </c>
      <c r="L232" s="30">
        <f t="shared" si="45"/>
        <v>3</v>
      </c>
      <c r="M232" s="26">
        <v>6.7000000000000004E-2</v>
      </c>
      <c r="N232" s="34">
        <f t="shared" si="46"/>
        <v>2215100</v>
      </c>
      <c r="O232" s="31">
        <v>0.08</v>
      </c>
      <c r="P232" s="34">
        <f t="shared" si="47"/>
        <v>166100</v>
      </c>
      <c r="Q232" s="22" t="s">
        <v>1701</v>
      </c>
    </row>
    <row r="233" spans="1:17" x14ac:dyDescent="0.3">
      <c r="A233" s="22" t="s">
        <v>887</v>
      </c>
      <c r="B233" t="str">
        <f t="shared" si="36"/>
        <v>Nisha Reddy</v>
      </c>
      <c r="C233" t="str">
        <f t="shared" si="37"/>
        <v>Customer Support</v>
      </c>
      <c r="D233" s="30" t="str">
        <f t="shared" si="38"/>
        <v>L1</v>
      </c>
      <c r="E233" s="30" t="str">
        <f t="shared" si="39"/>
        <v>Active</v>
      </c>
      <c r="F233" s="32">
        <v>433000</v>
      </c>
      <c r="G233" s="33">
        <f t="shared" si="40"/>
        <v>297500</v>
      </c>
      <c r="H233" s="33">
        <f t="shared" si="41"/>
        <v>508750</v>
      </c>
      <c r="I233" s="33">
        <f t="shared" si="42"/>
        <v>720000</v>
      </c>
      <c r="J233" s="25">
        <f t="shared" si="43"/>
        <v>0.85</v>
      </c>
      <c r="K233" s="22" t="str">
        <f t="shared" si="44"/>
        <v>Within Band</v>
      </c>
      <c r="L233" s="30">
        <f t="shared" si="45"/>
        <v>2</v>
      </c>
      <c r="M233" s="26">
        <v>0.05</v>
      </c>
      <c r="N233" s="34">
        <f t="shared" si="46"/>
        <v>454700</v>
      </c>
      <c r="O233" s="31">
        <v>0.02</v>
      </c>
      <c r="P233" s="34">
        <f t="shared" si="47"/>
        <v>8700</v>
      </c>
      <c r="Q233" s="22" t="s">
        <v>1701</v>
      </c>
    </row>
    <row r="234" spans="1:17" x14ac:dyDescent="0.3">
      <c r="A234" s="22" t="s">
        <v>891</v>
      </c>
      <c r="B234" t="str">
        <f t="shared" si="36"/>
        <v>Anand Yadav</v>
      </c>
      <c r="C234" t="str">
        <f t="shared" si="37"/>
        <v>Product</v>
      </c>
      <c r="D234" s="30" t="str">
        <f t="shared" si="38"/>
        <v>L1</v>
      </c>
      <c r="E234" s="30" t="str">
        <f t="shared" si="39"/>
        <v>Active</v>
      </c>
      <c r="F234" s="32">
        <v>443000</v>
      </c>
      <c r="G234" s="33">
        <f t="shared" si="40"/>
        <v>297500</v>
      </c>
      <c r="H234" s="33">
        <f t="shared" si="41"/>
        <v>508750</v>
      </c>
      <c r="I234" s="33">
        <f t="shared" si="42"/>
        <v>720000</v>
      </c>
      <c r="J234" s="25">
        <f t="shared" si="43"/>
        <v>0.87</v>
      </c>
      <c r="K234" s="22" t="str">
        <f t="shared" si="44"/>
        <v>Within Band</v>
      </c>
      <c r="L234" s="30">
        <f t="shared" si="45"/>
        <v>2</v>
      </c>
      <c r="M234" s="26">
        <v>4.8000000000000001E-2</v>
      </c>
      <c r="N234" s="34">
        <f t="shared" si="46"/>
        <v>464300</v>
      </c>
      <c r="O234" s="31">
        <v>0.02</v>
      </c>
      <c r="P234" s="34">
        <f t="shared" si="47"/>
        <v>8900</v>
      </c>
      <c r="Q234" s="22" t="s">
        <v>1701</v>
      </c>
    </row>
    <row r="235" spans="1:17" x14ac:dyDescent="0.3">
      <c r="A235" s="22" t="s">
        <v>895</v>
      </c>
      <c r="B235" t="str">
        <f t="shared" si="36"/>
        <v>Arun Gupta</v>
      </c>
      <c r="C235" t="str">
        <f t="shared" si="37"/>
        <v>Marketing</v>
      </c>
      <c r="D235" s="30" t="str">
        <f t="shared" si="38"/>
        <v>L1</v>
      </c>
      <c r="E235" s="30" t="str">
        <f t="shared" si="39"/>
        <v>Exited</v>
      </c>
      <c r="F235" s="32">
        <v>386000</v>
      </c>
      <c r="G235" s="33">
        <f t="shared" si="40"/>
        <v>297500</v>
      </c>
      <c r="H235" s="33">
        <f t="shared" si="41"/>
        <v>508750</v>
      </c>
      <c r="I235" s="33">
        <f t="shared" si="42"/>
        <v>720000</v>
      </c>
      <c r="J235" s="25">
        <f t="shared" si="43"/>
        <v>0.76</v>
      </c>
      <c r="K235" s="22" t="str">
        <f t="shared" si="44"/>
        <v>Within Band</v>
      </c>
      <c r="L235" s="30">
        <f t="shared" si="45"/>
        <v>3</v>
      </c>
      <c r="M235" s="26">
        <v>9.1999999999999998E-2</v>
      </c>
      <c r="N235" s="34">
        <f t="shared" si="46"/>
        <v>0</v>
      </c>
      <c r="O235" s="31">
        <v>0.05</v>
      </c>
      <c r="P235" s="34">
        <f t="shared" si="47"/>
        <v>0</v>
      </c>
      <c r="Q235" s="22" t="s">
        <v>1701</v>
      </c>
    </row>
    <row r="236" spans="1:17" x14ac:dyDescent="0.3">
      <c r="A236" s="22" t="s">
        <v>899</v>
      </c>
      <c r="B236" t="str">
        <f t="shared" si="36"/>
        <v>Sanjay Chatterjee</v>
      </c>
      <c r="C236" t="str">
        <f t="shared" si="37"/>
        <v>Operations</v>
      </c>
      <c r="D236" s="30" t="str">
        <f t="shared" si="38"/>
        <v>L1</v>
      </c>
      <c r="E236" s="30" t="str">
        <f t="shared" si="39"/>
        <v>Active</v>
      </c>
      <c r="F236" s="32">
        <v>506000</v>
      </c>
      <c r="G236" s="33">
        <f t="shared" si="40"/>
        <v>297500</v>
      </c>
      <c r="H236" s="33">
        <f t="shared" si="41"/>
        <v>508750</v>
      </c>
      <c r="I236" s="33">
        <f t="shared" si="42"/>
        <v>720000</v>
      </c>
      <c r="J236" s="25">
        <f t="shared" si="43"/>
        <v>0.99</v>
      </c>
      <c r="K236" s="22" t="str">
        <f t="shared" si="44"/>
        <v>Within Band</v>
      </c>
      <c r="L236" s="30">
        <f t="shared" si="45"/>
        <v>2</v>
      </c>
      <c r="M236" s="26">
        <v>4.2000000000000003E-2</v>
      </c>
      <c r="N236" s="34">
        <f t="shared" si="46"/>
        <v>527300</v>
      </c>
      <c r="O236" s="31">
        <v>0.02</v>
      </c>
      <c r="P236" s="34">
        <f t="shared" si="47"/>
        <v>10100</v>
      </c>
      <c r="Q236" s="22" t="s">
        <v>1701</v>
      </c>
    </row>
    <row r="237" spans="1:17" x14ac:dyDescent="0.3">
      <c r="A237" s="22" t="s">
        <v>514</v>
      </c>
      <c r="B237" t="str">
        <f t="shared" si="36"/>
        <v>Sachin Shetty</v>
      </c>
      <c r="C237" t="str">
        <f t="shared" si="37"/>
        <v>Product</v>
      </c>
      <c r="D237" s="30" t="str">
        <f t="shared" si="38"/>
        <v>L5</v>
      </c>
      <c r="E237" s="30" t="str">
        <f t="shared" si="39"/>
        <v>Active</v>
      </c>
      <c r="F237" s="32">
        <v>4842000</v>
      </c>
      <c r="G237" s="33">
        <f t="shared" si="40"/>
        <v>2295000</v>
      </c>
      <c r="H237" s="33">
        <f t="shared" si="41"/>
        <v>3667500</v>
      </c>
      <c r="I237" s="33">
        <f t="shared" si="42"/>
        <v>5040000</v>
      </c>
      <c r="J237" s="25">
        <f t="shared" si="43"/>
        <v>1.32</v>
      </c>
      <c r="K237" s="22" t="str">
        <f t="shared" si="44"/>
        <v>Within Band</v>
      </c>
      <c r="L237" s="30">
        <f t="shared" si="45"/>
        <v>5</v>
      </c>
      <c r="M237" s="26">
        <v>0.16700000000000001</v>
      </c>
      <c r="N237" s="34">
        <f t="shared" si="46"/>
        <v>5650600</v>
      </c>
      <c r="O237" s="31">
        <v>0.18</v>
      </c>
      <c r="P237" s="34">
        <f t="shared" si="47"/>
        <v>871600</v>
      </c>
      <c r="Q237" s="22" t="s">
        <v>1700</v>
      </c>
    </row>
    <row r="238" spans="1:17" x14ac:dyDescent="0.3">
      <c r="A238" s="22" t="s">
        <v>904</v>
      </c>
      <c r="B238" t="str">
        <f t="shared" si="36"/>
        <v>Sanjana Mukherjee</v>
      </c>
      <c r="C238" t="str">
        <f t="shared" si="37"/>
        <v>Engineering</v>
      </c>
      <c r="D238" s="30" t="str">
        <f t="shared" si="38"/>
        <v>L2</v>
      </c>
      <c r="E238" s="30" t="str">
        <f t="shared" si="39"/>
        <v>Active</v>
      </c>
      <c r="F238" s="32">
        <v>1116000</v>
      </c>
      <c r="G238" s="33">
        <f t="shared" si="40"/>
        <v>510000</v>
      </c>
      <c r="H238" s="33">
        <f t="shared" si="41"/>
        <v>855000</v>
      </c>
      <c r="I238" s="33">
        <f t="shared" si="42"/>
        <v>1200000</v>
      </c>
      <c r="J238" s="25">
        <f t="shared" si="43"/>
        <v>1.31</v>
      </c>
      <c r="K238" s="22" t="str">
        <f t="shared" si="44"/>
        <v>Within Band</v>
      </c>
      <c r="L238" s="30">
        <f t="shared" si="45"/>
        <v>4</v>
      </c>
      <c r="M238" s="26">
        <v>0.127</v>
      </c>
      <c r="N238" s="34">
        <f t="shared" si="46"/>
        <v>1257700</v>
      </c>
      <c r="O238" s="31">
        <v>0.12</v>
      </c>
      <c r="P238" s="34">
        <f t="shared" si="47"/>
        <v>133900</v>
      </c>
      <c r="Q238" s="22" t="s">
        <v>1701</v>
      </c>
    </row>
    <row r="239" spans="1:17" x14ac:dyDescent="0.3">
      <c r="A239" s="22" t="s">
        <v>129</v>
      </c>
      <c r="B239" t="str">
        <f t="shared" si="36"/>
        <v>Nandini Iyer</v>
      </c>
      <c r="C239" t="str">
        <f t="shared" si="37"/>
        <v>Marketing</v>
      </c>
      <c r="D239" s="30" t="str">
        <f t="shared" si="38"/>
        <v>L5</v>
      </c>
      <c r="E239" s="30" t="str">
        <f t="shared" si="39"/>
        <v>Active</v>
      </c>
      <c r="F239" s="32">
        <v>3121000</v>
      </c>
      <c r="G239" s="33">
        <f t="shared" si="40"/>
        <v>2295000</v>
      </c>
      <c r="H239" s="33">
        <f t="shared" si="41"/>
        <v>3667500</v>
      </c>
      <c r="I239" s="33">
        <f t="shared" si="42"/>
        <v>5040000</v>
      </c>
      <c r="J239" s="25">
        <f t="shared" si="43"/>
        <v>0.85</v>
      </c>
      <c r="K239" s="22" t="str">
        <f t="shared" si="44"/>
        <v>Within Band</v>
      </c>
      <c r="L239" s="30">
        <f t="shared" si="45"/>
        <v>2</v>
      </c>
      <c r="M239" s="26">
        <v>1.7000000000000001E-2</v>
      </c>
      <c r="N239" s="34">
        <f t="shared" si="46"/>
        <v>3174100</v>
      </c>
      <c r="O239" s="31">
        <v>0.03</v>
      </c>
      <c r="P239" s="34">
        <f t="shared" si="47"/>
        <v>93600</v>
      </c>
      <c r="Q239" s="22" t="s">
        <v>1700</v>
      </c>
    </row>
    <row r="240" spans="1:17" x14ac:dyDescent="0.3">
      <c r="A240" s="22" t="s">
        <v>908</v>
      </c>
      <c r="B240" t="str">
        <f t="shared" si="36"/>
        <v>Sakshi Mukherjee</v>
      </c>
      <c r="C240" t="str">
        <f t="shared" si="37"/>
        <v>Engineering</v>
      </c>
      <c r="D240" s="30" t="str">
        <f t="shared" si="38"/>
        <v>L1</v>
      </c>
      <c r="E240" s="30" t="str">
        <f t="shared" si="39"/>
        <v>Exited</v>
      </c>
      <c r="F240" s="32">
        <v>548000</v>
      </c>
      <c r="G240" s="33">
        <f t="shared" si="40"/>
        <v>297500</v>
      </c>
      <c r="H240" s="33">
        <f t="shared" si="41"/>
        <v>508750</v>
      </c>
      <c r="I240" s="33">
        <f t="shared" si="42"/>
        <v>720000</v>
      </c>
      <c r="J240" s="25">
        <f t="shared" si="43"/>
        <v>1.08</v>
      </c>
      <c r="K240" s="22" t="str">
        <f t="shared" si="44"/>
        <v>Within Band</v>
      </c>
      <c r="L240" s="30">
        <f t="shared" si="45"/>
        <v>3</v>
      </c>
      <c r="M240" s="26">
        <v>0.08</v>
      </c>
      <c r="N240" s="34">
        <f t="shared" si="46"/>
        <v>0</v>
      </c>
      <c r="O240" s="31">
        <v>0.05</v>
      </c>
      <c r="P240" s="34">
        <f t="shared" si="47"/>
        <v>0</v>
      </c>
      <c r="Q240" s="22" t="s">
        <v>1701</v>
      </c>
    </row>
    <row r="241" spans="1:17" x14ac:dyDescent="0.3">
      <c r="A241" s="22" t="s">
        <v>912</v>
      </c>
      <c r="B241" t="str">
        <f t="shared" si="36"/>
        <v>Ramya Khan</v>
      </c>
      <c r="C241" t="str">
        <f t="shared" si="37"/>
        <v>Legal &amp; Compliance</v>
      </c>
      <c r="D241" s="30" t="str">
        <f t="shared" si="38"/>
        <v>L4</v>
      </c>
      <c r="E241" s="30" t="str">
        <f t="shared" si="39"/>
        <v>Active</v>
      </c>
      <c r="F241" s="32">
        <v>2249000</v>
      </c>
      <c r="G241" s="33">
        <f t="shared" si="40"/>
        <v>1445000</v>
      </c>
      <c r="H241" s="33">
        <f t="shared" si="41"/>
        <v>2342500</v>
      </c>
      <c r="I241" s="33">
        <f t="shared" si="42"/>
        <v>3240000</v>
      </c>
      <c r="J241" s="25">
        <f t="shared" si="43"/>
        <v>0.96</v>
      </c>
      <c r="K241" s="22" t="str">
        <f t="shared" si="44"/>
        <v>Within Band</v>
      </c>
      <c r="L241" s="30">
        <f t="shared" si="45"/>
        <v>5</v>
      </c>
      <c r="M241" s="26">
        <v>0.17199999999999999</v>
      </c>
      <c r="N241" s="34">
        <f t="shared" si="46"/>
        <v>2635800</v>
      </c>
      <c r="O241" s="31">
        <v>0.18</v>
      </c>
      <c r="P241" s="34">
        <f t="shared" si="47"/>
        <v>404800</v>
      </c>
      <c r="Q241" s="22" t="s">
        <v>1700</v>
      </c>
    </row>
    <row r="242" spans="1:17" x14ac:dyDescent="0.3">
      <c r="A242" s="22" t="s">
        <v>727</v>
      </c>
      <c r="B242" t="str">
        <f t="shared" si="36"/>
        <v>Imran Joshi</v>
      </c>
      <c r="C242" t="str">
        <f t="shared" si="37"/>
        <v>Customer Support</v>
      </c>
      <c r="D242" s="30" t="str">
        <f t="shared" si="38"/>
        <v>L5</v>
      </c>
      <c r="E242" s="30" t="str">
        <f t="shared" si="39"/>
        <v>Active</v>
      </c>
      <c r="F242" s="32">
        <v>3368000</v>
      </c>
      <c r="G242" s="33">
        <f t="shared" si="40"/>
        <v>2295000</v>
      </c>
      <c r="H242" s="33">
        <f t="shared" si="41"/>
        <v>3667500</v>
      </c>
      <c r="I242" s="33">
        <f t="shared" si="42"/>
        <v>5040000</v>
      </c>
      <c r="J242" s="25">
        <f t="shared" si="43"/>
        <v>0.92</v>
      </c>
      <c r="K242" s="22" t="str">
        <f t="shared" si="44"/>
        <v>Within Band</v>
      </c>
      <c r="L242" s="30">
        <f t="shared" si="45"/>
        <v>5</v>
      </c>
      <c r="M242" s="26">
        <v>0.16800000000000001</v>
      </c>
      <c r="N242" s="34">
        <f t="shared" si="46"/>
        <v>3933800</v>
      </c>
      <c r="O242" s="31">
        <v>0.18</v>
      </c>
      <c r="P242" s="34">
        <f t="shared" si="47"/>
        <v>606200</v>
      </c>
      <c r="Q242" s="22" t="s">
        <v>1700</v>
      </c>
    </row>
    <row r="243" spans="1:17" x14ac:dyDescent="0.3">
      <c r="A243" s="22" t="s">
        <v>917</v>
      </c>
      <c r="B243" t="str">
        <f t="shared" si="36"/>
        <v>Aarav Das</v>
      </c>
      <c r="C243" t="str">
        <f t="shared" si="37"/>
        <v>Engineering</v>
      </c>
      <c r="D243" s="30" t="str">
        <f t="shared" si="38"/>
        <v>L2</v>
      </c>
      <c r="E243" s="30" t="str">
        <f t="shared" si="39"/>
        <v>Active</v>
      </c>
      <c r="F243" s="32">
        <v>1083000</v>
      </c>
      <c r="G243" s="33">
        <f t="shared" si="40"/>
        <v>510000</v>
      </c>
      <c r="H243" s="33">
        <f t="shared" si="41"/>
        <v>855000</v>
      </c>
      <c r="I243" s="33">
        <f t="shared" si="42"/>
        <v>1200000</v>
      </c>
      <c r="J243" s="25">
        <f t="shared" si="43"/>
        <v>1.27</v>
      </c>
      <c r="K243" s="22" t="str">
        <f t="shared" si="44"/>
        <v>Within Band</v>
      </c>
      <c r="L243" s="30">
        <f t="shared" si="45"/>
        <v>3</v>
      </c>
      <c r="M243" s="26">
        <v>6.6000000000000003E-2</v>
      </c>
      <c r="N243" s="34">
        <f t="shared" si="46"/>
        <v>1154500</v>
      </c>
      <c r="O243" s="31">
        <v>0.08</v>
      </c>
      <c r="P243" s="34">
        <f t="shared" si="47"/>
        <v>86600</v>
      </c>
      <c r="Q243" s="22" t="s">
        <v>1701</v>
      </c>
    </row>
    <row r="244" spans="1:17" x14ac:dyDescent="0.3">
      <c r="A244" s="22" t="s">
        <v>920</v>
      </c>
      <c r="B244" t="str">
        <f t="shared" si="36"/>
        <v>Tanvi Yadav</v>
      </c>
      <c r="C244" t="str">
        <f t="shared" si="37"/>
        <v>Customer Support</v>
      </c>
      <c r="D244" s="30" t="str">
        <f t="shared" si="38"/>
        <v>L4</v>
      </c>
      <c r="E244" s="30" t="str">
        <f t="shared" si="39"/>
        <v>Active</v>
      </c>
      <c r="F244" s="32">
        <v>1952000</v>
      </c>
      <c r="G244" s="33">
        <f t="shared" si="40"/>
        <v>1445000</v>
      </c>
      <c r="H244" s="33">
        <f t="shared" si="41"/>
        <v>2342500</v>
      </c>
      <c r="I244" s="33">
        <f t="shared" si="42"/>
        <v>3240000</v>
      </c>
      <c r="J244" s="25">
        <f t="shared" si="43"/>
        <v>0.83</v>
      </c>
      <c r="K244" s="22" t="str">
        <f t="shared" si="44"/>
        <v>Within Band</v>
      </c>
      <c r="L244" s="30">
        <f t="shared" si="45"/>
        <v>5</v>
      </c>
      <c r="M244" s="26">
        <v>0.16</v>
      </c>
      <c r="N244" s="34">
        <f t="shared" si="46"/>
        <v>2264300</v>
      </c>
      <c r="O244" s="31">
        <v>0.18</v>
      </c>
      <c r="P244" s="34">
        <f t="shared" si="47"/>
        <v>351400</v>
      </c>
      <c r="Q244" s="22" t="s">
        <v>1700</v>
      </c>
    </row>
    <row r="245" spans="1:17" x14ac:dyDescent="0.3">
      <c r="A245" s="22" t="s">
        <v>923</v>
      </c>
      <c r="B245" t="str">
        <f t="shared" si="36"/>
        <v>Yash Joshi</v>
      </c>
      <c r="C245" t="str">
        <f t="shared" si="37"/>
        <v>Operations</v>
      </c>
      <c r="D245" s="30" t="str">
        <f t="shared" si="38"/>
        <v>L1</v>
      </c>
      <c r="E245" s="30" t="str">
        <f t="shared" si="39"/>
        <v>Active</v>
      </c>
      <c r="F245" s="32">
        <v>443000</v>
      </c>
      <c r="G245" s="33">
        <f t="shared" si="40"/>
        <v>297500</v>
      </c>
      <c r="H245" s="33">
        <f t="shared" si="41"/>
        <v>508750</v>
      </c>
      <c r="I245" s="33">
        <f t="shared" si="42"/>
        <v>720000</v>
      </c>
      <c r="J245" s="25">
        <f t="shared" si="43"/>
        <v>0.87</v>
      </c>
      <c r="K245" s="22" t="str">
        <f t="shared" si="44"/>
        <v>Within Band</v>
      </c>
      <c r="L245" s="30">
        <f t="shared" si="45"/>
        <v>3</v>
      </c>
      <c r="M245" s="26">
        <v>9.8000000000000004E-2</v>
      </c>
      <c r="N245" s="34">
        <f t="shared" si="46"/>
        <v>486400</v>
      </c>
      <c r="O245" s="31">
        <v>0.05</v>
      </c>
      <c r="P245" s="34">
        <f t="shared" si="47"/>
        <v>22200</v>
      </c>
      <c r="Q245" s="22" t="s">
        <v>1701</v>
      </c>
    </row>
    <row r="246" spans="1:17" x14ac:dyDescent="0.3">
      <c r="A246" s="22" t="s">
        <v>926</v>
      </c>
      <c r="B246" t="str">
        <f t="shared" si="36"/>
        <v>Rajesh Raghavan</v>
      </c>
      <c r="C246" t="str">
        <f t="shared" si="37"/>
        <v>Legal &amp; Compliance</v>
      </c>
      <c r="D246" s="30" t="str">
        <f t="shared" si="38"/>
        <v>L3</v>
      </c>
      <c r="E246" s="30" t="str">
        <f t="shared" si="39"/>
        <v>Exited</v>
      </c>
      <c r="F246" s="32">
        <v>1205000</v>
      </c>
      <c r="G246" s="33">
        <f t="shared" si="40"/>
        <v>850000</v>
      </c>
      <c r="H246" s="33">
        <f t="shared" si="41"/>
        <v>1445000</v>
      </c>
      <c r="I246" s="33">
        <f t="shared" si="42"/>
        <v>2040000</v>
      </c>
      <c r="J246" s="25">
        <f t="shared" si="43"/>
        <v>0.83</v>
      </c>
      <c r="K246" s="22" t="str">
        <f t="shared" si="44"/>
        <v>Within Band</v>
      </c>
      <c r="L246" s="30">
        <f t="shared" si="45"/>
        <v>3</v>
      </c>
      <c r="M246" s="26">
        <v>7.3999999999999996E-2</v>
      </c>
      <c r="N246" s="34">
        <f t="shared" si="46"/>
        <v>0</v>
      </c>
      <c r="O246" s="31">
        <v>0.08</v>
      </c>
      <c r="P246" s="34">
        <f t="shared" si="47"/>
        <v>0</v>
      </c>
      <c r="Q246" s="22" t="s">
        <v>1701</v>
      </c>
    </row>
    <row r="247" spans="1:17" x14ac:dyDescent="0.3">
      <c r="A247" s="22" t="s">
        <v>929</v>
      </c>
      <c r="B247" t="str">
        <f t="shared" si="36"/>
        <v>Pranav Gupta</v>
      </c>
      <c r="C247" t="str">
        <f t="shared" si="37"/>
        <v>Marketing</v>
      </c>
      <c r="D247" s="30" t="str">
        <f t="shared" si="38"/>
        <v>L1</v>
      </c>
      <c r="E247" s="30" t="str">
        <f t="shared" si="39"/>
        <v>Active</v>
      </c>
      <c r="F247" s="32">
        <v>489000</v>
      </c>
      <c r="G247" s="33">
        <f t="shared" si="40"/>
        <v>297500</v>
      </c>
      <c r="H247" s="33">
        <f t="shared" si="41"/>
        <v>508750</v>
      </c>
      <c r="I247" s="33">
        <f t="shared" si="42"/>
        <v>720000</v>
      </c>
      <c r="J247" s="25">
        <f t="shared" si="43"/>
        <v>0.96</v>
      </c>
      <c r="K247" s="22" t="str">
        <f t="shared" si="44"/>
        <v>Within Band</v>
      </c>
      <c r="L247" s="30">
        <f t="shared" si="45"/>
        <v>3</v>
      </c>
      <c r="M247" s="26">
        <v>8.7999999999999995E-2</v>
      </c>
      <c r="N247" s="34">
        <f t="shared" si="46"/>
        <v>532000</v>
      </c>
      <c r="O247" s="31">
        <v>0.05</v>
      </c>
      <c r="P247" s="34">
        <f t="shared" si="47"/>
        <v>24500</v>
      </c>
      <c r="Q247" s="22" t="s">
        <v>1701</v>
      </c>
    </row>
    <row r="248" spans="1:17" x14ac:dyDescent="0.3">
      <c r="A248" s="22" t="s">
        <v>104</v>
      </c>
      <c r="B248" t="str">
        <f t="shared" si="36"/>
        <v>Yamini Nair</v>
      </c>
      <c r="C248" t="str">
        <f t="shared" si="37"/>
        <v>Engineering</v>
      </c>
      <c r="D248" s="30" t="str">
        <f t="shared" si="38"/>
        <v>L6</v>
      </c>
      <c r="E248" s="30" t="str">
        <f t="shared" si="39"/>
        <v>Active</v>
      </c>
      <c r="F248" s="32">
        <v>5511000</v>
      </c>
      <c r="G248" s="33">
        <f t="shared" si="40"/>
        <v>3570000</v>
      </c>
      <c r="H248" s="33">
        <f t="shared" si="41"/>
        <v>5385000</v>
      </c>
      <c r="I248" s="33">
        <f t="shared" si="42"/>
        <v>7200000</v>
      </c>
      <c r="J248" s="25">
        <f t="shared" si="43"/>
        <v>1.02</v>
      </c>
      <c r="K248" s="22" t="str">
        <f t="shared" si="44"/>
        <v>Within Band</v>
      </c>
      <c r="L248" s="30">
        <f t="shared" si="45"/>
        <v>3</v>
      </c>
      <c r="M248" s="26">
        <v>6.9000000000000006E-2</v>
      </c>
      <c r="N248" s="34">
        <f t="shared" si="46"/>
        <v>5891300</v>
      </c>
      <c r="O248" s="31">
        <v>0.08</v>
      </c>
      <c r="P248" s="34">
        <f t="shared" si="47"/>
        <v>440900</v>
      </c>
      <c r="Q248" s="22" t="s">
        <v>1700</v>
      </c>
    </row>
    <row r="249" spans="1:17" x14ac:dyDescent="0.3">
      <c r="A249" s="22" t="s">
        <v>933</v>
      </c>
      <c r="B249" t="str">
        <f t="shared" si="36"/>
        <v>Ravi Khanna</v>
      </c>
      <c r="C249" t="str">
        <f t="shared" si="37"/>
        <v>Human Resources</v>
      </c>
      <c r="D249" s="30" t="str">
        <f t="shared" si="38"/>
        <v>L1</v>
      </c>
      <c r="E249" s="30" t="str">
        <f t="shared" si="39"/>
        <v>Active</v>
      </c>
      <c r="F249" s="32">
        <v>369000</v>
      </c>
      <c r="G249" s="33">
        <f t="shared" si="40"/>
        <v>297500</v>
      </c>
      <c r="H249" s="33">
        <f t="shared" si="41"/>
        <v>508750</v>
      </c>
      <c r="I249" s="33">
        <f t="shared" si="42"/>
        <v>720000</v>
      </c>
      <c r="J249" s="25">
        <f t="shared" si="43"/>
        <v>0.73</v>
      </c>
      <c r="K249" s="22" t="str">
        <f t="shared" si="44"/>
        <v>Within Band</v>
      </c>
      <c r="L249" s="30">
        <f t="shared" si="45"/>
        <v>3</v>
      </c>
      <c r="M249" s="26">
        <v>0.09</v>
      </c>
      <c r="N249" s="34">
        <f t="shared" si="46"/>
        <v>402200</v>
      </c>
      <c r="O249" s="31">
        <v>0.05</v>
      </c>
      <c r="P249" s="34">
        <f t="shared" si="47"/>
        <v>18500</v>
      </c>
      <c r="Q249" s="22" t="s">
        <v>1701</v>
      </c>
    </row>
    <row r="250" spans="1:17" x14ac:dyDescent="0.3">
      <c r="A250" s="22" t="s">
        <v>937</v>
      </c>
      <c r="B250" t="str">
        <f t="shared" si="36"/>
        <v>Vishal Kamath</v>
      </c>
      <c r="C250" t="str">
        <f t="shared" si="37"/>
        <v>Operations</v>
      </c>
      <c r="D250" s="30" t="str">
        <f t="shared" si="38"/>
        <v>L3</v>
      </c>
      <c r="E250" s="30" t="str">
        <f t="shared" si="39"/>
        <v>Active</v>
      </c>
      <c r="F250" s="32">
        <v>1122000</v>
      </c>
      <c r="G250" s="33">
        <f t="shared" si="40"/>
        <v>850000</v>
      </c>
      <c r="H250" s="33">
        <f t="shared" si="41"/>
        <v>1445000</v>
      </c>
      <c r="I250" s="33">
        <f t="shared" si="42"/>
        <v>2040000</v>
      </c>
      <c r="J250" s="25">
        <f t="shared" si="43"/>
        <v>0.78</v>
      </c>
      <c r="K250" s="22" t="str">
        <f t="shared" si="44"/>
        <v>Within Band</v>
      </c>
      <c r="L250" s="30">
        <f t="shared" si="45"/>
        <v>3</v>
      </c>
      <c r="M250" s="26">
        <v>0.09</v>
      </c>
      <c r="N250" s="34">
        <f t="shared" si="46"/>
        <v>1223000</v>
      </c>
      <c r="O250" s="31">
        <v>0.08</v>
      </c>
      <c r="P250" s="34">
        <f t="shared" si="47"/>
        <v>89800</v>
      </c>
      <c r="Q250" s="22" t="s">
        <v>1701</v>
      </c>
    </row>
    <row r="251" spans="1:17" x14ac:dyDescent="0.3">
      <c r="A251" s="22" t="s">
        <v>940</v>
      </c>
      <c r="B251" t="str">
        <f t="shared" si="36"/>
        <v>Arjun Mishra</v>
      </c>
      <c r="C251" t="str">
        <f t="shared" si="37"/>
        <v>Finance</v>
      </c>
      <c r="D251" s="30" t="str">
        <f t="shared" si="38"/>
        <v>L1</v>
      </c>
      <c r="E251" s="30" t="str">
        <f t="shared" si="39"/>
        <v>Active</v>
      </c>
      <c r="F251" s="32">
        <v>617000</v>
      </c>
      <c r="G251" s="33">
        <f t="shared" si="40"/>
        <v>297500</v>
      </c>
      <c r="H251" s="33">
        <f t="shared" si="41"/>
        <v>508750</v>
      </c>
      <c r="I251" s="33">
        <f t="shared" si="42"/>
        <v>720000</v>
      </c>
      <c r="J251" s="25">
        <f t="shared" si="43"/>
        <v>1.21</v>
      </c>
      <c r="K251" s="22" t="str">
        <f t="shared" si="44"/>
        <v>Within Band</v>
      </c>
      <c r="L251" s="30">
        <f t="shared" si="45"/>
        <v>3</v>
      </c>
      <c r="M251" s="26">
        <v>6.8000000000000005E-2</v>
      </c>
      <c r="N251" s="34">
        <f t="shared" si="46"/>
        <v>659000</v>
      </c>
      <c r="O251" s="31">
        <v>0.05</v>
      </c>
      <c r="P251" s="34">
        <f t="shared" si="47"/>
        <v>30900</v>
      </c>
      <c r="Q251" s="22" t="s">
        <v>1701</v>
      </c>
    </row>
    <row r="252" spans="1:17" x14ac:dyDescent="0.3">
      <c r="A252" s="22" t="s">
        <v>944</v>
      </c>
      <c r="B252" t="str">
        <f t="shared" si="36"/>
        <v>Manish Shetty</v>
      </c>
      <c r="C252" t="str">
        <f t="shared" si="37"/>
        <v>Data &amp; Analytics</v>
      </c>
      <c r="D252" s="30" t="str">
        <f t="shared" si="38"/>
        <v>L1</v>
      </c>
      <c r="E252" s="30" t="str">
        <f t="shared" si="39"/>
        <v>Active</v>
      </c>
      <c r="F252" s="32">
        <v>673000</v>
      </c>
      <c r="G252" s="33">
        <f t="shared" si="40"/>
        <v>297500</v>
      </c>
      <c r="H252" s="33">
        <f t="shared" si="41"/>
        <v>508750</v>
      </c>
      <c r="I252" s="33">
        <f t="shared" si="42"/>
        <v>720000</v>
      </c>
      <c r="J252" s="25">
        <f t="shared" si="43"/>
        <v>1.32</v>
      </c>
      <c r="K252" s="22" t="str">
        <f t="shared" si="44"/>
        <v>Within Band</v>
      </c>
      <c r="L252" s="30">
        <f t="shared" si="45"/>
        <v>3</v>
      </c>
      <c r="M252" s="26">
        <v>9.6000000000000002E-2</v>
      </c>
      <c r="N252" s="34">
        <f t="shared" si="46"/>
        <v>737600</v>
      </c>
      <c r="O252" s="31">
        <v>0.05</v>
      </c>
      <c r="P252" s="34">
        <f t="shared" si="47"/>
        <v>33700</v>
      </c>
      <c r="Q252" s="22" t="s">
        <v>1701</v>
      </c>
    </row>
    <row r="253" spans="1:17" x14ac:dyDescent="0.3">
      <c r="A253" s="22" t="s">
        <v>948</v>
      </c>
      <c r="B253" t="str">
        <f t="shared" si="36"/>
        <v>Anusha Verma</v>
      </c>
      <c r="C253" t="str">
        <f t="shared" si="37"/>
        <v>Marketing</v>
      </c>
      <c r="D253" s="30" t="str">
        <f t="shared" si="38"/>
        <v>L1</v>
      </c>
      <c r="E253" s="30" t="str">
        <f t="shared" si="39"/>
        <v>Active</v>
      </c>
      <c r="F253" s="32">
        <v>387000</v>
      </c>
      <c r="G253" s="33">
        <f t="shared" si="40"/>
        <v>297500</v>
      </c>
      <c r="H253" s="33">
        <f t="shared" si="41"/>
        <v>508750</v>
      </c>
      <c r="I253" s="33">
        <f t="shared" si="42"/>
        <v>720000</v>
      </c>
      <c r="J253" s="25">
        <f t="shared" si="43"/>
        <v>0.76</v>
      </c>
      <c r="K253" s="22" t="str">
        <f t="shared" si="44"/>
        <v>Within Band</v>
      </c>
      <c r="L253" s="30">
        <f t="shared" si="45"/>
        <v>3</v>
      </c>
      <c r="M253" s="26">
        <v>0.08</v>
      </c>
      <c r="N253" s="34">
        <f t="shared" si="46"/>
        <v>418000</v>
      </c>
      <c r="O253" s="31">
        <v>0.05</v>
      </c>
      <c r="P253" s="34">
        <f t="shared" si="47"/>
        <v>19400</v>
      </c>
      <c r="Q253" s="22" t="s">
        <v>1701</v>
      </c>
    </row>
    <row r="254" spans="1:17" x14ac:dyDescent="0.3">
      <c r="A254" s="22" t="s">
        <v>951</v>
      </c>
      <c r="B254" t="str">
        <f t="shared" si="36"/>
        <v>Swathi Banerjee</v>
      </c>
      <c r="C254" t="str">
        <f t="shared" si="37"/>
        <v>Engineering</v>
      </c>
      <c r="D254" s="30" t="str">
        <f t="shared" si="38"/>
        <v>L2</v>
      </c>
      <c r="E254" s="30" t="str">
        <f t="shared" si="39"/>
        <v>Exited</v>
      </c>
      <c r="F254" s="32">
        <v>1045000</v>
      </c>
      <c r="G254" s="33">
        <f t="shared" si="40"/>
        <v>510000</v>
      </c>
      <c r="H254" s="33">
        <f t="shared" si="41"/>
        <v>855000</v>
      </c>
      <c r="I254" s="33">
        <f t="shared" si="42"/>
        <v>1200000</v>
      </c>
      <c r="J254" s="25">
        <f t="shared" si="43"/>
        <v>1.22</v>
      </c>
      <c r="K254" s="22" t="str">
        <f t="shared" si="44"/>
        <v>Within Band</v>
      </c>
      <c r="L254" s="30">
        <f t="shared" si="45"/>
        <v>2</v>
      </c>
      <c r="M254" s="26">
        <v>3.3000000000000002E-2</v>
      </c>
      <c r="N254" s="34">
        <f t="shared" si="46"/>
        <v>0</v>
      </c>
      <c r="O254" s="31">
        <v>0.03</v>
      </c>
      <c r="P254" s="34">
        <f t="shared" si="47"/>
        <v>0</v>
      </c>
      <c r="Q254" s="22" t="s">
        <v>1701</v>
      </c>
    </row>
    <row r="255" spans="1:17" x14ac:dyDescent="0.3">
      <c r="A255" s="22" t="s">
        <v>954</v>
      </c>
      <c r="B255" t="str">
        <f t="shared" si="36"/>
        <v>Aniket Bansal</v>
      </c>
      <c r="C255" t="str">
        <f t="shared" si="37"/>
        <v>Operations</v>
      </c>
      <c r="D255" s="30" t="str">
        <f t="shared" si="38"/>
        <v>L2</v>
      </c>
      <c r="E255" s="30" t="str">
        <f t="shared" si="39"/>
        <v>Active</v>
      </c>
      <c r="F255" s="32">
        <v>698000</v>
      </c>
      <c r="G255" s="33">
        <f t="shared" si="40"/>
        <v>510000</v>
      </c>
      <c r="H255" s="33">
        <f t="shared" si="41"/>
        <v>855000</v>
      </c>
      <c r="I255" s="33">
        <f t="shared" si="42"/>
        <v>1200000</v>
      </c>
      <c r="J255" s="25">
        <f t="shared" si="43"/>
        <v>0.82</v>
      </c>
      <c r="K255" s="22" t="str">
        <f t="shared" si="44"/>
        <v>Within Band</v>
      </c>
      <c r="L255" s="30">
        <f t="shared" si="45"/>
        <v>2</v>
      </c>
      <c r="M255" s="26">
        <v>4.5999999999999999E-2</v>
      </c>
      <c r="N255" s="34">
        <f t="shared" si="46"/>
        <v>730100</v>
      </c>
      <c r="O255" s="31">
        <v>0.03</v>
      </c>
      <c r="P255" s="34">
        <f t="shared" si="47"/>
        <v>20900</v>
      </c>
      <c r="Q255" s="22" t="s">
        <v>1701</v>
      </c>
    </row>
    <row r="256" spans="1:17" x14ac:dyDescent="0.3">
      <c r="A256" s="22" t="s">
        <v>957</v>
      </c>
      <c r="B256" t="str">
        <f t="shared" si="36"/>
        <v>Sneha Desai</v>
      </c>
      <c r="C256" t="str">
        <f t="shared" si="37"/>
        <v>Product</v>
      </c>
      <c r="D256" s="30" t="str">
        <f t="shared" si="38"/>
        <v>L1</v>
      </c>
      <c r="E256" s="30" t="str">
        <f t="shared" si="39"/>
        <v>Active</v>
      </c>
      <c r="F256" s="32">
        <v>611000</v>
      </c>
      <c r="G256" s="33">
        <f t="shared" si="40"/>
        <v>297500</v>
      </c>
      <c r="H256" s="33">
        <f t="shared" si="41"/>
        <v>508750</v>
      </c>
      <c r="I256" s="33">
        <f t="shared" si="42"/>
        <v>720000</v>
      </c>
      <c r="J256" s="25">
        <f t="shared" si="43"/>
        <v>1.2</v>
      </c>
      <c r="K256" s="22" t="str">
        <f t="shared" si="44"/>
        <v>Within Band</v>
      </c>
      <c r="L256" s="30">
        <f t="shared" si="45"/>
        <v>4</v>
      </c>
      <c r="M256" s="26">
        <v>0.13100000000000001</v>
      </c>
      <c r="N256" s="34">
        <f t="shared" si="46"/>
        <v>691000</v>
      </c>
      <c r="O256" s="31">
        <v>0.08</v>
      </c>
      <c r="P256" s="34">
        <f t="shared" si="47"/>
        <v>48900</v>
      </c>
      <c r="Q256" s="22" t="s">
        <v>1701</v>
      </c>
    </row>
    <row r="257" spans="1:17" x14ac:dyDescent="0.3">
      <c r="A257" s="22" t="s">
        <v>960</v>
      </c>
      <c r="B257" t="str">
        <f t="shared" si="36"/>
        <v>Deepak Chatterjee</v>
      </c>
      <c r="C257" t="str">
        <f t="shared" si="37"/>
        <v>Operations</v>
      </c>
      <c r="D257" s="30" t="str">
        <f t="shared" si="38"/>
        <v>L2</v>
      </c>
      <c r="E257" s="30" t="str">
        <f t="shared" si="39"/>
        <v>Active</v>
      </c>
      <c r="F257" s="32">
        <v>819000</v>
      </c>
      <c r="G257" s="33">
        <f t="shared" si="40"/>
        <v>510000</v>
      </c>
      <c r="H257" s="33">
        <f t="shared" si="41"/>
        <v>855000</v>
      </c>
      <c r="I257" s="33">
        <f t="shared" si="42"/>
        <v>1200000</v>
      </c>
      <c r="J257" s="25">
        <f t="shared" si="43"/>
        <v>0.96</v>
      </c>
      <c r="K257" s="22" t="str">
        <f t="shared" si="44"/>
        <v>Within Band</v>
      </c>
      <c r="L257" s="30">
        <f t="shared" si="45"/>
        <v>4</v>
      </c>
      <c r="M257" s="26">
        <v>0.13700000000000001</v>
      </c>
      <c r="N257" s="34">
        <f t="shared" si="46"/>
        <v>931200</v>
      </c>
      <c r="O257" s="31">
        <v>0.12</v>
      </c>
      <c r="P257" s="34">
        <f t="shared" si="47"/>
        <v>98300</v>
      </c>
      <c r="Q257" s="22" t="s">
        <v>1701</v>
      </c>
    </row>
    <row r="258" spans="1:17" x14ac:dyDescent="0.3">
      <c r="A258" s="22" t="s">
        <v>963</v>
      </c>
      <c r="B258" t="str">
        <f t="shared" ref="B258:B321" si="48">INDEX(M_Name,MATCH($A258,M_ID,0))</f>
        <v>Ankit Menon</v>
      </c>
      <c r="C258" t="str">
        <f t="shared" ref="C258:C321" si="49">INDEX(M_Dept,MATCH($A258,M_ID,0))</f>
        <v>Product</v>
      </c>
      <c r="D258" s="30" t="str">
        <f t="shared" ref="D258:D321" si="50">INDEX(M_Level,MATCH($A258,M_ID,0))</f>
        <v>L2</v>
      </c>
      <c r="E258" s="30" t="str">
        <f t="shared" ref="E258:E321" si="51">INDEX(M_Status,MATCH($A258,M_ID,0))</f>
        <v>Active</v>
      </c>
      <c r="F258" s="32">
        <v>1166000</v>
      </c>
      <c r="G258" s="33">
        <f t="shared" ref="G258:G321" si="52">INDEX(BandMin,MATCH(D258,BandLevels,0))</f>
        <v>510000</v>
      </c>
      <c r="H258" s="33">
        <f t="shared" ref="H258:H321" si="53">INDEX(BandMid,MATCH(D258,BandLevels,0))</f>
        <v>855000</v>
      </c>
      <c r="I258" s="33">
        <f t="shared" ref="I258:I321" si="54">INDEX(BandMax,MATCH(D258,BandLevels,0))</f>
        <v>1200000</v>
      </c>
      <c r="J258" s="25">
        <f t="shared" ref="J258:J321" si="55">ROUND(F258/H258,2)</f>
        <v>1.36</v>
      </c>
      <c r="K258" s="22" t="str">
        <f t="shared" ref="K258:K321" si="56">IF(F258&lt;G258,"Below Band",IF(F258&gt;I258,"Above Band","Within Band"))</f>
        <v>Within Band</v>
      </c>
      <c r="L258" s="30">
        <f t="shared" ref="L258:L321" si="57">INDEX(P_Rating,MATCH($A258,M_ID,0))</f>
        <v>4</v>
      </c>
      <c r="M258" s="26">
        <v>0.109</v>
      </c>
      <c r="N258" s="34">
        <f t="shared" ref="N258:N321" si="58">IF(E258="Exited",0,ROUND(F258*(1+M258),-2))</f>
        <v>1293100</v>
      </c>
      <c r="O258" s="31">
        <v>0.12</v>
      </c>
      <c r="P258" s="34">
        <f t="shared" ref="P258:P321" si="59">IF(E258="Exited",0,ROUND(F258*O258,-2))</f>
        <v>139900</v>
      </c>
      <c r="Q258" s="22" t="s">
        <v>1701</v>
      </c>
    </row>
    <row r="259" spans="1:17" x14ac:dyDescent="0.3">
      <c r="A259" s="22" t="s">
        <v>966</v>
      </c>
      <c r="B259" t="str">
        <f t="shared" si="48"/>
        <v>Abhishek Choudhary</v>
      </c>
      <c r="C259" t="str">
        <f t="shared" si="49"/>
        <v>Data &amp; Analytics</v>
      </c>
      <c r="D259" s="30" t="str">
        <f t="shared" si="50"/>
        <v>L1</v>
      </c>
      <c r="E259" s="30" t="str">
        <f t="shared" si="51"/>
        <v>Active</v>
      </c>
      <c r="F259" s="32">
        <v>591000</v>
      </c>
      <c r="G259" s="33">
        <f t="shared" si="52"/>
        <v>297500</v>
      </c>
      <c r="H259" s="33">
        <f t="shared" si="53"/>
        <v>508750</v>
      </c>
      <c r="I259" s="33">
        <f t="shared" si="54"/>
        <v>720000</v>
      </c>
      <c r="J259" s="25">
        <f t="shared" si="55"/>
        <v>1.1599999999999999</v>
      </c>
      <c r="K259" s="22" t="str">
        <f t="shared" si="56"/>
        <v>Within Band</v>
      </c>
      <c r="L259" s="30">
        <f t="shared" si="57"/>
        <v>4</v>
      </c>
      <c r="M259" s="26">
        <v>0.13300000000000001</v>
      </c>
      <c r="N259" s="34">
        <f t="shared" si="58"/>
        <v>669600</v>
      </c>
      <c r="O259" s="31">
        <v>0.08</v>
      </c>
      <c r="P259" s="34">
        <f t="shared" si="59"/>
        <v>47300</v>
      </c>
      <c r="Q259" s="22" t="s">
        <v>1701</v>
      </c>
    </row>
    <row r="260" spans="1:17" x14ac:dyDescent="0.3">
      <c r="A260" s="22" t="s">
        <v>969</v>
      </c>
      <c r="B260" t="str">
        <f t="shared" si="48"/>
        <v>Priyanka Gowda</v>
      </c>
      <c r="C260" t="str">
        <f t="shared" si="49"/>
        <v>Engineering</v>
      </c>
      <c r="D260" s="30" t="str">
        <f t="shared" si="50"/>
        <v>L2</v>
      </c>
      <c r="E260" s="30" t="str">
        <f t="shared" si="51"/>
        <v>Active</v>
      </c>
      <c r="F260" s="32">
        <v>1136000</v>
      </c>
      <c r="G260" s="33">
        <f t="shared" si="52"/>
        <v>510000</v>
      </c>
      <c r="H260" s="33">
        <f t="shared" si="53"/>
        <v>855000</v>
      </c>
      <c r="I260" s="33">
        <f t="shared" si="54"/>
        <v>1200000</v>
      </c>
      <c r="J260" s="25">
        <f t="shared" si="55"/>
        <v>1.33</v>
      </c>
      <c r="K260" s="22" t="str">
        <f t="shared" si="56"/>
        <v>Within Band</v>
      </c>
      <c r="L260" s="30">
        <f t="shared" si="57"/>
        <v>3</v>
      </c>
      <c r="M260" s="26">
        <v>7.3999999999999996E-2</v>
      </c>
      <c r="N260" s="34">
        <f t="shared" si="58"/>
        <v>1220100</v>
      </c>
      <c r="O260" s="31">
        <v>0.08</v>
      </c>
      <c r="P260" s="34">
        <f t="shared" si="59"/>
        <v>90900</v>
      </c>
      <c r="Q260" s="22" t="s">
        <v>1701</v>
      </c>
    </row>
    <row r="261" spans="1:17" x14ac:dyDescent="0.3">
      <c r="A261" s="22" t="s">
        <v>643</v>
      </c>
      <c r="B261" t="str">
        <f t="shared" si="48"/>
        <v>Pooja Khanna</v>
      </c>
      <c r="C261" t="str">
        <f t="shared" si="49"/>
        <v>Customer Support</v>
      </c>
      <c r="D261" s="30" t="str">
        <f t="shared" si="50"/>
        <v>L6</v>
      </c>
      <c r="E261" s="30" t="str">
        <f t="shared" si="51"/>
        <v>Active</v>
      </c>
      <c r="F261" s="32">
        <v>3570000</v>
      </c>
      <c r="G261" s="33">
        <f t="shared" si="52"/>
        <v>3570000</v>
      </c>
      <c r="H261" s="33">
        <f t="shared" si="53"/>
        <v>5385000</v>
      </c>
      <c r="I261" s="33">
        <f t="shared" si="54"/>
        <v>7200000</v>
      </c>
      <c r="J261" s="25">
        <f t="shared" si="55"/>
        <v>0.66</v>
      </c>
      <c r="K261" s="22" t="str">
        <f t="shared" si="56"/>
        <v>Within Band</v>
      </c>
      <c r="L261" s="30">
        <f t="shared" si="57"/>
        <v>3</v>
      </c>
      <c r="M261" s="26">
        <v>9.0999999999999998E-2</v>
      </c>
      <c r="N261" s="34">
        <f t="shared" si="58"/>
        <v>3894900</v>
      </c>
      <c r="O261" s="31">
        <v>0.08</v>
      </c>
      <c r="P261" s="34">
        <f t="shared" si="59"/>
        <v>285600</v>
      </c>
      <c r="Q261" s="22" t="s">
        <v>1700</v>
      </c>
    </row>
    <row r="262" spans="1:17" x14ac:dyDescent="0.3">
      <c r="A262" s="22" t="s">
        <v>973</v>
      </c>
      <c r="B262" t="str">
        <f t="shared" si="48"/>
        <v>Priya Krishnan</v>
      </c>
      <c r="C262" t="str">
        <f t="shared" si="49"/>
        <v>Operations</v>
      </c>
      <c r="D262" s="30" t="str">
        <f t="shared" si="50"/>
        <v>L2</v>
      </c>
      <c r="E262" s="30" t="str">
        <f t="shared" si="51"/>
        <v>Active</v>
      </c>
      <c r="F262" s="32">
        <v>822000</v>
      </c>
      <c r="G262" s="33">
        <f t="shared" si="52"/>
        <v>510000</v>
      </c>
      <c r="H262" s="33">
        <f t="shared" si="53"/>
        <v>855000</v>
      </c>
      <c r="I262" s="33">
        <f t="shared" si="54"/>
        <v>1200000</v>
      </c>
      <c r="J262" s="25">
        <f t="shared" si="55"/>
        <v>0.96</v>
      </c>
      <c r="K262" s="22" t="str">
        <f t="shared" si="56"/>
        <v>Within Band</v>
      </c>
      <c r="L262" s="30">
        <f t="shared" si="57"/>
        <v>5</v>
      </c>
      <c r="M262" s="26">
        <v>0.155</v>
      </c>
      <c r="N262" s="34">
        <f t="shared" si="58"/>
        <v>949400</v>
      </c>
      <c r="O262" s="31">
        <v>0.18</v>
      </c>
      <c r="P262" s="34">
        <f t="shared" si="59"/>
        <v>148000</v>
      </c>
      <c r="Q262" s="22" t="s">
        <v>1701</v>
      </c>
    </row>
    <row r="263" spans="1:17" x14ac:dyDescent="0.3">
      <c r="A263" s="22" t="s">
        <v>976</v>
      </c>
      <c r="B263" t="str">
        <f t="shared" si="48"/>
        <v>Kritika Bose</v>
      </c>
      <c r="C263" t="str">
        <f t="shared" si="49"/>
        <v>Marketing</v>
      </c>
      <c r="D263" s="30" t="str">
        <f t="shared" si="50"/>
        <v>L2</v>
      </c>
      <c r="E263" s="30" t="str">
        <f t="shared" si="51"/>
        <v>Active</v>
      </c>
      <c r="F263" s="32">
        <v>640000</v>
      </c>
      <c r="G263" s="33">
        <f t="shared" si="52"/>
        <v>510000</v>
      </c>
      <c r="H263" s="33">
        <f t="shared" si="53"/>
        <v>855000</v>
      </c>
      <c r="I263" s="33">
        <f t="shared" si="54"/>
        <v>1200000</v>
      </c>
      <c r="J263" s="25">
        <f t="shared" si="55"/>
        <v>0.75</v>
      </c>
      <c r="K263" s="22" t="str">
        <f t="shared" si="56"/>
        <v>Within Band</v>
      </c>
      <c r="L263" s="30">
        <f t="shared" si="57"/>
        <v>2</v>
      </c>
      <c r="M263" s="26">
        <v>3.2000000000000001E-2</v>
      </c>
      <c r="N263" s="34">
        <f t="shared" si="58"/>
        <v>660500</v>
      </c>
      <c r="O263" s="31">
        <v>0.03</v>
      </c>
      <c r="P263" s="34">
        <f t="shared" si="59"/>
        <v>19200</v>
      </c>
      <c r="Q263" s="22" t="s">
        <v>1701</v>
      </c>
    </row>
    <row r="264" spans="1:17" x14ac:dyDescent="0.3">
      <c r="A264" s="22" t="s">
        <v>979</v>
      </c>
      <c r="B264" t="str">
        <f t="shared" si="48"/>
        <v>Trisha Hegde</v>
      </c>
      <c r="C264" t="str">
        <f t="shared" si="49"/>
        <v>Sales</v>
      </c>
      <c r="D264" s="30" t="str">
        <f t="shared" si="50"/>
        <v>L3</v>
      </c>
      <c r="E264" s="30" t="str">
        <f t="shared" si="51"/>
        <v>Active</v>
      </c>
      <c r="F264" s="32">
        <v>1055000</v>
      </c>
      <c r="G264" s="33">
        <f t="shared" si="52"/>
        <v>850000</v>
      </c>
      <c r="H264" s="33">
        <f t="shared" si="53"/>
        <v>1445000</v>
      </c>
      <c r="I264" s="33">
        <f t="shared" si="54"/>
        <v>2040000</v>
      </c>
      <c r="J264" s="25">
        <f t="shared" si="55"/>
        <v>0.73</v>
      </c>
      <c r="K264" s="22" t="str">
        <f t="shared" si="56"/>
        <v>Within Band</v>
      </c>
      <c r="L264" s="30">
        <f t="shared" si="57"/>
        <v>3</v>
      </c>
      <c r="M264" s="26">
        <v>9.1999999999999998E-2</v>
      </c>
      <c r="N264" s="34">
        <f t="shared" si="58"/>
        <v>1152100</v>
      </c>
      <c r="O264" s="31">
        <v>0.08</v>
      </c>
      <c r="P264" s="34">
        <f t="shared" si="59"/>
        <v>84400</v>
      </c>
      <c r="Q264" s="22" t="s">
        <v>1701</v>
      </c>
    </row>
    <row r="265" spans="1:17" x14ac:dyDescent="0.3">
      <c r="A265" s="22" t="s">
        <v>982</v>
      </c>
      <c r="B265" t="str">
        <f t="shared" si="48"/>
        <v>Manish Mukherjee</v>
      </c>
      <c r="C265" t="str">
        <f t="shared" si="49"/>
        <v>Engineering</v>
      </c>
      <c r="D265" s="30" t="str">
        <f t="shared" si="50"/>
        <v>L2</v>
      </c>
      <c r="E265" s="30" t="str">
        <f t="shared" si="51"/>
        <v>Active</v>
      </c>
      <c r="F265" s="32">
        <v>941000</v>
      </c>
      <c r="G265" s="33">
        <f t="shared" si="52"/>
        <v>510000</v>
      </c>
      <c r="H265" s="33">
        <f t="shared" si="53"/>
        <v>855000</v>
      </c>
      <c r="I265" s="33">
        <f t="shared" si="54"/>
        <v>1200000</v>
      </c>
      <c r="J265" s="25">
        <f t="shared" si="55"/>
        <v>1.1000000000000001</v>
      </c>
      <c r="K265" s="22" t="str">
        <f t="shared" si="56"/>
        <v>Within Band</v>
      </c>
      <c r="L265" s="30">
        <f t="shared" si="57"/>
        <v>3</v>
      </c>
      <c r="M265" s="26">
        <v>0.08</v>
      </c>
      <c r="N265" s="34">
        <f t="shared" si="58"/>
        <v>1016300</v>
      </c>
      <c r="O265" s="31">
        <v>0.08</v>
      </c>
      <c r="P265" s="34">
        <f t="shared" si="59"/>
        <v>75300</v>
      </c>
      <c r="Q265" s="22" t="s">
        <v>1701</v>
      </c>
    </row>
    <row r="266" spans="1:17" x14ac:dyDescent="0.3">
      <c r="A266" s="22" t="s">
        <v>502</v>
      </c>
      <c r="B266" t="str">
        <f t="shared" si="48"/>
        <v>Kritika Pandey</v>
      </c>
      <c r="C266" t="str">
        <f t="shared" si="49"/>
        <v>Finance</v>
      </c>
      <c r="D266" s="30" t="str">
        <f t="shared" si="50"/>
        <v>L5</v>
      </c>
      <c r="E266" s="30" t="str">
        <f t="shared" si="51"/>
        <v>Active</v>
      </c>
      <c r="F266" s="32">
        <v>3352000</v>
      </c>
      <c r="G266" s="33">
        <f t="shared" si="52"/>
        <v>2295000</v>
      </c>
      <c r="H266" s="33">
        <f t="shared" si="53"/>
        <v>3667500</v>
      </c>
      <c r="I266" s="33">
        <f t="shared" si="54"/>
        <v>5040000</v>
      </c>
      <c r="J266" s="25">
        <f t="shared" si="55"/>
        <v>0.91</v>
      </c>
      <c r="K266" s="22" t="str">
        <f t="shared" si="56"/>
        <v>Within Band</v>
      </c>
      <c r="L266" s="30">
        <f t="shared" si="57"/>
        <v>4</v>
      </c>
      <c r="M266" s="26">
        <v>0.12</v>
      </c>
      <c r="N266" s="34">
        <f t="shared" si="58"/>
        <v>3754200</v>
      </c>
      <c r="O266" s="31">
        <v>0.12</v>
      </c>
      <c r="P266" s="34">
        <f t="shared" si="59"/>
        <v>402200</v>
      </c>
      <c r="Q266" s="22" t="s">
        <v>1700</v>
      </c>
    </row>
    <row r="267" spans="1:17" x14ac:dyDescent="0.3">
      <c r="A267" s="22" t="s">
        <v>987</v>
      </c>
      <c r="B267" t="str">
        <f t="shared" si="48"/>
        <v>Manish Krishnan</v>
      </c>
      <c r="C267" t="str">
        <f t="shared" si="49"/>
        <v>Finance</v>
      </c>
      <c r="D267" s="30" t="str">
        <f t="shared" si="50"/>
        <v>L2</v>
      </c>
      <c r="E267" s="30" t="str">
        <f t="shared" si="51"/>
        <v>Active</v>
      </c>
      <c r="F267" s="32">
        <v>697000</v>
      </c>
      <c r="G267" s="33">
        <f t="shared" si="52"/>
        <v>510000</v>
      </c>
      <c r="H267" s="33">
        <f t="shared" si="53"/>
        <v>855000</v>
      </c>
      <c r="I267" s="33">
        <f t="shared" si="54"/>
        <v>1200000</v>
      </c>
      <c r="J267" s="25">
        <f t="shared" si="55"/>
        <v>0.82</v>
      </c>
      <c r="K267" s="22" t="str">
        <f t="shared" si="56"/>
        <v>Within Band</v>
      </c>
      <c r="L267" s="30">
        <f t="shared" si="57"/>
        <v>3</v>
      </c>
      <c r="M267" s="26">
        <v>7.1999999999999995E-2</v>
      </c>
      <c r="N267" s="34">
        <f t="shared" si="58"/>
        <v>747200</v>
      </c>
      <c r="O267" s="31">
        <v>0.08</v>
      </c>
      <c r="P267" s="34">
        <f t="shared" si="59"/>
        <v>55800</v>
      </c>
      <c r="Q267" s="22" t="s">
        <v>1701</v>
      </c>
    </row>
    <row r="268" spans="1:17" x14ac:dyDescent="0.3">
      <c r="A268" s="22" t="s">
        <v>990</v>
      </c>
      <c r="B268" t="str">
        <f t="shared" si="48"/>
        <v>Abhishek Malhotra</v>
      </c>
      <c r="C268" t="str">
        <f t="shared" si="49"/>
        <v>Engineering</v>
      </c>
      <c r="D268" s="30" t="str">
        <f t="shared" si="50"/>
        <v>L2</v>
      </c>
      <c r="E268" s="30" t="str">
        <f t="shared" si="51"/>
        <v>Active</v>
      </c>
      <c r="F268" s="32">
        <v>825000</v>
      </c>
      <c r="G268" s="33">
        <f t="shared" si="52"/>
        <v>510000</v>
      </c>
      <c r="H268" s="33">
        <f t="shared" si="53"/>
        <v>855000</v>
      </c>
      <c r="I268" s="33">
        <f t="shared" si="54"/>
        <v>1200000</v>
      </c>
      <c r="J268" s="25">
        <f t="shared" si="55"/>
        <v>0.96</v>
      </c>
      <c r="K268" s="22" t="str">
        <f t="shared" si="56"/>
        <v>Within Band</v>
      </c>
      <c r="L268" s="30">
        <f t="shared" si="57"/>
        <v>4</v>
      </c>
      <c r="M268" s="26">
        <v>0.122</v>
      </c>
      <c r="N268" s="34">
        <f t="shared" si="58"/>
        <v>925700</v>
      </c>
      <c r="O268" s="31">
        <v>0.12</v>
      </c>
      <c r="P268" s="34">
        <f t="shared" si="59"/>
        <v>99000</v>
      </c>
      <c r="Q268" s="22" t="s">
        <v>1701</v>
      </c>
    </row>
    <row r="269" spans="1:17" x14ac:dyDescent="0.3">
      <c r="A269" s="22" t="s">
        <v>993</v>
      </c>
      <c r="B269" t="str">
        <f t="shared" si="48"/>
        <v>Kunal Agarwal</v>
      </c>
      <c r="C269" t="str">
        <f t="shared" si="49"/>
        <v>Engineering</v>
      </c>
      <c r="D269" s="30" t="str">
        <f t="shared" si="50"/>
        <v>L2</v>
      </c>
      <c r="E269" s="30" t="str">
        <f t="shared" si="51"/>
        <v>Exited</v>
      </c>
      <c r="F269" s="32">
        <v>983000</v>
      </c>
      <c r="G269" s="33">
        <f t="shared" si="52"/>
        <v>510000</v>
      </c>
      <c r="H269" s="33">
        <f t="shared" si="53"/>
        <v>855000</v>
      </c>
      <c r="I269" s="33">
        <f t="shared" si="54"/>
        <v>1200000</v>
      </c>
      <c r="J269" s="25">
        <f t="shared" si="55"/>
        <v>1.1499999999999999</v>
      </c>
      <c r="K269" s="22" t="str">
        <f t="shared" si="56"/>
        <v>Within Band</v>
      </c>
      <c r="L269" s="30">
        <f t="shared" si="57"/>
        <v>3</v>
      </c>
      <c r="M269" s="26">
        <v>6.9000000000000006E-2</v>
      </c>
      <c r="N269" s="34">
        <f t="shared" si="58"/>
        <v>0</v>
      </c>
      <c r="O269" s="31">
        <v>0.08</v>
      </c>
      <c r="P269" s="34">
        <f t="shared" si="59"/>
        <v>0</v>
      </c>
      <c r="Q269" s="22" t="s">
        <v>1701</v>
      </c>
    </row>
    <row r="270" spans="1:17" x14ac:dyDescent="0.3">
      <c r="A270" s="22" t="s">
        <v>996</v>
      </c>
      <c r="B270" t="str">
        <f t="shared" si="48"/>
        <v>Kunal Pillai</v>
      </c>
      <c r="C270" t="str">
        <f t="shared" si="49"/>
        <v>Engineering</v>
      </c>
      <c r="D270" s="30" t="str">
        <f t="shared" si="50"/>
        <v>L1</v>
      </c>
      <c r="E270" s="30" t="str">
        <f t="shared" si="51"/>
        <v>Active</v>
      </c>
      <c r="F270" s="32">
        <v>604000</v>
      </c>
      <c r="G270" s="33">
        <f t="shared" si="52"/>
        <v>297500</v>
      </c>
      <c r="H270" s="33">
        <f t="shared" si="53"/>
        <v>508750</v>
      </c>
      <c r="I270" s="33">
        <f t="shared" si="54"/>
        <v>720000</v>
      </c>
      <c r="J270" s="25">
        <f t="shared" si="55"/>
        <v>1.19</v>
      </c>
      <c r="K270" s="22" t="str">
        <f t="shared" si="56"/>
        <v>Within Band</v>
      </c>
      <c r="L270" s="30">
        <f t="shared" si="57"/>
        <v>3</v>
      </c>
      <c r="M270" s="26">
        <v>7.1999999999999995E-2</v>
      </c>
      <c r="N270" s="34">
        <f t="shared" si="58"/>
        <v>647500</v>
      </c>
      <c r="O270" s="31">
        <v>0.05</v>
      </c>
      <c r="P270" s="34">
        <f t="shared" si="59"/>
        <v>30200</v>
      </c>
      <c r="Q270" s="22" t="s">
        <v>1701</v>
      </c>
    </row>
    <row r="271" spans="1:17" x14ac:dyDescent="0.3">
      <c r="A271" s="22" t="s">
        <v>999</v>
      </c>
      <c r="B271" t="str">
        <f t="shared" si="48"/>
        <v>Varsha Patel</v>
      </c>
      <c r="C271" t="str">
        <f t="shared" si="49"/>
        <v>Customer Support</v>
      </c>
      <c r="D271" s="30" t="str">
        <f t="shared" si="50"/>
        <v>L2</v>
      </c>
      <c r="E271" s="30" t="str">
        <f t="shared" si="51"/>
        <v>Active</v>
      </c>
      <c r="F271" s="32">
        <v>531000</v>
      </c>
      <c r="G271" s="33">
        <f t="shared" si="52"/>
        <v>510000</v>
      </c>
      <c r="H271" s="33">
        <f t="shared" si="53"/>
        <v>855000</v>
      </c>
      <c r="I271" s="33">
        <f t="shared" si="54"/>
        <v>1200000</v>
      </c>
      <c r="J271" s="25">
        <f t="shared" si="55"/>
        <v>0.62</v>
      </c>
      <c r="K271" s="22" t="str">
        <f t="shared" si="56"/>
        <v>Within Band</v>
      </c>
      <c r="L271" s="30">
        <f t="shared" si="57"/>
        <v>3</v>
      </c>
      <c r="M271" s="26">
        <v>9.0999999999999998E-2</v>
      </c>
      <c r="N271" s="34">
        <f t="shared" si="58"/>
        <v>579300</v>
      </c>
      <c r="O271" s="31">
        <v>0.08</v>
      </c>
      <c r="P271" s="34">
        <f t="shared" si="59"/>
        <v>42500</v>
      </c>
      <c r="Q271" s="22" t="s">
        <v>1701</v>
      </c>
    </row>
    <row r="272" spans="1:17" x14ac:dyDescent="0.3">
      <c r="A272" s="22" t="s">
        <v>1002</v>
      </c>
      <c r="B272" t="str">
        <f t="shared" si="48"/>
        <v>Ananya Desai</v>
      </c>
      <c r="C272" t="str">
        <f t="shared" si="49"/>
        <v>Marketing</v>
      </c>
      <c r="D272" s="30" t="str">
        <f t="shared" si="50"/>
        <v>L2</v>
      </c>
      <c r="E272" s="30" t="str">
        <f t="shared" si="51"/>
        <v>Active</v>
      </c>
      <c r="F272" s="32">
        <v>886000</v>
      </c>
      <c r="G272" s="33">
        <f t="shared" si="52"/>
        <v>510000</v>
      </c>
      <c r="H272" s="33">
        <f t="shared" si="53"/>
        <v>855000</v>
      </c>
      <c r="I272" s="33">
        <f t="shared" si="54"/>
        <v>1200000</v>
      </c>
      <c r="J272" s="25">
        <f t="shared" si="55"/>
        <v>1.04</v>
      </c>
      <c r="K272" s="22" t="str">
        <f t="shared" si="56"/>
        <v>Within Band</v>
      </c>
      <c r="L272" s="30">
        <f t="shared" si="57"/>
        <v>2</v>
      </c>
      <c r="M272" s="26">
        <v>2.1999999999999999E-2</v>
      </c>
      <c r="N272" s="34">
        <f t="shared" si="58"/>
        <v>905500</v>
      </c>
      <c r="O272" s="31">
        <v>0.03</v>
      </c>
      <c r="P272" s="34">
        <f t="shared" si="59"/>
        <v>26600</v>
      </c>
      <c r="Q272" s="22" t="s">
        <v>1701</v>
      </c>
    </row>
    <row r="273" spans="1:17" x14ac:dyDescent="0.3">
      <c r="A273" s="22" t="s">
        <v>1005</v>
      </c>
      <c r="B273" t="str">
        <f t="shared" si="48"/>
        <v>Vinay Agarwal</v>
      </c>
      <c r="C273" t="str">
        <f t="shared" si="49"/>
        <v>Sales</v>
      </c>
      <c r="D273" s="30" t="str">
        <f t="shared" si="50"/>
        <v>L2</v>
      </c>
      <c r="E273" s="30" t="str">
        <f t="shared" si="51"/>
        <v>Active</v>
      </c>
      <c r="F273" s="32">
        <v>981000</v>
      </c>
      <c r="G273" s="33">
        <f t="shared" si="52"/>
        <v>510000</v>
      </c>
      <c r="H273" s="33">
        <f t="shared" si="53"/>
        <v>855000</v>
      </c>
      <c r="I273" s="33">
        <f t="shared" si="54"/>
        <v>1200000</v>
      </c>
      <c r="J273" s="25">
        <f t="shared" si="55"/>
        <v>1.1499999999999999</v>
      </c>
      <c r="K273" s="22" t="str">
        <f t="shared" si="56"/>
        <v>Within Band</v>
      </c>
      <c r="L273" s="30">
        <f t="shared" si="57"/>
        <v>3</v>
      </c>
      <c r="M273" s="26">
        <v>9.6000000000000002E-2</v>
      </c>
      <c r="N273" s="34">
        <f t="shared" si="58"/>
        <v>1075200</v>
      </c>
      <c r="O273" s="31">
        <v>0.08</v>
      </c>
      <c r="P273" s="34">
        <f t="shared" si="59"/>
        <v>78500</v>
      </c>
      <c r="Q273" s="22" t="s">
        <v>1701</v>
      </c>
    </row>
    <row r="274" spans="1:17" x14ac:dyDescent="0.3">
      <c r="A274" s="22" t="s">
        <v>308</v>
      </c>
      <c r="B274" t="str">
        <f t="shared" si="48"/>
        <v>Aishwarya Fernandes</v>
      </c>
      <c r="C274" t="str">
        <f t="shared" si="49"/>
        <v>Data &amp; Analytics</v>
      </c>
      <c r="D274" s="30" t="str">
        <f t="shared" si="50"/>
        <v>L7</v>
      </c>
      <c r="E274" s="30" t="str">
        <f t="shared" si="51"/>
        <v>Active</v>
      </c>
      <c r="F274" s="32">
        <v>9039000</v>
      </c>
      <c r="G274" s="33">
        <f t="shared" si="52"/>
        <v>5100000</v>
      </c>
      <c r="H274" s="33">
        <f t="shared" si="53"/>
        <v>8250000</v>
      </c>
      <c r="I274" s="33">
        <f t="shared" si="54"/>
        <v>11400000</v>
      </c>
      <c r="J274" s="25">
        <f t="shared" si="55"/>
        <v>1.1000000000000001</v>
      </c>
      <c r="K274" s="22" t="str">
        <f t="shared" si="56"/>
        <v>Within Band</v>
      </c>
      <c r="L274" s="30">
        <f t="shared" si="57"/>
        <v>4</v>
      </c>
      <c r="M274" s="26">
        <v>0.13700000000000001</v>
      </c>
      <c r="N274" s="34">
        <f t="shared" si="58"/>
        <v>10277300</v>
      </c>
      <c r="O274" s="31">
        <v>0.12</v>
      </c>
      <c r="P274" s="34">
        <f t="shared" si="59"/>
        <v>1084700</v>
      </c>
      <c r="Q274" s="22" t="s">
        <v>1700</v>
      </c>
    </row>
    <row r="275" spans="1:17" x14ac:dyDescent="0.3">
      <c r="A275" s="22" t="s">
        <v>1010</v>
      </c>
      <c r="B275" t="str">
        <f t="shared" si="48"/>
        <v>Joseph Gowda</v>
      </c>
      <c r="C275" t="str">
        <f t="shared" si="49"/>
        <v>Operations</v>
      </c>
      <c r="D275" s="30" t="str">
        <f t="shared" si="50"/>
        <v>L1</v>
      </c>
      <c r="E275" s="30" t="str">
        <f t="shared" si="51"/>
        <v>Active</v>
      </c>
      <c r="F275" s="32">
        <v>343000</v>
      </c>
      <c r="G275" s="33">
        <f t="shared" si="52"/>
        <v>297500</v>
      </c>
      <c r="H275" s="33">
        <f t="shared" si="53"/>
        <v>508750</v>
      </c>
      <c r="I275" s="33">
        <f t="shared" si="54"/>
        <v>720000</v>
      </c>
      <c r="J275" s="25">
        <f t="shared" si="55"/>
        <v>0.67</v>
      </c>
      <c r="K275" s="22" t="str">
        <f t="shared" si="56"/>
        <v>Within Band</v>
      </c>
      <c r="L275" s="30">
        <f t="shared" si="57"/>
        <v>4</v>
      </c>
      <c r="M275" s="26">
        <v>0.127</v>
      </c>
      <c r="N275" s="34">
        <f t="shared" si="58"/>
        <v>386600</v>
      </c>
      <c r="O275" s="31">
        <v>0.08</v>
      </c>
      <c r="P275" s="34">
        <f t="shared" si="59"/>
        <v>27400</v>
      </c>
      <c r="Q275" s="22" t="s">
        <v>1701</v>
      </c>
    </row>
    <row r="276" spans="1:17" x14ac:dyDescent="0.3">
      <c r="A276" s="22" t="s">
        <v>1013</v>
      </c>
      <c r="B276" t="str">
        <f t="shared" si="48"/>
        <v>Akash Patel</v>
      </c>
      <c r="C276" t="str">
        <f t="shared" si="49"/>
        <v>Customer Support</v>
      </c>
      <c r="D276" s="30" t="str">
        <f t="shared" si="50"/>
        <v>L2</v>
      </c>
      <c r="E276" s="30" t="str">
        <f t="shared" si="51"/>
        <v>Active</v>
      </c>
      <c r="F276" s="32">
        <v>493000</v>
      </c>
      <c r="G276" s="33">
        <f t="shared" si="52"/>
        <v>510000</v>
      </c>
      <c r="H276" s="33">
        <f t="shared" si="53"/>
        <v>855000</v>
      </c>
      <c r="I276" s="33">
        <f t="shared" si="54"/>
        <v>1200000</v>
      </c>
      <c r="J276" s="25">
        <f t="shared" si="55"/>
        <v>0.57999999999999996</v>
      </c>
      <c r="K276" s="22" t="str">
        <f t="shared" si="56"/>
        <v>Below Band</v>
      </c>
      <c r="L276" s="30">
        <f t="shared" si="57"/>
        <v>3</v>
      </c>
      <c r="M276" s="26">
        <v>6.8000000000000005E-2</v>
      </c>
      <c r="N276" s="34">
        <f t="shared" si="58"/>
        <v>526500</v>
      </c>
      <c r="O276" s="31">
        <v>0.08</v>
      </c>
      <c r="P276" s="34">
        <f t="shared" si="59"/>
        <v>39400</v>
      </c>
      <c r="Q276" s="22" t="s">
        <v>1701</v>
      </c>
    </row>
    <row r="277" spans="1:17" x14ac:dyDescent="0.3">
      <c r="A277" s="22" t="s">
        <v>1016</v>
      </c>
      <c r="B277" t="str">
        <f t="shared" si="48"/>
        <v>Pooja Kamath</v>
      </c>
      <c r="C277" t="str">
        <f t="shared" si="49"/>
        <v>Customer Support</v>
      </c>
      <c r="D277" s="30" t="str">
        <f t="shared" si="50"/>
        <v>L2</v>
      </c>
      <c r="E277" s="30" t="str">
        <f t="shared" si="51"/>
        <v>Active</v>
      </c>
      <c r="F277" s="32">
        <v>507000</v>
      </c>
      <c r="G277" s="33">
        <f t="shared" si="52"/>
        <v>510000</v>
      </c>
      <c r="H277" s="33">
        <f t="shared" si="53"/>
        <v>855000</v>
      </c>
      <c r="I277" s="33">
        <f t="shared" si="54"/>
        <v>1200000</v>
      </c>
      <c r="J277" s="25">
        <f t="shared" si="55"/>
        <v>0.59</v>
      </c>
      <c r="K277" s="22" t="str">
        <f t="shared" si="56"/>
        <v>Below Band</v>
      </c>
      <c r="L277" s="30">
        <f t="shared" si="57"/>
        <v>3</v>
      </c>
      <c r="M277" s="26">
        <v>6.7000000000000004E-2</v>
      </c>
      <c r="N277" s="34">
        <f t="shared" si="58"/>
        <v>541000</v>
      </c>
      <c r="O277" s="31">
        <v>0.08</v>
      </c>
      <c r="P277" s="34">
        <f t="shared" si="59"/>
        <v>40600</v>
      </c>
      <c r="Q277" s="22" t="s">
        <v>1701</v>
      </c>
    </row>
    <row r="278" spans="1:17" x14ac:dyDescent="0.3">
      <c r="A278" s="22" t="s">
        <v>1019</v>
      </c>
      <c r="B278" t="str">
        <f t="shared" si="48"/>
        <v>Ankit Joshi</v>
      </c>
      <c r="C278" t="str">
        <f t="shared" si="49"/>
        <v>Customer Support</v>
      </c>
      <c r="D278" s="30" t="str">
        <f t="shared" si="50"/>
        <v>L1</v>
      </c>
      <c r="E278" s="30" t="str">
        <f t="shared" si="51"/>
        <v>Active</v>
      </c>
      <c r="F278" s="32">
        <v>287000</v>
      </c>
      <c r="G278" s="33">
        <f t="shared" si="52"/>
        <v>297500</v>
      </c>
      <c r="H278" s="33">
        <f t="shared" si="53"/>
        <v>508750</v>
      </c>
      <c r="I278" s="33">
        <f t="shared" si="54"/>
        <v>720000</v>
      </c>
      <c r="J278" s="25">
        <f t="shared" si="55"/>
        <v>0.56000000000000005</v>
      </c>
      <c r="K278" s="22" t="str">
        <f t="shared" si="56"/>
        <v>Below Band</v>
      </c>
      <c r="L278" s="30">
        <f t="shared" si="57"/>
        <v>4</v>
      </c>
      <c r="M278" s="26">
        <v>0.113</v>
      </c>
      <c r="N278" s="34">
        <f t="shared" si="58"/>
        <v>319400</v>
      </c>
      <c r="O278" s="31">
        <v>0.08</v>
      </c>
      <c r="P278" s="34">
        <f t="shared" si="59"/>
        <v>23000</v>
      </c>
      <c r="Q278" s="22" t="s">
        <v>1701</v>
      </c>
    </row>
    <row r="279" spans="1:17" x14ac:dyDescent="0.3">
      <c r="A279" s="22" t="s">
        <v>1022</v>
      </c>
      <c r="B279" t="str">
        <f t="shared" si="48"/>
        <v>Vikas Raghavan</v>
      </c>
      <c r="C279" t="str">
        <f t="shared" si="49"/>
        <v>Operations</v>
      </c>
      <c r="D279" s="30" t="str">
        <f t="shared" si="50"/>
        <v>L1</v>
      </c>
      <c r="E279" s="30" t="str">
        <f t="shared" si="51"/>
        <v>Active</v>
      </c>
      <c r="F279" s="32">
        <v>429000</v>
      </c>
      <c r="G279" s="33">
        <f t="shared" si="52"/>
        <v>297500</v>
      </c>
      <c r="H279" s="33">
        <f t="shared" si="53"/>
        <v>508750</v>
      </c>
      <c r="I279" s="33">
        <f t="shared" si="54"/>
        <v>720000</v>
      </c>
      <c r="J279" s="25">
        <f t="shared" si="55"/>
        <v>0.84</v>
      </c>
      <c r="K279" s="22" t="str">
        <f t="shared" si="56"/>
        <v>Within Band</v>
      </c>
      <c r="L279" s="30">
        <f t="shared" si="57"/>
        <v>4</v>
      </c>
      <c r="M279" s="26">
        <v>0.13200000000000001</v>
      </c>
      <c r="N279" s="34">
        <f t="shared" si="58"/>
        <v>485600</v>
      </c>
      <c r="O279" s="31">
        <v>0.08</v>
      </c>
      <c r="P279" s="34">
        <f t="shared" si="59"/>
        <v>34300</v>
      </c>
      <c r="Q279" s="22" t="s">
        <v>1701</v>
      </c>
    </row>
    <row r="280" spans="1:17" x14ac:dyDescent="0.3">
      <c r="A280" s="22" t="s">
        <v>434</v>
      </c>
      <c r="B280" t="str">
        <f t="shared" si="48"/>
        <v>Karan Verma</v>
      </c>
      <c r="C280" t="str">
        <f t="shared" si="49"/>
        <v>Data &amp; Analytics</v>
      </c>
      <c r="D280" s="30" t="str">
        <f t="shared" si="50"/>
        <v>L5</v>
      </c>
      <c r="E280" s="30" t="str">
        <f t="shared" si="51"/>
        <v>Active</v>
      </c>
      <c r="F280" s="32">
        <v>3162000</v>
      </c>
      <c r="G280" s="33">
        <f t="shared" si="52"/>
        <v>2295000</v>
      </c>
      <c r="H280" s="33">
        <f t="shared" si="53"/>
        <v>3667500</v>
      </c>
      <c r="I280" s="33">
        <f t="shared" si="54"/>
        <v>5040000</v>
      </c>
      <c r="J280" s="25">
        <f t="shared" si="55"/>
        <v>0.86</v>
      </c>
      <c r="K280" s="22" t="str">
        <f t="shared" si="56"/>
        <v>Within Band</v>
      </c>
      <c r="L280" s="30">
        <f t="shared" si="57"/>
        <v>3</v>
      </c>
      <c r="M280" s="26">
        <v>7.3999999999999996E-2</v>
      </c>
      <c r="N280" s="34">
        <f t="shared" si="58"/>
        <v>3396000</v>
      </c>
      <c r="O280" s="31">
        <v>0.08</v>
      </c>
      <c r="P280" s="34">
        <f t="shared" si="59"/>
        <v>253000</v>
      </c>
      <c r="Q280" s="22" t="s">
        <v>1700</v>
      </c>
    </row>
    <row r="281" spans="1:17" x14ac:dyDescent="0.3">
      <c r="A281" s="22" t="s">
        <v>1026</v>
      </c>
      <c r="B281" t="str">
        <f t="shared" si="48"/>
        <v>Tanvi Kamath</v>
      </c>
      <c r="C281" t="str">
        <f t="shared" si="49"/>
        <v>Finance</v>
      </c>
      <c r="D281" s="30" t="str">
        <f t="shared" si="50"/>
        <v>L3</v>
      </c>
      <c r="E281" s="30" t="str">
        <f t="shared" si="51"/>
        <v>Exited</v>
      </c>
      <c r="F281" s="32">
        <v>1785000</v>
      </c>
      <c r="G281" s="33">
        <f t="shared" si="52"/>
        <v>850000</v>
      </c>
      <c r="H281" s="33">
        <f t="shared" si="53"/>
        <v>1445000</v>
      </c>
      <c r="I281" s="33">
        <f t="shared" si="54"/>
        <v>2040000</v>
      </c>
      <c r="J281" s="25">
        <f t="shared" si="55"/>
        <v>1.24</v>
      </c>
      <c r="K281" s="22" t="str">
        <f t="shared" si="56"/>
        <v>Within Band</v>
      </c>
      <c r="L281" s="30">
        <f t="shared" si="57"/>
        <v>4</v>
      </c>
      <c r="M281" s="26">
        <v>0.128</v>
      </c>
      <c r="N281" s="34">
        <f t="shared" si="58"/>
        <v>0</v>
      </c>
      <c r="O281" s="31">
        <v>0.12</v>
      </c>
      <c r="P281" s="34">
        <f t="shared" si="59"/>
        <v>0</v>
      </c>
      <c r="Q281" s="22" t="s">
        <v>1701</v>
      </c>
    </row>
    <row r="282" spans="1:17" x14ac:dyDescent="0.3">
      <c r="A282" s="22" t="s">
        <v>1029</v>
      </c>
      <c r="B282" t="str">
        <f t="shared" si="48"/>
        <v>Srinivas Nair</v>
      </c>
      <c r="C282" t="str">
        <f t="shared" si="49"/>
        <v>Customer Support</v>
      </c>
      <c r="D282" s="30" t="str">
        <f t="shared" si="50"/>
        <v>L2</v>
      </c>
      <c r="E282" s="30" t="str">
        <f t="shared" si="51"/>
        <v>Active</v>
      </c>
      <c r="F282" s="32">
        <v>673000</v>
      </c>
      <c r="G282" s="33">
        <f t="shared" si="52"/>
        <v>510000</v>
      </c>
      <c r="H282" s="33">
        <f t="shared" si="53"/>
        <v>855000</v>
      </c>
      <c r="I282" s="33">
        <f t="shared" si="54"/>
        <v>1200000</v>
      </c>
      <c r="J282" s="25">
        <f t="shared" si="55"/>
        <v>0.79</v>
      </c>
      <c r="K282" s="22" t="str">
        <f t="shared" si="56"/>
        <v>Within Band</v>
      </c>
      <c r="L282" s="30">
        <f t="shared" si="57"/>
        <v>1</v>
      </c>
      <c r="M282" s="26">
        <v>-1.4E-2</v>
      </c>
      <c r="N282" s="34">
        <f t="shared" si="58"/>
        <v>663600</v>
      </c>
      <c r="O282" s="31">
        <v>0</v>
      </c>
      <c r="P282" s="34">
        <f t="shared" si="59"/>
        <v>0</v>
      </c>
      <c r="Q282" s="22" t="s">
        <v>1701</v>
      </c>
    </row>
    <row r="283" spans="1:17" x14ac:dyDescent="0.3">
      <c r="A283" s="22" t="s">
        <v>1032</v>
      </c>
      <c r="B283" t="str">
        <f t="shared" si="48"/>
        <v>Priya Mishra</v>
      </c>
      <c r="C283" t="str">
        <f t="shared" si="49"/>
        <v>Customer Support</v>
      </c>
      <c r="D283" s="30" t="str">
        <f t="shared" si="50"/>
        <v>L2</v>
      </c>
      <c r="E283" s="30" t="str">
        <f t="shared" si="51"/>
        <v>Active</v>
      </c>
      <c r="F283" s="32">
        <v>518000</v>
      </c>
      <c r="G283" s="33">
        <f t="shared" si="52"/>
        <v>510000</v>
      </c>
      <c r="H283" s="33">
        <f t="shared" si="53"/>
        <v>855000</v>
      </c>
      <c r="I283" s="33">
        <f t="shared" si="54"/>
        <v>1200000</v>
      </c>
      <c r="J283" s="25">
        <f t="shared" si="55"/>
        <v>0.61</v>
      </c>
      <c r="K283" s="22" t="str">
        <f t="shared" si="56"/>
        <v>Within Band</v>
      </c>
      <c r="L283" s="30">
        <f t="shared" si="57"/>
        <v>2</v>
      </c>
      <c r="M283" s="26">
        <v>4.2999999999999997E-2</v>
      </c>
      <c r="N283" s="34">
        <f t="shared" si="58"/>
        <v>540300</v>
      </c>
      <c r="O283" s="31">
        <v>0.03</v>
      </c>
      <c r="P283" s="34">
        <f t="shared" si="59"/>
        <v>15500</v>
      </c>
      <c r="Q283" s="22" t="s">
        <v>1701</v>
      </c>
    </row>
    <row r="284" spans="1:17" x14ac:dyDescent="0.3">
      <c r="A284" s="22" t="s">
        <v>1035</v>
      </c>
      <c r="B284" t="str">
        <f t="shared" si="48"/>
        <v>Isha Khanna</v>
      </c>
      <c r="C284" t="str">
        <f t="shared" si="49"/>
        <v>Product</v>
      </c>
      <c r="D284" s="30" t="str">
        <f t="shared" si="50"/>
        <v>L2</v>
      </c>
      <c r="E284" s="30" t="str">
        <f t="shared" si="51"/>
        <v>Exited</v>
      </c>
      <c r="F284" s="32">
        <v>897000</v>
      </c>
      <c r="G284" s="33">
        <f t="shared" si="52"/>
        <v>510000</v>
      </c>
      <c r="H284" s="33">
        <f t="shared" si="53"/>
        <v>855000</v>
      </c>
      <c r="I284" s="33">
        <f t="shared" si="54"/>
        <v>1200000</v>
      </c>
      <c r="J284" s="25">
        <f t="shared" si="55"/>
        <v>1.05</v>
      </c>
      <c r="K284" s="22" t="str">
        <f t="shared" si="56"/>
        <v>Within Band</v>
      </c>
      <c r="L284" s="30">
        <f t="shared" si="57"/>
        <v>3</v>
      </c>
      <c r="M284" s="26">
        <v>8.3000000000000004E-2</v>
      </c>
      <c r="N284" s="34">
        <f t="shared" si="58"/>
        <v>0</v>
      </c>
      <c r="O284" s="31">
        <v>0.08</v>
      </c>
      <c r="P284" s="34">
        <f t="shared" si="59"/>
        <v>0</v>
      </c>
      <c r="Q284" s="22" t="s">
        <v>1701</v>
      </c>
    </row>
    <row r="285" spans="1:17" x14ac:dyDescent="0.3">
      <c r="A285" s="22" t="s">
        <v>1038</v>
      </c>
      <c r="B285" t="str">
        <f t="shared" si="48"/>
        <v>Kunal Fernandes</v>
      </c>
      <c r="C285" t="str">
        <f t="shared" si="49"/>
        <v>Customer Support</v>
      </c>
      <c r="D285" s="30" t="str">
        <f t="shared" si="50"/>
        <v>L4</v>
      </c>
      <c r="E285" s="30" t="str">
        <f t="shared" si="51"/>
        <v>Exited</v>
      </c>
      <c r="F285" s="32">
        <v>2076000</v>
      </c>
      <c r="G285" s="33">
        <f t="shared" si="52"/>
        <v>1445000</v>
      </c>
      <c r="H285" s="33">
        <f t="shared" si="53"/>
        <v>2342500</v>
      </c>
      <c r="I285" s="33">
        <f t="shared" si="54"/>
        <v>3240000</v>
      </c>
      <c r="J285" s="25">
        <f t="shared" si="55"/>
        <v>0.89</v>
      </c>
      <c r="K285" s="22" t="str">
        <f t="shared" si="56"/>
        <v>Within Band</v>
      </c>
      <c r="L285" s="30">
        <f t="shared" si="57"/>
        <v>3</v>
      </c>
      <c r="M285" s="26">
        <v>7.3999999999999996E-2</v>
      </c>
      <c r="N285" s="34">
        <f t="shared" si="58"/>
        <v>0</v>
      </c>
      <c r="O285" s="31">
        <v>0.08</v>
      </c>
      <c r="P285" s="34">
        <f t="shared" si="59"/>
        <v>0</v>
      </c>
      <c r="Q285" s="22" t="s">
        <v>1701</v>
      </c>
    </row>
    <row r="286" spans="1:17" x14ac:dyDescent="0.3">
      <c r="A286" s="22" t="s">
        <v>1041</v>
      </c>
      <c r="B286" t="str">
        <f t="shared" si="48"/>
        <v>Tarun Siddiqui</v>
      </c>
      <c r="C286" t="str">
        <f t="shared" si="49"/>
        <v>Finance</v>
      </c>
      <c r="D286" s="30" t="str">
        <f t="shared" si="50"/>
        <v>L1</v>
      </c>
      <c r="E286" s="30" t="str">
        <f t="shared" si="51"/>
        <v>Active</v>
      </c>
      <c r="F286" s="32">
        <v>504000</v>
      </c>
      <c r="G286" s="33">
        <f t="shared" si="52"/>
        <v>297500</v>
      </c>
      <c r="H286" s="33">
        <f t="shared" si="53"/>
        <v>508750</v>
      </c>
      <c r="I286" s="33">
        <f t="shared" si="54"/>
        <v>720000</v>
      </c>
      <c r="J286" s="25">
        <f t="shared" si="55"/>
        <v>0.99</v>
      </c>
      <c r="K286" s="22" t="str">
        <f t="shared" si="56"/>
        <v>Within Band</v>
      </c>
      <c r="L286" s="30">
        <f t="shared" si="57"/>
        <v>4</v>
      </c>
      <c r="M286" s="26">
        <v>0.13100000000000001</v>
      </c>
      <c r="N286" s="34">
        <f t="shared" si="58"/>
        <v>570000</v>
      </c>
      <c r="O286" s="31">
        <v>0.08</v>
      </c>
      <c r="P286" s="34">
        <f t="shared" si="59"/>
        <v>40300</v>
      </c>
      <c r="Q286" s="22" t="s">
        <v>1701</v>
      </c>
    </row>
    <row r="287" spans="1:17" x14ac:dyDescent="0.3">
      <c r="A287" s="22" t="s">
        <v>1044</v>
      </c>
      <c r="B287" t="str">
        <f t="shared" si="48"/>
        <v>Farhan Thomas</v>
      </c>
      <c r="C287" t="str">
        <f t="shared" si="49"/>
        <v>Engineering</v>
      </c>
      <c r="D287" s="30" t="str">
        <f t="shared" si="50"/>
        <v>L1</v>
      </c>
      <c r="E287" s="30" t="str">
        <f t="shared" si="51"/>
        <v>Active</v>
      </c>
      <c r="F287" s="32">
        <v>615000</v>
      </c>
      <c r="G287" s="33">
        <f t="shared" si="52"/>
        <v>297500</v>
      </c>
      <c r="H287" s="33">
        <f t="shared" si="53"/>
        <v>508750</v>
      </c>
      <c r="I287" s="33">
        <f t="shared" si="54"/>
        <v>720000</v>
      </c>
      <c r="J287" s="25">
        <f t="shared" si="55"/>
        <v>1.21</v>
      </c>
      <c r="K287" s="22" t="str">
        <f t="shared" si="56"/>
        <v>Within Band</v>
      </c>
      <c r="L287" s="30">
        <f t="shared" si="57"/>
        <v>3</v>
      </c>
      <c r="M287" s="26">
        <v>7.6999999999999999E-2</v>
      </c>
      <c r="N287" s="34">
        <f t="shared" si="58"/>
        <v>662400</v>
      </c>
      <c r="O287" s="31">
        <v>0.05</v>
      </c>
      <c r="P287" s="34">
        <f t="shared" si="59"/>
        <v>30800</v>
      </c>
      <c r="Q287" s="22" t="s">
        <v>1701</v>
      </c>
    </row>
    <row r="288" spans="1:17" x14ac:dyDescent="0.3">
      <c r="A288" s="22" t="s">
        <v>1047</v>
      </c>
      <c r="B288" t="str">
        <f t="shared" si="48"/>
        <v>Sai Iyer</v>
      </c>
      <c r="C288" t="str">
        <f t="shared" si="49"/>
        <v>Sales</v>
      </c>
      <c r="D288" s="30" t="str">
        <f t="shared" si="50"/>
        <v>L2</v>
      </c>
      <c r="E288" s="30" t="str">
        <f t="shared" si="51"/>
        <v>Active</v>
      </c>
      <c r="F288" s="32">
        <v>837000</v>
      </c>
      <c r="G288" s="33">
        <f t="shared" si="52"/>
        <v>510000</v>
      </c>
      <c r="H288" s="33">
        <f t="shared" si="53"/>
        <v>855000</v>
      </c>
      <c r="I288" s="33">
        <f t="shared" si="54"/>
        <v>1200000</v>
      </c>
      <c r="J288" s="25">
        <f t="shared" si="55"/>
        <v>0.98</v>
      </c>
      <c r="K288" s="22" t="str">
        <f t="shared" si="56"/>
        <v>Within Band</v>
      </c>
      <c r="L288" s="30">
        <f t="shared" si="57"/>
        <v>2</v>
      </c>
      <c r="M288" s="26">
        <v>2.7E-2</v>
      </c>
      <c r="N288" s="34">
        <f t="shared" si="58"/>
        <v>859600</v>
      </c>
      <c r="O288" s="31">
        <v>0.03</v>
      </c>
      <c r="P288" s="34">
        <f t="shared" si="59"/>
        <v>25100</v>
      </c>
      <c r="Q288" s="22" t="s">
        <v>1701</v>
      </c>
    </row>
    <row r="289" spans="1:17" x14ac:dyDescent="0.3">
      <c r="A289" s="22" t="s">
        <v>1050</v>
      </c>
      <c r="B289" t="str">
        <f t="shared" si="48"/>
        <v>Joseph Pandey</v>
      </c>
      <c r="C289" t="str">
        <f t="shared" si="49"/>
        <v>Operations</v>
      </c>
      <c r="D289" s="30" t="str">
        <f t="shared" si="50"/>
        <v>L1</v>
      </c>
      <c r="E289" s="30" t="str">
        <f t="shared" si="51"/>
        <v>Active</v>
      </c>
      <c r="F289" s="32">
        <v>390000</v>
      </c>
      <c r="G289" s="33">
        <f t="shared" si="52"/>
        <v>297500</v>
      </c>
      <c r="H289" s="33">
        <f t="shared" si="53"/>
        <v>508750</v>
      </c>
      <c r="I289" s="33">
        <f t="shared" si="54"/>
        <v>720000</v>
      </c>
      <c r="J289" s="25">
        <f t="shared" si="55"/>
        <v>0.77</v>
      </c>
      <c r="K289" s="22" t="str">
        <f t="shared" si="56"/>
        <v>Within Band</v>
      </c>
      <c r="L289" s="30">
        <f t="shared" si="57"/>
        <v>4</v>
      </c>
      <c r="M289" s="26">
        <v>0.113</v>
      </c>
      <c r="N289" s="34">
        <f t="shared" si="58"/>
        <v>434100</v>
      </c>
      <c r="O289" s="31">
        <v>0.08</v>
      </c>
      <c r="P289" s="34">
        <f t="shared" si="59"/>
        <v>31200</v>
      </c>
      <c r="Q289" s="22" t="s">
        <v>1701</v>
      </c>
    </row>
    <row r="290" spans="1:17" x14ac:dyDescent="0.3">
      <c r="A290" s="22" t="s">
        <v>1053</v>
      </c>
      <c r="B290" t="str">
        <f t="shared" si="48"/>
        <v>Tanvi Verma</v>
      </c>
      <c r="C290" t="str">
        <f t="shared" si="49"/>
        <v>Customer Support</v>
      </c>
      <c r="D290" s="30" t="str">
        <f t="shared" si="50"/>
        <v>L2</v>
      </c>
      <c r="E290" s="30" t="str">
        <f t="shared" si="51"/>
        <v>Active</v>
      </c>
      <c r="F290" s="32">
        <v>597000</v>
      </c>
      <c r="G290" s="33">
        <f t="shared" si="52"/>
        <v>510000</v>
      </c>
      <c r="H290" s="33">
        <f t="shared" si="53"/>
        <v>855000</v>
      </c>
      <c r="I290" s="33">
        <f t="shared" si="54"/>
        <v>1200000</v>
      </c>
      <c r="J290" s="25">
        <f t="shared" si="55"/>
        <v>0.7</v>
      </c>
      <c r="K290" s="22" t="str">
        <f t="shared" si="56"/>
        <v>Within Band</v>
      </c>
      <c r="L290" s="30">
        <f t="shared" si="57"/>
        <v>4</v>
      </c>
      <c r="M290" s="26">
        <v>0.11899999999999999</v>
      </c>
      <c r="N290" s="34">
        <f t="shared" si="58"/>
        <v>668000</v>
      </c>
      <c r="O290" s="31">
        <v>0.12</v>
      </c>
      <c r="P290" s="34">
        <f t="shared" si="59"/>
        <v>71600</v>
      </c>
      <c r="Q290" s="22" t="s">
        <v>1701</v>
      </c>
    </row>
    <row r="291" spans="1:17" x14ac:dyDescent="0.3">
      <c r="A291" s="22" t="s">
        <v>1056</v>
      </c>
      <c r="B291" t="str">
        <f t="shared" si="48"/>
        <v>Revathi Das</v>
      </c>
      <c r="C291" t="str">
        <f t="shared" si="49"/>
        <v>Product</v>
      </c>
      <c r="D291" s="30" t="str">
        <f t="shared" si="50"/>
        <v>L1</v>
      </c>
      <c r="E291" s="30" t="str">
        <f t="shared" si="51"/>
        <v>Active</v>
      </c>
      <c r="F291" s="32">
        <v>601000</v>
      </c>
      <c r="G291" s="33">
        <f t="shared" si="52"/>
        <v>297500</v>
      </c>
      <c r="H291" s="33">
        <f t="shared" si="53"/>
        <v>508750</v>
      </c>
      <c r="I291" s="33">
        <f t="shared" si="54"/>
        <v>720000</v>
      </c>
      <c r="J291" s="25">
        <f t="shared" si="55"/>
        <v>1.18</v>
      </c>
      <c r="K291" s="22" t="str">
        <f t="shared" si="56"/>
        <v>Within Band</v>
      </c>
      <c r="L291" s="30">
        <f t="shared" si="57"/>
        <v>3</v>
      </c>
      <c r="M291" s="26">
        <v>9.9000000000000005E-2</v>
      </c>
      <c r="N291" s="34">
        <f t="shared" si="58"/>
        <v>660500</v>
      </c>
      <c r="O291" s="31">
        <v>0.05</v>
      </c>
      <c r="P291" s="34">
        <f t="shared" si="59"/>
        <v>30100</v>
      </c>
      <c r="Q291" s="22" t="s">
        <v>1701</v>
      </c>
    </row>
    <row r="292" spans="1:17" x14ac:dyDescent="0.3">
      <c r="A292" s="22" t="s">
        <v>1059</v>
      </c>
      <c r="B292" t="str">
        <f t="shared" si="48"/>
        <v>Swathi Fernandes</v>
      </c>
      <c r="C292" t="str">
        <f t="shared" si="49"/>
        <v>Sales</v>
      </c>
      <c r="D292" s="30" t="str">
        <f t="shared" si="50"/>
        <v>L1</v>
      </c>
      <c r="E292" s="30" t="str">
        <f t="shared" si="51"/>
        <v>Active</v>
      </c>
      <c r="F292" s="32">
        <v>561000</v>
      </c>
      <c r="G292" s="33">
        <f t="shared" si="52"/>
        <v>297500</v>
      </c>
      <c r="H292" s="33">
        <f t="shared" si="53"/>
        <v>508750</v>
      </c>
      <c r="I292" s="33">
        <f t="shared" si="54"/>
        <v>720000</v>
      </c>
      <c r="J292" s="25">
        <f t="shared" si="55"/>
        <v>1.1000000000000001</v>
      </c>
      <c r="K292" s="22" t="str">
        <f t="shared" si="56"/>
        <v>Within Band</v>
      </c>
      <c r="L292" s="30">
        <f t="shared" si="57"/>
        <v>3</v>
      </c>
      <c r="M292" s="26">
        <v>9.2999999999999999E-2</v>
      </c>
      <c r="N292" s="34">
        <f t="shared" si="58"/>
        <v>613200</v>
      </c>
      <c r="O292" s="31">
        <v>0.05</v>
      </c>
      <c r="P292" s="34">
        <f t="shared" si="59"/>
        <v>28100</v>
      </c>
      <c r="Q292" s="22" t="s">
        <v>1701</v>
      </c>
    </row>
    <row r="293" spans="1:17" x14ac:dyDescent="0.3">
      <c r="A293" s="22" t="s">
        <v>1063</v>
      </c>
      <c r="B293" t="str">
        <f t="shared" si="48"/>
        <v>Arjun Shetty</v>
      </c>
      <c r="C293" t="str">
        <f t="shared" si="49"/>
        <v>Engineering</v>
      </c>
      <c r="D293" s="30" t="str">
        <f t="shared" si="50"/>
        <v>L1</v>
      </c>
      <c r="E293" s="30" t="str">
        <f t="shared" si="51"/>
        <v>Active</v>
      </c>
      <c r="F293" s="32">
        <v>430000</v>
      </c>
      <c r="G293" s="33">
        <f t="shared" si="52"/>
        <v>297500</v>
      </c>
      <c r="H293" s="33">
        <f t="shared" si="53"/>
        <v>508750</v>
      </c>
      <c r="I293" s="33">
        <f t="shared" si="54"/>
        <v>720000</v>
      </c>
      <c r="J293" s="25">
        <f t="shared" si="55"/>
        <v>0.85</v>
      </c>
      <c r="K293" s="22" t="str">
        <f t="shared" si="56"/>
        <v>Within Band</v>
      </c>
      <c r="L293" s="30">
        <f t="shared" si="57"/>
        <v>3</v>
      </c>
      <c r="M293" s="26">
        <v>9.5000000000000001E-2</v>
      </c>
      <c r="N293" s="34">
        <f t="shared" si="58"/>
        <v>470900</v>
      </c>
      <c r="O293" s="31">
        <v>0.05</v>
      </c>
      <c r="P293" s="34">
        <f t="shared" si="59"/>
        <v>21500</v>
      </c>
      <c r="Q293" s="22" t="s">
        <v>1701</v>
      </c>
    </row>
    <row r="294" spans="1:17" x14ac:dyDescent="0.3">
      <c r="A294" s="22" t="s">
        <v>1066</v>
      </c>
      <c r="B294" t="str">
        <f t="shared" si="48"/>
        <v>Ajay Jain</v>
      </c>
      <c r="C294" t="str">
        <f t="shared" si="49"/>
        <v>Customer Support</v>
      </c>
      <c r="D294" s="30" t="str">
        <f t="shared" si="50"/>
        <v>L2</v>
      </c>
      <c r="E294" s="30" t="str">
        <f t="shared" si="51"/>
        <v>Exited</v>
      </c>
      <c r="F294" s="32">
        <v>559000</v>
      </c>
      <c r="G294" s="33">
        <f t="shared" si="52"/>
        <v>510000</v>
      </c>
      <c r="H294" s="33">
        <f t="shared" si="53"/>
        <v>855000</v>
      </c>
      <c r="I294" s="33">
        <f t="shared" si="54"/>
        <v>1200000</v>
      </c>
      <c r="J294" s="25">
        <f t="shared" si="55"/>
        <v>0.65</v>
      </c>
      <c r="K294" s="22" t="str">
        <f t="shared" si="56"/>
        <v>Within Band</v>
      </c>
      <c r="L294" s="30">
        <f t="shared" si="57"/>
        <v>1</v>
      </c>
      <c r="M294" s="26">
        <v>1.4E-2</v>
      </c>
      <c r="N294" s="34">
        <f t="shared" si="58"/>
        <v>0</v>
      </c>
      <c r="O294" s="31">
        <v>0</v>
      </c>
      <c r="P294" s="34">
        <f t="shared" si="59"/>
        <v>0</v>
      </c>
      <c r="Q294" s="22" t="s">
        <v>1701</v>
      </c>
    </row>
    <row r="295" spans="1:17" x14ac:dyDescent="0.3">
      <c r="A295" s="22" t="s">
        <v>1069</v>
      </c>
      <c r="B295" t="str">
        <f t="shared" si="48"/>
        <v>Rakesh Desai</v>
      </c>
      <c r="C295" t="str">
        <f t="shared" si="49"/>
        <v>Legal &amp; Compliance</v>
      </c>
      <c r="D295" s="30" t="str">
        <f t="shared" si="50"/>
        <v>L4</v>
      </c>
      <c r="E295" s="30" t="str">
        <f t="shared" si="51"/>
        <v>Active</v>
      </c>
      <c r="F295" s="32">
        <v>2867000</v>
      </c>
      <c r="G295" s="33">
        <f t="shared" si="52"/>
        <v>1445000</v>
      </c>
      <c r="H295" s="33">
        <f t="shared" si="53"/>
        <v>2342500</v>
      </c>
      <c r="I295" s="33">
        <f t="shared" si="54"/>
        <v>3240000</v>
      </c>
      <c r="J295" s="25">
        <f t="shared" si="55"/>
        <v>1.22</v>
      </c>
      <c r="K295" s="22" t="str">
        <f t="shared" si="56"/>
        <v>Within Band</v>
      </c>
      <c r="L295" s="30">
        <f t="shared" si="57"/>
        <v>3</v>
      </c>
      <c r="M295" s="26">
        <v>6.6000000000000003E-2</v>
      </c>
      <c r="N295" s="34">
        <f t="shared" si="58"/>
        <v>3056200</v>
      </c>
      <c r="O295" s="31">
        <v>0.08</v>
      </c>
      <c r="P295" s="34">
        <f t="shared" si="59"/>
        <v>229400</v>
      </c>
      <c r="Q295" s="22" t="s">
        <v>1701</v>
      </c>
    </row>
    <row r="296" spans="1:17" x14ac:dyDescent="0.3">
      <c r="A296" s="22" t="s">
        <v>1072</v>
      </c>
      <c r="B296" t="str">
        <f t="shared" si="48"/>
        <v>Sindhu Gowda</v>
      </c>
      <c r="C296" t="str">
        <f t="shared" si="49"/>
        <v>Customer Support</v>
      </c>
      <c r="D296" s="30" t="str">
        <f t="shared" si="50"/>
        <v>L2</v>
      </c>
      <c r="E296" s="30" t="str">
        <f t="shared" si="51"/>
        <v>Exited</v>
      </c>
      <c r="F296" s="32">
        <v>506000</v>
      </c>
      <c r="G296" s="33">
        <f t="shared" si="52"/>
        <v>510000</v>
      </c>
      <c r="H296" s="33">
        <f t="shared" si="53"/>
        <v>855000</v>
      </c>
      <c r="I296" s="33">
        <f t="shared" si="54"/>
        <v>1200000</v>
      </c>
      <c r="J296" s="25">
        <f t="shared" si="55"/>
        <v>0.59</v>
      </c>
      <c r="K296" s="22" t="str">
        <f t="shared" si="56"/>
        <v>Below Band</v>
      </c>
      <c r="L296" s="30">
        <f t="shared" si="57"/>
        <v>3</v>
      </c>
      <c r="M296" s="26">
        <v>8.4000000000000005E-2</v>
      </c>
      <c r="N296" s="34">
        <f t="shared" si="58"/>
        <v>0</v>
      </c>
      <c r="O296" s="31">
        <v>0.08</v>
      </c>
      <c r="P296" s="34">
        <f t="shared" si="59"/>
        <v>0</v>
      </c>
      <c r="Q296" s="22" t="s">
        <v>1701</v>
      </c>
    </row>
    <row r="297" spans="1:17" x14ac:dyDescent="0.3">
      <c r="A297" s="22" t="s">
        <v>1075</v>
      </c>
      <c r="B297" t="str">
        <f t="shared" si="48"/>
        <v>Farhan Shetty</v>
      </c>
      <c r="C297" t="str">
        <f t="shared" si="49"/>
        <v>Engineering</v>
      </c>
      <c r="D297" s="30" t="str">
        <f t="shared" si="50"/>
        <v>L2</v>
      </c>
      <c r="E297" s="30" t="str">
        <f t="shared" si="51"/>
        <v>Exited</v>
      </c>
      <c r="F297" s="32">
        <v>1203000</v>
      </c>
      <c r="G297" s="33">
        <f t="shared" si="52"/>
        <v>510000</v>
      </c>
      <c r="H297" s="33">
        <f t="shared" si="53"/>
        <v>855000</v>
      </c>
      <c r="I297" s="33">
        <f t="shared" si="54"/>
        <v>1200000</v>
      </c>
      <c r="J297" s="25">
        <f t="shared" si="55"/>
        <v>1.41</v>
      </c>
      <c r="K297" s="22" t="str">
        <f t="shared" si="56"/>
        <v>Above Band</v>
      </c>
      <c r="L297" s="30">
        <f t="shared" si="57"/>
        <v>3</v>
      </c>
      <c r="M297" s="26">
        <v>9.0999999999999998E-2</v>
      </c>
      <c r="N297" s="34">
        <f t="shared" si="58"/>
        <v>0</v>
      </c>
      <c r="O297" s="31">
        <v>0.08</v>
      </c>
      <c r="P297" s="34">
        <f t="shared" si="59"/>
        <v>0</v>
      </c>
      <c r="Q297" s="22" t="s">
        <v>1701</v>
      </c>
    </row>
    <row r="298" spans="1:17" x14ac:dyDescent="0.3">
      <c r="A298" s="22" t="s">
        <v>1078</v>
      </c>
      <c r="B298" t="str">
        <f t="shared" si="48"/>
        <v>Rakesh Patel</v>
      </c>
      <c r="C298" t="str">
        <f t="shared" si="49"/>
        <v>Customer Support</v>
      </c>
      <c r="D298" s="30" t="str">
        <f t="shared" si="50"/>
        <v>L3</v>
      </c>
      <c r="E298" s="30" t="str">
        <f t="shared" si="51"/>
        <v>Active</v>
      </c>
      <c r="F298" s="32">
        <v>942000</v>
      </c>
      <c r="G298" s="33">
        <f t="shared" si="52"/>
        <v>850000</v>
      </c>
      <c r="H298" s="33">
        <f t="shared" si="53"/>
        <v>1445000</v>
      </c>
      <c r="I298" s="33">
        <f t="shared" si="54"/>
        <v>2040000</v>
      </c>
      <c r="J298" s="25">
        <f t="shared" si="55"/>
        <v>0.65</v>
      </c>
      <c r="K298" s="22" t="str">
        <f t="shared" si="56"/>
        <v>Within Band</v>
      </c>
      <c r="L298" s="30">
        <f t="shared" si="57"/>
        <v>4</v>
      </c>
      <c r="M298" s="26">
        <v>0.121</v>
      </c>
      <c r="N298" s="34">
        <f t="shared" si="58"/>
        <v>1056000</v>
      </c>
      <c r="O298" s="31">
        <v>0.12</v>
      </c>
      <c r="P298" s="34">
        <f t="shared" si="59"/>
        <v>113000</v>
      </c>
      <c r="Q298" s="22" t="s">
        <v>1701</v>
      </c>
    </row>
    <row r="299" spans="1:17" x14ac:dyDescent="0.3">
      <c r="A299" s="22" t="s">
        <v>1081</v>
      </c>
      <c r="B299" t="str">
        <f t="shared" si="48"/>
        <v>Vikram Bose</v>
      </c>
      <c r="C299" t="str">
        <f t="shared" si="49"/>
        <v>Sales</v>
      </c>
      <c r="D299" s="30" t="str">
        <f t="shared" si="50"/>
        <v>L2</v>
      </c>
      <c r="E299" s="30" t="str">
        <f t="shared" si="51"/>
        <v>Active</v>
      </c>
      <c r="F299" s="32">
        <v>914000</v>
      </c>
      <c r="G299" s="33">
        <f t="shared" si="52"/>
        <v>510000</v>
      </c>
      <c r="H299" s="33">
        <f t="shared" si="53"/>
        <v>855000</v>
      </c>
      <c r="I299" s="33">
        <f t="shared" si="54"/>
        <v>1200000</v>
      </c>
      <c r="J299" s="25">
        <f t="shared" si="55"/>
        <v>1.07</v>
      </c>
      <c r="K299" s="22" t="str">
        <f t="shared" si="56"/>
        <v>Within Band</v>
      </c>
      <c r="L299" s="30">
        <f t="shared" si="57"/>
        <v>5</v>
      </c>
      <c r="M299" s="26">
        <v>0.185</v>
      </c>
      <c r="N299" s="34">
        <f t="shared" si="58"/>
        <v>1083100</v>
      </c>
      <c r="O299" s="31">
        <v>0.18</v>
      </c>
      <c r="P299" s="34">
        <f t="shared" si="59"/>
        <v>164500</v>
      </c>
      <c r="Q299" s="22" t="s">
        <v>1701</v>
      </c>
    </row>
    <row r="300" spans="1:17" x14ac:dyDescent="0.3">
      <c r="A300" s="22" t="s">
        <v>1084</v>
      </c>
      <c r="B300" t="str">
        <f t="shared" si="48"/>
        <v>Sachin Singh</v>
      </c>
      <c r="C300" t="str">
        <f t="shared" si="49"/>
        <v>Human Resources</v>
      </c>
      <c r="D300" s="30" t="str">
        <f t="shared" si="50"/>
        <v>L2</v>
      </c>
      <c r="E300" s="30" t="str">
        <f t="shared" si="51"/>
        <v>Active</v>
      </c>
      <c r="F300" s="32">
        <v>796000</v>
      </c>
      <c r="G300" s="33">
        <f t="shared" si="52"/>
        <v>510000</v>
      </c>
      <c r="H300" s="33">
        <f t="shared" si="53"/>
        <v>855000</v>
      </c>
      <c r="I300" s="33">
        <f t="shared" si="54"/>
        <v>1200000</v>
      </c>
      <c r="J300" s="25">
        <f t="shared" si="55"/>
        <v>0.93</v>
      </c>
      <c r="K300" s="22" t="str">
        <f t="shared" si="56"/>
        <v>Within Band</v>
      </c>
      <c r="L300" s="30">
        <f t="shared" si="57"/>
        <v>3</v>
      </c>
      <c r="M300" s="26">
        <v>8.7999999999999995E-2</v>
      </c>
      <c r="N300" s="34">
        <f t="shared" si="58"/>
        <v>866000</v>
      </c>
      <c r="O300" s="31">
        <v>0.08</v>
      </c>
      <c r="P300" s="34">
        <f t="shared" si="59"/>
        <v>63700</v>
      </c>
      <c r="Q300" s="22" t="s">
        <v>1701</v>
      </c>
    </row>
    <row r="301" spans="1:17" x14ac:dyDescent="0.3">
      <c r="A301" s="22" t="s">
        <v>1087</v>
      </c>
      <c r="B301" t="str">
        <f t="shared" si="48"/>
        <v>Rajesh Krishnan</v>
      </c>
      <c r="C301" t="str">
        <f t="shared" si="49"/>
        <v>Operations</v>
      </c>
      <c r="D301" s="30" t="str">
        <f t="shared" si="50"/>
        <v>L3</v>
      </c>
      <c r="E301" s="30" t="str">
        <f t="shared" si="51"/>
        <v>Active</v>
      </c>
      <c r="F301" s="32">
        <v>886000</v>
      </c>
      <c r="G301" s="33">
        <f t="shared" si="52"/>
        <v>850000</v>
      </c>
      <c r="H301" s="33">
        <f t="shared" si="53"/>
        <v>1445000</v>
      </c>
      <c r="I301" s="33">
        <f t="shared" si="54"/>
        <v>2040000</v>
      </c>
      <c r="J301" s="25">
        <f t="shared" si="55"/>
        <v>0.61</v>
      </c>
      <c r="K301" s="22" t="str">
        <f t="shared" si="56"/>
        <v>Within Band</v>
      </c>
      <c r="L301" s="30">
        <f t="shared" si="57"/>
        <v>3</v>
      </c>
      <c r="M301" s="26">
        <v>8.6999999999999994E-2</v>
      </c>
      <c r="N301" s="34">
        <f t="shared" si="58"/>
        <v>963100</v>
      </c>
      <c r="O301" s="31">
        <v>0.08</v>
      </c>
      <c r="P301" s="34">
        <f t="shared" si="59"/>
        <v>70900</v>
      </c>
      <c r="Q301" s="22" t="s">
        <v>1701</v>
      </c>
    </row>
    <row r="302" spans="1:17" x14ac:dyDescent="0.3">
      <c r="A302" s="22" t="s">
        <v>1090</v>
      </c>
      <c r="B302" t="str">
        <f t="shared" si="48"/>
        <v>Gaurav Nair</v>
      </c>
      <c r="C302" t="str">
        <f t="shared" si="49"/>
        <v>Engineering</v>
      </c>
      <c r="D302" s="30" t="str">
        <f t="shared" si="50"/>
        <v>L1</v>
      </c>
      <c r="E302" s="30" t="str">
        <f t="shared" si="51"/>
        <v>Active</v>
      </c>
      <c r="F302" s="32">
        <v>719000</v>
      </c>
      <c r="G302" s="33">
        <f t="shared" si="52"/>
        <v>297500</v>
      </c>
      <c r="H302" s="33">
        <f t="shared" si="53"/>
        <v>508750</v>
      </c>
      <c r="I302" s="33">
        <f t="shared" si="54"/>
        <v>720000</v>
      </c>
      <c r="J302" s="25">
        <f t="shared" si="55"/>
        <v>1.41</v>
      </c>
      <c r="K302" s="22" t="str">
        <f t="shared" si="56"/>
        <v>Within Band</v>
      </c>
      <c r="L302" s="30">
        <f t="shared" si="57"/>
        <v>3</v>
      </c>
      <c r="M302" s="26">
        <v>7.5999999999999998E-2</v>
      </c>
      <c r="N302" s="34">
        <f t="shared" si="58"/>
        <v>773600</v>
      </c>
      <c r="O302" s="31">
        <v>0.05</v>
      </c>
      <c r="P302" s="34">
        <f t="shared" si="59"/>
        <v>36000</v>
      </c>
      <c r="Q302" s="22" t="s">
        <v>1701</v>
      </c>
    </row>
    <row r="303" spans="1:17" x14ac:dyDescent="0.3">
      <c r="A303" s="22" t="s">
        <v>1093</v>
      </c>
      <c r="B303" t="str">
        <f t="shared" si="48"/>
        <v>Shreya Thomas</v>
      </c>
      <c r="C303" t="str">
        <f t="shared" si="49"/>
        <v>Marketing</v>
      </c>
      <c r="D303" s="30" t="str">
        <f t="shared" si="50"/>
        <v>L3</v>
      </c>
      <c r="E303" s="30" t="str">
        <f t="shared" si="51"/>
        <v>Active</v>
      </c>
      <c r="F303" s="32">
        <v>1426000</v>
      </c>
      <c r="G303" s="33">
        <f t="shared" si="52"/>
        <v>850000</v>
      </c>
      <c r="H303" s="33">
        <f t="shared" si="53"/>
        <v>1445000</v>
      </c>
      <c r="I303" s="33">
        <f t="shared" si="54"/>
        <v>2040000</v>
      </c>
      <c r="J303" s="25">
        <f t="shared" si="55"/>
        <v>0.99</v>
      </c>
      <c r="K303" s="22" t="str">
        <f t="shared" si="56"/>
        <v>Within Band</v>
      </c>
      <c r="L303" s="30">
        <f t="shared" si="57"/>
        <v>3</v>
      </c>
      <c r="M303" s="26">
        <v>9.6000000000000002E-2</v>
      </c>
      <c r="N303" s="34">
        <f t="shared" si="58"/>
        <v>1562900</v>
      </c>
      <c r="O303" s="31">
        <v>0.08</v>
      </c>
      <c r="P303" s="34">
        <f t="shared" si="59"/>
        <v>114100</v>
      </c>
      <c r="Q303" s="22" t="s">
        <v>1701</v>
      </c>
    </row>
    <row r="304" spans="1:17" x14ac:dyDescent="0.3">
      <c r="A304" s="22" t="s">
        <v>1096</v>
      </c>
      <c r="B304" t="str">
        <f t="shared" si="48"/>
        <v>Rakesh Thomas</v>
      </c>
      <c r="C304" t="str">
        <f t="shared" si="49"/>
        <v>Engineering</v>
      </c>
      <c r="D304" s="30" t="str">
        <f t="shared" si="50"/>
        <v>L1</v>
      </c>
      <c r="E304" s="30" t="str">
        <f t="shared" si="51"/>
        <v>Active</v>
      </c>
      <c r="F304" s="32">
        <v>748000</v>
      </c>
      <c r="G304" s="33">
        <f t="shared" si="52"/>
        <v>297500</v>
      </c>
      <c r="H304" s="33">
        <f t="shared" si="53"/>
        <v>508750</v>
      </c>
      <c r="I304" s="33">
        <f t="shared" si="54"/>
        <v>720000</v>
      </c>
      <c r="J304" s="25">
        <f t="shared" si="55"/>
        <v>1.47</v>
      </c>
      <c r="K304" s="22" t="str">
        <f t="shared" si="56"/>
        <v>Above Band</v>
      </c>
      <c r="L304" s="30">
        <f t="shared" si="57"/>
        <v>4</v>
      </c>
      <c r="M304" s="26">
        <v>0.13100000000000001</v>
      </c>
      <c r="N304" s="34">
        <f t="shared" si="58"/>
        <v>846000</v>
      </c>
      <c r="O304" s="31">
        <v>0.08</v>
      </c>
      <c r="P304" s="34">
        <f t="shared" si="59"/>
        <v>59800</v>
      </c>
      <c r="Q304" s="22" t="s">
        <v>1701</v>
      </c>
    </row>
    <row r="305" spans="1:17" x14ac:dyDescent="0.3">
      <c r="A305" s="22" t="s">
        <v>1099</v>
      </c>
      <c r="B305" t="str">
        <f t="shared" si="48"/>
        <v>Harini Khan</v>
      </c>
      <c r="C305" t="str">
        <f t="shared" si="49"/>
        <v>Sales</v>
      </c>
      <c r="D305" s="30" t="str">
        <f t="shared" si="50"/>
        <v>L2</v>
      </c>
      <c r="E305" s="30" t="str">
        <f t="shared" si="51"/>
        <v>Active</v>
      </c>
      <c r="F305" s="32">
        <v>910000</v>
      </c>
      <c r="G305" s="33">
        <f t="shared" si="52"/>
        <v>510000</v>
      </c>
      <c r="H305" s="33">
        <f t="shared" si="53"/>
        <v>855000</v>
      </c>
      <c r="I305" s="33">
        <f t="shared" si="54"/>
        <v>1200000</v>
      </c>
      <c r="J305" s="25">
        <f t="shared" si="55"/>
        <v>1.06</v>
      </c>
      <c r="K305" s="22" t="str">
        <f t="shared" si="56"/>
        <v>Within Band</v>
      </c>
      <c r="L305" s="30">
        <f t="shared" si="57"/>
        <v>5</v>
      </c>
      <c r="M305" s="26">
        <v>0.16300000000000001</v>
      </c>
      <c r="N305" s="34">
        <f t="shared" si="58"/>
        <v>1058300</v>
      </c>
      <c r="O305" s="31">
        <v>0.18</v>
      </c>
      <c r="P305" s="34">
        <f t="shared" si="59"/>
        <v>163800</v>
      </c>
      <c r="Q305" s="22" t="s">
        <v>1701</v>
      </c>
    </row>
    <row r="306" spans="1:17" x14ac:dyDescent="0.3">
      <c r="A306" s="22" t="s">
        <v>1102</v>
      </c>
      <c r="B306" t="str">
        <f t="shared" si="48"/>
        <v>Abhishek Sharma</v>
      </c>
      <c r="C306" t="str">
        <f t="shared" si="49"/>
        <v>Operations</v>
      </c>
      <c r="D306" s="30" t="str">
        <f t="shared" si="50"/>
        <v>L4</v>
      </c>
      <c r="E306" s="30" t="str">
        <f t="shared" si="51"/>
        <v>Active</v>
      </c>
      <c r="F306" s="32">
        <v>1931000</v>
      </c>
      <c r="G306" s="33">
        <f t="shared" si="52"/>
        <v>1445000</v>
      </c>
      <c r="H306" s="33">
        <f t="shared" si="53"/>
        <v>2342500</v>
      </c>
      <c r="I306" s="33">
        <f t="shared" si="54"/>
        <v>3240000</v>
      </c>
      <c r="J306" s="25">
        <f t="shared" si="55"/>
        <v>0.82</v>
      </c>
      <c r="K306" s="22" t="str">
        <f t="shared" si="56"/>
        <v>Within Band</v>
      </c>
      <c r="L306" s="30">
        <f t="shared" si="57"/>
        <v>3</v>
      </c>
      <c r="M306" s="26">
        <v>9.0999999999999998E-2</v>
      </c>
      <c r="N306" s="34">
        <f t="shared" si="58"/>
        <v>2106700</v>
      </c>
      <c r="O306" s="31">
        <v>0.08</v>
      </c>
      <c r="P306" s="34">
        <f t="shared" si="59"/>
        <v>154500</v>
      </c>
      <c r="Q306" s="22" t="s">
        <v>1701</v>
      </c>
    </row>
    <row r="307" spans="1:17" x14ac:dyDescent="0.3">
      <c r="A307" s="22" t="s">
        <v>1105</v>
      </c>
      <c r="B307" t="str">
        <f t="shared" si="48"/>
        <v>Ravi Pandey</v>
      </c>
      <c r="C307" t="str">
        <f t="shared" si="49"/>
        <v>Data &amp; Analytics</v>
      </c>
      <c r="D307" s="30" t="str">
        <f t="shared" si="50"/>
        <v>L3</v>
      </c>
      <c r="E307" s="30" t="str">
        <f t="shared" si="51"/>
        <v>Active</v>
      </c>
      <c r="F307" s="32">
        <v>1864000</v>
      </c>
      <c r="G307" s="33">
        <f t="shared" si="52"/>
        <v>850000</v>
      </c>
      <c r="H307" s="33">
        <f t="shared" si="53"/>
        <v>1445000</v>
      </c>
      <c r="I307" s="33">
        <f t="shared" si="54"/>
        <v>2040000</v>
      </c>
      <c r="J307" s="25">
        <f t="shared" si="55"/>
        <v>1.29</v>
      </c>
      <c r="K307" s="22" t="str">
        <f t="shared" si="56"/>
        <v>Within Band</v>
      </c>
      <c r="L307" s="30">
        <f t="shared" si="57"/>
        <v>4</v>
      </c>
      <c r="M307" s="26">
        <v>0.11700000000000001</v>
      </c>
      <c r="N307" s="34">
        <f t="shared" si="58"/>
        <v>2082100</v>
      </c>
      <c r="O307" s="31">
        <v>0.12</v>
      </c>
      <c r="P307" s="34">
        <f t="shared" si="59"/>
        <v>223700</v>
      </c>
      <c r="Q307" s="22" t="s">
        <v>1701</v>
      </c>
    </row>
    <row r="308" spans="1:17" x14ac:dyDescent="0.3">
      <c r="A308" s="22" t="s">
        <v>1108</v>
      </c>
      <c r="B308" t="str">
        <f t="shared" si="48"/>
        <v>Anjali Mehta</v>
      </c>
      <c r="C308" t="str">
        <f t="shared" si="49"/>
        <v>Engineering</v>
      </c>
      <c r="D308" s="30" t="str">
        <f t="shared" si="50"/>
        <v>L3</v>
      </c>
      <c r="E308" s="30" t="str">
        <f t="shared" si="51"/>
        <v>Active</v>
      </c>
      <c r="F308" s="32">
        <v>2034000</v>
      </c>
      <c r="G308" s="33">
        <f t="shared" si="52"/>
        <v>850000</v>
      </c>
      <c r="H308" s="33">
        <f t="shared" si="53"/>
        <v>1445000</v>
      </c>
      <c r="I308" s="33">
        <f t="shared" si="54"/>
        <v>2040000</v>
      </c>
      <c r="J308" s="25">
        <f t="shared" si="55"/>
        <v>1.41</v>
      </c>
      <c r="K308" s="22" t="str">
        <f t="shared" si="56"/>
        <v>Within Band</v>
      </c>
      <c r="L308" s="30">
        <f t="shared" si="57"/>
        <v>3</v>
      </c>
      <c r="M308" s="26">
        <v>9.8000000000000004E-2</v>
      </c>
      <c r="N308" s="34">
        <f t="shared" si="58"/>
        <v>2233300</v>
      </c>
      <c r="O308" s="31">
        <v>0.08</v>
      </c>
      <c r="P308" s="34">
        <f t="shared" si="59"/>
        <v>162700</v>
      </c>
      <c r="Q308" s="22" t="s">
        <v>1701</v>
      </c>
    </row>
    <row r="309" spans="1:17" x14ac:dyDescent="0.3">
      <c r="A309" s="22" t="s">
        <v>1111</v>
      </c>
      <c r="B309" t="str">
        <f t="shared" si="48"/>
        <v>Sanjay Saxena</v>
      </c>
      <c r="C309" t="str">
        <f t="shared" si="49"/>
        <v>Customer Support</v>
      </c>
      <c r="D309" s="30" t="str">
        <f t="shared" si="50"/>
        <v>L1</v>
      </c>
      <c r="E309" s="30" t="str">
        <f t="shared" si="51"/>
        <v>Active</v>
      </c>
      <c r="F309" s="32">
        <v>366000</v>
      </c>
      <c r="G309" s="33">
        <f t="shared" si="52"/>
        <v>297500</v>
      </c>
      <c r="H309" s="33">
        <f t="shared" si="53"/>
        <v>508750</v>
      </c>
      <c r="I309" s="33">
        <f t="shared" si="54"/>
        <v>720000</v>
      </c>
      <c r="J309" s="25">
        <f t="shared" si="55"/>
        <v>0.72</v>
      </c>
      <c r="K309" s="22" t="str">
        <f t="shared" si="56"/>
        <v>Within Band</v>
      </c>
      <c r="L309" s="30">
        <f t="shared" si="57"/>
        <v>3</v>
      </c>
      <c r="M309" s="26">
        <v>8.7999999999999995E-2</v>
      </c>
      <c r="N309" s="34">
        <f t="shared" si="58"/>
        <v>398200</v>
      </c>
      <c r="O309" s="31">
        <v>0.05</v>
      </c>
      <c r="P309" s="34">
        <f t="shared" si="59"/>
        <v>18300</v>
      </c>
      <c r="Q309" s="22" t="s">
        <v>1701</v>
      </c>
    </row>
    <row r="310" spans="1:17" x14ac:dyDescent="0.3">
      <c r="A310" s="22" t="s">
        <v>1114</v>
      </c>
      <c r="B310" t="str">
        <f t="shared" si="48"/>
        <v>Kunal Mukherjee</v>
      </c>
      <c r="C310" t="str">
        <f t="shared" si="49"/>
        <v>Engineering</v>
      </c>
      <c r="D310" s="30" t="str">
        <f t="shared" si="50"/>
        <v>L1</v>
      </c>
      <c r="E310" s="30" t="str">
        <f t="shared" si="51"/>
        <v>Active</v>
      </c>
      <c r="F310" s="32">
        <v>644000</v>
      </c>
      <c r="G310" s="33">
        <f t="shared" si="52"/>
        <v>297500</v>
      </c>
      <c r="H310" s="33">
        <f t="shared" si="53"/>
        <v>508750</v>
      </c>
      <c r="I310" s="33">
        <f t="shared" si="54"/>
        <v>720000</v>
      </c>
      <c r="J310" s="25">
        <f t="shared" si="55"/>
        <v>1.27</v>
      </c>
      <c r="K310" s="22" t="str">
        <f t="shared" si="56"/>
        <v>Within Band</v>
      </c>
      <c r="L310" s="30">
        <f t="shared" si="57"/>
        <v>3</v>
      </c>
      <c r="M310" s="26">
        <v>6.9000000000000006E-2</v>
      </c>
      <c r="N310" s="34">
        <f t="shared" si="58"/>
        <v>688400</v>
      </c>
      <c r="O310" s="31">
        <v>0.05</v>
      </c>
      <c r="P310" s="34">
        <f t="shared" si="59"/>
        <v>32200</v>
      </c>
      <c r="Q310" s="22" t="s">
        <v>1701</v>
      </c>
    </row>
    <row r="311" spans="1:17" x14ac:dyDescent="0.3">
      <c r="A311" s="22" t="s">
        <v>685</v>
      </c>
      <c r="B311" t="str">
        <f t="shared" si="48"/>
        <v>Swathi Mukherjee</v>
      </c>
      <c r="C311" t="str">
        <f t="shared" si="49"/>
        <v>Legal &amp; Compliance</v>
      </c>
      <c r="D311" s="30" t="str">
        <f t="shared" si="50"/>
        <v>L5</v>
      </c>
      <c r="E311" s="30" t="str">
        <f t="shared" si="51"/>
        <v>Active</v>
      </c>
      <c r="F311" s="32">
        <v>3682000</v>
      </c>
      <c r="G311" s="33">
        <f t="shared" si="52"/>
        <v>2295000</v>
      </c>
      <c r="H311" s="33">
        <f t="shared" si="53"/>
        <v>3667500</v>
      </c>
      <c r="I311" s="33">
        <f t="shared" si="54"/>
        <v>5040000</v>
      </c>
      <c r="J311" s="25">
        <f t="shared" si="55"/>
        <v>1</v>
      </c>
      <c r="K311" s="22" t="str">
        <f t="shared" si="56"/>
        <v>Within Band</v>
      </c>
      <c r="L311" s="30">
        <f t="shared" si="57"/>
        <v>4</v>
      </c>
      <c r="M311" s="26">
        <v>0.126</v>
      </c>
      <c r="N311" s="34">
        <f t="shared" si="58"/>
        <v>4145900</v>
      </c>
      <c r="O311" s="31">
        <v>0.12</v>
      </c>
      <c r="P311" s="34">
        <f t="shared" si="59"/>
        <v>441800</v>
      </c>
      <c r="Q311" s="22" t="s">
        <v>1700</v>
      </c>
    </row>
    <row r="312" spans="1:17" x14ac:dyDescent="0.3">
      <c r="A312" s="22" t="s">
        <v>1118</v>
      </c>
      <c r="B312" t="str">
        <f t="shared" si="48"/>
        <v>Tarun Tiwari</v>
      </c>
      <c r="C312" t="str">
        <f t="shared" si="49"/>
        <v>Sales</v>
      </c>
      <c r="D312" s="30" t="str">
        <f t="shared" si="50"/>
        <v>L2</v>
      </c>
      <c r="E312" s="30" t="str">
        <f t="shared" si="51"/>
        <v>Active</v>
      </c>
      <c r="F312" s="32">
        <v>874000</v>
      </c>
      <c r="G312" s="33">
        <f t="shared" si="52"/>
        <v>510000</v>
      </c>
      <c r="H312" s="33">
        <f t="shared" si="53"/>
        <v>855000</v>
      </c>
      <c r="I312" s="33">
        <f t="shared" si="54"/>
        <v>1200000</v>
      </c>
      <c r="J312" s="25">
        <f t="shared" si="55"/>
        <v>1.02</v>
      </c>
      <c r="K312" s="22" t="str">
        <f t="shared" si="56"/>
        <v>Within Band</v>
      </c>
      <c r="L312" s="30">
        <f t="shared" si="57"/>
        <v>3</v>
      </c>
      <c r="M312" s="26">
        <v>9.5000000000000001E-2</v>
      </c>
      <c r="N312" s="34">
        <f t="shared" si="58"/>
        <v>957000</v>
      </c>
      <c r="O312" s="31">
        <v>0.08</v>
      </c>
      <c r="P312" s="34">
        <f t="shared" si="59"/>
        <v>69900</v>
      </c>
      <c r="Q312" s="22" t="s">
        <v>1701</v>
      </c>
    </row>
    <row r="313" spans="1:17" x14ac:dyDescent="0.3">
      <c r="A313" s="22" t="s">
        <v>1121</v>
      </c>
      <c r="B313" t="str">
        <f t="shared" si="48"/>
        <v>Ritu Chatterjee</v>
      </c>
      <c r="C313" t="str">
        <f t="shared" si="49"/>
        <v>Operations</v>
      </c>
      <c r="D313" s="30" t="str">
        <f t="shared" si="50"/>
        <v>L1</v>
      </c>
      <c r="E313" s="30" t="str">
        <f t="shared" si="51"/>
        <v>Active</v>
      </c>
      <c r="F313" s="32">
        <v>489000</v>
      </c>
      <c r="G313" s="33">
        <f t="shared" si="52"/>
        <v>297500</v>
      </c>
      <c r="H313" s="33">
        <f t="shared" si="53"/>
        <v>508750</v>
      </c>
      <c r="I313" s="33">
        <f t="shared" si="54"/>
        <v>720000</v>
      </c>
      <c r="J313" s="25">
        <f t="shared" si="55"/>
        <v>0.96</v>
      </c>
      <c r="K313" s="22" t="str">
        <f t="shared" si="56"/>
        <v>Within Band</v>
      </c>
      <c r="L313" s="30">
        <f t="shared" si="57"/>
        <v>2</v>
      </c>
      <c r="M313" s="26">
        <v>4.2000000000000003E-2</v>
      </c>
      <c r="N313" s="34">
        <f t="shared" si="58"/>
        <v>509500</v>
      </c>
      <c r="O313" s="31">
        <v>0.02</v>
      </c>
      <c r="P313" s="34">
        <f t="shared" si="59"/>
        <v>9800</v>
      </c>
      <c r="Q313" s="22" t="s">
        <v>1701</v>
      </c>
    </row>
    <row r="314" spans="1:17" x14ac:dyDescent="0.3">
      <c r="A314" s="22" t="s">
        <v>1124</v>
      </c>
      <c r="B314" t="str">
        <f t="shared" si="48"/>
        <v>Mohit Bose</v>
      </c>
      <c r="C314" t="str">
        <f t="shared" si="49"/>
        <v>Customer Support</v>
      </c>
      <c r="D314" s="30" t="str">
        <f t="shared" si="50"/>
        <v>L1</v>
      </c>
      <c r="E314" s="30" t="str">
        <f t="shared" si="51"/>
        <v>Active</v>
      </c>
      <c r="F314" s="32">
        <v>425000</v>
      </c>
      <c r="G314" s="33">
        <f t="shared" si="52"/>
        <v>297500</v>
      </c>
      <c r="H314" s="33">
        <f t="shared" si="53"/>
        <v>508750</v>
      </c>
      <c r="I314" s="33">
        <f t="shared" si="54"/>
        <v>720000</v>
      </c>
      <c r="J314" s="25">
        <f t="shared" si="55"/>
        <v>0.84</v>
      </c>
      <c r="K314" s="22" t="str">
        <f t="shared" si="56"/>
        <v>Within Band</v>
      </c>
      <c r="L314" s="30">
        <f t="shared" si="57"/>
        <v>4</v>
      </c>
      <c r="M314" s="26">
        <v>0.106</v>
      </c>
      <c r="N314" s="34">
        <f t="shared" si="58"/>
        <v>470100</v>
      </c>
      <c r="O314" s="31">
        <v>0.08</v>
      </c>
      <c r="P314" s="34">
        <f t="shared" si="59"/>
        <v>34000</v>
      </c>
      <c r="Q314" s="22" t="s">
        <v>1701</v>
      </c>
    </row>
    <row r="315" spans="1:17" x14ac:dyDescent="0.3">
      <c r="A315" s="22" t="s">
        <v>1127</v>
      </c>
      <c r="B315" t="str">
        <f t="shared" si="48"/>
        <v>Sanjay Thomas</v>
      </c>
      <c r="C315" t="str">
        <f t="shared" si="49"/>
        <v>Legal &amp; Compliance</v>
      </c>
      <c r="D315" s="30" t="str">
        <f t="shared" si="50"/>
        <v>L1</v>
      </c>
      <c r="E315" s="30" t="str">
        <f t="shared" si="51"/>
        <v>Active</v>
      </c>
      <c r="F315" s="32">
        <v>518000</v>
      </c>
      <c r="G315" s="33">
        <f t="shared" si="52"/>
        <v>297500</v>
      </c>
      <c r="H315" s="33">
        <f t="shared" si="53"/>
        <v>508750</v>
      </c>
      <c r="I315" s="33">
        <f t="shared" si="54"/>
        <v>720000</v>
      </c>
      <c r="J315" s="25">
        <f t="shared" si="55"/>
        <v>1.02</v>
      </c>
      <c r="K315" s="22" t="str">
        <f t="shared" si="56"/>
        <v>Within Band</v>
      </c>
      <c r="L315" s="30">
        <f t="shared" si="57"/>
        <v>3</v>
      </c>
      <c r="M315" s="26">
        <v>6.8000000000000005E-2</v>
      </c>
      <c r="N315" s="34">
        <f t="shared" si="58"/>
        <v>553200</v>
      </c>
      <c r="O315" s="31">
        <v>0.05</v>
      </c>
      <c r="P315" s="34">
        <f t="shared" si="59"/>
        <v>25900</v>
      </c>
      <c r="Q315" s="22" t="s">
        <v>1701</v>
      </c>
    </row>
    <row r="316" spans="1:17" x14ac:dyDescent="0.3">
      <c r="A316" s="22" t="s">
        <v>1131</v>
      </c>
      <c r="B316" t="str">
        <f t="shared" si="48"/>
        <v>Revathi Fernandes</v>
      </c>
      <c r="C316" t="str">
        <f t="shared" si="49"/>
        <v>Legal &amp; Compliance</v>
      </c>
      <c r="D316" s="30" t="str">
        <f t="shared" si="50"/>
        <v>L2</v>
      </c>
      <c r="E316" s="30" t="str">
        <f t="shared" si="51"/>
        <v>Active</v>
      </c>
      <c r="F316" s="32">
        <v>1048000</v>
      </c>
      <c r="G316" s="33">
        <f t="shared" si="52"/>
        <v>510000</v>
      </c>
      <c r="H316" s="33">
        <f t="shared" si="53"/>
        <v>855000</v>
      </c>
      <c r="I316" s="33">
        <f t="shared" si="54"/>
        <v>1200000</v>
      </c>
      <c r="J316" s="25">
        <f t="shared" si="55"/>
        <v>1.23</v>
      </c>
      <c r="K316" s="22" t="str">
        <f t="shared" si="56"/>
        <v>Within Band</v>
      </c>
      <c r="L316" s="30">
        <f t="shared" si="57"/>
        <v>4</v>
      </c>
      <c r="M316" s="26">
        <v>0.14000000000000001</v>
      </c>
      <c r="N316" s="34">
        <f t="shared" si="58"/>
        <v>1194700</v>
      </c>
      <c r="O316" s="31">
        <v>0.12</v>
      </c>
      <c r="P316" s="34">
        <f t="shared" si="59"/>
        <v>125800</v>
      </c>
      <c r="Q316" s="22" t="s">
        <v>1701</v>
      </c>
    </row>
    <row r="317" spans="1:17" x14ac:dyDescent="0.3">
      <c r="A317" s="22" t="s">
        <v>1134</v>
      </c>
      <c r="B317" t="str">
        <f t="shared" si="48"/>
        <v>Fatima Patel</v>
      </c>
      <c r="C317" t="str">
        <f t="shared" si="49"/>
        <v>Sales</v>
      </c>
      <c r="D317" s="30" t="str">
        <f t="shared" si="50"/>
        <v>L1</v>
      </c>
      <c r="E317" s="30" t="str">
        <f t="shared" si="51"/>
        <v>Active</v>
      </c>
      <c r="F317" s="32">
        <v>590000</v>
      </c>
      <c r="G317" s="33">
        <f t="shared" si="52"/>
        <v>297500</v>
      </c>
      <c r="H317" s="33">
        <f t="shared" si="53"/>
        <v>508750</v>
      </c>
      <c r="I317" s="33">
        <f t="shared" si="54"/>
        <v>720000</v>
      </c>
      <c r="J317" s="25">
        <f t="shared" si="55"/>
        <v>1.1599999999999999</v>
      </c>
      <c r="K317" s="22" t="str">
        <f t="shared" si="56"/>
        <v>Within Band</v>
      </c>
      <c r="L317" s="30">
        <f t="shared" si="57"/>
        <v>3</v>
      </c>
      <c r="M317" s="26">
        <v>8.1000000000000003E-2</v>
      </c>
      <c r="N317" s="34">
        <f t="shared" si="58"/>
        <v>637800</v>
      </c>
      <c r="O317" s="31">
        <v>0.05</v>
      </c>
      <c r="P317" s="34">
        <f t="shared" si="59"/>
        <v>29500</v>
      </c>
      <c r="Q317" s="22" t="s">
        <v>1701</v>
      </c>
    </row>
    <row r="318" spans="1:17" x14ac:dyDescent="0.3">
      <c r="A318" s="22" t="s">
        <v>1137</v>
      </c>
      <c r="B318" t="str">
        <f t="shared" si="48"/>
        <v>Nisha Choudhary</v>
      </c>
      <c r="C318" t="str">
        <f t="shared" si="49"/>
        <v>Finance</v>
      </c>
      <c r="D318" s="30" t="str">
        <f t="shared" si="50"/>
        <v>L2</v>
      </c>
      <c r="E318" s="30" t="str">
        <f t="shared" si="51"/>
        <v>Active</v>
      </c>
      <c r="F318" s="32">
        <v>1054000</v>
      </c>
      <c r="G318" s="33">
        <f t="shared" si="52"/>
        <v>510000</v>
      </c>
      <c r="H318" s="33">
        <f t="shared" si="53"/>
        <v>855000</v>
      </c>
      <c r="I318" s="33">
        <f t="shared" si="54"/>
        <v>1200000</v>
      </c>
      <c r="J318" s="25">
        <f t="shared" si="55"/>
        <v>1.23</v>
      </c>
      <c r="K318" s="22" t="str">
        <f t="shared" si="56"/>
        <v>Within Band</v>
      </c>
      <c r="L318" s="30">
        <f t="shared" si="57"/>
        <v>5</v>
      </c>
      <c r="M318" s="26">
        <v>0.188</v>
      </c>
      <c r="N318" s="34">
        <f t="shared" si="58"/>
        <v>1252200</v>
      </c>
      <c r="O318" s="31">
        <v>0.18</v>
      </c>
      <c r="P318" s="34">
        <f t="shared" si="59"/>
        <v>189700</v>
      </c>
      <c r="Q318" s="22" t="s">
        <v>1701</v>
      </c>
    </row>
    <row r="319" spans="1:17" x14ac:dyDescent="0.3">
      <c r="A319" s="22" t="s">
        <v>1140</v>
      </c>
      <c r="B319" t="str">
        <f t="shared" si="48"/>
        <v>Amit Desai</v>
      </c>
      <c r="C319" t="str">
        <f t="shared" si="49"/>
        <v>Engineering</v>
      </c>
      <c r="D319" s="30" t="str">
        <f t="shared" si="50"/>
        <v>L2</v>
      </c>
      <c r="E319" s="30" t="str">
        <f t="shared" si="51"/>
        <v>Active</v>
      </c>
      <c r="F319" s="32">
        <v>1001000</v>
      </c>
      <c r="G319" s="33">
        <f t="shared" si="52"/>
        <v>510000</v>
      </c>
      <c r="H319" s="33">
        <f t="shared" si="53"/>
        <v>855000</v>
      </c>
      <c r="I319" s="33">
        <f t="shared" si="54"/>
        <v>1200000</v>
      </c>
      <c r="J319" s="25">
        <f t="shared" si="55"/>
        <v>1.17</v>
      </c>
      <c r="K319" s="22" t="str">
        <f t="shared" si="56"/>
        <v>Within Band</v>
      </c>
      <c r="L319" s="30">
        <f t="shared" si="57"/>
        <v>4</v>
      </c>
      <c r="M319" s="26">
        <v>0.124</v>
      </c>
      <c r="N319" s="34">
        <f t="shared" si="58"/>
        <v>1125100</v>
      </c>
      <c r="O319" s="31">
        <v>0.12</v>
      </c>
      <c r="P319" s="34">
        <f t="shared" si="59"/>
        <v>120100</v>
      </c>
      <c r="Q319" s="22" t="s">
        <v>1701</v>
      </c>
    </row>
    <row r="320" spans="1:17" x14ac:dyDescent="0.3">
      <c r="A320" s="22" t="s">
        <v>1143</v>
      </c>
      <c r="B320" t="str">
        <f t="shared" si="48"/>
        <v>Neha Siddiqui</v>
      </c>
      <c r="C320" t="str">
        <f t="shared" si="49"/>
        <v>Engineering</v>
      </c>
      <c r="D320" s="30" t="str">
        <f t="shared" si="50"/>
        <v>L2</v>
      </c>
      <c r="E320" s="30" t="str">
        <f t="shared" si="51"/>
        <v>Active</v>
      </c>
      <c r="F320" s="32">
        <v>905000</v>
      </c>
      <c r="G320" s="33">
        <f t="shared" si="52"/>
        <v>510000</v>
      </c>
      <c r="H320" s="33">
        <f t="shared" si="53"/>
        <v>855000</v>
      </c>
      <c r="I320" s="33">
        <f t="shared" si="54"/>
        <v>1200000</v>
      </c>
      <c r="J320" s="25">
        <f t="shared" si="55"/>
        <v>1.06</v>
      </c>
      <c r="K320" s="22" t="str">
        <f t="shared" si="56"/>
        <v>Within Band</v>
      </c>
      <c r="L320" s="30">
        <f t="shared" si="57"/>
        <v>5</v>
      </c>
      <c r="M320" s="26">
        <v>0.161</v>
      </c>
      <c r="N320" s="34">
        <f t="shared" si="58"/>
        <v>1050700</v>
      </c>
      <c r="O320" s="31">
        <v>0.18</v>
      </c>
      <c r="P320" s="34">
        <f t="shared" si="59"/>
        <v>162900</v>
      </c>
      <c r="Q320" s="22" t="s">
        <v>1701</v>
      </c>
    </row>
    <row r="321" spans="1:17" x14ac:dyDescent="0.3">
      <c r="A321" s="22" t="s">
        <v>1146</v>
      </c>
      <c r="B321" t="str">
        <f t="shared" si="48"/>
        <v>Prakash Raghavan</v>
      </c>
      <c r="C321" t="str">
        <f t="shared" si="49"/>
        <v>Operations</v>
      </c>
      <c r="D321" s="30" t="str">
        <f t="shared" si="50"/>
        <v>L2</v>
      </c>
      <c r="E321" s="30" t="str">
        <f t="shared" si="51"/>
        <v>Active</v>
      </c>
      <c r="F321" s="32">
        <v>914000</v>
      </c>
      <c r="G321" s="33">
        <f t="shared" si="52"/>
        <v>510000</v>
      </c>
      <c r="H321" s="33">
        <f t="shared" si="53"/>
        <v>855000</v>
      </c>
      <c r="I321" s="33">
        <f t="shared" si="54"/>
        <v>1200000</v>
      </c>
      <c r="J321" s="25">
        <f t="shared" si="55"/>
        <v>1.07</v>
      </c>
      <c r="K321" s="22" t="str">
        <f t="shared" si="56"/>
        <v>Within Band</v>
      </c>
      <c r="L321" s="30">
        <f t="shared" si="57"/>
        <v>5</v>
      </c>
      <c r="M321" s="26">
        <v>0.17899999999999999</v>
      </c>
      <c r="N321" s="34">
        <f t="shared" si="58"/>
        <v>1077600</v>
      </c>
      <c r="O321" s="31">
        <v>0.18</v>
      </c>
      <c r="P321" s="34">
        <f t="shared" si="59"/>
        <v>164500</v>
      </c>
      <c r="Q321" s="22" t="s">
        <v>1701</v>
      </c>
    </row>
    <row r="322" spans="1:17" x14ac:dyDescent="0.3">
      <c r="A322" s="22" t="s">
        <v>1149</v>
      </c>
      <c r="B322" t="str">
        <f t="shared" ref="B322:B385" si="60">INDEX(M_Name,MATCH($A322,M_ID,0))</f>
        <v>Imran Gupta</v>
      </c>
      <c r="C322" t="str">
        <f t="shared" ref="C322:C385" si="61">INDEX(M_Dept,MATCH($A322,M_ID,0))</f>
        <v>Sales</v>
      </c>
      <c r="D322" s="30" t="str">
        <f t="shared" ref="D322:D385" si="62">INDEX(M_Level,MATCH($A322,M_ID,0))</f>
        <v>L4</v>
      </c>
      <c r="E322" s="30" t="str">
        <f t="shared" ref="E322:E385" si="63">INDEX(M_Status,MATCH($A322,M_ID,0))</f>
        <v>Active</v>
      </c>
      <c r="F322" s="32">
        <v>1887000</v>
      </c>
      <c r="G322" s="33">
        <f t="shared" ref="G322:G385" si="64">INDEX(BandMin,MATCH(D322,BandLevels,0))</f>
        <v>1445000</v>
      </c>
      <c r="H322" s="33">
        <f t="shared" ref="H322:H385" si="65">INDEX(BandMid,MATCH(D322,BandLevels,0))</f>
        <v>2342500</v>
      </c>
      <c r="I322" s="33">
        <f t="shared" ref="I322:I385" si="66">INDEX(BandMax,MATCH(D322,BandLevels,0))</f>
        <v>3240000</v>
      </c>
      <c r="J322" s="25">
        <f t="shared" ref="J322:J385" si="67">ROUND(F322/H322,2)</f>
        <v>0.81</v>
      </c>
      <c r="K322" s="22" t="str">
        <f t="shared" ref="K322:K385" si="68">IF(F322&lt;G322,"Below Band",IF(F322&gt;I322,"Above Band","Within Band"))</f>
        <v>Within Band</v>
      </c>
      <c r="L322" s="30">
        <f t="shared" ref="L322:L385" si="69">INDEX(P_Rating,MATCH($A322,M_ID,0))</f>
        <v>5</v>
      </c>
      <c r="M322" s="26">
        <v>0.19</v>
      </c>
      <c r="N322" s="34">
        <f t="shared" ref="N322:N385" si="70">IF(E322="Exited",0,ROUND(F322*(1+M322),-2))</f>
        <v>2245500</v>
      </c>
      <c r="O322" s="31">
        <v>0.18</v>
      </c>
      <c r="P322" s="34">
        <f t="shared" ref="P322:P385" si="71">IF(E322="Exited",0,ROUND(F322*O322,-2))</f>
        <v>339700</v>
      </c>
      <c r="Q322" s="22" t="s">
        <v>1700</v>
      </c>
    </row>
    <row r="323" spans="1:17" x14ac:dyDescent="0.3">
      <c r="A323" s="22" t="s">
        <v>1152</v>
      </c>
      <c r="B323" t="str">
        <f t="shared" si="60"/>
        <v>Radhika Kapoor</v>
      </c>
      <c r="C323" t="str">
        <f t="shared" si="61"/>
        <v>Product</v>
      </c>
      <c r="D323" s="30" t="str">
        <f t="shared" si="62"/>
        <v>L1</v>
      </c>
      <c r="E323" s="30" t="str">
        <f t="shared" si="63"/>
        <v>Active</v>
      </c>
      <c r="F323" s="32">
        <v>452000</v>
      </c>
      <c r="G323" s="33">
        <f t="shared" si="64"/>
        <v>297500</v>
      </c>
      <c r="H323" s="33">
        <f t="shared" si="65"/>
        <v>508750</v>
      </c>
      <c r="I323" s="33">
        <f t="shared" si="66"/>
        <v>720000</v>
      </c>
      <c r="J323" s="25">
        <f t="shared" si="67"/>
        <v>0.89</v>
      </c>
      <c r="K323" s="22" t="str">
        <f t="shared" si="68"/>
        <v>Within Band</v>
      </c>
      <c r="L323" s="30">
        <f t="shared" si="69"/>
        <v>5</v>
      </c>
      <c r="M323" s="26">
        <v>0.188</v>
      </c>
      <c r="N323" s="34">
        <f t="shared" si="70"/>
        <v>537000</v>
      </c>
      <c r="O323" s="31">
        <v>0.1</v>
      </c>
      <c r="P323" s="34">
        <f t="shared" si="71"/>
        <v>45200</v>
      </c>
      <c r="Q323" s="22" t="s">
        <v>1701</v>
      </c>
    </row>
    <row r="324" spans="1:17" x14ac:dyDescent="0.3">
      <c r="A324" s="22" t="s">
        <v>1155</v>
      </c>
      <c r="B324" t="str">
        <f t="shared" si="60"/>
        <v>Dev Bansal</v>
      </c>
      <c r="C324" t="str">
        <f t="shared" si="61"/>
        <v>Sales</v>
      </c>
      <c r="D324" s="30" t="str">
        <f t="shared" si="62"/>
        <v>L1</v>
      </c>
      <c r="E324" s="30" t="str">
        <f t="shared" si="63"/>
        <v>Active</v>
      </c>
      <c r="F324" s="32">
        <v>439000</v>
      </c>
      <c r="G324" s="33">
        <f t="shared" si="64"/>
        <v>297500</v>
      </c>
      <c r="H324" s="33">
        <f t="shared" si="65"/>
        <v>508750</v>
      </c>
      <c r="I324" s="33">
        <f t="shared" si="66"/>
        <v>720000</v>
      </c>
      <c r="J324" s="25">
        <f t="shared" si="67"/>
        <v>0.86</v>
      </c>
      <c r="K324" s="22" t="str">
        <f t="shared" si="68"/>
        <v>Within Band</v>
      </c>
      <c r="L324" s="30">
        <f t="shared" si="69"/>
        <v>4</v>
      </c>
      <c r="M324" s="26">
        <v>0.11799999999999999</v>
      </c>
      <c r="N324" s="34">
        <f t="shared" si="70"/>
        <v>490800</v>
      </c>
      <c r="O324" s="31">
        <v>0.08</v>
      </c>
      <c r="P324" s="34">
        <f t="shared" si="71"/>
        <v>35100</v>
      </c>
      <c r="Q324" s="22" t="s">
        <v>1701</v>
      </c>
    </row>
    <row r="325" spans="1:17" x14ac:dyDescent="0.3">
      <c r="A325" s="22" t="s">
        <v>1158</v>
      </c>
      <c r="B325" t="str">
        <f t="shared" si="60"/>
        <v>Divya Banerjee</v>
      </c>
      <c r="C325" t="str">
        <f t="shared" si="61"/>
        <v>Operations</v>
      </c>
      <c r="D325" s="30" t="str">
        <f t="shared" si="62"/>
        <v>L2</v>
      </c>
      <c r="E325" s="30" t="str">
        <f t="shared" si="63"/>
        <v>Active</v>
      </c>
      <c r="F325" s="32">
        <v>630000</v>
      </c>
      <c r="G325" s="33">
        <f t="shared" si="64"/>
        <v>510000</v>
      </c>
      <c r="H325" s="33">
        <f t="shared" si="65"/>
        <v>855000</v>
      </c>
      <c r="I325" s="33">
        <f t="shared" si="66"/>
        <v>1200000</v>
      </c>
      <c r="J325" s="25">
        <f t="shared" si="67"/>
        <v>0.74</v>
      </c>
      <c r="K325" s="22" t="str">
        <f t="shared" si="68"/>
        <v>Within Band</v>
      </c>
      <c r="L325" s="30">
        <f t="shared" si="69"/>
        <v>3</v>
      </c>
      <c r="M325" s="26">
        <v>0.09</v>
      </c>
      <c r="N325" s="34">
        <f t="shared" si="70"/>
        <v>686700</v>
      </c>
      <c r="O325" s="31">
        <v>0.08</v>
      </c>
      <c r="P325" s="34">
        <f t="shared" si="71"/>
        <v>50400</v>
      </c>
      <c r="Q325" s="22" t="s">
        <v>1701</v>
      </c>
    </row>
    <row r="326" spans="1:17" x14ac:dyDescent="0.3">
      <c r="A326" s="22" t="s">
        <v>1161</v>
      </c>
      <c r="B326" t="str">
        <f t="shared" si="60"/>
        <v>Aditya Nair</v>
      </c>
      <c r="C326" t="str">
        <f t="shared" si="61"/>
        <v>Customer Support</v>
      </c>
      <c r="D326" s="30" t="str">
        <f t="shared" si="62"/>
        <v>L3</v>
      </c>
      <c r="E326" s="30" t="str">
        <f t="shared" si="63"/>
        <v>Active</v>
      </c>
      <c r="F326" s="32">
        <v>1177000</v>
      </c>
      <c r="G326" s="33">
        <f t="shared" si="64"/>
        <v>850000</v>
      </c>
      <c r="H326" s="33">
        <f t="shared" si="65"/>
        <v>1445000</v>
      </c>
      <c r="I326" s="33">
        <f t="shared" si="66"/>
        <v>2040000</v>
      </c>
      <c r="J326" s="25">
        <f t="shared" si="67"/>
        <v>0.81</v>
      </c>
      <c r="K326" s="22" t="str">
        <f t="shared" si="68"/>
        <v>Within Band</v>
      </c>
      <c r="L326" s="30">
        <f t="shared" si="69"/>
        <v>4</v>
      </c>
      <c r="M326" s="26">
        <v>0.13800000000000001</v>
      </c>
      <c r="N326" s="34">
        <f t="shared" si="70"/>
        <v>1339400</v>
      </c>
      <c r="O326" s="31">
        <v>0.12</v>
      </c>
      <c r="P326" s="34">
        <f t="shared" si="71"/>
        <v>141200</v>
      </c>
      <c r="Q326" s="22" t="s">
        <v>1701</v>
      </c>
    </row>
    <row r="327" spans="1:17" x14ac:dyDescent="0.3">
      <c r="A327" s="22" t="s">
        <v>1164</v>
      </c>
      <c r="B327" t="str">
        <f t="shared" si="60"/>
        <v>Ramya Verma</v>
      </c>
      <c r="C327" t="str">
        <f t="shared" si="61"/>
        <v>Data &amp; Analytics</v>
      </c>
      <c r="D327" s="30" t="str">
        <f t="shared" si="62"/>
        <v>L2</v>
      </c>
      <c r="E327" s="30" t="str">
        <f t="shared" si="63"/>
        <v>Active</v>
      </c>
      <c r="F327" s="32">
        <v>1040000</v>
      </c>
      <c r="G327" s="33">
        <f t="shared" si="64"/>
        <v>510000</v>
      </c>
      <c r="H327" s="33">
        <f t="shared" si="65"/>
        <v>855000</v>
      </c>
      <c r="I327" s="33">
        <f t="shared" si="66"/>
        <v>1200000</v>
      </c>
      <c r="J327" s="25">
        <f t="shared" si="67"/>
        <v>1.22</v>
      </c>
      <c r="K327" s="22" t="str">
        <f t="shared" si="68"/>
        <v>Within Band</v>
      </c>
      <c r="L327" s="30">
        <f t="shared" si="69"/>
        <v>4</v>
      </c>
      <c r="M327" s="26">
        <v>0.128</v>
      </c>
      <c r="N327" s="34">
        <f t="shared" si="70"/>
        <v>1173100</v>
      </c>
      <c r="O327" s="31">
        <v>0.12</v>
      </c>
      <c r="P327" s="34">
        <f t="shared" si="71"/>
        <v>124800</v>
      </c>
      <c r="Q327" s="22" t="s">
        <v>1701</v>
      </c>
    </row>
    <row r="328" spans="1:17" x14ac:dyDescent="0.3">
      <c r="A328" s="22" t="s">
        <v>1167</v>
      </c>
      <c r="B328" t="str">
        <f t="shared" si="60"/>
        <v>Keerthi Agarwal</v>
      </c>
      <c r="C328" t="str">
        <f t="shared" si="61"/>
        <v>Operations</v>
      </c>
      <c r="D328" s="30" t="str">
        <f t="shared" si="62"/>
        <v>L4</v>
      </c>
      <c r="E328" s="30" t="str">
        <f t="shared" si="63"/>
        <v>Active</v>
      </c>
      <c r="F328" s="32">
        <v>2318000</v>
      </c>
      <c r="G328" s="33">
        <f t="shared" si="64"/>
        <v>1445000</v>
      </c>
      <c r="H328" s="33">
        <f t="shared" si="65"/>
        <v>2342500</v>
      </c>
      <c r="I328" s="33">
        <f t="shared" si="66"/>
        <v>3240000</v>
      </c>
      <c r="J328" s="25">
        <f t="shared" si="67"/>
        <v>0.99</v>
      </c>
      <c r="K328" s="22" t="str">
        <f t="shared" si="68"/>
        <v>Within Band</v>
      </c>
      <c r="L328" s="30">
        <f t="shared" si="69"/>
        <v>3</v>
      </c>
      <c r="M328" s="26">
        <v>8.6999999999999994E-2</v>
      </c>
      <c r="N328" s="34">
        <f t="shared" si="70"/>
        <v>2519700</v>
      </c>
      <c r="O328" s="31">
        <v>0.08</v>
      </c>
      <c r="P328" s="34">
        <f t="shared" si="71"/>
        <v>185400</v>
      </c>
      <c r="Q328" s="22" t="s">
        <v>1701</v>
      </c>
    </row>
    <row r="329" spans="1:17" x14ac:dyDescent="0.3">
      <c r="A329" s="22" t="s">
        <v>1170</v>
      </c>
      <c r="B329" t="str">
        <f t="shared" si="60"/>
        <v>Vishal Subramanian</v>
      </c>
      <c r="C329" t="str">
        <f t="shared" si="61"/>
        <v>Operations</v>
      </c>
      <c r="D329" s="30" t="str">
        <f t="shared" si="62"/>
        <v>L1</v>
      </c>
      <c r="E329" s="30" t="str">
        <f t="shared" si="63"/>
        <v>Active</v>
      </c>
      <c r="F329" s="32">
        <v>430000</v>
      </c>
      <c r="G329" s="33">
        <f t="shared" si="64"/>
        <v>297500</v>
      </c>
      <c r="H329" s="33">
        <f t="shared" si="65"/>
        <v>508750</v>
      </c>
      <c r="I329" s="33">
        <f t="shared" si="66"/>
        <v>720000</v>
      </c>
      <c r="J329" s="25">
        <f t="shared" si="67"/>
        <v>0.85</v>
      </c>
      <c r="K329" s="22" t="str">
        <f t="shared" si="68"/>
        <v>Within Band</v>
      </c>
      <c r="L329" s="30">
        <f t="shared" si="69"/>
        <v>4</v>
      </c>
      <c r="M329" s="26">
        <v>0.13300000000000001</v>
      </c>
      <c r="N329" s="34">
        <f t="shared" si="70"/>
        <v>487200</v>
      </c>
      <c r="O329" s="31">
        <v>0.08</v>
      </c>
      <c r="P329" s="34">
        <f t="shared" si="71"/>
        <v>34400</v>
      </c>
      <c r="Q329" s="22" t="s">
        <v>1701</v>
      </c>
    </row>
    <row r="330" spans="1:17" x14ac:dyDescent="0.3">
      <c r="A330" s="22" t="s">
        <v>1173</v>
      </c>
      <c r="B330" t="str">
        <f t="shared" si="60"/>
        <v>Akash Fernandes</v>
      </c>
      <c r="C330" t="str">
        <f t="shared" si="61"/>
        <v>Engineering</v>
      </c>
      <c r="D330" s="30" t="str">
        <f t="shared" si="62"/>
        <v>L2</v>
      </c>
      <c r="E330" s="30" t="str">
        <f t="shared" si="63"/>
        <v>Active</v>
      </c>
      <c r="F330" s="32">
        <v>874000</v>
      </c>
      <c r="G330" s="33">
        <f t="shared" si="64"/>
        <v>510000</v>
      </c>
      <c r="H330" s="33">
        <f t="shared" si="65"/>
        <v>855000</v>
      </c>
      <c r="I330" s="33">
        <f t="shared" si="66"/>
        <v>1200000</v>
      </c>
      <c r="J330" s="25">
        <f t="shared" si="67"/>
        <v>1.02</v>
      </c>
      <c r="K330" s="22" t="str">
        <f t="shared" si="68"/>
        <v>Within Band</v>
      </c>
      <c r="L330" s="30">
        <f t="shared" si="69"/>
        <v>2</v>
      </c>
      <c r="M330" s="26">
        <v>2.3E-2</v>
      </c>
      <c r="N330" s="34">
        <f t="shared" si="70"/>
        <v>894100</v>
      </c>
      <c r="O330" s="31">
        <v>0.03</v>
      </c>
      <c r="P330" s="34">
        <f t="shared" si="71"/>
        <v>26200</v>
      </c>
      <c r="Q330" s="22" t="s">
        <v>1701</v>
      </c>
    </row>
    <row r="331" spans="1:17" x14ac:dyDescent="0.3">
      <c r="A331" s="22" t="s">
        <v>1176</v>
      </c>
      <c r="B331" t="str">
        <f t="shared" si="60"/>
        <v>Prakash Singh</v>
      </c>
      <c r="C331" t="str">
        <f t="shared" si="61"/>
        <v>Sales</v>
      </c>
      <c r="D331" s="30" t="str">
        <f t="shared" si="62"/>
        <v>L3</v>
      </c>
      <c r="E331" s="30" t="str">
        <f t="shared" si="63"/>
        <v>Active</v>
      </c>
      <c r="F331" s="32">
        <v>1386000</v>
      </c>
      <c r="G331" s="33">
        <f t="shared" si="64"/>
        <v>850000</v>
      </c>
      <c r="H331" s="33">
        <f t="shared" si="65"/>
        <v>1445000</v>
      </c>
      <c r="I331" s="33">
        <f t="shared" si="66"/>
        <v>2040000</v>
      </c>
      <c r="J331" s="25">
        <f t="shared" si="67"/>
        <v>0.96</v>
      </c>
      <c r="K331" s="22" t="str">
        <f t="shared" si="68"/>
        <v>Within Band</v>
      </c>
      <c r="L331" s="30">
        <f t="shared" si="69"/>
        <v>3</v>
      </c>
      <c r="M331" s="26">
        <v>9.7000000000000003E-2</v>
      </c>
      <c r="N331" s="34">
        <f t="shared" si="70"/>
        <v>1520400</v>
      </c>
      <c r="O331" s="31">
        <v>0.08</v>
      </c>
      <c r="P331" s="34">
        <f t="shared" si="71"/>
        <v>110900</v>
      </c>
      <c r="Q331" s="22" t="s">
        <v>1701</v>
      </c>
    </row>
    <row r="332" spans="1:17" x14ac:dyDescent="0.3">
      <c r="A332" s="22" t="s">
        <v>1179</v>
      </c>
      <c r="B332" t="str">
        <f t="shared" si="60"/>
        <v>Sindhu Kapoor</v>
      </c>
      <c r="C332" t="str">
        <f t="shared" si="61"/>
        <v>Data &amp; Analytics</v>
      </c>
      <c r="D332" s="30" t="str">
        <f t="shared" si="62"/>
        <v>L4</v>
      </c>
      <c r="E332" s="30" t="str">
        <f t="shared" si="63"/>
        <v>Active</v>
      </c>
      <c r="F332" s="32">
        <v>2055000</v>
      </c>
      <c r="G332" s="33">
        <f t="shared" si="64"/>
        <v>1445000</v>
      </c>
      <c r="H332" s="33">
        <f t="shared" si="65"/>
        <v>2342500</v>
      </c>
      <c r="I332" s="33">
        <f t="shared" si="66"/>
        <v>3240000</v>
      </c>
      <c r="J332" s="25">
        <f t="shared" si="67"/>
        <v>0.88</v>
      </c>
      <c r="K332" s="22" t="str">
        <f t="shared" si="68"/>
        <v>Within Band</v>
      </c>
      <c r="L332" s="30">
        <f t="shared" si="69"/>
        <v>3</v>
      </c>
      <c r="M332" s="26">
        <v>7.6999999999999999E-2</v>
      </c>
      <c r="N332" s="34">
        <f t="shared" si="70"/>
        <v>2213200</v>
      </c>
      <c r="O332" s="31">
        <v>0.08</v>
      </c>
      <c r="P332" s="34">
        <f t="shared" si="71"/>
        <v>164400</v>
      </c>
      <c r="Q332" s="22" t="s">
        <v>1701</v>
      </c>
    </row>
    <row r="333" spans="1:17" x14ac:dyDescent="0.3">
      <c r="A333" s="22" t="s">
        <v>1182</v>
      </c>
      <c r="B333" t="str">
        <f t="shared" si="60"/>
        <v>Swathi Khanna</v>
      </c>
      <c r="C333" t="str">
        <f t="shared" si="61"/>
        <v>Engineering</v>
      </c>
      <c r="D333" s="30" t="str">
        <f t="shared" si="62"/>
        <v>L2</v>
      </c>
      <c r="E333" s="30" t="str">
        <f t="shared" si="63"/>
        <v>Active</v>
      </c>
      <c r="F333" s="32">
        <v>1183000</v>
      </c>
      <c r="G333" s="33">
        <f t="shared" si="64"/>
        <v>510000</v>
      </c>
      <c r="H333" s="33">
        <f t="shared" si="65"/>
        <v>855000</v>
      </c>
      <c r="I333" s="33">
        <f t="shared" si="66"/>
        <v>1200000</v>
      </c>
      <c r="J333" s="25">
        <f t="shared" si="67"/>
        <v>1.38</v>
      </c>
      <c r="K333" s="22" t="str">
        <f t="shared" si="68"/>
        <v>Within Band</v>
      </c>
      <c r="L333" s="30">
        <f t="shared" si="69"/>
        <v>3</v>
      </c>
      <c r="M333" s="26">
        <v>9.0999999999999998E-2</v>
      </c>
      <c r="N333" s="34">
        <f t="shared" si="70"/>
        <v>1290700</v>
      </c>
      <c r="O333" s="31">
        <v>0.08</v>
      </c>
      <c r="P333" s="34">
        <f t="shared" si="71"/>
        <v>94600</v>
      </c>
      <c r="Q333" s="22" t="s">
        <v>1701</v>
      </c>
    </row>
    <row r="334" spans="1:17" x14ac:dyDescent="0.3">
      <c r="A334" s="22" t="s">
        <v>1185</v>
      </c>
      <c r="B334" t="str">
        <f t="shared" si="60"/>
        <v>Siddharth Reddy</v>
      </c>
      <c r="C334" t="str">
        <f t="shared" si="61"/>
        <v>Marketing</v>
      </c>
      <c r="D334" s="30" t="str">
        <f t="shared" si="62"/>
        <v>L3</v>
      </c>
      <c r="E334" s="30" t="str">
        <f t="shared" si="63"/>
        <v>Active</v>
      </c>
      <c r="F334" s="32">
        <v>1575000</v>
      </c>
      <c r="G334" s="33">
        <f t="shared" si="64"/>
        <v>850000</v>
      </c>
      <c r="H334" s="33">
        <f t="shared" si="65"/>
        <v>1445000</v>
      </c>
      <c r="I334" s="33">
        <f t="shared" si="66"/>
        <v>2040000</v>
      </c>
      <c r="J334" s="25">
        <f t="shared" si="67"/>
        <v>1.0900000000000001</v>
      </c>
      <c r="K334" s="22" t="str">
        <f t="shared" si="68"/>
        <v>Within Band</v>
      </c>
      <c r="L334" s="30">
        <f t="shared" si="69"/>
        <v>5</v>
      </c>
      <c r="M334" s="26">
        <v>0.17799999999999999</v>
      </c>
      <c r="N334" s="34">
        <f t="shared" si="70"/>
        <v>1855400</v>
      </c>
      <c r="O334" s="31">
        <v>0.18</v>
      </c>
      <c r="P334" s="34">
        <f t="shared" si="71"/>
        <v>283500</v>
      </c>
      <c r="Q334" s="22" t="s">
        <v>1701</v>
      </c>
    </row>
    <row r="335" spans="1:17" x14ac:dyDescent="0.3">
      <c r="A335" s="22" t="s">
        <v>1188</v>
      </c>
      <c r="B335" t="str">
        <f t="shared" si="60"/>
        <v>Megha Subramanian</v>
      </c>
      <c r="C335" t="str">
        <f t="shared" si="61"/>
        <v>Customer Support</v>
      </c>
      <c r="D335" s="30" t="str">
        <f t="shared" si="62"/>
        <v>L1</v>
      </c>
      <c r="E335" s="30" t="str">
        <f t="shared" si="63"/>
        <v>Exited</v>
      </c>
      <c r="F335" s="32">
        <v>402000</v>
      </c>
      <c r="G335" s="33">
        <f t="shared" si="64"/>
        <v>297500</v>
      </c>
      <c r="H335" s="33">
        <f t="shared" si="65"/>
        <v>508750</v>
      </c>
      <c r="I335" s="33">
        <f t="shared" si="66"/>
        <v>720000</v>
      </c>
      <c r="J335" s="25">
        <f t="shared" si="67"/>
        <v>0.79</v>
      </c>
      <c r="K335" s="22" t="str">
        <f t="shared" si="68"/>
        <v>Within Band</v>
      </c>
      <c r="L335" s="30">
        <f t="shared" si="69"/>
        <v>1</v>
      </c>
      <c r="M335" s="26">
        <v>1.9E-2</v>
      </c>
      <c r="N335" s="34">
        <f t="shared" si="70"/>
        <v>0</v>
      </c>
      <c r="O335" s="31">
        <v>0</v>
      </c>
      <c r="P335" s="34">
        <f t="shared" si="71"/>
        <v>0</v>
      </c>
      <c r="Q335" s="22" t="s">
        <v>1701</v>
      </c>
    </row>
    <row r="336" spans="1:17" x14ac:dyDescent="0.3">
      <c r="A336" s="22" t="s">
        <v>1191</v>
      </c>
      <c r="B336" t="str">
        <f t="shared" si="60"/>
        <v>Farhan Kamath</v>
      </c>
      <c r="C336" t="str">
        <f t="shared" si="61"/>
        <v>Operations</v>
      </c>
      <c r="D336" s="30" t="str">
        <f t="shared" si="62"/>
        <v>L2</v>
      </c>
      <c r="E336" s="30" t="str">
        <f t="shared" si="63"/>
        <v>Active</v>
      </c>
      <c r="F336" s="32">
        <v>685000</v>
      </c>
      <c r="G336" s="33">
        <f t="shared" si="64"/>
        <v>510000</v>
      </c>
      <c r="H336" s="33">
        <f t="shared" si="65"/>
        <v>855000</v>
      </c>
      <c r="I336" s="33">
        <f t="shared" si="66"/>
        <v>1200000</v>
      </c>
      <c r="J336" s="25">
        <f t="shared" si="67"/>
        <v>0.8</v>
      </c>
      <c r="K336" s="22" t="str">
        <f t="shared" si="68"/>
        <v>Within Band</v>
      </c>
      <c r="L336" s="30">
        <f t="shared" si="69"/>
        <v>3</v>
      </c>
      <c r="M336" s="26">
        <v>7.2999999999999995E-2</v>
      </c>
      <c r="N336" s="34">
        <f t="shared" si="70"/>
        <v>735000</v>
      </c>
      <c r="O336" s="31">
        <v>0.08</v>
      </c>
      <c r="P336" s="34">
        <f t="shared" si="71"/>
        <v>54800</v>
      </c>
      <c r="Q336" s="22" t="s">
        <v>1701</v>
      </c>
    </row>
    <row r="337" spans="1:17" x14ac:dyDescent="0.3">
      <c r="A337" s="22" t="s">
        <v>1194</v>
      </c>
      <c r="B337" t="str">
        <f t="shared" si="60"/>
        <v>Rahul Siddiqui</v>
      </c>
      <c r="C337" t="str">
        <f t="shared" si="61"/>
        <v>Customer Support</v>
      </c>
      <c r="D337" s="30" t="str">
        <f t="shared" si="62"/>
        <v>L3</v>
      </c>
      <c r="E337" s="30" t="str">
        <f t="shared" si="63"/>
        <v>Active</v>
      </c>
      <c r="F337" s="32">
        <v>921000</v>
      </c>
      <c r="G337" s="33">
        <f t="shared" si="64"/>
        <v>850000</v>
      </c>
      <c r="H337" s="33">
        <f t="shared" si="65"/>
        <v>1445000</v>
      </c>
      <c r="I337" s="33">
        <f t="shared" si="66"/>
        <v>2040000</v>
      </c>
      <c r="J337" s="25">
        <f t="shared" si="67"/>
        <v>0.64</v>
      </c>
      <c r="K337" s="22" t="str">
        <f t="shared" si="68"/>
        <v>Within Band</v>
      </c>
      <c r="L337" s="30">
        <f t="shared" si="69"/>
        <v>3</v>
      </c>
      <c r="M337" s="26">
        <v>7.4999999999999997E-2</v>
      </c>
      <c r="N337" s="34">
        <f t="shared" si="70"/>
        <v>990100</v>
      </c>
      <c r="O337" s="31">
        <v>0.08</v>
      </c>
      <c r="P337" s="34">
        <f t="shared" si="71"/>
        <v>73700</v>
      </c>
      <c r="Q337" s="22" t="s">
        <v>1701</v>
      </c>
    </row>
    <row r="338" spans="1:17" x14ac:dyDescent="0.3">
      <c r="A338" s="22" t="s">
        <v>1197</v>
      </c>
      <c r="B338" t="str">
        <f t="shared" si="60"/>
        <v>Ajay Naidu</v>
      </c>
      <c r="C338" t="str">
        <f t="shared" si="61"/>
        <v>Engineering</v>
      </c>
      <c r="D338" s="30" t="str">
        <f t="shared" si="62"/>
        <v>L3</v>
      </c>
      <c r="E338" s="30" t="str">
        <f t="shared" si="63"/>
        <v>Active</v>
      </c>
      <c r="F338" s="32">
        <v>1361000</v>
      </c>
      <c r="G338" s="33">
        <f t="shared" si="64"/>
        <v>850000</v>
      </c>
      <c r="H338" s="33">
        <f t="shared" si="65"/>
        <v>1445000</v>
      </c>
      <c r="I338" s="33">
        <f t="shared" si="66"/>
        <v>2040000</v>
      </c>
      <c r="J338" s="25">
        <f t="shared" si="67"/>
        <v>0.94</v>
      </c>
      <c r="K338" s="22" t="str">
        <f t="shared" si="68"/>
        <v>Within Band</v>
      </c>
      <c r="L338" s="30">
        <f t="shared" si="69"/>
        <v>4</v>
      </c>
      <c r="M338" s="26">
        <v>0.11700000000000001</v>
      </c>
      <c r="N338" s="34">
        <f t="shared" si="70"/>
        <v>1520200</v>
      </c>
      <c r="O338" s="31">
        <v>0.12</v>
      </c>
      <c r="P338" s="34">
        <f t="shared" si="71"/>
        <v>163300</v>
      </c>
      <c r="Q338" s="22" t="s">
        <v>1701</v>
      </c>
    </row>
    <row r="339" spans="1:17" x14ac:dyDescent="0.3">
      <c r="A339" s="22" t="s">
        <v>1200</v>
      </c>
      <c r="B339" t="str">
        <f t="shared" si="60"/>
        <v>Sai Kulkarni</v>
      </c>
      <c r="C339" t="str">
        <f t="shared" si="61"/>
        <v>Operations</v>
      </c>
      <c r="D339" s="30" t="str">
        <f t="shared" si="62"/>
        <v>L1</v>
      </c>
      <c r="E339" s="30" t="str">
        <f t="shared" si="63"/>
        <v>Exited</v>
      </c>
      <c r="F339" s="32">
        <v>440000</v>
      </c>
      <c r="G339" s="33">
        <f t="shared" si="64"/>
        <v>297500</v>
      </c>
      <c r="H339" s="33">
        <f t="shared" si="65"/>
        <v>508750</v>
      </c>
      <c r="I339" s="33">
        <f t="shared" si="66"/>
        <v>720000</v>
      </c>
      <c r="J339" s="25">
        <f t="shared" si="67"/>
        <v>0.86</v>
      </c>
      <c r="K339" s="22" t="str">
        <f t="shared" si="68"/>
        <v>Within Band</v>
      </c>
      <c r="L339" s="30">
        <f t="shared" si="69"/>
        <v>3</v>
      </c>
      <c r="M339" s="26">
        <v>7.1999999999999995E-2</v>
      </c>
      <c r="N339" s="34">
        <f t="shared" si="70"/>
        <v>0</v>
      </c>
      <c r="O339" s="31">
        <v>0.05</v>
      </c>
      <c r="P339" s="34">
        <f t="shared" si="71"/>
        <v>0</v>
      </c>
      <c r="Q339" s="22" t="s">
        <v>1701</v>
      </c>
    </row>
    <row r="340" spans="1:17" x14ac:dyDescent="0.3">
      <c r="A340" s="22" t="s">
        <v>161</v>
      </c>
      <c r="B340" t="str">
        <f t="shared" si="60"/>
        <v>Lakshmi Subramanian</v>
      </c>
      <c r="C340" t="str">
        <f t="shared" si="61"/>
        <v>Legal &amp; Compliance</v>
      </c>
      <c r="D340" s="30" t="str">
        <f t="shared" si="62"/>
        <v>L6</v>
      </c>
      <c r="E340" s="30" t="str">
        <f t="shared" si="63"/>
        <v>Active</v>
      </c>
      <c r="F340" s="32">
        <v>6067000</v>
      </c>
      <c r="G340" s="33">
        <f t="shared" si="64"/>
        <v>3570000</v>
      </c>
      <c r="H340" s="33">
        <f t="shared" si="65"/>
        <v>5385000</v>
      </c>
      <c r="I340" s="33">
        <f t="shared" si="66"/>
        <v>7200000</v>
      </c>
      <c r="J340" s="25">
        <f t="shared" si="67"/>
        <v>1.1299999999999999</v>
      </c>
      <c r="K340" s="22" t="str">
        <f t="shared" si="68"/>
        <v>Within Band</v>
      </c>
      <c r="L340" s="30">
        <f t="shared" si="69"/>
        <v>1</v>
      </c>
      <c r="M340" s="26">
        <v>5.0000000000000001E-3</v>
      </c>
      <c r="N340" s="34">
        <f t="shared" si="70"/>
        <v>6097300</v>
      </c>
      <c r="O340" s="31">
        <v>0</v>
      </c>
      <c r="P340" s="34">
        <f t="shared" si="71"/>
        <v>0</v>
      </c>
      <c r="Q340" s="22" t="s">
        <v>1700</v>
      </c>
    </row>
    <row r="341" spans="1:17" x14ac:dyDescent="0.3">
      <c r="A341" s="22" t="s">
        <v>1207</v>
      </c>
      <c r="B341" t="str">
        <f t="shared" si="60"/>
        <v>Rohan Raghavan</v>
      </c>
      <c r="C341" t="str">
        <f t="shared" si="61"/>
        <v>Engineering</v>
      </c>
      <c r="D341" s="30" t="str">
        <f t="shared" si="62"/>
        <v>L1</v>
      </c>
      <c r="E341" s="30" t="str">
        <f t="shared" si="63"/>
        <v>Active</v>
      </c>
      <c r="F341" s="32">
        <v>482000</v>
      </c>
      <c r="G341" s="33">
        <f t="shared" si="64"/>
        <v>297500</v>
      </c>
      <c r="H341" s="33">
        <f t="shared" si="65"/>
        <v>508750</v>
      </c>
      <c r="I341" s="33">
        <f t="shared" si="66"/>
        <v>720000</v>
      </c>
      <c r="J341" s="25">
        <f t="shared" si="67"/>
        <v>0.95</v>
      </c>
      <c r="K341" s="22" t="str">
        <f t="shared" si="68"/>
        <v>Within Band</v>
      </c>
      <c r="L341" s="30">
        <f t="shared" si="69"/>
        <v>4</v>
      </c>
      <c r="M341" s="26">
        <v>0.11600000000000001</v>
      </c>
      <c r="N341" s="34">
        <f t="shared" si="70"/>
        <v>537900</v>
      </c>
      <c r="O341" s="31">
        <v>0.08</v>
      </c>
      <c r="P341" s="34">
        <f t="shared" si="71"/>
        <v>38600</v>
      </c>
      <c r="Q341" s="22" t="s">
        <v>1701</v>
      </c>
    </row>
    <row r="342" spans="1:17" x14ac:dyDescent="0.3">
      <c r="A342" s="22" t="s">
        <v>1210</v>
      </c>
      <c r="B342" t="str">
        <f t="shared" si="60"/>
        <v>Gayatri Naidu</v>
      </c>
      <c r="C342" t="str">
        <f t="shared" si="61"/>
        <v>Customer Support</v>
      </c>
      <c r="D342" s="30" t="str">
        <f t="shared" si="62"/>
        <v>L4</v>
      </c>
      <c r="E342" s="30" t="str">
        <f t="shared" si="63"/>
        <v>Exited</v>
      </c>
      <c r="F342" s="32">
        <v>1669000</v>
      </c>
      <c r="G342" s="33">
        <f t="shared" si="64"/>
        <v>1445000</v>
      </c>
      <c r="H342" s="33">
        <f t="shared" si="65"/>
        <v>2342500</v>
      </c>
      <c r="I342" s="33">
        <f t="shared" si="66"/>
        <v>3240000</v>
      </c>
      <c r="J342" s="25">
        <f t="shared" si="67"/>
        <v>0.71</v>
      </c>
      <c r="K342" s="22" t="str">
        <f t="shared" si="68"/>
        <v>Within Band</v>
      </c>
      <c r="L342" s="30">
        <f t="shared" si="69"/>
        <v>4</v>
      </c>
      <c r="M342" s="26">
        <v>0.13100000000000001</v>
      </c>
      <c r="N342" s="34">
        <f t="shared" si="70"/>
        <v>0</v>
      </c>
      <c r="O342" s="31">
        <v>0.12</v>
      </c>
      <c r="P342" s="34">
        <f t="shared" si="71"/>
        <v>0</v>
      </c>
      <c r="Q342" s="22" t="s">
        <v>1700</v>
      </c>
    </row>
    <row r="343" spans="1:17" x14ac:dyDescent="0.3">
      <c r="A343" s="22" t="s">
        <v>1213</v>
      </c>
      <c r="B343" t="str">
        <f t="shared" si="60"/>
        <v>Kiran Bose</v>
      </c>
      <c r="C343" t="str">
        <f t="shared" si="61"/>
        <v>Sales</v>
      </c>
      <c r="D343" s="30" t="str">
        <f t="shared" si="62"/>
        <v>L1</v>
      </c>
      <c r="E343" s="30" t="str">
        <f t="shared" si="63"/>
        <v>Active</v>
      </c>
      <c r="F343" s="32">
        <v>410000</v>
      </c>
      <c r="G343" s="33">
        <f t="shared" si="64"/>
        <v>297500</v>
      </c>
      <c r="H343" s="33">
        <f t="shared" si="65"/>
        <v>508750</v>
      </c>
      <c r="I343" s="33">
        <f t="shared" si="66"/>
        <v>720000</v>
      </c>
      <c r="J343" s="25">
        <f t="shared" si="67"/>
        <v>0.81</v>
      </c>
      <c r="K343" s="22" t="str">
        <f t="shared" si="68"/>
        <v>Within Band</v>
      </c>
      <c r="L343" s="30">
        <f t="shared" si="69"/>
        <v>2</v>
      </c>
      <c r="M343" s="26">
        <v>3.5999999999999997E-2</v>
      </c>
      <c r="N343" s="34">
        <f t="shared" si="70"/>
        <v>424800</v>
      </c>
      <c r="O343" s="31">
        <v>0.02</v>
      </c>
      <c r="P343" s="34">
        <f t="shared" si="71"/>
        <v>8200</v>
      </c>
      <c r="Q343" s="22" t="s">
        <v>1701</v>
      </c>
    </row>
    <row r="344" spans="1:17" x14ac:dyDescent="0.3">
      <c r="A344" s="22" t="s">
        <v>1216</v>
      </c>
      <c r="B344" t="str">
        <f t="shared" si="60"/>
        <v>Trisha Gowda</v>
      </c>
      <c r="C344" t="str">
        <f t="shared" si="61"/>
        <v>Operations</v>
      </c>
      <c r="D344" s="30" t="str">
        <f t="shared" si="62"/>
        <v>L3</v>
      </c>
      <c r="E344" s="30" t="str">
        <f t="shared" si="63"/>
        <v>Exited</v>
      </c>
      <c r="F344" s="32">
        <v>1030000</v>
      </c>
      <c r="G344" s="33">
        <f t="shared" si="64"/>
        <v>850000</v>
      </c>
      <c r="H344" s="33">
        <f t="shared" si="65"/>
        <v>1445000</v>
      </c>
      <c r="I344" s="33">
        <f t="shared" si="66"/>
        <v>2040000</v>
      </c>
      <c r="J344" s="25">
        <f t="shared" si="67"/>
        <v>0.71</v>
      </c>
      <c r="K344" s="22" t="str">
        <f t="shared" si="68"/>
        <v>Within Band</v>
      </c>
      <c r="L344" s="30">
        <f t="shared" si="69"/>
        <v>4</v>
      </c>
      <c r="M344" s="26">
        <v>0.11899999999999999</v>
      </c>
      <c r="N344" s="34">
        <f t="shared" si="70"/>
        <v>0</v>
      </c>
      <c r="O344" s="31">
        <v>0.12</v>
      </c>
      <c r="P344" s="34">
        <f t="shared" si="71"/>
        <v>0</v>
      </c>
      <c r="Q344" s="22" t="s">
        <v>1701</v>
      </c>
    </row>
    <row r="345" spans="1:17" x14ac:dyDescent="0.3">
      <c r="A345" s="22" t="s">
        <v>1219</v>
      </c>
      <c r="B345" t="str">
        <f t="shared" si="60"/>
        <v>Pooja Subramanian</v>
      </c>
      <c r="C345" t="str">
        <f t="shared" si="61"/>
        <v>Operations</v>
      </c>
      <c r="D345" s="30" t="str">
        <f t="shared" si="62"/>
        <v>L3</v>
      </c>
      <c r="E345" s="30" t="str">
        <f t="shared" si="63"/>
        <v>Active</v>
      </c>
      <c r="F345" s="32">
        <v>1146000</v>
      </c>
      <c r="G345" s="33">
        <f t="shared" si="64"/>
        <v>850000</v>
      </c>
      <c r="H345" s="33">
        <f t="shared" si="65"/>
        <v>1445000</v>
      </c>
      <c r="I345" s="33">
        <f t="shared" si="66"/>
        <v>2040000</v>
      </c>
      <c r="J345" s="25">
        <f t="shared" si="67"/>
        <v>0.79</v>
      </c>
      <c r="K345" s="22" t="str">
        <f t="shared" si="68"/>
        <v>Within Band</v>
      </c>
      <c r="L345" s="30">
        <f t="shared" si="69"/>
        <v>3</v>
      </c>
      <c r="M345" s="26">
        <v>9.1999999999999998E-2</v>
      </c>
      <c r="N345" s="34">
        <f t="shared" si="70"/>
        <v>1251400</v>
      </c>
      <c r="O345" s="31">
        <v>0.08</v>
      </c>
      <c r="P345" s="34">
        <f t="shared" si="71"/>
        <v>91700</v>
      </c>
      <c r="Q345" s="22" t="s">
        <v>1701</v>
      </c>
    </row>
    <row r="346" spans="1:17" x14ac:dyDescent="0.3">
      <c r="A346" s="22" t="s">
        <v>1222</v>
      </c>
      <c r="B346" t="str">
        <f t="shared" si="60"/>
        <v>Nikhil Nair</v>
      </c>
      <c r="C346" t="str">
        <f t="shared" si="61"/>
        <v>Data &amp; Analytics</v>
      </c>
      <c r="D346" s="30" t="str">
        <f t="shared" si="62"/>
        <v>L1</v>
      </c>
      <c r="E346" s="30" t="str">
        <f t="shared" si="63"/>
        <v>Active</v>
      </c>
      <c r="F346" s="32">
        <v>621000</v>
      </c>
      <c r="G346" s="33">
        <f t="shared" si="64"/>
        <v>297500</v>
      </c>
      <c r="H346" s="33">
        <f t="shared" si="65"/>
        <v>508750</v>
      </c>
      <c r="I346" s="33">
        <f t="shared" si="66"/>
        <v>720000</v>
      </c>
      <c r="J346" s="25">
        <f t="shared" si="67"/>
        <v>1.22</v>
      </c>
      <c r="K346" s="22" t="str">
        <f t="shared" si="68"/>
        <v>Within Band</v>
      </c>
      <c r="L346" s="30">
        <f t="shared" si="69"/>
        <v>2</v>
      </c>
      <c r="M346" s="26">
        <v>4.8000000000000001E-2</v>
      </c>
      <c r="N346" s="34">
        <f t="shared" si="70"/>
        <v>650800</v>
      </c>
      <c r="O346" s="31">
        <v>0.02</v>
      </c>
      <c r="P346" s="34">
        <f t="shared" si="71"/>
        <v>12400</v>
      </c>
      <c r="Q346" s="22" t="s">
        <v>1701</v>
      </c>
    </row>
    <row r="347" spans="1:17" x14ac:dyDescent="0.3">
      <c r="A347" s="22" t="s">
        <v>1225</v>
      </c>
      <c r="B347" t="str">
        <f t="shared" si="60"/>
        <v>Imran Mukherjee</v>
      </c>
      <c r="C347" t="str">
        <f t="shared" si="61"/>
        <v>Engineering</v>
      </c>
      <c r="D347" s="30" t="str">
        <f t="shared" si="62"/>
        <v>L3</v>
      </c>
      <c r="E347" s="30" t="str">
        <f t="shared" si="63"/>
        <v>Active</v>
      </c>
      <c r="F347" s="32">
        <v>1336000</v>
      </c>
      <c r="G347" s="33">
        <f t="shared" si="64"/>
        <v>850000</v>
      </c>
      <c r="H347" s="33">
        <f t="shared" si="65"/>
        <v>1445000</v>
      </c>
      <c r="I347" s="33">
        <f t="shared" si="66"/>
        <v>2040000</v>
      </c>
      <c r="J347" s="25">
        <f t="shared" si="67"/>
        <v>0.92</v>
      </c>
      <c r="K347" s="22" t="str">
        <f t="shared" si="68"/>
        <v>Within Band</v>
      </c>
      <c r="L347" s="30">
        <f t="shared" si="69"/>
        <v>3</v>
      </c>
      <c r="M347" s="26">
        <v>8.7999999999999995E-2</v>
      </c>
      <c r="N347" s="34">
        <f t="shared" si="70"/>
        <v>1453600</v>
      </c>
      <c r="O347" s="31">
        <v>0.08</v>
      </c>
      <c r="P347" s="34">
        <f t="shared" si="71"/>
        <v>106900</v>
      </c>
      <c r="Q347" s="22" t="s">
        <v>1701</v>
      </c>
    </row>
    <row r="348" spans="1:17" x14ac:dyDescent="0.3">
      <c r="A348" s="22" t="s">
        <v>1228</v>
      </c>
      <c r="B348" t="str">
        <f t="shared" si="60"/>
        <v>Vinay Krishnan</v>
      </c>
      <c r="C348" t="str">
        <f t="shared" si="61"/>
        <v>Customer Support</v>
      </c>
      <c r="D348" s="30" t="str">
        <f t="shared" si="62"/>
        <v>L1</v>
      </c>
      <c r="E348" s="30" t="str">
        <f t="shared" si="63"/>
        <v>Active</v>
      </c>
      <c r="F348" s="32">
        <v>388000</v>
      </c>
      <c r="G348" s="33">
        <f t="shared" si="64"/>
        <v>297500</v>
      </c>
      <c r="H348" s="33">
        <f t="shared" si="65"/>
        <v>508750</v>
      </c>
      <c r="I348" s="33">
        <f t="shared" si="66"/>
        <v>720000</v>
      </c>
      <c r="J348" s="25">
        <f t="shared" si="67"/>
        <v>0.76</v>
      </c>
      <c r="K348" s="22" t="str">
        <f t="shared" si="68"/>
        <v>Within Band</v>
      </c>
      <c r="L348" s="30">
        <f t="shared" si="69"/>
        <v>3</v>
      </c>
      <c r="M348" s="26">
        <v>6.9000000000000006E-2</v>
      </c>
      <c r="N348" s="34">
        <f t="shared" si="70"/>
        <v>414800</v>
      </c>
      <c r="O348" s="31">
        <v>0.05</v>
      </c>
      <c r="P348" s="34">
        <f t="shared" si="71"/>
        <v>19400</v>
      </c>
      <c r="Q348" s="22" t="s">
        <v>1701</v>
      </c>
    </row>
    <row r="349" spans="1:17" x14ac:dyDescent="0.3">
      <c r="A349" s="22" t="s">
        <v>1231</v>
      </c>
      <c r="B349" t="str">
        <f t="shared" si="60"/>
        <v>Tarun Mehta</v>
      </c>
      <c r="C349" t="str">
        <f t="shared" si="61"/>
        <v>Customer Support</v>
      </c>
      <c r="D349" s="30" t="str">
        <f t="shared" si="62"/>
        <v>L1</v>
      </c>
      <c r="E349" s="30" t="str">
        <f t="shared" si="63"/>
        <v>Active</v>
      </c>
      <c r="F349" s="32">
        <v>275000</v>
      </c>
      <c r="G349" s="33">
        <f t="shared" si="64"/>
        <v>297500</v>
      </c>
      <c r="H349" s="33">
        <f t="shared" si="65"/>
        <v>508750</v>
      </c>
      <c r="I349" s="33">
        <f t="shared" si="66"/>
        <v>720000</v>
      </c>
      <c r="J349" s="25">
        <f t="shared" si="67"/>
        <v>0.54</v>
      </c>
      <c r="K349" s="22" t="str">
        <f t="shared" si="68"/>
        <v>Below Band</v>
      </c>
      <c r="L349" s="30">
        <f t="shared" si="69"/>
        <v>3</v>
      </c>
      <c r="M349" s="26">
        <v>9.5000000000000001E-2</v>
      </c>
      <c r="N349" s="34">
        <f t="shared" si="70"/>
        <v>301100</v>
      </c>
      <c r="O349" s="31">
        <v>0.05</v>
      </c>
      <c r="P349" s="34">
        <f t="shared" si="71"/>
        <v>13800</v>
      </c>
      <c r="Q349" s="22" t="s">
        <v>1701</v>
      </c>
    </row>
    <row r="350" spans="1:17" x14ac:dyDescent="0.3">
      <c r="A350" s="22" t="s">
        <v>1234</v>
      </c>
      <c r="B350" t="str">
        <f t="shared" si="60"/>
        <v>Mohit Nair</v>
      </c>
      <c r="C350" t="str">
        <f t="shared" si="61"/>
        <v>Data &amp; Analytics</v>
      </c>
      <c r="D350" s="30" t="str">
        <f t="shared" si="62"/>
        <v>L2</v>
      </c>
      <c r="E350" s="30" t="str">
        <f t="shared" si="63"/>
        <v>Exited</v>
      </c>
      <c r="F350" s="32">
        <v>846000</v>
      </c>
      <c r="G350" s="33">
        <f t="shared" si="64"/>
        <v>510000</v>
      </c>
      <c r="H350" s="33">
        <f t="shared" si="65"/>
        <v>855000</v>
      </c>
      <c r="I350" s="33">
        <f t="shared" si="66"/>
        <v>1200000</v>
      </c>
      <c r="J350" s="25">
        <f t="shared" si="67"/>
        <v>0.99</v>
      </c>
      <c r="K350" s="22" t="str">
        <f t="shared" si="68"/>
        <v>Within Band</v>
      </c>
      <c r="L350" s="30">
        <f t="shared" si="69"/>
        <v>3</v>
      </c>
      <c r="M350" s="26">
        <v>9.4E-2</v>
      </c>
      <c r="N350" s="34">
        <f t="shared" si="70"/>
        <v>0</v>
      </c>
      <c r="O350" s="31">
        <v>0.08</v>
      </c>
      <c r="P350" s="34">
        <f t="shared" si="71"/>
        <v>0</v>
      </c>
      <c r="Q350" s="22" t="s">
        <v>1701</v>
      </c>
    </row>
    <row r="351" spans="1:17" x14ac:dyDescent="0.3">
      <c r="A351" s="22" t="s">
        <v>1237</v>
      </c>
      <c r="B351" t="str">
        <f t="shared" si="60"/>
        <v>Akash Naidu</v>
      </c>
      <c r="C351" t="str">
        <f t="shared" si="61"/>
        <v>Engineering</v>
      </c>
      <c r="D351" s="30" t="str">
        <f t="shared" si="62"/>
        <v>L2</v>
      </c>
      <c r="E351" s="30" t="str">
        <f t="shared" si="63"/>
        <v>Active</v>
      </c>
      <c r="F351" s="32">
        <v>882000</v>
      </c>
      <c r="G351" s="33">
        <f t="shared" si="64"/>
        <v>510000</v>
      </c>
      <c r="H351" s="33">
        <f t="shared" si="65"/>
        <v>855000</v>
      </c>
      <c r="I351" s="33">
        <f t="shared" si="66"/>
        <v>1200000</v>
      </c>
      <c r="J351" s="25">
        <f t="shared" si="67"/>
        <v>1.03</v>
      </c>
      <c r="K351" s="22" t="str">
        <f t="shared" si="68"/>
        <v>Within Band</v>
      </c>
      <c r="L351" s="30">
        <f t="shared" si="69"/>
        <v>3</v>
      </c>
      <c r="M351" s="26">
        <v>7.2999999999999995E-2</v>
      </c>
      <c r="N351" s="34">
        <f t="shared" si="70"/>
        <v>946400</v>
      </c>
      <c r="O351" s="31">
        <v>0.08</v>
      </c>
      <c r="P351" s="34">
        <f t="shared" si="71"/>
        <v>70600</v>
      </c>
      <c r="Q351" s="22" t="s">
        <v>1701</v>
      </c>
    </row>
    <row r="352" spans="1:17" x14ac:dyDescent="0.3">
      <c r="A352" s="22" t="s">
        <v>1240</v>
      </c>
      <c r="B352" t="str">
        <f t="shared" si="60"/>
        <v>Pallavi Desai</v>
      </c>
      <c r="C352" t="str">
        <f t="shared" si="61"/>
        <v>Customer Support</v>
      </c>
      <c r="D352" s="30" t="str">
        <f t="shared" si="62"/>
        <v>L3</v>
      </c>
      <c r="E352" s="30" t="str">
        <f t="shared" si="63"/>
        <v>Active</v>
      </c>
      <c r="F352" s="32">
        <v>1151000</v>
      </c>
      <c r="G352" s="33">
        <f t="shared" si="64"/>
        <v>850000</v>
      </c>
      <c r="H352" s="33">
        <f t="shared" si="65"/>
        <v>1445000</v>
      </c>
      <c r="I352" s="33">
        <f t="shared" si="66"/>
        <v>2040000</v>
      </c>
      <c r="J352" s="25">
        <f t="shared" si="67"/>
        <v>0.8</v>
      </c>
      <c r="K352" s="22" t="str">
        <f t="shared" si="68"/>
        <v>Within Band</v>
      </c>
      <c r="L352" s="30">
        <f t="shared" si="69"/>
        <v>3</v>
      </c>
      <c r="M352" s="26">
        <v>7.0000000000000007E-2</v>
      </c>
      <c r="N352" s="34">
        <f t="shared" si="70"/>
        <v>1231600</v>
      </c>
      <c r="O352" s="31">
        <v>0.08</v>
      </c>
      <c r="P352" s="34">
        <f t="shared" si="71"/>
        <v>92100</v>
      </c>
      <c r="Q352" s="22" t="s">
        <v>1701</v>
      </c>
    </row>
    <row r="353" spans="1:17" x14ac:dyDescent="0.3">
      <c r="A353" s="22" t="s">
        <v>1243</v>
      </c>
      <c r="B353" t="str">
        <f t="shared" si="60"/>
        <v>Imran Das</v>
      </c>
      <c r="C353" t="str">
        <f t="shared" si="61"/>
        <v>Finance</v>
      </c>
      <c r="D353" s="30" t="str">
        <f t="shared" si="62"/>
        <v>L1</v>
      </c>
      <c r="E353" s="30" t="str">
        <f t="shared" si="63"/>
        <v>Exited</v>
      </c>
      <c r="F353" s="32">
        <v>438000</v>
      </c>
      <c r="G353" s="33">
        <f t="shared" si="64"/>
        <v>297500</v>
      </c>
      <c r="H353" s="33">
        <f t="shared" si="65"/>
        <v>508750</v>
      </c>
      <c r="I353" s="33">
        <f t="shared" si="66"/>
        <v>720000</v>
      </c>
      <c r="J353" s="25">
        <f t="shared" si="67"/>
        <v>0.86</v>
      </c>
      <c r="K353" s="22" t="str">
        <f t="shared" si="68"/>
        <v>Within Band</v>
      </c>
      <c r="L353" s="30">
        <f t="shared" si="69"/>
        <v>3</v>
      </c>
      <c r="M353" s="26">
        <v>9.0999999999999998E-2</v>
      </c>
      <c r="N353" s="34">
        <f t="shared" si="70"/>
        <v>0</v>
      </c>
      <c r="O353" s="31">
        <v>0.05</v>
      </c>
      <c r="P353" s="34">
        <f t="shared" si="71"/>
        <v>0</v>
      </c>
      <c r="Q353" s="22" t="s">
        <v>1701</v>
      </c>
    </row>
    <row r="354" spans="1:17" x14ac:dyDescent="0.3">
      <c r="A354" s="22" t="s">
        <v>1246</v>
      </c>
      <c r="B354" t="str">
        <f t="shared" si="60"/>
        <v>Anusha Das</v>
      </c>
      <c r="C354" t="str">
        <f t="shared" si="61"/>
        <v>Finance</v>
      </c>
      <c r="D354" s="30" t="str">
        <f t="shared" si="62"/>
        <v>L4</v>
      </c>
      <c r="E354" s="30" t="str">
        <f t="shared" si="63"/>
        <v>Active</v>
      </c>
      <c r="F354" s="32">
        <v>2575000</v>
      </c>
      <c r="G354" s="33">
        <f t="shared" si="64"/>
        <v>1445000</v>
      </c>
      <c r="H354" s="33">
        <f t="shared" si="65"/>
        <v>2342500</v>
      </c>
      <c r="I354" s="33">
        <f t="shared" si="66"/>
        <v>3240000</v>
      </c>
      <c r="J354" s="25">
        <f t="shared" si="67"/>
        <v>1.1000000000000001</v>
      </c>
      <c r="K354" s="22" t="str">
        <f t="shared" si="68"/>
        <v>Within Band</v>
      </c>
      <c r="L354" s="30">
        <f t="shared" si="69"/>
        <v>2</v>
      </c>
      <c r="M354" s="26">
        <v>4.3999999999999997E-2</v>
      </c>
      <c r="N354" s="34">
        <f t="shared" si="70"/>
        <v>2688300</v>
      </c>
      <c r="O354" s="31">
        <v>0.03</v>
      </c>
      <c r="P354" s="34">
        <f t="shared" si="71"/>
        <v>77300</v>
      </c>
      <c r="Q354" s="22" t="s">
        <v>1701</v>
      </c>
    </row>
    <row r="355" spans="1:17" x14ac:dyDescent="0.3">
      <c r="A355" s="22" t="s">
        <v>1249</v>
      </c>
      <c r="B355" t="str">
        <f t="shared" si="60"/>
        <v>Imran Thomas</v>
      </c>
      <c r="C355" t="str">
        <f t="shared" si="61"/>
        <v>Operations</v>
      </c>
      <c r="D355" s="30" t="str">
        <f t="shared" si="62"/>
        <v>L3</v>
      </c>
      <c r="E355" s="30" t="str">
        <f t="shared" si="63"/>
        <v>Exited</v>
      </c>
      <c r="F355" s="32">
        <v>957000</v>
      </c>
      <c r="G355" s="33">
        <f t="shared" si="64"/>
        <v>850000</v>
      </c>
      <c r="H355" s="33">
        <f t="shared" si="65"/>
        <v>1445000</v>
      </c>
      <c r="I355" s="33">
        <f t="shared" si="66"/>
        <v>2040000</v>
      </c>
      <c r="J355" s="25">
        <f t="shared" si="67"/>
        <v>0.66</v>
      </c>
      <c r="K355" s="22" t="str">
        <f t="shared" si="68"/>
        <v>Within Band</v>
      </c>
      <c r="L355" s="30">
        <f t="shared" si="69"/>
        <v>5</v>
      </c>
      <c r="M355" s="26">
        <v>0.16600000000000001</v>
      </c>
      <c r="N355" s="34">
        <f t="shared" si="70"/>
        <v>0</v>
      </c>
      <c r="O355" s="31">
        <v>0.18</v>
      </c>
      <c r="P355" s="34">
        <f t="shared" si="71"/>
        <v>0</v>
      </c>
      <c r="Q355" s="22" t="s">
        <v>1701</v>
      </c>
    </row>
    <row r="356" spans="1:17" x14ac:dyDescent="0.3">
      <c r="A356" s="22" t="s">
        <v>1252</v>
      </c>
      <c r="B356" t="str">
        <f t="shared" si="60"/>
        <v>Vinay Nair</v>
      </c>
      <c r="C356" t="str">
        <f t="shared" si="61"/>
        <v>Engineering</v>
      </c>
      <c r="D356" s="30" t="str">
        <f t="shared" si="62"/>
        <v>L3</v>
      </c>
      <c r="E356" s="30" t="str">
        <f t="shared" si="63"/>
        <v>Active</v>
      </c>
      <c r="F356" s="32">
        <v>1707000</v>
      </c>
      <c r="G356" s="33">
        <f t="shared" si="64"/>
        <v>850000</v>
      </c>
      <c r="H356" s="33">
        <f t="shared" si="65"/>
        <v>1445000</v>
      </c>
      <c r="I356" s="33">
        <f t="shared" si="66"/>
        <v>2040000</v>
      </c>
      <c r="J356" s="25">
        <f t="shared" si="67"/>
        <v>1.18</v>
      </c>
      <c r="K356" s="22" t="str">
        <f t="shared" si="68"/>
        <v>Within Band</v>
      </c>
      <c r="L356" s="30">
        <f t="shared" si="69"/>
        <v>4</v>
      </c>
      <c r="M356" s="26">
        <v>0.129</v>
      </c>
      <c r="N356" s="34">
        <f t="shared" si="70"/>
        <v>1927200</v>
      </c>
      <c r="O356" s="31">
        <v>0.12</v>
      </c>
      <c r="P356" s="34">
        <f t="shared" si="71"/>
        <v>204800</v>
      </c>
      <c r="Q356" s="22" t="s">
        <v>1701</v>
      </c>
    </row>
    <row r="357" spans="1:17" x14ac:dyDescent="0.3">
      <c r="A357" s="22" t="s">
        <v>1255</v>
      </c>
      <c r="B357" t="str">
        <f t="shared" si="60"/>
        <v>Trisha Menon</v>
      </c>
      <c r="C357" t="str">
        <f t="shared" si="61"/>
        <v>Engineering</v>
      </c>
      <c r="D357" s="30" t="str">
        <f t="shared" si="62"/>
        <v>L1</v>
      </c>
      <c r="E357" s="30" t="str">
        <f t="shared" si="63"/>
        <v>Active</v>
      </c>
      <c r="F357" s="32">
        <v>513000</v>
      </c>
      <c r="G357" s="33">
        <f t="shared" si="64"/>
        <v>297500</v>
      </c>
      <c r="H357" s="33">
        <f t="shared" si="65"/>
        <v>508750</v>
      </c>
      <c r="I357" s="33">
        <f t="shared" si="66"/>
        <v>720000</v>
      </c>
      <c r="J357" s="25">
        <f t="shared" si="67"/>
        <v>1.01</v>
      </c>
      <c r="K357" s="22" t="str">
        <f t="shared" si="68"/>
        <v>Within Band</v>
      </c>
      <c r="L357" s="30">
        <f t="shared" si="69"/>
        <v>3</v>
      </c>
      <c r="M357" s="26">
        <v>9.5000000000000001E-2</v>
      </c>
      <c r="N357" s="34">
        <f t="shared" si="70"/>
        <v>561700</v>
      </c>
      <c r="O357" s="31">
        <v>0.05</v>
      </c>
      <c r="P357" s="34">
        <f t="shared" si="71"/>
        <v>25700</v>
      </c>
      <c r="Q357" s="22" t="s">
        <v>1701</v>
      </c>
    </row>
    <row r="358" spans="1:17" x14ac:dyDescent="0.3">
      <c r="A358" s="22" t="s">
        <v>1258</v>
      </c>
      <c r="B358" t="str">
        <f t="shared" si="60"/>
        <v>Abhishek Kapoor</v>
      </c>
      <c r="C358" t="str">
        <f t="shared" si="61"/>
        <v>Operations</v>
      </c>
      <c r="D358" s="30" t="str">
        <f t="shared" si="62"/>
        <v>L2</v>
      </c>
      <c r="E358" s="30" t="str">
        <f t="shared" si="63"/>
        <v>Active</v>
      </c>
      <c r="F358" s="32">
        <v>733000</v>
      </c>
      <c r="G358" s="33">
        <f t="shared" si="64"/>
        <v>510000</v>
      </c>
      <c r="H358" s="33">
        <f t="shared" si="65"/>
        <v>855000</v>
      </c>
      <c r="I358" s="33">
        <f t="shared" si="66"/>
        <v>1200000</v>
      </c>
      <c r="J358" s="25">
        <f t="shared" si="67"/>
        <v>0.86</v>
      </c>
      <c r="K358" s="22" t="str">
        <f t="shared" si="68"/>
        <v>Within Band</v>
      </c>
      <c r="L358" s="30">
        <f t="shared" si="69"/>
        <v>3</v>
      </c>
      <c r="M358" s="26">
        <v>8.6999999999999994E-2</v>
      </c>
      <c r="N358" s="34">
        <f t="shared" si="70"/>
        <v>796800</v>
      </c>
      <c r="O358" s="31">
        <v>0.08</v>
      </c>
      <c r="P358" s="34">
        <f t="shared" si="71"/>
        <v>58600</v>
      </c>
      <c r="Q358" s="22" t="s">
        <v>1701</v>
      </c>
    </row>
    <row r="359" spans="1:17" x14ac:dyDescent="0.3">
      <c r="A359" s="22" t="s">
        <v>1261</v>
      </c>
      <c r="B359" t="str">
        <f t="shared" si="60"/>
        <v>Rohit Patel</v>
      </c>
      <c r="C359" t="str">
        <f t="shared" si="61"/>
        <v>Engineering</v>
      </c>
      <c r="D359" s="30" t="str">
        <f t="shared" si="62"/>
        <v>L3</v>
      </c>
      <c r="E359" s="30" t="str">
        <f t="shared" si="63"/>
        <v>Active</v>
      </c>
      <c r="F359" s="32">
        <v>1494000</v>
      </c>
      <c r="G359" s="33">
        <f t="shared" si="64"/>
        <v>850000</v>
      </c>
      <c r="H359" s="33">
        <f t="shared" si="65"/>
        <v>1445000</v>
      </c>
      <c r="I359" s="33">
        <f t="shared" si="66"/>
        <v>2040000</v>
      </c>
      <c r="J359" s="25">
        <f t="shared" si="67"/>
        <v>1.03</v>
      </c>
      <c r="K359" s="22" t="str">
        <f t="shared" si="68"/>
        <v>Within Band</v>
      </c>
      <c r="L359" s="30">
        <f t="shared" si="69"/>
        <v>5</v>
      </c>
      <c r="M359" s="26">
        <v>0.16500000000000001</v>
      </c>
      <c r="N359" s="34">
        <f t="shared" si="70"/>
        <v>1740500</v>
      </c>
      <c r="O359" s="31">
        <v>0.18</v>
      </c>
      <c r="P359" s="34">
        <f t="shared" si="71"/>
        <v>268900</v>
      </c>
      <c r="Q359" s="22" t="s">
        <v>1701</v>
      </c>
    </row>
    <row r="360" spans="1:17" x14ac:dyDescent="0.3">
      <c r="A360" s="22" t="s">
        <v>1264</v>
      </c>
      <c r="B360" t="str">
        <f t="shared" si="60"/>
        <v>Rohan Banerjee</v>
      </c>
      <c r="C360" t="str">
        <f t="shared" si="61"/>
        <v>Engineering</v>
      </c>
      <c r="D360" s="30" t="str">
        <f t="shared" si="62"/>
        <v>L3</v>
      </c>
      <c r="E360" s="30" t="str">
        <f t="shared" si="63"/>
        <v>Active</v>
      </c>
      <c r="F360" s="32">
        <v>2176000</v>
      </c>
      <c r="G360" s="33">
        <f t="shared" si="64"/>
        <v>850000</v>
      </c>
      <c r="H360" s="33">
        <f t="shared" si="65"/>
        <v>1445000</v>
      </c>
      <c r="I360" s="33">
        <f t="shared" si="66"/>
        <v>2040000</v>
      </c>
      <c r="J360" s="25">
        <f t="shared" si="67"/>
        <v>1.51</v>
      </c>
      <c r="K360" s="22" t="str">
        <f t="shared" si="68"/>
        <v>Above Band</v>
      </c>
      <c r="L360" s="30">
        <f t="shared" si="69"/>
        <v>5</v>
      </c>
      <c r="M360" s="26">
        <v>0.157</v>
      </c>
      <c r="N360" s="34">
        <f t="shared" si="70"/>
        <v>2517600</v>
      </c>
      <c r="O360" s="31">
        <v>0.18</v>
      </c>
      <c r="P360" s="34">
        <f t="shared" si="71"/>
        <v>391700</v>
      </c>
      <c r="Q360" s="22" t="s">
        <v>1701</v>
      </c>
    </row>
    <row r="361" spans="1:17" x14ac:dyDescent="0.3">
      <c r="A361" s="22" t="s">
        <v>1267</v>
      </c>
      <c r="B361" t="str">
        <f t="shared" si="60"/>
        <v>Amit Nair</v>
      </c>
      <c r="C361" t="str">
        <f t="shared" si="61"/>
        <v>Engineering</v>
      </c>
      <c r="D361" s="30" t="str">
        <f t="shared" si="62"/>
        <v>L3</v>
      </c>
      <c r="E361" s="30" t="str">
        <f t="shared" si="63"/>
        <v>Active</v>
      </c>
      <c r="F361" s="32">
        <v>1979000</v>
      </c>
      <c r="G361" s="33">
        <f t="shared" si="64"/>
        <v>850000</v>
      </c>
      <c r="H361" s="33">
        <f t="shared" si="65"/>
        <v>1445000</v>
      </c>
      <c r="I361" s="33">
        <f t="shared" si="66"/>
        <v>2040000</v>
      </c>
      <c r="J361" s="25">
        <f t="shared" si="67"/>
        <v>1.37</v>
      </c>
      <c r="K361" s="22" t="str">
        <f t="shared" si="68"/>
        <v>Within Band</v>
      </c>
      <c r="L361" s="30">
        <f t="shared" si="69"/>
        <v>4</v>
      </c>
      <c r="M361" s="26">
        <v>0.11</v>
      </c>
      <c r="N361" s="34">
        <f t="shared" si="70"/>
        <v>2196700</v>
      </c>
      <c r="O361" s="31">
        <v>0.12</v>
      </c>
      <c r="P361" s="34">
        <f t="shared" si="71"/>
        <v>237500</v>
      </c>
      <c r="Q361" s="22" t="s">
        <v>1701</v>
      </c>
    </row>
    <row r="362" spans="1:17" x14ac:dyDescent="0.3">
      <c r="A362" s="22" t="s">
        <v>1270</v>
      </c>
      <c r="B362" t="str">
        <f t="shared" si="60"/>
        <v>Ritu Joshi</v>
      </c>
      <c r="C362" t="str">
        <f t="shared" si="61"/>
        <v>Data &amp; Analytics</v>
      </c>
      <c r="D362" s="30" t="str">
        <f t="shared" si="62"/>
        <v>L1</v>
      </c>
      <c r="E362" s="30" t="str">
        <f t="shared" si="63"/>
        <v>Active</v>
      </c>
      <c r="F362" s="32">
        <v>616000</v>
      </c>
      <c r="G362" s="33">
        <f t="shared" si="64"/>
        <v>297500</v>
      </c>
      <c r="H362" s="33">
        <f t="shared" si="65"/>
        <v>508750</v>
      </c>
      <c r="I362" s="33">
        <f t="shared" si="66"/>
        <v>720000</v>
      </c>
      <c r="J362" s="25">
        <f t="shared" si="67"/>
        <v>1.21</v>
      </c>
      <c r="K362" s="22" t="str">
        <f t="shared" si="68"/>
        <v>Within Band</v>
      </c>
      <c r="L362" s="30">
        <f t="shared" si="69"/>
        <v>3</v>
      </c>
      <c r="M362" s="26">
        <v>9.5000000000000001E-2</v>
      </c>
      <c r="N362" s="34">
        <f t="shared" si="70"/>
        <v>674500</v>
      </c>
      <c r="O362" s="31">
        <v>0.05</v>
      </c>
      <c r="P362" s="34">
        <f t="shared" si="71"/>
        <v>30800</v>
      </c>
      <c r="Q362" s="22" t="s">
        <v>1701</v>
      </c>
    </row>
    <row r="363" spans="1:17" x14ac:dyDescent="0.3">
      <c r="A363" s="22" t="s">
        <v>1273</v>
      </c>
      <c r="B363" t="str">
        <f t="shared" si="60"/>
        <v>Ashish Rao</v>
      </c>
      <c r="C363" t="str">
        <f t="shared" si="61"/>
        <v>Operations</v>
      </c>
      <c r="D363" s="30" t="str">
        <f t="shared" si="62"/>
        <v>L1</v>
      </c>
      <c r="E363" s="30" t="str">
        <f t="shared" si="63"/>
        <v>Active</v>
      </c>
      <c r="F363" s="32">
        <v>516000</v>
      </c>
      <c r="G363" s="33">
        <f t="shared" si="64"/>
        <v>297500</v>
      </c>
      <c r="H363" s="33">
        <f t="shared" si="65"/>
        <v>508750</v>
      </c>
      <c r="I363" s="33">
        <f t="shared" si="66"/>
        <v>720000</v>
      </c>
      <c r="J363" s="25">
        <f t="shared" si="67"/>
        <v>1.01</v>
      </c>
      <c r="K363" s="22" t="str">
        <f t="shared" si="68"/>
        <v>Within Band</v>
      </c>
      <c r="L363" s="30">
        <f t="shared" si="69"/>
        <v>3</v>
      </c>
      <c r="M363" s="26">
        <v>7.2999999999999995E-2</v>
      </c>
      <c r="N363" s="34">
        <f t="shared" si="70"/>
        <v>553700</v>
      </c>
      <c r="O363" s="31">
        <v>0.05</v>
      </c>
      <c r="P363" s="34">
        <f t="shared" si="71"/>
        <v>25800</v>
      </c>
      <c r="Q363" s="22" t="s">
        <v>1701</v>
      </c>
    </row>
    <row r="364" spans="1:17" x14ac:dyDescent="0.3">
      <c r="A364" s="22" t="s">
        <v>1276</v>
      </c>
      <c r="B364" t="str">
        <f t="shared" si="60"/>
        <v>Nikhil Singh</v>
      </c>
      <c r="C364" t="str">
        <f t="shared" si="61"/>
        <v>Sales</v>
      </c>
      <c r="D364" s="30" t="str">
        <f t="shared" si="62"/>
        <v>L2</v>
      </c>
      <c r="E364" s="30" t="str">
        <f t="shared" si="63"/>
        <v>Exited</v>
      </c>
      <c r="F364" s="32">
        <v>884000</v>
      </c>
      <c r="G364" s="33">
        <f t="shared" si="64"/>
        <v>510000</v>
      </c>
      <c r="H364" s="33">
        <f t="shared" si="65"/>
        <v>855000</v>
      </c>
      <c r="I364" s="33">
        <f t="shared" si="66"/>
        <v>1200000</v>
      </c>
      <c r="J364" s="25">
        <f t="shared" si="67"/>
        <v>1.03</v>
      </c>
      <c r="K364" s="22" t="str">
        <f t="shared" si="68"/>
        <v>Within Band</v>
      </c>
      <c r="L364" s="30">
        <f t="shared" si="69"/>
        <v>3</v>
      </c>
      <c r="M364" s="26">
        <v>9.7000000000000003E-2</v>
      </c>
      <c r="N364" s="34">
        <f t="shared" si="70"/>
        <v>0</v>
      </c>
      <c r="O364" s="31">
        <v>0.08</v>
      </c>
      <c r="P364" s="34">
        <f t="shared" si="71"/>
        <v>0</v>
      </c>
      <c r="Q364" s="22" t="s">
        <v>1701</v>
      </c>
    </row>
    <row r="365" spans="1:17" x14ac:dyDescent="0.3">
      <c r="A365" s="22" t="s">
        <v>523</v>
      </c>
      <c r="B365" t="str">
        <f t="shared" si="60"/>
        <v>Arun Khan</v>
      </c>
      <c r="C365" t="str">
        <f t="shared" si="61"/>
        <v>Marketing</v>
      </c>
      <c r="D365" s="30" t="str">
        <f t="shared" si="62"/>
        <v>L7</v>
      </c>
      <c r="E365" s="30" t="str">
        <f t="shared" si="63"/>
        <v>Active</v>
      </c>
      <c r="F365" s="32">
        <v>8612000</v>
      </c>
      <c r="G365" s="33">
        <f t="shared" si="64"/>
        <v>5100000</v>
      </c>
      <c r="H365" s="33">
        <f t="shared" si="65"/>
        <v>8250000</v>
      </c>
      <c r="I365" s="33">
        <f t="shared" si="66"/>
        <v>11400000</v>
      </c>
      <c r="J365" s="25">
        <f t="shared" si="67"/>
        <v>1.04</v>
      </c>
      <c r="K365" s="22" t="str">
        <f t="shared" si="68"/>
        <v>Within Band</v>
      </c>
      <c r="L365" s="30">
        <f t="shared" si="69"/>
        <v>3</v>
      </c>
      <c r="M365" s="26">
        <v>9.5000000000000001E-2</v>
      </c>
      <c r="N365" s="34">
        <f t="shared" si="70"/>
        <v>9430100</v>
      </c>
      <c r="O365" s="31">
        <v>0.08</v>
      </c>
      <c r="P365" s="34">
        <f t="shared" si="71"/>
        <v>689000</v>
      </c>
      <c r="Q365" s="22" t="s">
        <v>1700</v>
      </c>
    </row>
    <row r="366" spans="1:17" x14ac:dyDescent="0.3">
      <c r="A366" s="22" t="s">
        <v>1281</v>
      </c>
      <c r="B366" t="str">
        <f t="shared" si="60"/>
        <v>Rashmi Mishra</v>
      </c>
      <c r="C366" t="str">
        <f t="shared" si="61"/>
        <v>Engineering</v>
      </c>
      <c r="D366" s="30" t="str">
        <f t="shared" si="62"/>
        <v>L1</v>
      </c>
      <c r="E366" s="30" t="str">
        <f t="shared" si="63"/>
        <v>Exited</v>
      </c>
      <c r="F366" s="32">
        <v>672000</v>
      </c>
      <c r="G366" s="33">
        <f t="shared" si="64"/>
        <v>297500</v>
      </c>
      <c r="H366" s="33">
        <f t="shared" si="65"/>
        <v>508750</v>
      </c>
      <c r="I366" s="33">
        <f t="shared" si="66"/>
        <v>720000</v>
      </c>
      <c r="J366" s="25">
        <f t="shared" si="67"/>
        <v>1.32</v>
      </c>
      <c r="K366" s="22" t="str">
        <f t="shared" si="68"/>
        <v>Within Band</v>
      </c>
      <c r="L366" s="30">
        <f t="shared" si="69"/>
        <v>4</v>
      </c>
      <c r="M366" s="26">
        <v>0.115</v>
      </c>
      <c r="N366" s="34">
        <f t="shared" si="70"/>
        <v>0</v>
      </c>
      <c r="O366" s="31">
        <v>0.08</v>
      </c>
      <c r="P366" s="34">
        <f t="shared" si="71"/>
        <v>0</v>
      </c>
      <c r="Q366" s="22" t="s">
        <v>1701</v>
      </c>
    </row>
    <row r="367" spans="1:17" x14ac:dyDescent="0.3">
      <c r="A367" s="22" t="s">
        <v>1284</v>
      </c>
      <c r="B367" t="str">
        <f t="shared" si="60"/>
        <v>Anjali Gupta</v>
      </c>
      <c r="C367" t="str">
        <f t="shared" si="61"/>
        <v>Customer Support</v>
      </c>
      <c r="D367" s="30" t="str">
        <f t="shared" si="62"/>
        <v>L4</v>
      </c>
      <c r="E367" s="30" t="str">
        <f t="shared" si="63"/>
        <v>Active</v>
      </c>
      <c r="F367" s="32">
        <v>2075000</v>
      </c>
      <c r="G367" s="33">
        <f t="shared" si="64"/>
        <v>1445000</v>
      </c>
      <c r="H367" s="33">
        <f t="shared" si="65"/>
        <v>2342500</v>
      </c>
      <c r="I367" s="33">
        <f t="shared" si="66"/>
        <v>3240000</v>
      </c>
      <c r="J367" s="25">
        <f t="shared" si="67"/>
        <v>0.89</v>
      </c>
      <c r="K367" s="22" t="str">
        <f t="shared" si="68"/>
        <v>Within Band</v>
      </c>
      <c r="L367" s="30">
        <f t="shared" si="69"/>
        <v>5</v>
      </c>
      <c r="M367" s="26">
        <v>0.187</v>
      </c>
      <c r="N367" s="34">
        <f t="shared" si="70"/>
        <v>2463000</v>
      </c>
      <c r="O367" s="31">
        <v>0.18</v>
      </c>
      <c r="P367" s="34">
        <f t="shared" si="71"/>
        <v>373500</v>
      </c>
      <c r="Q367" s="22" t="s">
        <v>1700</v>
      </c>
    </row>
    <row r="368" spans="1:17" x14ac:dyDescent="0.3">
      <c r="A368" s="22" t="s">
        <v>1287</v>
      </c>
      <c r="B368" t="str">
        <f t="shared" si="60"/>
        <v>Mary Dsouza</v>
      </c>
      <c r="C368" t="str">
        <f t="shared" si="61"/>
        <v>Engineering</v>
      </c>
      <c r="D368" s="30" t="str">
        <f t="shared" si="62"/>
        <v>L2</v>
      </c>
      <c r="E368" s="30" t="str">
        <f t="shared" si="63"/>
        <v>Active</v>
      </c>
      <c r="F368" s="32">
        <v>838000</v>
      </c>
      <c r="G368" s="33">
        <f t="shared" si="64"/>
        <v>510000</v>
      </c>
      <c r="H368" s="33">
        <f t="shared" si="65"/>
        <v>855000</v>
      </c>
      <c r="I368" s="33">
        <f t="shared" si="66"/>
        <v>1200000</v>
      </c>
      <c r="J368" s="25">
        <f t="shared" si="67"/>
        <v>0.98</v>
      </c>
      <c r="K368" s="22" t="str">
        <f t="shared" si="68"/>
        <v>Within Band</v>
      </c>
      <c r="L368" s="30">
        <f t="shared" si="69"/>
        <v>4</v>
      </c>
      <c r="M368" s="26">
        <v>0.106</v>
      </c>
      <c r="N368" s="34">
        <f t="shared" si="70"/>
        <v>926800</v>
      </c>
      <c r="O368" s="31">
        <v>0.12</v>
      </c>
      <c r="P368" s="34">
        <f t="shared" si="71"/>
        <v>100600</v>
      </c>
      <c r="Q368" s="22" t="s">
        <v>1701</v>
      </c>
    </row>
    <row r="369" spans="1:17" x14ac:dyDescent="0.3">
      <c r="A369" s="22" t="s">
        <v>1290</v>
      </c>
      <c r="B369" t="str">
        <f t="shared" si="60"/>
        <v>Ravi Kamath</v>
      </c>
      <c r="C369" t="str">
        <f t="shared" si="61"/>
        <v>Human Resources</v>
      </c>
      <c r="D369" s="30" t="str">
        <f t="shared" si="62"/>
        <v>L1</v>
      </c>
      <c r="E369" s="30" t="str">
        <f t="shared" si="63"/>
        <v>Active</v>
      </c>
      <c r="F369" s="32">
        <v>430000</v>
      </c>
      <c r="G369" s="33">
        <f t="shared" si="64"/>
        <v>297500</v>
      </c>
      <c r="H369" s="33">
        <f t="shared" si="65"/>
        <v>508750</v>
      </c>
      <c r="I369" s="33">
        <f t="shared" si="66"/>
        <v>720000</v>
      </c>
      <c r="J369" s="25">
        <f t="shared" si="67"/>
        <v>0.85</v>
      </c>
      <c r="K369" s="22" t="str">
        <f t="shared" si="68"/>
        <v>Within Band</v>
      </c>
      <c r="L369" s="30">
        <f t="shared" si="69"/>
        <v>2</v>
      </c>
      <c r="M369" s="26">
        <v>0.03</v>
      </c>
      <c r="N369" s="34">
        <f t="shared" si="70"/>
        <v>442900</v>
      </c>
      <c r="O369" s="31">
        <v>0.02</v>
      </c>
      <c r="P369" s="34">
        <f t="shared" si="71"/>
        <v>8600</v>
      </c>
      <c r="Q369" s="22" t="s">
        <v>1701</v>
      </c>
    </row>
    <row r="370" spans="1:17" x14ac:dyDescent="0.3">
      <c r="A370" s="22" t="s">
        <v>1205</v>
      </c>
      <c r="B370" t="str">
        <f t="shared" si="60"/>
        <v>Aditi Nair</v>
      </c>
      <c r="C370" t="str">
        <f t="shared" si="61"/>
        <v>Legal &amp; Compliance</v>
      </c>
      <c r="D370" s="30" t="str">
        <f t="shared" si="62"/>
        <v>L7</v>
      </c>
      <c r="E370" s="30" t="str">
        <f t="shared" si="63"/>
        <v>Active</v>
      </c>
      <c r="F370" s="32">
        <v>8361000</v>
      </c>
      <c r="G370" s="33">
        <f t="shared" si="64"/>
        <v>5100000</v>
      </c>
      <c r="H370" s="33">
        <f t="shared" si="65"/>
        <v>8250000</v>
      </c>
      <c r="I370" s="33">
        <f t="shared" si="66"/>
        <v>11400000</v>
      </c>
      <c r="J370" s="25">
        <f t="shared" si="67"/>
        <v>1.01</v>
      </c>
      <c r="K370" s="22" t="str">
        <f t="shared" si="68"/>
        <v>Within Band</v>
      </c>
      <c r="L370" s="30">
        <f t="shared" si="69"/>
        <v>3</v>
      </c>
      <c r="M370" s="26">
        <v>7.6999999999999999E-2</v>
      </c>
      <c r="N370" s="34">
        <f t="shared" si="70"/>
        <v>9004800</v>
      </c>
      <c r="O370" s="31">
        <v>0.08</v>
      </c>
      <c r="P370" s="34">
        <f t="shared" si="71"/>
        <v>668900</v>
      </c>
      <c r="Q370" s="22" t="s">
        <v>1700</v>
      </c>
    </row>
    <row r="371" spans="1:17" x14ac:dyDescent="0.3">
      <c r="A371" s="22" t="s">
        <v>1295</v>
      </c>
      <c r="B371" t="str">
        <f t="shared" si="60"/>
        <v>Venkat Bansal</v>
      </c>
      <c r="C371" t="str">
        <f t="shared" si="61"/>
        <v>Marketing</v>
      </c>
      <c r="D371" s="30" t="str">
        <f t="shared" si="62"/>
        <v>L1</v>
      </c>
      <c r="E371" s="30" t="str">
        <f t="shared" si="63"/>
        <v>Active</v>
      </c>
      <c r="F371" s="32">
        <v>430000</v>
      </c>
      <c r="G371" s="33">
        <f t="shared" si="64"/>
        <v>297500</v>
      </c>
      <c r="H371" s="33">
        <f t="shared" si="65"/>
        <v>508750</v>
      </c>
      <c r="I371" s="33">
        <f t="shared" si="66"/>
        <v>720000</v>
      </c>
      <c r="J371" s="25">
        <f t="shared" si="67"/>
        <v>0.85</v>
      </c>
      <c r="K371" s="22" t="str">
        <f t="shared" si="68"/>
        <v>Within Band</v>
      </c>
      <c r="L371" s="30">
        <f t="shared" si="69"/>
        <v>2</v>
      </c>
      <c r="M371" s="26">
        <v>1.7999999999999999E-2</v>
      </c>
      <c r="N371" s="34">
        <f t="shared" si="70"/>
        <v>437700</v>
      </c>
      <c r="O371" s="31">
        <v>0.02</v>
      </c>
      <c r="P371" s="34">
        <f t="shared" si="71"/>
        <v>8600</v>
      </c>
      <c r="Q371" s="22" t="s">
        <v>1701</v>
      </c>
    </row>
    <row r="372" spans="1:17" x14ac:dyDescent="0.3">
      <c r="A372" s="22" t="s">
        <v>1298</v>
      </c>
      <c r="B372" t="str">
        <f t="shared" si="60"/>
        <v>Shreya Varghese</v>
      </c>
      <c r="C372" t="str">
        <f t="shared" si="61"/>
        <v>Sales</v>
      </c>
      <c r="D372" s="30" t="str">
        <f t="shared" si="62"/>
        <v>L1</v>
      </c>
      <c r="E372" s="30" t="str">
        <f t="shared" si="63"/>
        <v>Active</v>
      </c>
      <c r="F372" s="32">
        <v>495000</v>
      </c>
      <c r="G372" s="33">
        <f t="shared" si="64"/>
        <v>297500</v>
      </c>
      <c r="H372" s="33">
        <f t="shared" si="65"/>
        <v>508750</v>
      </c>
      <c r="I372" s="33">
        <f t="shared" si="66"/>
        <v>720000</v>
      </c>
      <c r="J372" s="25">
        <f t="shared" si="67"/>
        <v>0.97</v>
      </c>
      <c r="K372" s="22" t="str">
        <f t="shared" si="68"/>
        <v>Within Band</v>
      </c>
      <c r="L372" s="30">
        <f t="shared" si="69"/>
        <v>1</v>
      </c>
      <c r="M372" s="26">
        <v>-5.0000000000000001E-3</v>
      </c>
      <c r="N372" s="34">
        <f t="shared" si="70"/>
        <v>492500</v>
      </c>
      <c r="O372" s="31">
        <v>0</v>
      </c>
      <c r="P372" s="34">
        <f t="shared" si="71"/>
        <v>0</v>
      </c>
      <c r="Q372" s="22" t="s">
        <v>1701</v>
      </c>
    </row>
    <row r="373" spans="1:17" x14ac:dyDescent="0.3">
      <c r="A373" s="22" t="s">
        <v>1301</v>
      </c>
      <c r="B373" t="str">
        <f t="shared" si="60"/>
        <v>Joseph Gupta</v>
      </c>
      <c r="C373" t="str">
        <f t="shared" si="61"/>
        <v>Data &amp; Analytics</v>
      </c>
      <c r="D373" s="30" t="str">
        <f t="shared" si="62"/>
        <v>L4</v>
      </c>
      <c r="E373" s="30" t="str">
        <f t="shared" si="63"/>
        <v>Exited</v>
      </c>
      <c r="F373" s="32">
        <v>3143000</v>
      </c>
      <c r="G373" s="33">
        <f t="shared" si="64"/>
        <v>1445000</v>
      </c>
      <c r="H373" s="33">
        <f t="shared" si="65"/>
        <v>2342500</v>
      </c>
      <c r="I373" s="33">
        <f t="shared" si="66"/>
        <v>3240000</v>
      </c>
      <c r="J373" s="25">
        <f t="shared" si="67"/>
        <v>1.34</v>
      </c>
      <c r="K373" s="22" t="str">
        <f t="shared" si="68"/>
        <v>Within Band</v>
      </c>
      <c r="L373" s="30">
        <f t="shared" si="69"/>
        <v>4</v>
      </c>
      <c r="M373" s="26">
        <v>0.13</v>
      </c>
      <c r="N373" s="34">
        <f t="shared" si="70"/>
        <v>0</v>
      </c>
      <c r="O373" s="31">
        <v>0.12</v>
      </c>
      <c r="P373" s="34">
        <f t="shared" si="71"/>
        <v>0</v>
      </c>
      <c r="Q373" s="22" t="s">
        <v>1700</v>
      </c>
    </row>
    <row r="374" spans="1:17" x14ac:dyDescent="0.3">
      <c r="A374" s="22" t="s">
        <v>139</v>
      </c>
      <c r="B374" t="str">
        <f t="shared" si="60"/>
        <v>Imran Mishra</v>
      </c>
      <c r="C374" t="str">
        <f t="shared" si="61"/>
        <v>Operations</v>
      </c>
      <c r="D374" s="30" t="str">
        <f t="shared" si="62"/>
        <v>L6</v>
      </c>
      <c r="E374" s="30" t="str">
        <f t="shared" si="63"/>
        <v>Active</v>
      </c>
      <c r="F374" s="32">
        <v>4717000</v>
      </c>
      <c r="G374" s="33">
        <f t="shared" si="64"/>
        <v>3570000</v>
      </c>
      <c r="H374" s="33">
        <f t="shared" si="65"/>
        <v>5385000</v>
      </c>
      <c r="I374" s="33">
        <f t="shared" si="66"/>
        <v>7200000</v>
      </c>
      <c r="J374" s="25">
        <f t="shared" si="67"/>
        <v>0.88</v>
      </c>
      <c r="K374" s="22" t="str">
        <f t="shared" si="68"/>
        <v>Within Band</v>
      </c>
      <c r="L374" s="30">
        <f t="shared" si="69"/>
        <v>4</v>
      </c>
      <c r="M374" s="26">
        <v>0.108</v>
      </c>
      <c r="N374" s="34">
        <f t="shared" si="70"/>
        <v>5226400</v>
      </c>
      <c r="O374" s="31">
        <v>0.12</v>
      </c>
      <c r="P374" s="34">
        <f t="shared" si="71"/>
        <v>566000</v>
      </c>
      <c r="Q374" s="22" t="s">
        <v>1700</v>
      </c>
    </row>
    <row r="375" spans="1:17" x14ac:dyDescent="0.3">
      <c r="A375" s="22" t="s">
        <v>1305</v>
      </c>
      <c r="B375" t="str">
        <f t="shared" si="60"/>
        <v>Isha Choudhary</v>
      </c>
      <c r="C375" t="str">
        <f t="shared" si="61"/>
        <v>Engineering</v>
      </c>
      <c r="D375" s="30" t="str">
        <f t="shared" si="62"/>
        <v>L4</v>
      </c>
      <c r="E375" s="30" t="str">
        <f t="shared" si="63"/>
        <v>Exited</v>
      </c>
      <c r="F375" s="32">
        <v>2555000</v>
      </c>
      <c r="G375" s="33">
        <f t="shared" si="64"/>
        <v>1445000</v>
      </c>
      <c r="H375" s="33">
        <f t="shared" si="65"/>
        <v>2342500</v>
      </c>
      <c r="I375" s="33">
        <f t="shared" si="66"/>
        <v>3240000</v>
      </c>
      <c r="J375" s="25">
        <f t="shared" si="67"/>
        <v>1.0900000000000001</v>
      </c>
      <c r="K375" s="22" t="str">
        <f t="shared" si="68"/>
        <v>Within Band</v>
      </c>
      <c r="L375" s="30">
        <f t="shared" si="69"/>
        <v>4</v>
      </c>
      <c r="M375" s="26">
        <v>0.13300000000000001</v>
      </c>
      <c r="N375" s="34">
        <f t="shared" si="70"/>
        <v>0</v>
      </c>
      <c r="O375" s="31">
        <v>0.12</v>
      </c>
      <c r="P375" s="34">
        <f t="shared" si="71"/>
        <v>0</v>
      </c>
      <c r="Q375" s="22" t="s">
        <v>1700</v>
      </c>
    </row>
    <row r="376" spans="1:17" x14ac:dyDescent="0.3">
      <c r="A376" s="22" t="s">
        <v>1308</v>
      </c>
      <c r="B376" t="str">
        <f t="shared" si="60"/>
        <v>Rakesh Jain</v>
      </c>
      <c r="C376" t="str">
        <f t="shared" si="61"/>
        <v>Sales</v>
      </c>
      <c r="D376" s="30" t="str">
        <f t="shared" si="62"/>
        <v>L1</v>
      </c>
      <c r="E376" s="30" t="str">
        <f t="shared" si="63"/>
        <v>Exited</v>
      </c>
      <c r="F376" s="32">
        <v>560000</v>
      </c>
      <c r="G376" s="33">
        <f t="shared" si="64"/>
        <v>297500</v>
      </c>
      <c r="H376" s="33">
        <f t="shared" si="65"/>
        <v>508750</v>
      </c>
      <c r="I376" s="33">
        <f t="shared" si="66"/>
        <v>720000</v>
      </c>
      <c r="J376" s="25">
        <f t="shared" si="67"/>
        <v>1.1000000000000001</v>
      </c>
      <c r="K376" s="22" t="str">
        <f t="shared" si="68"/>
        <v>Within Band</v>
      </c>
      <c r="L376" s="30">
        <f t="shared" si="69"/>
        <v>3</v>
      </c>
      <c r="M376" s="26">
        <v>6.7000000000000004E-2</v>
      </c>
      <c r="N376" s="34">
        <f t="shared" si="70"/>
        <v>0</v>
      </c>
      <c r="O376" s="31">
        <v>0.05</v>
      </c>
      <c r="P376" s="34">
        <f t="shared" si="71"/>
        <v>0</v>
      </c>
      <c r="Q376" s="22" t="s">
        <v>1701</v>
      </c>
    </row>
    <row r="377" spans="1:17" x14ac:dyDescent="0.3">
      <c r="A377" s="22" t="s">
        <v>1311</v>
      </c>
      <c r="B377" t="str">
        <f t="shared" si="60"/>
        <v>Mary Prabhu</v>
      </c>
      <c r="C377" t="str">
        <f t="shared" si="61"/>
        <v>Operations</v>
      </c>
      <c r="D377" s="30" t="str">
        <f t="shared" si="62"/>
        <v>L1</v>
      </c>
      <c r="E377" s="30" t="str">
        <f t="shared" si="63"/>
        <v>Active</v>
      </c>
      <c r="F377" s="32">
        <v>546000</v>
      </c>
      <c r="G377" s="33">
        <f t="shared" si="64"/>
        <v>297500</v>
      </c>
      <c r="H377" s="33">
        <f t="shared" si="65"/>
        <v>508750</v>
      </c>
      <c r="I377" s="33">
        <f t="shared" si="66"/>
        <v>720000</v>
      </c>
      <c r="J377" s="25">
        <f t="shared" si="67"/>
        <v>1.07</v>
      </c>
      <c r="K377" s="22" t="str">
        <f t="shared" si="68"/>
        <v>Within Band</v>
      </c>
      <c r="L377" s="30">
        <f t="shared" si="69"/>
        <v>5</v>
      </c>
      <c r="M377" s="26">
        <v>0.16600000000000001</v>
      </c>
      <c r="N377" s="34">
        <f t="shared" si="70"/>
        <v>636600</v>
      </c>
      <c r="O377" s="31">
        <v>0.1</v>
      </c>
      <c r="P377" s="34">
        <f t="shared" si="71"/>
        <v>54600</v>
      </c>
      <c r="Q377" s="22" t="s">
        <v>1701</v>
      </c>
    </row>
    <row r="378" spans="1:17" x14ac:dyDescent="0.3">
      <c r="A378" s="22" t="s">
        <v>1314</v>
      </c>
      <c r="B378" t="str">
        <f t="shared" si="60"/>
        <v>Anand Siddiqui</v>
      </c>
      <c r="C378" t="str">
        <f t="shared" si="61"/>
        <v>Engineering</v>
      </c>
      <c r="D378" s="30" t="str">
        <f t="shared" si="62"/>
        <v>L4</v>
      </c>
      <c r="E378" s="30" t="str">
        <f t="shared" si="63"/>
        <v>Active</v>
      </c>
      <c r="F378" s="32">
        <v>2973000</v>
      </c>
      <c r="G378" s="33">
        <f t="shared" si="64"/>
        <v>1445000</v>
      </c>
      <c r="H378" s="33">
        <f t="shared" si="65"/>
        <v>2342500</v>
      </c>
      <c r="I378" s="33">
        <f t="shared" si="66"/>
        <v>3240000</v>
      </c>
      <c r="J378" s="25">
        <f t="shared" si="67"/>
        <v>1.27</v>
      </c>
      <c r="K378" s="22" t="str">
        <f t="shared" si="68"/>
        <v>Within Band</v>
      </c>
      <c r="L378" s="30">
        <f t="shared" si="69"/>
        <v>4</v>
      </c>
      <c r="M378" s="26">
        <v>0.125</v>
      </c>
      <c r="N378" s="34">
        <f t="shared" si="70"/>
        <v>3344600</v>
      </c>
      <c r="O378" s="31">
        <v>0.12</v>
      </c>
      <c r="P378" s="34">
        <f t="shared" si="71"/>
        <v>356800</v>
      </c>
      <c r="Q378" s="22" t="s">
        <v>1700</v>
      </c>
    </row>
    <row r="379" spans="1:17" x14ac:dyDescent="0.3">
      <c r="A379" s="22" t="s">
        <v>1317</v>
      </c>
      <c r="B379" t="str">
        <f t="shared" si="60"/>
        <v>Sachin Raghavan</v>
      </c>
      <c r="C379" t="str">
        <f t="shared" si="61"/>
        <v>Engineering</v>
      </c>
      <c r="D379" s="30" t="str">
        <f t="shared" si="62"/>
        <v>L2</v>
      </c>
      <c r="E379" s="30" t="str">
        <f t="shared" si="63"/>
        <v>Active</v>
      </c>
      <c r="F379" s="32">
        <v>981000</v>
      </c>
      <c r="G379" s="33">
        <f t="shared" si="64"/>
        <v>510000</v>
      </c>
      <c r="H379" s="33">
        <f t="shared" si="65"/>
        <v>855000</v>
      </c>
      <c r="I379" s="33">
        <f t="shared" si="66"/>
        <v>1200000</v>
      </c>
      <c r="J379" s="25">
        <f t="shared" si="67"/>
        <v>1.1499999999999999</v>
      </c>
      <c r="K379" s="22" t="str">
        <f t="shared" si="68"/>
        <v>Within Band</v>
      </c>
      <c r="L379" s="30">
        <f t="shared" si="69"/>
        <v>4</v>
      </c>
      <c r="M379" s="26">
        <v>0.122</v>
      </c>
      <c r="N379" s="34">
        <f t="shared" si="70"/>
        <v>1100700</v>
      </c>
      <c r="O379" s="31">
        <v>0.12</v>
      </c>
      <c r="P379" s="34">
        <f t="shared" si="71"/>
        <v>117700</v>
      </c>
      <c r="Q379" s="22" t="s">
        <v>1701</v>
      </c>
    </row>
    <row r="380" spans="1:17" x14ac:dyDescent="0.3">
      <c r="A380" s="22" t="s">
        <v>1320</v>
      </c>
      <c r="B380" t="str">
        <f t="shared" si="60"/>
        <v>Dev Saxena</v>
      </c>
      <c r="C380" t="str">
        <f t="shared" si="61"/>
        <v>Customer Support</v>
      </c>
      <c r="D380" s="30" t="str">
        <f t="shared" si="62"/>
        <v>L2</v>
      </c>
      <c r="E380" s="30" t="str">
        <f t="shared" si="63"/>
        <v>Active</v>
      </c>
      <c r="F380" s="32">
        <v>748000</v>
      </c>
      <c r="G380" s="33">
        <f t="shared" si="64"/>
        <v>510000</v>
      </c>
      <c r="H380" s="33">
        <f t="shared" si="65"/>
        <v>855000</v>
      </c>
      <c r="I380" s="33">
        <f t="shared" si="66"/>
        <v>1200000</v>
      </c>
      <c r="J380" s="25">
        <f t="shared" si="67"/>
        <v>0.87</v>
      </c>
      <c r="K380" s="22" t="str">
        <f t="shared" si="68"/>
        <v>Within Band</v>
      </c>
      <c r="L380" s="30">
        <f t="shared" si="69"/>
        <v>3</v>
      </c>
      <c r="M380" s="26">
        <v>7.1999999999999995E-2</v>
      </c>
      <c r="N380" s="34">
        <f t="shared" si="70"/>
        <v>801900</v>
      </c>
      <c r="O380" s="31">
        <v>0.08</v>
      </c>
      <c r="P380" s="34">
        <f t="shared" si="71"/>
        <v>59800</v>
      </c>
      <c r="Q380" s="22" t="s">
        <v>1701</v>
      </c>
    </row>
    <row r="381" spans="1:17" x14ac:dyDescent="0.3">
      <c r="A381" s="22" t="s">
        <v>1323</v>
      </c>
      <c r="B381" t="str">
        <f t="shared" si="60"/>
        <v>Siddharth Malhotra</v>
      </c>
      <c r="C381" t="str">
        <f t="shared" si="61"/>
        <v>Data &amp; Analytics</v>
      </c>
      <c r="D381" s="30" t="str">
        <f t="shared" si="62"/>
        <v>L1</v>
      </c>
      <c r="E381" s="30" t="str">
        <f t="shared" si="63"/>
        <v>Active</v>
      </c>
      <c r="F381" s="32">
        <v>605000</v>
      </c>
      <c r="G381" s="33">
        <f t="shared" si="64"/>
        <v>297500</v>
      </c>
      <c r="H381" s="33">
        <f t="shared" si="65"/>
        <v>508750</v>
      </c>
      <c r="I381" s="33">
        <f t="shared" si="66"/>
        <v>720000</v>
      </c>
      <c r="J381" s="25">
        <f t="shared" si="67"/>
        <v>1.19</v>
      </c>
      <c r="K381" s="22" t="str">
        <f t="shared" si="68"/>
        <v>Within Band</v>
      </c>
      <c r="L381" s="30">
        <f t="shared" si="69"/>
        <v>1</v>
      </c>
      <c r="M381" s="26">
        <v>-8.0000000000000002E-3</v>
      </c>
      <c r="N381" s="34">
        <f t="shared" si="70"/>
        <v>600200</v>
      </c>
      <c r="O381" s="31">
        <v>0</v>
      </c>
      <c r="P381" s="34">
        <f t="shared" si="71"/>
        <v>0</v>
      </c>
      <c r="Q381" s="22" t="s">
        <v>1701</v>
      </c>
    </row>
    <row r="382" spans="1:17" x14ac:dyDescent="0.3">
      <c r="A382" s="22" t="s">
        <v>1326</v>
      </c>
      <c r="B382" t="str">
        <f t="shared" si="60"/>
        <v>Ravi Gupta</v>
      </c>
      <c r="C382" t="str">
        <f t="shared" si="61"/>
        <v>Marketing</v>
      </c>
      <c r="D382" s="30" t="str">
        <f t="shared" si="62"/>
        <v>L2</v>
      </c>
      <c r="E382" s="30" t="str">
        <f t="shared" si="63"/>
        <v>Active</v>
      </c>
      <c r="F382" s="32">
        <v>801000</v>
      </c>
      <c r="G382" s="33">
        <f t="shared" si="64"/>
        <v>510000</v>
      </c>
      <c r="H382" s="33">
        <f t="shared" si="65"/>
        <v>855000</v>
      </c>
      <c r="I382" s="33">
        <f t="shared" si="66"/>
        <v>1200000</v>
      </c>
      <c r="J382" s="25">
        <f t="shared" si="67"/>
        <v>0.94</v>
      </c>
      <c r="K382" s="22" t="str">
        <f t="shared" si="68"/>
        <v>Within Band</v>
      </c>
      <c r="L382" s="30">
        <f t="shared" si="69"/>
        <v>1</v>
      </c>
      <c r="M382" s="26">
        <v>-2E-3</v>
      </c>
      <c r="N382" s="34">
        <f t="shared" si="70"/>
        <v>799400</v>
      </c>
      <c r="O382" s="31">
        <v>0</v>
      </c>
      <c r="P382" s="34">
        <f t="shared" si="71"/>
        <v>0</v>
      </c>
      <c r="Q382" s="22" t="s">
        <v>1701</v>
      </c>
    </row>
    <row r="383" spans="1:17" x14ac:dyDescent="0.3">
      <c r="A383" s="22" t="s">
        <v>1329</v>
      </c>
      <c r="B383" t="str">
        <f t="shared" si="60"/>
        <v>Ritu Nair</v>
      </c>
      <c r="C383" t="str">
        <f t="shared" si="61"/>
        <v>Sales</v>
      </c>
      <c r="D383" s="30" t="str">
        <f t="shared" si="62"/>
        <v>L4</v>
      </c>
      <c r="E383" s="30" t="str">
        <f t="shared" si="63"/>
        <v>Active</v>
      </c>
      <c r="F383" s="32">
        <v>2453000</v>
      </c>
      <c r="G383" s="33">
        <f t="shared" si="64"/>
        <v>1445000</v>
      </c>
      <c r="H383" s="33">
        <f t="shared" si="65"/>
        <v>2342500</v>
      </c>
      <c r="I383" s="33">
        <f t="shared" si="66"/>
        <v>3240000</v>
      </c>
      <c r="J383" s="25">
        <f t="shared" si="67"/>
        <v>1.05</v>
      </c>
      <c r="K383" s="22" t="str">
        <f t="shared" si="68"/>
        <v>Within Band</v>
      </c>
      <c r="L383" s="30">
        <f t="shared" si="69"/>
        <v>2</v>
      </c>
      <c r="M383" s="26">
        <v>1.9E-2</v>
      </c>
      <c r="N383" s="34">
        <f t="shared" si="70"/>
        <v>2499600</v>
      </c>
      <c r="O383" s="31">
        <v>0.03</v>
      </c>
      <c r="P383" s="34">
        <f t="shared" si="71"/>
        <v>73600</v>
      </c>
      <c r="Q383" s="22" t="s">
        <v>1701</v>
      </c>
    </row>
    <row r="384" spans="1:17" x14ac:dyDescent="0.3">
      <c r="A384" s="22" t="s">
        <v>1332</v>
      </c>
      <c r="B384" t="str">
        <f t="shared" si="60"/>
        <v>Keerthi Kamath</v>
      </c>
      <c r="C384" t="str">
        <f t="shared" si="61"/>
        <v>Sales</v>
      </c>
      <c r="D384" s="30" t="str">
        <f t="shared" si="62"/>
        <v>L1</v>
      </c>
      <c r="E384" s="30" t="str">
        <f t="shared" si="63"/>
        <v>Exited</v>
      </c>
      <c r="F384" s="32">
        <v>540000</v>
      </c>
      <c r="G384" s="33">
        <f t="shared" si="64"/>
        <v>297500</v>
      </c>
      <c r="H384" s="33">
        <f t="shared" si="65"/>
        <v>508750</v>
      </c>
      <c r="I384" s="33">
        <f t="shared" si="66"/>
        <v>720000</v>
      </c>
      <c r="J384" s="25">
        <f t="shared" si="67"/>
        <v>1.06</v>
      </c>
      <c r="K384" s="22" t="str">
        <f t="shared" si="68"/>
        <v>Within Band</v>
      </c>
      <c r="L384" s="30">
        <f t="shared" si="69"/>
        <v>3</v>
      </c>
      <c r="M384" s="26">
        <v>9.5000000000000001E-2</v>
      </c>
      <c r="N384" s="34">
        <f t="shared" si="70"/>
        <v>0</v>
      </c>
      <c r="O384" s="31">
        <v>0.05</v>
      </c>
      <c r="P384" s="34">
        <f t="shared" si="71"/>
        <v>0</v>
      </c>
      <c r="Q384" s="22" t="s">
        <v>1701</v>
      </c>
    </row>
    <row r="385" spans="1:17" x14ac:dyDescent="0.3">
      <c r="A385" s="22" t="s">
        <v>1335</v>
      </c>
      <c r="B385" t="str">
        <f t="shared" si="60"/>
        <v>Sakshi Varghese</v>
      </c>
      <c r="C385" t="str">
        <f t="shared" si="61"/>
        <v>Sales</v>
      </c>
      <c r="D385" s="30" t="str">
        <f t="shared" si="62"/>
        <v>L2</v>
      </c>
      <c r="E385" s="30" t="str">
        <f t="shared" si="63"/>
        <v>Active</v>
      </c>
      <c r="F385" s="32">
        <v>742000</v>
      </c>
      <c r="G385" s="33">
        <f t="shared" si="64"/>
        <v>510000</v>
      </c>
      <c r="H385" s="33">
        <f t="shared" si="65"/>
        <v>855000</v>
      </c>
      <c r="I385" s="33">
        <f t="shared" si="66"/>
        <v>1200000</v>
      </c>
      <c r="J385" s="25">
        <f t="shared" si="67"/>
        <v>0.87</v>
      </c>
      <c r="K385" s="22" t="str">
        <f t="shared" si="68"/>
        <v>Within Band</v>
      </c>
      <c r="L385" s="30">
        <f t="shared" si="69"/>
        <v>3</v>
      </c>
      <c r="M385" s="26">
        <v>9.9000000000000005E-2</v>
      </c>
      <c r="N385" s="34">
        <f t="shared" si="70"/>
        <v>815500</v>
      </c>
      <c r="O385" s="31">
        <v>0.08</v>
      </c>
      <c r="P385" s="34">
        <f t="shared" si="71"/>
        <v>59400</v>
      </c>
      <c r="Q385" s="22" t="s">
        <v>1701</v>
      </c>
    </row>
    <row r="386" spans="1:17" x14ac:dyDescent="0.3">
      <c r="A386" s="22" t="s">
        <v>1338</v>
      </c>
      <c r="B386" t="str">
        <f t="shared" ref="B386:B449" si="72">INDEX(M_Name,MATCH($A386,M_ID,0))</f>
        <v>Mohit Desai</v>
      </c>
      <c r="C386" t="str">
        <f t="shared" ref="C386:C449" si="73">INDEX(M_Dept,MATCH($A386,M_ID,0))</f>
        <v>Legal &amp; Compliance</v>
      </c>
      <c r="D386" s="30" t="str">
        <f t="shared" ref="D386:D449" si="74">INDEX(M_Level,MATCH($A386,M_ID,0))</f>
        <v>L2</v>
      </c>
      <c r="E386" s="30" t="str">
        <f t="shared" ref="E386:E449" si="75">INDEX(M_Status,MATCH($A386,M_ID,0))</f>
        <v>Active</v>
      </c>
      <c r="F386" s="32">
        <v>952000</v>
      </c>
      <c r="G386" s="33">
        <f t="shared" ref="G386:G449" si="76">INDEX(BandMin,MATCH(D386,BandLevels,0))</f>
        <v>510000</v>
      </c>
      <c r="H386" s="33">
        <f t="shared" ref="H386:H449" si="77">INDEX(BandMid,MATCH(D386,BandLevels,0))</f>
        <v>855000</v>
      </c>
      <c r="I386" s="33">
        <f t="shared" ref="I386:I449" si="78">INDEX(BandMax,MATCH(D386,BandLevels,0))</f>
        <v>1200000</v>
      </c>
      <c r="J386" s="25">
        <f t="shared" ref="J386:J449" si="79">ROUND(F386/H386,2)</f>
        <v>1.1100000000000001</v>
      </c>
      <c r="K386" s="22" t="str">
        <f t="shared" ref="K386:K449" si="80">IF(F386&lt;G386,"Below Band",IF(F386&gt;I386,"Above Band","Within Band"))</f>
        <v>Within Band</v>
      </c>
      <c r="L386" s="30">
        <f t="shared" ref="L386:L449" si="81">INDEX(P_Rating,MATCH($A386,M_ID,0))</f>
        <v>3</v>
      </c>
      <c r="M386" s="26">
        <v>7.0999999999999994E-2</v>
      </c>
      <c r="N386" s="34">
        <f t="shared" ref="N386:N449" si="82">IF(E386="Exited",0,ROUND(F386*(1+M386),-2))</f>
        <v>1019600</v>
      </c>
      <c r="O386" s="31">
        <v>0.08</v>
      </c>
      <c r="P386" s="34">
        <f t="shared" ref="P386:P449" si="83">IF(E386="Exited",0,ROUND(F386*O386,-2))</f>
        <v>76200</v>
      </c>
      <c r="Q386" s="22" t="s">
        <v>1701</v>
      </c>
    </row>
    <row r="387" spans="1:17" x14ac:dyDescent="0.3">
      <c r="A387" s="22" t="s">
        <v>1341</v>
      </c>
      <c r="B387" t="str">
        <f t="shared" si="72"/>
        <v>Ajay Bose</v>
      </c>
      <c r="C387" t="str">
        <f t="shared" si="73"/>
        <v>Legal &amp; Compliance</v>
      </c>
      <c r="D387" s="30" t="str">
        <f t="shared" si="74"/>
        <v>L1</v>
      </c>
      <c r="E387" s="30" t="str">
        <f t="shared" si="75"/>
        <v>Active</v>
      </c>
      <c r="F387" s="32">
        <v>421000</v>
      </c>
      <c r="G387" s="33">
        <f t="shared" si="76"/>
        <v>297500</v>
      </c>
      <c r="H387" s="33">
        <f t="shared" si="77"/>
        <v>508750</v>
      </c>
      <c r="I387" s="33">
        <f t="shared" si="78"/>
        <v>720000</v>
      </c>
      <c r="J387" s="25">
        <f t="shared" si="79"/>
        <v>0.83</v>
      </c>
      <c r="K387" s="22" t="str">
        <f t="shared" si="80"/>
        <v>Within Band</v>
      </c>
      <c r="L387" s="30">
        <f t="shared" si="81"/>
        <v>5</v>
      </c>
      <c r="M387" s="26">
        <v>0.16700000000000001</v>
      </c>
      <c r="N387" s="34">
        <f t="shared" si="82"/>
        <v>491300</v>
      </c>
      <c r="O387" s="31">
        <v>0.1</v>
      </c>
      <c r="P387" s="34">
        <f t="shared" si="83"/>
        <v>42100</v>
      </c>
      <c r="Q387" s="22" t="s">
        <v>1701</v>
      </c>
    </row>
    <row r="388" spans="1:17" x14ac:dyDescent="0.3">
      <c r="A388" s="22" t="s">
        <v>1344</v>
      </c>
      <c r="B388" t="str">
        <f t="shared" si="72"/>
        <v>Rakesh Khanna</v>
      </c>
      <c r="C388" t="str">
        <f t="shared" si="73"/>
        <v>Marketing</v>
      </c>
      <c r="D388" s="30" t="str">
        <f t="shared" si="74"/>
        <v>L1</v>
      </c>
      <c r="E388" s="30" t="str">
        <f t="shared" si="75"/>
        <v>Active</v>
      </c>
      <c r="F388" s="32">
        <v>463000</v>
      </c>
      <c r="G388" s="33">
        <f t="shared" si="76"/>
        <v>297500</v>
      </c>
      <c r="H388" s="33">
        <f t="shared" si="77"/>
        <v>508750</v>
      </c>
      <c r="I388" s="33">
        <f t="shared" si="78"/>
        <v>720000</v>
      </c>
      <c r="J388" s="25">
        <f t="shared" si="79"/>
        <v>0.91</v>
      </c>
      <c r="K388" s="22" t="str">
        <f t="shared" si="80"/>
        <v>Within Band</v>
      </c>
      <c r="L388" s="30">
        <f t="shared" si="81"/>
        <v>3</v>
      </c>
      <c r="M388" s="26">
        <v>9.8000000000000004E-2</v>
      </c>
      <c r="N388" s="34">
        <f t="shared" si="82"/>
        <v>508400</v>
      </c>
      <c r="O388" s="31">
        <v>0.05</v>
      </c>
      <c r="P388" s="34">
        <f t="shared" si="83"/>
        <v>23200</v>
      </c>
      <c r="Q388" s="22" t="s">
        <v>1701</v>
      </c>
    </row>
    <row r="389" spans="1:17" x14ac:dyDescent="0.3">
      <c r="A389" s="22" t="s">
        <v>1347</v>
      </c>
      <c r="B389" t="str">
        <f t="shared" si="72"/>
        <v>Shreya Jain</v>
      </c>
      <c r="C389" t="str">
        <f t="shared" si="73"/>
        <v>Engineering</v>
      </c>
      <c r="D389" s="30" t="str">
        <f t="shared" si="74"/>
        <v>L2</v>
      </c>
      <c r="E389" s="30" t="str">
        <f t="shared" si="75"/>
        <v>Active</v>
      </c>
      <c r="F389" s="32">
        <v>794000</v>
      </c>
      <c r="G389" s="33">
        <f t="shared" si="76"/>
        <v>510000</v>
      </c>
      <c r="H389" s="33">
        <f t="shared" si="77"/>
        <v>855000</v>
      </c>
      <c r="I389" s="33">
        <f t="shared" si="78"/>
        <v>1200000</v>
      </c>
      <c r="J389" s="25">
        <f t="shared" si="79"/>
        <v>0.93</v>
      </c>
      <c r="K389" s="22" t="str">
        <f t="shared" si="80"/>
        <v>Within Band</v>
      </c>
      <c r="L389" s="30">
        <f t="shared" si="81"/>
        <v>3</v>
      </c>
      <c r="M389" s="26">
        <v>8.3000000000000004E-2</v>
      </c>
      <c r="N389" s="34">
        <f t="shared" si="82"/>
        <v>859900</v>
      </c>
      <c r="O389" s="31">
        <v>0.08</v>
      </c>
      <c r="P389" s="34">
        <f t="shared" si="83"/>
        <v>63500</v>
      </c>
      <c r="Q389" s="22" t="s">
        <v>1701</v>
      </c>
    </row>
    <row r="390" spans="1:17" x14ac:dyDescent="0.3">
      <c r="A390" s="22" t="s">
        <v>1350</v>
      </c>
      <c r="B390" t="str">
        <f t="shared" si="72"/>
        <v>Sneha Yadav</v>
      </c>
      <c r="C390" t="str">
        <f t="shared" si="73"/>
        <v>Engineering</v>
      </c>
      <c r="D390" s="30" t="str">
        <f t="shared" si="74"/>
        <v>L3</v>
      </c>
      <c r="E390" s="30" t="str">
        <f t="shared" si="75"/>
        <v>Active</v>
      </c>
      <c r="F390" s="32">
        <v>1562000</v>
      </c>
      <c r="G390" s="33">
        <f t="shared" si="76"/>
        <v>850000</v>
      </c>
      <c r="H390" s="33">
        <f t="shared" si="77"/>
        <v>1445000</v>
      </c>
      <c r="I390" s="33">
        <f t="shared" si="78"/>
        <v>2040000</v>
      </c>
      <c r="J390" s="25">
        <f t="shared" si="79"/>
        <v>1.08</v>
      </c>
      <c r="K390" s="22" t="str">
        <f t="shared" si="80"/>
        <v>Within Band</v>
      </c>
      <c r="L390" s="30">
        <f t="shared" si="81"/>
        <v>4</v>
      </c>
      <c r="M390" s="26">
        <v>0.12</v>
      </c>
      <c r="N390" s="34">
        <f t="shared" si="82"/>
        <v>1749400</v>
      </c>
      <c r="O390" s="31">
        <v>0.12</v>
      </c>
      <c r="P390" s="34">
        <f t="shared" si="83"/>
        <v>187400</v>
      </c>
      <c r="Q390" s="22" t="s">
        <v>1701</v>
      </c>
    </row>
    <row r="391" spans="1:17" x14ac:dyDescent="0.3">
      <c r="A391" s="22" t="s">
        <v>1353</v>
      </c>
      <c r="B391" t="str">
        <f t="shared" si="72"/>
        <v>Harsh Kapoor</v>
      </c>
      <c r="C391" t="str">
        <f t="shared" si="73"/>
        <v>Operations</v>
      </c>
      <c r="D391" s="30" t="str">
        <f t="shared" si="74"/>
        <v>L3</v>
      </c>
      <c r="E391" s="30" t="str">
        <f t="shared" si="75"/>
        <v>Active</v>
      </c>
      <c r="F391" s="32">
        <v>1004000</v>
      </c>
      <c r="G391" s="33">
        <f t="shared" si="76"/>
        <v>850000</v>
      </c>
      <c r="H391" s="33">
        <f t="shared" si="77"/>
        <v>1445000</v>
      </c>
      <c r="I391" s="33">
        <f t="shared" si="78"/>
        <v>2040000</v>
      </c>
      <c r="J391" s="25">
        <f t="shared" si="79"/>
        <v>0.69</v>
      </c>
      <c r="K391" s="22" t="str">
        <f t="shared" si="80"/>
        <v>Within Band</v>
      </c>
      <c r="L391" s="30">
        <f t="shared" si="81"/>
        <v>4</v>
      </c>
      <c r="M391" s="26">
        <v>0.13</v>
      </c>
      <c r="N391" s="34">
        <f t="shared" si="82"/>
        <v>1134500</v>
      </c>
      <c r="O391" s="31">
        <v>0.12</v>
      </c>
      <c r="P391" s="34">
        <f t="shared" si="83"/>
        <v>120500</v>
      </c>
      <c r="Q391" s="22" t="s">
        <v>1701</v>
      </c>
    </row>
    <row r="392" spans="1:17" x14ac:dyDescent="0.3">
      <c r="A392" s="22" t="s">
        <v>1356</v>
      </c>
      <c r="B392" t="str">
        <f t="shared" si="72"/>
        <v>Venkat Iyer</v>
      </c>
      <c r="C392" t="str">
        <f t="shared" si="73"/>
        <v>Data &amp; Analytics</v>
      </c>
      <c r="D392" s="30" t="str">
        <f t="shared" si="74"/>
        <v>L2</v>
      </c>
      <c r="E392" s="30" t="str">
        <f t="shared" si="75"/>
        <v>Exited</v>
      </c>
      <c r="F392" s="32">
        <v>813000</v>
      </c>
      <c r="G392" s="33">
        <f t="shared" si="76"/>
        <v>510000</v>
      </c>
      <c r="H392" s="33">
        <f t="shared" si="77"/>
        <v>855000</v>
      </c>
      <c r="I392" s="33">
        <f t="shared" si="78"/>
        <v>1200000</v>
      </c>
      <c r="J392" s="25">
        <f t="shared" si="79"/>
        <v>0.95</v>
      </c>
      <c r="K392" s="22" t="str">
        <f t="shared" si="80"/>
        <v>Within Band</v>
      </c>
      <c r="L392" s="30">
        <f t="shared" si="81"/>
        <v>3</v>
      </c>
      <c r="M392" s="26">
        <v>6.9000000000000006E-2</v>
      </c>
      <c r="N392" s="34">
        <f t="shared" si="82"/>
        <v>0</v>
      </c>
      <c r="O392" s="31">
        <v>0.08</v>
      </c>
      <c r="P392" s="34">
        <f t="shared" si="83"/>
        <v>0</v>
      </c>
      <c r="Q392" s="22" t="s">
        <v>1701</v>
      </c>
    </row>
    <row r="393" spans="1:17" x14ac:dyDescent="0.3">
      <c r="A393" s="22" t="s">
        <v>1359</v>
      </c>
      <c r="B393" t="str">
        <f t="shared" si="72"/>
        <v>Sowmya Khan</v>
      </c>
      <c r="C393" t="str">
        <f t="shared" si="73"/>
        <v>Legal &amp; Compliance</v>
      </c>
      <c r="D393" s="30" t="str">
        <f t="shared" si="74"/>
        <v>L1</v>
      </c>
      <c r="E393" s="30" t="str">
        <f t="shared" si="75"/>
        <v>Active</v>
      </c>
      <c r="F393" s="32">
        <v>476000</v>
      </c>
      <c r="G393" s="33">
        <f t="shared" si="76"/>
        <v>297500</v>
      </c>
      <c r="H393" s="33">
        <f t="shared" si="77"/>
        <v>508750</v>
      </c>
      <c r="I393" s="33">
        <f t="shared" si="78"/>
        <v>720000</v>
      </c>
      <c r="J393" s="25">
        <f t="shared" si="79"/>
        <v>0.94</v>
      </c>
      <c r="K393" s="22" t="str">
        <f t="shared" si="80"/>
        <v>Within Band</v>
      </c>
      <c r="L393" s="30">
        <f t="shared" si="81"/>
        <v>2</v>
      </c>
      <c r="M393" s="26">
        <v>2.5999999999999999E-2</v>
      </c>
      <c r="N393" s="34">
        <f t="shared" si="82"/>
        <v>488400</v>
      </c>
      <c r="O393" s="31">
        <v>0.02</v>
      </c>
      <c r="P393" s="34">
        <f t="shared" si="83"/>
        <v>9500</v>
      </c>
      <c r="Q393" s="22" t="s">
        <v>1701</v>
      </c>
    </row>
    <row r="394" spans="1:17" x14ac:dyDescent="0.3">
      <c r="A394" s="22" t="s">
        <v>1362</v>
      </c>
      <c r="B394" t="str">
        <f t="shared" si="72"/>
        <v>Suresh Chatterjee</v>
      </c>
      <c r="C394" t="str">
        <f t="shared" si="73"/>
        <v>Product</v>
      </c>
      <c r="D394" s="30" t="str">
        <f t="shared" si="74"/>
        <v>L4</v>
      </c>
      <c r="E394" s="30" t="str">
        <f t="shared" si="75"/>
        <v>Active</v>
      </c>
      <c r="F394" s="32">
        <v>2905000</v>
      </c>
      <c r="G394" s="33">
        <f t="shared" si="76"/>
        <v>1445000</v>
      </c>
      <c r="H394" s="33">
        <f t="shared" si="77"/>
        <v>2342500</v>
      </c>
      <c r="I394" s="33">
        <f t="shared" si="78"/>
        <v>3240000</v>
      </c>
      <c r="J394" s="25">
        <f t="shared" si="79"/>
        <v>1.24</v>
      </c>
      <c r="K394" s="22" t="str">
        <f t="shared" si="80"/>
        <v>Within Band</v>
      </c>
      <c r="L394" s="30">
        <f t="shared" si="81"/>
        <v>5</v>
      </c>
      <c r="M394" s="26">
        <v>0.161</v>
      </c>
      <c r="N394" s="34">
        <f t="shared" si="82"/>
        <v>3372700</v>
      </c>
      <c r="O394" s="31">
        <v>0.18</v>
      </c>
      <c r="P394" s="34">
        <f t="shared" si="83"/>
        <v>522900</v>
      </c>
      <c r="Q394" s="22" t="s">
        <v>1700</v>
      </c>
    </row>
    <row r="395" spans="1:17" x14ac:dyDescent="0.3">
      <c r="A395" s="22" t="s">
        <v>1365</v>
      </c>
      <c r="B395" t="str">
        <f t="shared" si="72"/>
        <v>Aditya Das</v>
      </c>
      <c r="C395" t="str">
        <f t="shared" si="73"/>
        <v>Engineering</v>
      </c>
      <c r="D395" s="30" t="str">
        <f t="shared" si="74"/>
        <v>L1</v>
      </c>
      <c r="E395" s="30" t="str">
        <f t="shared" si="75"/>
        <v>Exited</v>
      </c>
      <c r="F395" s="32">
        <v>696000</v>
      </c>
      <c r="G395" s="33">
        <f t="shared" si="76"/>
        <v>297500</v>
      </c>
      <c r="H395" s="33">
        <f t="shared" si="77"/>
        <v>508750</v>
      </c>
      <c r="I395" s="33">
        <f t="shared" si="78"/>
        <v>720000</v>
      </c>
      <c r="J395" s="25">
        <f t="shared" si="79"/>
        <v>1.37</v>
      </c>
      <c r="K395" s="22" t="str">
        <f t="shared" si="80"/>
        <v>Within Band</v>
      </c>
      <c r="L395" s="30">
        <f t="shared" si="81"/>
        <v>5</v>
      </c>
      <c r="M395" s="26">
        <v>0.182</v>
      </c>
      <c r="N395" s="34">
        <f t="shared" si="82"/>
        <v>0</v>
      </c>
      <c r="O395" s="31">
        <v>0.1</v>
      </c>
      <c r="P395" s="34">
        <f t="shared" si="83"/>
        <v>0</v>
      </c>
      <c r="Q395" s="22" t="s">
        <v>1701</v>
      </c>
    </row>
    <row r="396" spans="1:17" x14ac:dyDescent="0.3">
      <c r="A396" s="22" t="s">
        <v>1368</v>
      </c>
      <c r="B396" t="str">
        <f t="shared" si="72"/>
        <v>Ankit Banerjee</v>
      </c>
      <c r="C396" t="str">
        <f t="shared" si="73"/>
        <v>Operations</v>
      </c>
      <c r="D396" s="30" t="str">
        <f t="shared" si="74"/>
        <v>L2</v>
      </c>
      <c r="E396" s="30" t="str">
        <f t="shared" si="75"/>
        <v>Active</v>
      </c>
      <c r="F396" s="32">
        <v>881000</v>
      </c>
      <c r="G396" s="33">
        <f t="shared" si="76"/>
        <v>510000</v>
      </c>
      <c r="H396" s="33">
        <f t="shared" si="77"/>
        <v>855000</v>
      </c>
      <c r="I396" s="33">
        <f t="shared" si="78"/>
        <v>1200000</v>
      </c>
      <c r="J396" s="25">
        <f t="shared" si="79"/>
        <v>1.03</v>
      </c>
      <c r="K396" s="22" t="str">
        <f t="shared" si="80"/>
        <v>Within Band</v>
      </c>
      <c r="L396" s="30">
        <f t="shared" si="81"/>
        <v>3</v>
      </c>
      <c r="M396" s="26">
        <v>8.7999999999999995E-2</v>
      </c>
      <c r="N396" s="34">
        <f t="shared" si="82"/>
        <v>958500</v>
      </c>
      <c r="O396" s="31">
        <v>0.08</v>
      </c>
      <c r="P396" s="34">
        <f t="shared" si="83"/>
        <v>70500</v>
      </c>
      <c r="Q396" s="22" t="s">
        <v>1701</v>
      </c>
    </row>
    <row r="397" spans="1:17" x14ac:dyDescent="0.3">
      <c r="A397" s="22" t="s">
        <v>1371</v>
      </c>
      <c r="B397" t="str">
        <f t="shared" si="72"/>
        <v>Aniket Hegde</v>
      </c>
      <c r="C397" t="str">
        <f t="shared" si="73"/>
        <v>Marketing</v>
      </c>
      <c r="D397" s="30" t="str">
        <f t="shared" si="74"/>
        <v>L3</v>
      </c>
      <c r="E397" s="30" t="str">
        <f t="shared" si="75"/>
        <v>Active</v>
      </c>
      <c r="F397" s="32">
        <v>1080000</v>
      </c>
      <c r="G397" s="33">
        <f t="shared" si="76"/>
        <v>850000</v>
      </c>
      <c r="H397" s="33">
        <f t="shared" si="77"/>
        <v>1445000</v>
      </c>
      <c r="I397" s="33">
        <f t="shared" si="78"/>
        <v>2040000</v>
      </c>
      <c r="J397" s="25">
        <f t="shared" si="79"/>
        <v>0.75</v>
      </c>
      <c r="K397" s="22" t="str">
        <f t="shared" si="80"/>
        <v>Within Band</v>
      </c>
      <c r="L397" s="30">
        <f t="shared" si="81"/>
        <v>4</v>
      </c>
      <c r="M397" s="26">
        <v>0.121</v>
      </c>
      <c r="N397" s="34">
        <f t="shared" si="82"/>
        <v>1210700</v>
      </c>
      <c r="O397" s="31">
        <v>0.12</v>
      </c>
      <c r="P397" s="34">
        <f t="shared" si="83"/>
        <v>129600</v>
      </c>
      <c r="Q397" s="22" t="s">
        <v>1701</v>
      </c>
    </row>
    <row r="398" spans="1:17" x14ac:dyDescent="0.3">
      <c r="A398" s="22" t="s">
        <v>1374</v>
      </c>
      <c r="B398" t="str">
        <f t="shared" si="72"/>
        <v>Bhavana Dsouza</v>
      </c>
      <c r="C398" t="str">
        <f t="shared" si="73"/>
        <v>Product</v>
      </c>
      <c r="D398" s="30" t="str">
        <f t="shared" si="74"/>
        <v>L3</v>
      </c>
      <c r="E398" s="30" t="str">
        <f t="shared" si="75"/>
        <v>Active</v>
      </c>
      <c r="F398" s="32">
        <v>1827000</v>
      </c>
      <c r="G398" s="33">
        <f t="shared" si="76"/>
        <v>850000</v>
      </c>
      <c r="H398" s="33">
        <f t="shared" si="77"/>
        <v>1445000</v>
      </c>
      <c r="I398" s="33">
        <f t="shared" si="78"/>
        <v>2040000</v>
      </c>
      <c r="J398" s="25">
        <f t="shared" si="79"/>
        <v>1.26</v>
      </c>
      <c r="K398" s="22" t="str">
        <f t="shared" si="80"/>
        <v>Within Band</v>
      </c>
      <c r="L398" s="30">
        <f t="shared" si="81"/>
        <v>2</v>
      </c>
      <c r="M398" s="26">
        <v>2.8000000000000001E-2</v>
      </c>
      <c r="N398" s="34">
        <f t="shared" si="82"/>
        <v>1878200</v>
      </c>
      <c r="O398" s="31">
        <v>0.03</v>
      </c>
      <c r="P398" s="34">
        <f t="shared" si="83"/>
        <v>54800</v>
      </c>
      <c r="Q398" s="22" t="s">
        <v>1701</v>
      </c>
    </row>
    <row r="399" spans="1:17" x14ac:dyDescent="0.3">
      <c r="A399" s="22" t="s">
        <v>1377</v>
      </c>
      <c r="B399" t="str">
        <f t="shared" si="72"/>
        <v>Vidya Desai</v>
      </c>
      <c r="C399" t="str">
        <f t="shared" si="73"/>
        <v>Customer Support</v>
      </c>
      <c r="D399" s="30" t="str">
        <f t="shared" si="74"/>
        <v>L2</v>
      </c>
      <c r="E399" s="30" t="str">
        <f t="shared" si="75"/>
        <v>Active</v>
      </c>
      <c r="F399" s="32">
        <v>646000</v>
      </c>
      <c r="G399" s="33">
        <f t="shared" si="76"/>
        <v>510000</v>
      </c>
      <c r="H399" s="33">
        <f t="shared" si="77"/>
        <v>855000</v>
      </c>
      <c r="I399" s="33">
        <f t="shared" si="78"/>
        <v>1200000</v>
      </c>
      <c r="J399" s="25">
        <f t="shared" si="79"/>
        <v>0.76</v>
      </c>
      <c r="K399" s="22" t="str">
        <f t="shared" si="80"/>
        <v>Within Band</v>
      </c>
      <c r="L399" s="30">
        <f t="shared" si="81"/>
        <v>2</v>
      </c>
      <c r="M399" s="26">
        <v>3.1E-2</v>
      </c>
      <c r="N399" s="34">
        <f t="shared" si="82"/>
        <v>666000</v>
      </c>
      <c r="O399" s="31">
        <v>0.03</v>
      </c>
      <c r="P399" s="34">
        <f t="shared" si="83"/>
        <v>19400</v>
      </c>
      <c r="Q399" s="22" t="s">
        <v>1701</v>
      </c>
    </row>
    <row r="400" spans="1:17" x14ac:dyDescent="0.3">
      <c r="A400" s="22" t="s">
        <v>1380</v>
      </c>
      <c r="B400" t="str">
        <f t="shared" si="72"/>
        <v>Vishal Kumar</v>
      </c>
      <c r="C400" t="str">
        <f t="shared" si="73"/>
        <v>Legal &amp; Compliance</v>
      </c>
      <c r="D400" s="30" t="str">
        <f t="shared" si="74"/>
        <v>L4</v>
      </c>
      <c r="E400" s="30" t="str">
        <f t="shared" si="75"/>
        <v>Active</v>
      </c>
      <c r="F400" s="32">
        <v>1869000</v>
      </c>
      <c r="G400" s="33">
        <f t="shared" si="76"/>
        <v>1445000</v>
      </c>
      <c r="H400" s="33">
        <f t="shared" si="77"/>
        <v>2342500</v>
      </c>
      <c r="I400" s="33">
        <f t="shared" si="78"/>
        <v>3240000</v>
      </c>
      <c r="J400" s="25">
        <f t="shared" si="79"/>
        <v>0.8</v>
      </c>
      <c r="K400" s="22" t="str">
        <f t="shared" si="80"/>
        <v>Within Band</v>
      </c>
      <c r="L400" s="30">
        <f t="shared" si="81"/>
        <v>3</v>
      </c>
      <c r="M400" s="26">
        <v>6.9000000000000006E-2</v>
      </c>
      <c r="N400" s="34">
        <f t="shared" si="82"/>
        <v>1998000</v>
      </c>
      <c r="O400" s="31">
        <v>0.08</v>
      </c>
      <c r="P400" s="34">
        <f t="shared" si="83"/>
        <v>149500</v>
      </c>
      <c r="Q400" s="22" t="s">
        <v>1701</v>
      </c>
    </row>
    <row r="401" spans="1:17" x14ac:dyDescent="0.3">
      <c r="A401" s="22" t="s">
        <v>1383</v>
      </c>
      <c r="B401" t="str">
        <f t="shared" si="72"/>
        <v>Suresh Singh</v>
      </c>
      <c r="C401" t="str">
        <f t="shared" si="73"/>
        <v>Customer Support</v>
      </c>
      <c r="D401" s="30" t="str">
        <f t="shared" si="74"/>
        <v>L2</v>
      </c>
      <c r="E401" s="30" t="str">
        <f t="shared" si="75"/>
        <v>Active</v>
      </c>
      <c r="F401" s="32">
        <v>491000</v>
      </c>
      <c r="G401" s="33">
        <f t="shared" si="76"/>
        <v>510000</v>
      </c>
      <c r="H401" s="33">
        <f t="shared" si="77"/>
        <v>855000</v>
      </c>
      <c r="I401" s="33">
        <f t="shared" si="78"/>
        <v>1200000</v>
      </c>
      <c r="J401" s="25">
        <f t="shared" si="79"/>
        <v>0.56999999999999995</v>
      </c>
      <c r="K401" s="22" t="str">
        <f t="shared" si="80"/>
        <v>Below Band</v>
      </c>
      <c r="L401" s="30">
        <f t="shared" si="81"/>
        <v>2</v>
      </c>
      <c r="M401" s="26">
        <v>3.6999999999999998E-2</v>
      </c>
      <c r="N401" s="34">
        <f t="shared" si="82"/>
        <v>509200</v>
      </c>
      <c r="O401" s="31">
        <v>0.03</v>
      </c>
      <c r="P401" s="34">
        <f t="shared" si="83"/>
        <v>14700</v>
      </c>
      <c r="Q401" s="22" t="s">
        <v>1701</v>
      </c>
    </row>
    <row r="402" spans="1:17" x14ac:dyDescent="0.3">
      <c r="A402" s="22" t="s">
        <v>1386</v>
      </c>
      <c r="B402" t="str">
        <f t="shared" si="72"/>
        <v>Mansi Yadav</v>
      </c>
      <c r="C402" t="str">
        <f t="shared" si="73"/>
        <v>Engineering</v>
      </c>
      <c r="D402" s="30" t="str">
        <f t="shared" si="74"/>
        <v>L1</v>
      </c>
      <c r="E402" s="30" t="str">
        <f t="shared" si="75"/>
        <v>Active</v>
      </c>
      <c r="F402" s="32">
        <v>688000</v>
      </c>
      <c r="G402" s="33">
        <f t="shared" si="76"/>
        <v>297500</v>
      </c>
      <c r="H402" s="33">
        <f t="shared" si="77"/>
        <v>508750</v>
      </c>
      <c r="I402" s="33">
        <f t="shared" si="78"/>
        <v>720000</v>
      </c>
      <c r="J402" s="25">
        <f t="shared" si="79"/>
        <v>1.35</v>
      </c>
      <c r="K402" s="22" t="str">
        <f t="shared" si="80"/>
        <v>Within Band</v>
      </c>
      <c r="L402" s="30">
        <f t="shared" si="81"/>
        <v>2</v>
      </c>
      <c r="M402" s="26">
        <v>2.3E-2</v>
      </c>
      <c r="N402" s="34">
        <f t="shared" si="82"/>
        <v>703800</v>
      </c>
      <c r="O402" s="31">
        <v>0.02</v>
      </c>
      <c r="P402" s="34">
        <f t="shared" si="83"/>
        <v>13800</v>
      </c>
      <c r="Q402" s="22" t="s">
        <v>1701</v>
      </c>
    </row>
    <row r="403" spans="1:17" x14ac:dyDescent="0.3">
      <c r="A403" s="22" t="s">
        <v>1389</v>
      </c>
      <c r="B403" t="str">
        <f t="shared" si="72"/>
        <v>Tarun Prabhu</v>
      </c>
      <c r="C403" t="str">
        <f t="shared" si="73"/>
        <v>Product</v>
      </c>
      <c r="D403" s="30" t="str">
        <f t="shared" si="74"/>
        <v>L1</v>
      </c>
      <c r="E403" s="30" t="str">
        <f t="shared" si="75"/>
        <v>Active</v>
      </c>
      <c r="F403" s="32">
        <v>594000</v>
      </c>
      <c r="G403" s="33">
        <f t="shared" si="76"/>
        <v>297500</v>
      </c>
      <c r="H403" s="33">
        <f t="shared" si="77"/>
        <v>508750</v>
      </c>
      <c r="I403" s="33">
        <f t="shared" si="78"/>
        <v>720000</v>
      </c>
      <c r="J403" s="25">
        <f t="shared" si="79"/>
        <v>1.17</v>
      </c>
      <c r="K403" s="22" t="str">
        <f t="shared" si="80"/>
        <v>Within Band</v>
      </c>
      <c r="L403" s="30">
        <f t="shared" si="81"/>
        <v>3</v>
      </c>
      <c r="M403" s="26">
        <v>0.1</v>
      </c>
      <c r="N403" s="34">
        <f t="shared" si="82"/>
        <v>653400</v>
      </c>
      <c r="O403" s="31">
        <v>0.05</v>
      </c>
      <c r="P403" s="34">
        <f t="shared" si="83"/>
        <v>29700</v>
      </c>
      <c r="Q403" s="22" t="s">
        <v>1701</v>
      </c>
    </row>
    <row r="404" spans="1:17" x14ac:dyDescent="0.3">
      <c r="A404" s="22" t="s">
        <v>1392</v>
      </c>
      <c r="B404" t="str">
        <f t="shared" si="72"/>
        <v>Tarun Naidu</v>
      </c>
      <c r="C404" t="str">
        <f t="shared" si="73"/>
        <v>Sales</v>
      </c>
      <c r="D404" s="30" t="str">
        <f t="shared" si="74"/>
        <v>L2</v>
      </c>
      <c r="E404" s="30" t="str">
        <f t="shared" si="75"/>
        <v>Exited</v>
      </c>
      <c r="F404" s="32">
        <v>760000</v>
      </c>
      <c r="G404" s="33">
        <f t="shared" si="76"/>
        <v>510000</v>
      </c>
      <c r="H404" s="33">
        <f t="shared" si="77"/>
        <v>855000</v>
      </c>
      <c r="I404" s="33">
        <f t="shared" si="78"/>
        <v>1200000</v>
      </c>
      <c r="J404" s="25">
        <f t="shared" si="79"/>
        <v>0.89</v>
      </c>
      <c r="K404" s="22" t="str">
        <f t="shared" si="80"/>
        <v>Within Band</v>
      </c>
      <c r="L404" s="30">
        <f t="shared" si="81"/>
        <v>2</v>
      </c>
      <c r="M404" s="26">
        <v>3.9E-2</v>
      </c>
      <c r="N404" s="34">
        <f t="shared" si="82"/>
        <v>0</v>
      </c>
      <c r="O404" s="31">
        <v>0.03</v>
      </c>
      <c r="P404" s="34">
        <f t="shared" si="83"/>
        <v>0</v>
      </c>
      <c r="Q404" s="22" t="s">
        <v>1701</v>
      </c>
    </row>
    <row r="405" spans="1:17" x14ac:dyDescent="0.3">
      <c r="A405" s="22" t="s">
        <v>1395</v>
      </c>
      <c r="B405" t="str">
        <f t="shared" si="72"/>
        <v>Meera Khanna</v>
      </c>
      <c r="C405" t="str">
        <f t="shared" si="73"/>
        <v>Operations</v>
      </c>
      <c r="D405" s="30" t="str">
        <f t="shared" si="74"/>
        <v>L1</v>
      </c>
      <c r="E405" s="30" t="str">
        <f t="shared" si="75"/>
        <v>Active</v>
      </c>
      <c r="F405" s="32">
        <v>340000</v>
      </c>
      <c r="G405" s="33">
        <f t="shared" si="76"/>
        <v>297500</v>
      </c>
      <c r="H405" s="33">
        <f t="shared" si="77"/>
        <v>508750</v>
      </c>
      <c r="I405" s="33">
        <f t="shared" si="78"/>
        <v>720000</v>
      </c>
      <c r="J405" s="25">
        <f t="shared" si="79"/>
        <v>0.67</v>
      </c>
      <c r="K405" s="22" t="str">
        <f t="shared" si="80"/>
        <v>Within Band</v>
      </c>
      <c r="L405" s="30">
        <f t="shared" si="81"/>
        <v>4</v>
      </c>
      <c r="M405" s="26">
        <v>0.126</v>
      </c>
      <c r="N405" s="34">
        <f t="shared" si="82"/>
        <v>382800</v>
      </c>
      <c r="O405" s="31">
        <v>0.08</v>
      </c>
      <c r="P405" s="34">
        <f t="shared" si="83"/>
        <v>27200</v>
      </c>
      <c r="Q405" s="22" t="s">
        <v>1701</v>
      </c>
    </row>
    <row r="406" spans="1:17" x14ac:dyDescent="0.3">
      <c r="A406" s="22" t="s">
        <v>1398</v>
      </c>
      <c r="B406" t="str">
        <f t="shared" si="72"/>
        <v>Rashmi Banerjee</v>
      </c>
      <c r="C406" t="str">
        <f t="shared" si="73"/>
        <v>Human Resources</v>
      </c>
      <c r="D406" s="30" t="str">
        <f t="shared" si="74"/>
        <v>L1</v>
      </c>
      <c r="E406" s="30" t="str">
        <f t="shared" si="75"/>
        <v>Active</v>
      </c>
      <c r="F406" s="32">
        <v>441000</v>
      </c>
      <c r="G406" s="33">
        <f t="shared" si="76"/>
        <v>297500</v>
      </c>
      <c r="H406" s="33">
        <f t="shared" si="77"/>
        <v>508750</v>
      </c>
      <c r="I406" s="33">
        <f t="shared" si="78"/>
        <v>720000</v>
      </c>
      <c r="J406" s="25">
        <f t="shared" si="79"/>
        <v>0.87</v>
      </c>
      <c r="K406" s="22" t="str">
        <f t="shared" si="80"/>
        <v>Within Band</v>
      </c>
      <c r="L406" s="30">
        <f t="shared" si="81"/>
        <v>3</v>
      </c>
      <c r="M406" s="26">
        <v>0.1</v>
      </c>
      <c r="N406" s="34">
        <f t="shared" si="82"/>
        <v>485100</v>
      </c>
      <c r="O406" s="31">
        <v>0.05</v>
      </c>
      <c r="P406" s="34">
        <f t="shared" si="83"/>
        <v>22100</v>
      </c>
      <c r="Q406" s="22" t="s">
        <v>1701</v>
      </c>
    </row>
    <row r="407" spans="1:17" x14ac:dyDescent="0.3">
      <c r="A407" s="22" t="s">
        <v>1401</v>
      </c>
      <c r="B407" t="str">
        <f t="shared" si="72"/>
        <v>Anand Bose</v>
      </c>
      <c r="C407" t="str">
        <f t="shared" si="73"/>
        <v>Operations</v>
      </c>
      <c r="D407" s="30" t="str">
        <f t="shared" si="74"/>
        <v>L2</v>
      </c>
      <c r="E407" s="30" t="str">
        <f t="shared" si="75"/>
        <v>Exited</v>
      </c>
      <c r="F407" s="32">
        <v>779000</v>
      </c>
      <c r="G407" s="33">
        <f t="shared" si="76"/>
        <v>510000</v>
      </c>
      <c r="H407" s="33">
        <f t="shared" si="77"/>
        <v>855000</v>
      </c>
      <c r="I407" s="33">
        <f t="shared" si="78"/>
        <v>1200000</v>
      </c>
      <c r="J407" s="25">
        <f t="shared" si="79"/>
        <v>0.91</v>
      </c>
      <c r="K407" s="22" t="str">
        <f t="shared" si="80"/>
        <v>Within Band</v>
      </c>
      <c r="L407" s="30">
        <f t="shared" si="81"/>
        <v>3</v>
      </c>
      <c r="M407" s="26">
        <v>7.4999999999999997E-2</v>
      </c>
      <c r="N407" s="34">
        <f t="shared" si="82"/>
        <v>0</v>
      </c>
      <c r="O407" s="31">
        <v>0.08</v>
      </c>
      <c r="P407" s="34">
        <f t="shared" si="83"/>
        <v>0</v>
      </c>
      <c r="Q407" s="22" t="s">
        <v>1701</v>
      </c>
    </row>
    <row r="408" spans="1:17" x14ac:dyDescent="0.3">
      <c r="A408" s="22" t="s">
        <v>823</v>
      </c>
      <c r="B408" t="str">
        <f t="shared" si="72"/>
        <v>Anand Naidu</v>
      </c>
      <c r="C408" t="str">
        <f t="shared" si="73"/>
        <v>Customer Support</v>
      </c>
      <c r="D408" s="30" t="str">
        <f t="shared" si="74"/>
        <v>L5</v>
      </c>
      <c r="E408" s="30" t="str">
        <f t="shared" si="75"/>
        <v>Active</v>
      </c>
      <c r="F408" s="32">
        <v>2253000</v>
      </c>
      <c r="G408" s="33">
        <f t="shared" si="76"/>
        <v>2295000</v>
      </c>
      <c r="H408" s="33">
        <f t="shared" si="77"/>
        <v>3667500</v>
      </c>
      <c r="I408" s="33">
        <f t="shared" si="78"/>
        <v>5040000</v>
      </c>
      <c r="J408" s="25">
        <f t="shared" si="79"/>
        <v>0.61</v>
      </c>
      <c r="K408" s="22" t="str">
        <f t="shared" si="80"/>
        <v>Below Band</v>
      </c>
      <c r="L408" s="30">
        <f t="shared" si="81"/>
        <v>3</v>
      </c>
      <c r="M408" s="26">
        <v>7.5999999999999998E-2</v>
      </c>
      <c r="N408" s="34">
        <f t="shared" si="82"/>
        <v>2424200</v>
      </c>
      <c r="O408" s="31">
        <v>0.08</v>
      </c>
      <c r="P408" s="34">
        <f t="shared" si="83"/>
        <v>180200</v>
      </c>
      <c r="Q408" s="22" t="s">
        <v>1700</v>
      </c>
    </row>
    <row r="409" spans="1:17" x14ac:dyDescent="0.3">
      <c r="A409" s="22" t="s">
        <v>1405</v>
      </c>
      <c r="B409" t="str">
        <f t="shared" si="72"/>
        <v>Rashmi Kamath</v>
      </c>
      <c r="C409" t="str">
        <f t="shared" si="73"/>
        <v>Customer Support</v>
      </c>
      <c r="D409" s="30" t="str">
        <f t="shared" si="74"/>
        <v>L2</v>
      </c>
      <c r="E409" s="30" t="str">
        <f t="shared" si="75"/>
        <v>Active</v>
      </c>
      <c r="F409" s="32">
        <v>671000</v>
      </c>
      <c r="G409" s="33">
        <f t="shared" si="76"/>
        <v>510000</v>
      </c>
      <c r="H409" s="33">
        <f t="shared" si="77"/>
        <v>855000</v>
      </c>
      <c r="I409" s="33">
        <f t="shared" si="78"/>
        <v>1200000</v>
      </c>
      <c r="J409" s="25">
        <f t="shared" si="79"/>
        <v>0.78</v>
      </c>
      <c r="K409" s="22" t="str">
        <f t="shared" si="80"/>
        <v>Within Band</v>
      </c>
      <c r="L409" s="30">
        <f t="shared" si="81"/>
        <v>2</v>
      </c>
      <c r="M409" s="26">
        <v>4.4999999999999998E-2</v>
      </c>
      <c r="N409" s="34">
        <f t="shared" si="82"/>
        <v>701200</v>
      </c>
      <c r="O409" s="31">
        <v>0.03</v>
      </c>
      <c r="P409" s="34">
        <f t="shared" si="83"/>
        <v>20100</v>
      </c>
      <c r="Q409" s="22" t="s">
        <v>1701</v>
      </c>
    </row>
    <row r="410" spans="1:17" x14ac:dyDescent="0.3">
      <c r="A410" s="22" t="s">
        <v>1408</v>
      </c>
      <c r="B410" t="str">
        <f t="shared" si="72"/>
        <v>Radhika Menon</v>
      </c>
      <c r="C410" t="str">
        <f t="shared" si="73"/>
        <v>Operations</v>
      </c>
      <c r="D410" s="30" t="str">
        <f t="shared" si="74"/>
        <v>L2</v>
      </c>
      <c r="E410" s="30" t="str">
        <f t="shared" si="75"/>
        <v>Active</v>
      </c>
      <c r="F410" s="32">
        <v>720000</v>
      </c>
      <c r="G410" s="33">
        <f t="shared" si="76"/>
        <v>510000</v>
      </c>
      <c r="H410" s="33">
        <f t="shared" si="77"/>
        <v>855000</v>
      </c>
      <c r="I410" s="33">
        <f t="shared" si="78"/>
        <v>1200000</v>
      </c>
      <c r="J410" s="25">
        <f t="shared" si="79"/>
        <v>0.84</v>
      </c>
      <c r="K410" s="22" t="str">
        <f t="shared" si="80"/>
        <v>Within Band</v>
      </c>
      <c r="L410" s="30">
        <f t="shared" si="81"/>
        <v>3</v>
      </c>
      <c r="M410" s="26">
        <v>7.9000000000000001E-2</v>
      </c>
      <c r="N410" s="34">
        <f t="shared" si="82"/>
        <v>776900</v>
      </c>
      <c r="O410" s="31">
        <v>0.08</v>
      </c>
      <c r="P410" s="34">
        <f t="shared" si="83"/>
        <v>57600</v>
      </c>
      <c r="Q410" s="22" t="s">
        <v>1701</v>
      </c>
    </row>
    <row r="411" spans="1:17" x14ac:dyDescent="0.3">
      <c r="A411" s="22" t="s">
        <v>258</v>
      </c>
      <c r="B411" t="str">
        <f t="shared" si="72"/>
        <v>Ravi Prabhu</v>
      </c>
      <c r="C411" t="str">
        <f t="shared" si="73"/>
        <v>Finance</v>
      </c>
      <c r="D411" s="30" t="str">
        <f t="shared" si="74"/>
        <v>L5</v>
      </c>
      <c r="E411" s="30" t="str">
        <f t="shared" si="75"/>
        <v>Active</v>
      </c>
      <c r="F411" s="32">
        <v>4014000</v>
      </c>
      <c r="G411" s="33">
        <f t="shared" si="76"/>
        <v>2295000</v>
      </c>
      <c r="H411" s="33">
        <f t="shared" si="77"/>
        <v>3667500</v>
      </c>
      <c r="I411" s="33">
        <f t="shared" si="78"/>
        <v>5040000</v>
      </c>
      <c r="J411" s="25">
        <f t="shared" si="79"/>
        <v>1.0900000000000001</v>
      </c>
      <c r="K411" s="22" t="str">
        <f t="shared" si="80"/>
        <v>Within Band</v>
      </c>
      <c r="L411" s="30">
        <f t="shared" si="81"/>
        <v>4</v>
      </c>
      <c r="M411" s="26">
        <v>0.11899999999999999</v>
      </c>
      <c r="N411" s="34">
        <f t="shared" si="82"/>
        <v>4491700</v>
      </c>
      <c r="O411" s="31">
        <v>0.12</v>
      </c>
      <c r="P411" s="34">
        <f t="shared" si="83"/>
        <v>481700</v>
      </c>
      <c r="Q411" s="22" t="s">
        <v>1700</v>
      </c>
    </row>
    <row r="412" spans="1:17" x14ac:dyDescent="0.3">
      <c r="A412" s="22" t="s">
        <v>1412</v>
      </c>
      <c r="B412" t="str">
        <f t="shared" si="72"/>
        <v>Kunal Joshi</v>
      </c>
      <c r="C412" t="str">
        <f t="shared" si="73"/>
        <v>Engineering</v>
      </c>
      <c r="D412" s="30" t="str">
        <f t="shared" si="74"/>
        <v>L2</v>
      </c>
      <c r="E412" s="30" t="str">
        <f t="shared" si="75"/>
        <v>Active</v>
      </c>
      <c r="F412" s="32">
        <v>1203000</v>
      </c>
      <c r="G412" s="33">
        <f t="shared" si="76"/>
        <v>510000</v>
      </c>
      <c r="H412" s="33">
        <f t="shared" si="77"/>
        <v>855000</v>
      </c>
      <c r="I412" s="33">
        <f t="shared" si="78"/>
        <v>1200000</v>
      </c>
      <c r="J412" s="25">
        <f t="shared" si="79"/>
        <v>1.41</v>
      </c>
      <c r="K412" s="22" t="str">
        <f t="shared" si="80"/>
        <v>Above Band</v>
      </c>
      <c r="L412" s="30">
        <f t="shared" si="81"/>
        <v>5</v>
      </c>
      <c r="M412" s="26">
        <v>0.182</v>
      </c>
      <c r="N412" s="34">
        <f t="shared" si="82"/>
        <v>1421900</v>
      </c>
      <c r="O412" s="31">
        <v>0.18</v>
      </c>
      <c r="P412" s="34">
        <f t="shared" si="83"/>
        <v>216500</v>
      </c>
      <c r="Q412" s="22" t="s">
        <v>1701</v>
      </c>
    </row>
    <row r="413" spans="1:17" x14ac:dyDescent="0.3">
      <c r="A413" s="22" t="s">
        <v>1415</v>
      </c>
      <c r="B413" t="str">
        <f t="shared" si="72"/>
        <v>Ritu Varghese</v>
      </c>
      <c r="C413" t="str">
        <f t="shared" si="73"/>
        <v>Marketing</v>
      </c>
      <c r="D413" s="30" t="str">
        <f t="shared" si="74"/>
        <v>L1</v>
      </c>
      <c r="E413" s="30" t="str">
        <f t="shared" si="75"/>
        <v>Active</v>
      </c>
      <c r="F413" s="32">
        <v>490000</v>
      </c>
      <c r="G413" s="33">
        <f t="shared" si="76"/>
        <v>297500</v>
      </c>
      <c r="H413" s="33">
        <f t="shared" si="77"/>
        <v>508750</v>
      </c>
      <c r="I413" s="33">
        <f t="shared" si="78"/>
        <v>720000</v>
      </c>
      <c r="J413" s="25">
        <f t="shared" si="79"/>
        <v>0.96</v>
      </c>
      <c r="K413" s="22" t="str">
        <f t="shared" si="80"/>
        <v>Within Band</v>
      </c>
      <c r="L413" s="30">
        <f t="shared" si="81"/>
        <v>4</v>
      </c>
      <c r="M413" s="26">
        <v>0.107</v>
      </c>
      <c r="N413" s="34">
        <f t="shared" si="82"/>
        <v>542400</v>
      </c>
      <c r="O413" s="31">
        <v>0.08</v>
      </c>
      <c r="P413" s="34">
        <f t="shared" si="83"/>
        <v>39200</v>
      </c>
      <c r="Q413" s="22" t="s">
        <v>1701</v>
      </c>
    </row>
    <row r="414" spans="1:17" x14ac:dyDescent="0.3">
      <c r="A414" s="22" t="s">
        <v>1418</v>
      </c>
      <c r="B414" t="str">
        <f t="shared" si="72"/>
        <v>Joseph Ansari</v>
      </c>
      <c r="C414" t="str">
        <f t="shared" si="73"/>
        <v>Marketing</v>
      </c>
      <c r="D414" s="30" t="str">
        <f t="shared" si="74"/>
        <v>L2</v>
      </c>
      <c r="E414" s="30" t="str">
        <f t="shared" si="75"/>
        <v>Active</v>
      </c>
      <c r="F414" s="32">
        <v>924000</v>
      </c>
      <c r="G414" s="33">
        <f t="shared" si="76"/>
        <v>510000</v>
      </c>
      <c r="H414" s="33">
        <f t="shared" si="77"/>
        <v>855000</v>
      </c>
      <c r="I414" s="33">
        <f t="shared" si="78"/>
        <v>1200000</v>
      </c>
      <c r="J414" s="25">
        <f t="shared" si="79"/>
        <v>1.08</v>
      </c>
      <c r="K414" s="22" t="str">
        <f t="shared" si="80"/>
        <v>Within Band</v>
      </c>
      <c r="L414" s="30">
        <f t="shared" si="81"/>
        <v>3</v>
      </c>
      <c r="M414" s="26">
        <v>8.4000000000000005E-2</v>
      </c>
      <c r="N414" s="34">
        <f t="shared" si="82"/>
        <v>1001600</v>
      </c>
      <c r="O414" s="31">
        <v>0.08</v>
      </c>
      <c r="P414" s="34">
        <f t="shared" si="83"/>
        <v>73900</v>
      </c>
      <c r="Q414" s="22" t="s">
        <v>1701</v>
      </c>
    </row>
    <row r="415" spans="1:17" x14ac:dyDescent="0.3">
      <c r="A415" s="22" t="s">
        <v>1421</v>
      </c>
      <c r="B415" t="str">
        <f t="shared" si="72"/>
        <v>Nisha Saxena</v>
      </c>
      <c r="C415" t="str">
        <f t="shared" si="73"/>
        <v>Customer Support</v>
      </c>
      <c r="D415" s="30" t="str">
        <f t="shared" si="74"/>
        <v>L1</v>
      </c>
      <c r="E415" s="30" t="str">
        <f t="shared" si="75"/>
        <v>Active</v>
      </c>
      <c r="F415" s="32">
        <v>433000</v>
      </c>
      <c r="G415" s="33">
        <f t="shared" si="76"/>
        <v>297500</v>
      </c>
      <c r="H415" s="33">
        <f t="shared" si="77"/>
        <v>508750</v>
      </c>
      <c r="I415" s="33">
        <f t="shared" si="78"/>
        <v>720000</v>
      </c>
      <c r="J415" s="25">
        <f t="shared" si="79"/>
        <v>0.85</v>
      </c>
      <c r="K415" s="22" t="str">
        <f t="shared" si="80"/>
        <v>Within Band</v>
      </c>
      <c r="L415" s="30">
        <f t="shared" si="81"/>
        <v>3</v>
      </c>
      <c r="M415" s="26">
        <v>8.7999999999999995E-2</v>
      </c>
      <c r="N415" s="34">
        <f t="shared" si="82"/>
        <v>471100</v>
      </c>
      <c r="O415" s="31">
        <v>0.05</v>
      </c>
      <c r="P415" s="34">
        <f t="shared" si="83"/>
        <v>21700</v>
      </c>
      <c r="Q415" s="22" t="s">
        <v>1701</v>
      </c>
    </row>
    <row r="416" spans="1:17" x14ac:dyDescent="0.3">
      <c r="A416" s="22" t="s">
        <v>1424</v>
      </c>
      <c r="B416" t="str">
        <f t="shared" si="72"/>
        <v>Arun Dsouza</v>
      </c>
      <c r="C416" t="str">
        <f t="shared" si="73"/>
        <v>Engineering</v>
      </c>
      <c r="D416" s="30" t="str">
        <f t="shared" si="74"/>
        <v>L3</v>
      </c>
      <c r="E416" s="30" t="str">
        <f t="shared" si="75"/>
        <v>Active</v>
      </c>
      <c r="F416" s="32">
        <v>1929000</v>
      </c>
      <c r="G416" s="33">
        <f t="shared" si="76"/>
        <v>850000</v>
      </c>
      <c r="H416" s="33">
        <f t="shared" si="77"/>
        <v>1445000</v>
      </c>
      <c r="I416" s="33">
        <f t="shared" si="78"/>
        <v>2040000</v>
      </c>
      <c r="J416" s="25">
        <f t="shared" si="79"/>
        <v>1.33</v>
      </c>
      <c r="K416" s="22" t="str">
        <f t="shared" si="80"/>
        <v>Within Band</v>
      </c>
      <c r="L416" s="30">
        <f t="shared" si="81"/>
        <v>4</v>
      </c>
      <c r="M416" s="26">
        <v>0.112</v>
      </c>
      <c r="N416" s="34">
        <f t="shared" si="82"/>
        <v>2145000</v>
      </c>
      <c r="O416" s="31">
        <v>0.12</v>
      </c>
      <c r="P416" s="34">
        <f t="shared" si="83"/>
        <v>231500</v>
      </c>
      <c r="Q416" s="22" t="s">
        <v>1701</v>
      </c>
    </row>
    <row r="417" spans="1:17" x14ac:dyDescent="0.3">
      <c r="A417" s="22" t="s">
        <v>1427</v>
      </c>
      <c r="B417" t="str">
        <f t="shared" si="72"/>
        <v>Yash Varghese</v>
      </c>
      <c r="C417" t="str">
        <f t="shared" si="73"/>
        <v>Sales</v>
      </c>
      <c r="D417" s="30" t="str">
        <f t="shared" si="74"/>
        <v>L1</v>
      </c>
      <c r="E417" s="30" t="str">
        <f t="shared" si="75"/>
        <v>Active</v>
      </c>
      <c r="F417" s="32">
        <v>523000</v>
      </c>
      <c r="G417" s="33">
        <f t="shared" si="76"/>
        <v>297500</v>
      </c>
      <c r="H417" s="33">
        <f t="shared" si="77"/>
        <v>508750</v>
      </c>
      <c r="I417" s="33">
        <f t="shared" si="78"/>
        <v>720000</v>
      </c>
      <c r="J417" s="25">
        <f t="shared" si="79"/>
        <v>1.03</v>
      </c>
      <c r="K417" s="22" t="str">
        <f t="shared" si="80"/>
        <v>Within Band</v>
      </c>
      <c r="L417" s="30">
        <f t="shared" si="81"/>
        <v>4</v>
      </c>
      <c r="M417" s="26">
        <v>0.109</v>
      </c>
      <c r="N417" s="34">
        <f t="shared" si="82"/>
        <v>580000</v>
      </c>
      <c r="O417" s="31">
        <v>0.08</v>
      </c>
      <c r="P417" s="34">
        <f t="shared" si="83"/>
        <v>41800</v>
      </c>
      <c r="Q417" s="22" t="s">
        <v>1701</v>
      </c>
    </row>
    <row r="418" spans="1:17" x14ac:dyDescent="0.3">
      <c r="A418" s="22" t="s">
        <v>1430</v>
      </c>
      <c r="B418" t="str">
        <f t="shared" si="72"/>
        <v>Prakash Pillai</v>
      </c>
      <c r="C418" t="str">
        <f t="shared" si="73"/>
        <v>Engineering</v>
      </c>
      <c r="D418" s="30" t="str">
        <f t="shared" si="74"/>
        <v>L1</v>
      </c>
      <c r="E418" s="30" t="str">
        <f t="shared" si="75"/>
        <v>Active</v>
      </c>
      <c r="F418" s="32">
        <v>694000</v>
      </c>
      <c r="G418" s="33">
        <f t="shared" si="76"/>
        <v>297500</v>
      </c>
      <c r="H418" s="33">
        <f t="shared" si="77"/>
        <v>508750</v>
      </c>
      <c r="I418" s="33">
        <f t="shared" si="78"/>
        <v>720000</v>
      </c>
      <c r="J418" s="25">
        <f t="shared" si="79"/>
        <v>1.36</v>
      </c>
      <c r="K418" s="22" t="str">
        <f t="shared" si="80"/>
        <v>Within Band</v>
      </c>
      <c r="L418" s="30">
        <f t="shared" si="81"/>
        <v>3</v>
      </c>
      <c r="M418" s="26">
        <v>8.8999999999999996E-2</v>
      </c>
      <c r="N418" s="34">
        <f t="shared" si="82"/>
        <v>755800</v>
      </c>
      <c r="O418" s="31">
        <v>0.05</v>
      </c>
      <c r="P418" s="34">
        <f t="shared" si="83"/>
        <v>34700</v>
      </c>
      <c r="Q418" s="22" t="s">
        <v>1701</v>
      </c>
    </row>
    <row r="419" spans="1:17" x14ac:dyDescent="0.3">
      <c r="A419" s="22" t="s">
        <v>1433</v>
      </c>
      <c r="B419" t="str">
        <f t="shared" si="72"/>
        <v>Imran Iyer</v>
      </c>
      <c r="C419" t="str">
        <f t="shared" si="73"/>
        <v>Operations</v>
      </c>
      <c r="D419" s="30" t="str">
        <f t="shared" si="74"/>
        <v>L3</v>
      </c>
      <c r="E419" s="30" t="str">
        <f t="shared" si="75"/>
        <v>Exited</v>
      </c>
      <c r="F419" s="32">
        <v>887000</v>
      </c>
      <c r="G419" s="33">
        <f t="shared" si="76"/>
        <v>850000</v>
      </c>
      <c r="H419" s="33">
        <f t="shared" si="77"/>
        <v>1445000</v>
      </c>
      <c r="I419" s="33">
        <f t="shared" si="78"/>
        <v>2040000</v>
      </c>
      <c r="J419" s="25">
        <f t="shared" si="79"/>
        <v>0.61</v>
      </c>
      <c r="K419" s="22" t="str">
        <f t="shared" si="80"/>
        <v>Within Band</v>
      </c>
      <c r="L419" s="30">
        <f t="shared" si="81"/>
        <v>3</v>
      </c>
      <c r="M419" s="26">
        <v>8.1000000000000003E-2</v>
      </c>
      <c r="N419" s="34">
        <f t="shared" si="82"/>
        <v>0</v>
      </c>
      <c r="O419" s="31">
        <v>0.08</v>
      </c>
      <c r="P419" s="34">
        <f t="shared" si="83"/>
        <v>0</v>
      </c>
      <c r="Q419" s="22" t="s">
        <v>1701</v>
      </c>
    </row>
    <row r="420" spans="1:17" x14ac:dyDescent="0.3">
      <c r="A420" s="22" t="s">
        <v>1436</v>
      </c>
      <c r="B420" t="str">
        <f t="shared" si="72"/>
        <v>Kiran Raghavan</v>
      </c>
      <c r="C420" t="str">
        <f t="shared" si="73"/>
        <v>Sales</v>
      </c>
      <c r="D420" s="30" t="str">
        <f t="shared" si="74"/>
        <v>L1</v>
      </c>
      <c r="E420" s="30" t="str">
        <f t="shared" si="75"/>
        <v>Exited</v>
      </c>
      <c r="F420" s="32">
        <v>423000</v>
      </c>
      <c r="G420" s="33">
        <f t="shared" si="76"/>
        <v>297500</v>
      </c>
      <c r="H420" s="33">
        <f t="shared" si="77"/>
        <v>508750</v>
      </c>
      <c r="I420" s="33">
        <f t="shared" si="78"/>
        <v>720000</v>
      </c>
      <c r="J420" s="25">
        <f t="shared" si="79"/>
        <v>0.83</v>
      </c>
      <c r="K420" s="22" t="str">
        <f t="shared" si="80"/>
        <v>Within Band</v>
      </c>
      <c r="L420" s="30">
        <f t="shared" si="81"/>
        <v>3</v>
      </c>
      <c r="M420" s="26">
        <v>6.6000000000000003E-2</v>
      </c>
      <c r="N420" s="34">
        <f t="shared" si="82"/>
        <v>0</v>
      </c>
      <c r="O420" s="31">
        <v>0.05</v>
      </c>
      <c r="P420" s="34">
        <f t="shared" si="83"/>
        <v>0</v>
      </c>
      <c r="Q420" s="22" t="s">
        <v>1701</v>
      </c>
    </row>
    <row r="421" spans="1:17" x14ac:dyDescent="0.3">
      <c r="A421" s="22" t="s">
        <v>1439</v>
      </c>
      <c r="B421" t="str">
        <f t="shared" si="72"/>
        <v>Abhishek Krishnan</v>
      </c>
      <c r="C421" t="str">
        <f t="shared" si="73"/>
        <v>Data &amp; Analytics</v>
      </c>
      <c r="D421" s="30" t="str">
        <f t="shared" si="74"/>
        <v>L2</v>
      </c>
      <c r="E421" s="30" t="str">
        <f t="shared" si="75"/>
        <v>Exited</v>
      </c>
      <c r="F421" s="32">
        <v>995000</v>
      </c>
      <c r="G421" s="33">
        <f t="shared" si="76"/>
        <v>510000</v>
      </c>
      <c r="H421" s="33">
        <f t="shared" si="77"/>
        <v>855000</v>
      </c>
      <c r="I421" s="33">
        <f t="shared" si="78"/>
        <v>1200000</v>
      </c>
      <c r="J421" s="25">
        <f t="shared" si="79"/>
        <v>1.1599999999999999</v>
      </c>
      <c r="K421" s="22" t="str">
        <f t="shared" si="80"/>
        <v>Within Band</v>
      </c>
      <c r="L421" s="30">
        <f t="shared" si="81"/>
        <v>4</v>
      </c>
      <c r="M421" s="26">
        <v>0.128</v>
      </c>
      <c r="N421" s="34">
        <f t="shared" si="82"/>
        <v>0</v>
      </c>
      <c r="O421" s="31">
        <v>0.12</v>
      </c>
      <c r="P421" s="34">
        <f t="shared" si="83"/>
        <v>0</v>
      </c>
      <c r="Q421" s="22" t="s">
        <v>1701</v>
      </c>
    </row>
    <row r="422" spans="1:17" x14ac:dyDescent="0.3">
      <c r="A422" s="22" t="s">
        <v>1442</v>
      </c>
      <c r="B422" t="str">
        <f t="shared" si="72"/>
        <v>Aditya Rao</v>
      </c>
      <c r="C422" t="str">
        <f t="shared" si="73"/>
        <v>Operations</v>
      </c>
      <c r="D422" s="30" t="str">
        <f t="shared" si="74"/>
        <v>L3</v>
      </c>
      <c r="E422" s="30" t="str">
        <f t="shared" si="75"/>
        <v>Active</v>
      </c>
      <c r="F422" s="32">
        <v>938000</v>
      </c>
      <c r="G422" s="33">
        <f t="shared" si="76"/>
        <v>850000</v>
      </c>
      <c r="H422" s="33">
        <f t="shared" si="77"/>
        <v>1445000</v>
      </c>
      <c r="I422" s="33">
        <f t="shared" si="78"/>
        <v>2040000</v>
      </c>
      <c r="J422" s="25">
        <f t="shared" si="79"/>
        <v>0.65</v>
      </c>
      <c r="K422" s="22" t="str">
        <f t="shared" si="80"/>
        <v>Within Band</v>
      </c>
      <c r="L422" s="30">
        <f t="shared" si="81"/>
        <v>3</v>
      </c>
      <c r="M422" s="26">
        <v>7.3999999999999996E-2</v>
      </c>
      <c r="N422" s="34">
        <f t="shared" si="82"/>
        <v>1007400</v>
      </c>
      <c r="O422" s="31">
        <v>0.08</v>
      </c>
      <c r="P422" s="34">
        <f t="shared" si="83"/>
        <v>75000</v>
      </c>
      <c r="Q422" s="22" t="s">
        <v>1701</v>
      </c>
    </row>
    <row r="423" spans="1:17" x14ac:dyDescent="0.3">
      <c r="A423" s="22" t="s">
        <v>1445</v>
      </c>
      <c r="B423" t="str">
        <f t="shared" si="72"/>
        <v>Anand Mukherjee</v>
      </c>
      <c r="C423" t="str">
        <f t="shared" si="73"/>
        <v>Sales</v>
      </c>
      <c r="D423" s="30" t="str">
        <f t="shared" si="74"/>
        <v>L2</v>
      </c>
      <c r="E423" s="30" t="str">
        <f t="shared" si="75"/>
        <v>Active</v>
      </c>
      <c r="F423" s="32">
        <v>890000</v>
      </c>
      <c r="G423" s="33">
        <f t="shared" si="76"/>
        <v>510000</v>
      </c>
      <c r="H423" s="33">
        <f t="shared" si="77"/>
        <v>855000</v>
      </c>
      <c r="I423" s="33">
        <f t="shared" si="78"/>
        <v>1200000</v>
      </c>
      <c r="J423" s="25">
        <f t="shared" si="79"/>
        <v>1.04</v>
      </c>
      <c r="K423" s="22" t="str">
        <f t="shared" si="80"/>
        <v>Within Band</v>
      </c>
      <c r="L423" s="30">
        <f t="shared" si="81"/>
        <v>3</v>
      </c>
      <c r="M423" s="26">
        <v>6.8000000000000005E-2</v>
      </c>
      <c r="N423" s="34">
        <f t="shared" si="82"/>
        <v>950500</v>
      </c>
      <c r="O423" s="31">
        <v>0.08</v>
      </c>
      <c r="P423" s="34">
        <f t="shared" si="83"/>
        <v>71200</v>
      </c>
      <c r="Q423" s="22" t="s">
        <v>1701</v>
      </c>
    </row>
    <row r="424" spans="1:17" x14ac:dyDescent="0.3">
      <c r="A424" s="22" t="s">
        <v>1448</v>
      </c>
      <c r="B424" t="str">
        <f t="shared" si="72"/>
        <v>Lakshmi Rao</v>
      </c>
      <c r="C424" t="str">
        <f t="shared" si="73"/>
        <v>Product</v>
      </c>
      <c r="D424" s="30" t="str">
        <f t="shared" si="74"/>
        <v>L4</v>
      </c>
      <c r="E424" s="30" t="str">
        <f t="shared" si="75"/>
        <v>Active</v>
      </c>
      <c r="F424" s="32">
        <v>2182000</v>
      </c>
      <c r="G424" s="33">
        <f t="shared" si="76"/>
        <v>1445000</v>
      </c>
      <c r="H424" s="33">
        <f t="shared" si="77"/>
        <v>2342500</v>
      </c>
      <c r="I424" s="33">
        <f t="shared" si="78"/>
        <v>3240000</v>
      </c>
      <c r="J424" s="25">
        <f t="shared" si="79"/>
        <v>0.93</v>
      </c>
      <c r="K424" s="22" t="str">
        <f t="shared" si="80"/>
        <v>Within Band</v>
      </c>
      <c r="L424" s="30">
        <f t="shared" si="81"/>
        <v>3</v>
      </c>
      <c r="M424" s="26">
        <v>7.4999999999999997E-2</v>
      </c>
      <c r="N424" s="34">
        <f t="shared" si="82"/>
        <v>2345700</v>
      </c>
      <c r="O424" s="31">
        <v>0.08</v>
      </c>
      <c r="P424" s="34">
        <f t="shared" si="83"/>
        <v>174600</v>
      </c>
      <c r="Q424" s="22" t="s">
        <v>1701</v>
      </c>
    </row>
    <row r="425" spans="1:17" x14ac:dyDescent="0.3">
      <c r="A425" s="22" t="s">
        <v>1451</v>
      </c>
      <c r="B425" t="str">
        <f t="shared" si="72"/>
        <v>Naveen Kapoor</v>
      </c>
      <c r="C425" t="str">
        <f t="shared" si="73"/>
        <v>Engineering</v>
      </c>
      <c r="D425" s="30" t="str">
        <f t="shared" si="74"/>
        <v>L2</v>
      </c>
      <c r="E425" s="30" t="str">
        <f t="shared" si="75"/>
        <v>Active</v>
      </c>
      <c r="F425" s="32">
        <v>1246000</v>
      </c>
      <c r="G425" s="33">
        <f t="shared" si="76"/>
        <v>510000</v>
      </c>
      <c r="H425" s="33">
        <f t="shared" si="77"/>
        <v>855000</v>
      </c>
      <c r="I425" s="33">
        <f t="shared" si="78"/>
        <v>1200000</v>
      </c>
      <c r="J425" s="25">
        <f t="shared" si="79"/>
        <v>1.46</v>
      </c>
      <c r="K425" s="22" t="str">
        <f t="shared" si="80"/>
        <v>Above Band</v>
      </c>
      <c r="L425" s="30">
        <f t="shared" si="81"/>
        <v>4</v>
      </c>
      <c r="M425" s="26">
        <v>0.111</v>
      </c>
      <c r="N425" s="34">
        <f t="shared" si="82"/>
        <v>1384300</v>
      </c>
      <c r="O425" s="31">
        <v>0.12</v>
      </c>
      <c r="P425" s="34">
        <f t="shared" si="83"/>
        <v>149500</v>
      </c>
      <c r="Q425" s="22" t="s">
        <v>1701</v>
      </c>
    </row>
    <row r="426" spans="1:17" x14ac:dyDescent="0.3">
      <c r="A426" s="22" t="s">
        <v>1454</v>
      </c>
      <c r="B426" t="str">
        <f t="shared" si="72"/>
        <v>Pallavi Prabhu</v>
      </c>
      <c r="C426" t="str">
        <f t="shared" si="73"/>
        <v>Finance</v>
      </c>
      <c r="D426" s="30" t="str">
        <f t="shared" si="74"/>
        <v>L2</v>
      </c>
      <c r="E426" s="30" t="str">
        <f t="shared" si="75"/>
        <v>Active</v>
      </c>
      <c r="F426" s="32">
        <v>1030000</v>
      </c>
      <c r="G426" s="33">
        <f t="shared" si="76"/>
        <v>510000</v>
      </c>
      <c r="H426" s="33">
        <f t="shared" si="77"/>
        <v>855000</v>
      </c>
      <c r="I426" s="33">
        <f t="shared" si="78"/>
        <v>1200000</v>
      </c>
      <c r="J426" s="25">
        <f t="shared" si="79"/>
        <v>1.2</v>
      </c>
      <c r="K426" s="22" t="str">
        <f t="shared" si="80"/>
        <v>Within Band</v>
      </c>
      <c r="L426" s="30">
        <f t="shared" si="81"/>
        <v>3</v>
      </c>
      <c r="M426" s="26">
        <v>8.7999999999999995E-2</v>
      </c>
      <c r="N426" s="34">
        <f t="shared" si="82"/>
        <v>1120600</v>
      </c>
      <c r="O426" s="31">
        <v>0.08</v>
      </c>
      <c r="P426" s="34">
        <f t="shared" si="83"/>
        <v>82400</v>
      </c>
      <c r="Q426" s="22" t="s">
        <v>1701</v>
      </c>
    </row>
    <row r="427" spans="1:17" x14ac:dyDescent="0.3">
      <c r="A427" s="22" t="s">
        <v>1457</v>
      </c>
      <c r="B427" t="str">
        <f t="shared" si="72"/>
        <v>Deepak Bansal</v>
      </c>
      <c r="C427" t="str">
        <f t="shared" si="73"/>
        <v>Customer Support</v>
      </c>
      <c r="D427" s="30" t="str">
        <f t="shared" si="74"/>
        <v>L1</v>
      </c>
      <c r="E427" s="30" t="str">
        <f t="shared" si="75"/>
        <v>Active</v>
      </c>
      <c r="F427" s="32">
        <v>312000</v>
      </c>
      <c r="G427" s="33">
        <f t="shared" si="76"/>
        <v>297500</v>
      </c>
      <c r="H427" s="33">
        <f t="shared" si="77"/>
        <v>508750</v>
      </c>
      <c r="I427" s="33">
        <f t="shared" si="78"/>
        <v>720000</v>
      </c>
      <c r="J427" s="25">
        <f t="shared" si="79"/>
        <v>0.61</v>
      </c>
      <c r="K427" s="22" t="str">
        <f t="shared" si="80"/>
        <v>Within Band</v>
      </c>
      <c r="L427" s="30">
        <f t="shared" si="81"/>
        <v>2</v>
      </c>
      <c r="M427" s="26">
        <v>1.7000000000000001E-2</v>
      </c>
      <c r="N427" s="34">
        <f t="shared" si="82"/>
        <v>317300</v>
      </c>
      <c r="O427" s="31">
        <v>0.02</v>
      </c>
      <c r="P427" s="34">
        <f t="shared" si="83"/>
        <v>6200</v>
      </c>
      <c r="Q427" s="22" t="s">
        <v>1701</v>
      </c>
    </row>
    <row r="428" spans="1:17" x14ac:dyDescent="0.3">
      <c r="A428" s="22" t="s">
        <v>1460</v>
      </c>
      <c r="B428" t="str">
        <f t="shared" si="72"/>
        <v>Shreya Tiwari</v>
      </c>
      <c r="C428" t="str">
        <f t="shared" si="73"/>
        <v>Customer Support</v>
      </c>
      <c r="D428" s="30" t="str">
        <f t="shared" si="74"/>
        <v>L2</v>
      </c>
      <c r="E428" s="30" t="str">
        <f t="shared" si="75"/>
        <v>Active</v>
      </c>
      <c r="F428" s="32">
        <v>785000</v>
      </c>
      <c r="G428" s="33">
        <f t="shared" si="76"/>
        <v>510000</v>
      </c>
      <c r="H428" s="33">
        <f t="shared" si="77"/>
        <v>855000</v>
      </c>
      <c r="I428" s="33">
        <f t="shared" si="78"/>
        <v>1200000</v>
      </c>
      <c r="J428" s="25">
        <f t="shared" si="79"/>
        <v>0.92</v>
      </c>
      <c r="K428" s="22" t="str">
        <f t="shared" si="80"/>
        <v>Within Band</v>
      </c>
      <c r="L428" s="30">
        <f t="shared" si="81"/>
        <v>4</v>
      </c>
      <c r="M428" s="26">
        <v>0.13700000000000001</v>
      </c>
      <c r="N428" s="34">
        <f t="shared" si="82"/>
        <v>892500</v>
      </c>
      <c r="O428" s="31">
        <v>0.12</v>
      </c>
      <c r="P428" s="34">
        <f t="shared" si="83"/>
        <v>94200</v>
      </c>
      <c r="Q428" s="22" t="s">
        <v>1701</v>
      </c>
    </row>
    <row r="429" spans="1:17" x14ac:dyDescent="0.3">
      <c r="A429" s="22" t="s">
        <v>1463</v>
      </c>
      <c r="B429" t="str">
        <f t="shared" si="72"/>
        <v>Anusha Kamath</v>
      </c>
      <c r="C429" t="str">
        <f t="shared" si="73"/>
        <v>Engineering</v>
      </c>
      <c r="D429" s="30" t="str">
        <f t="shared" si="74"/>
        <v>L1</v>
      </c>
      <c r="E429" s="30" t="str">
        <f t="shared" si="75"/>
        <v>Active</v>
      </c>
      <c r="F429" s="32">
        <v>505000</v>
      </c>
      <c r="G429" s="33">
        <f t="shared" si="76"/>
        <v>297500</v>
      </c>
      <c r="H429" s="33">
        <f t="shared" si="77"/>
        <v>508750</v>
      </c>
      <c r="I429" s="33">
        <f t="shared" si="78"/>
        <v>720000</v>
      </c>
      <c r="J429" s="25">
        <f t="shared" si="79"/>
        <v>0.99</v>
      </c>
      <c r="K429" s="22" t="str">
        <f t="shared" si="80"/>
        <v>Within Band</v>
      </c>
      <c r="L429" s="30">
        <f t="shared" si="81"/>
        <v>2</v>
      </c>
      <c r="M429" s="26">
        <v>3.4000000000000002E-2</v>
      </c>
      <c r="N429" s="34">
        <f t="shared" si="82"/>
        <v>522200</v>
      </c>
      <c r="O429" s="31">
        <v>0.02</v>
      </c>
      <c r="P429" s="34">
        <f t="shared" si="83"/>
        <v>10100</v>
      </c>
      <c r="Q429" s="22" t="s">
        <v>1701</v>
      </c>
    </row>
    <row r="430" spans="1:17" x14ac:dyDescent="0.3">
      <c r="A430" s="22" t="s">
        <v>148</v>
      </c>
      <c r="B430" t="str">
        <f t="shared" si="72"/>
        <v>Dev Bose</v>
      </c>
      <c r="C430" t="str">
        <f t="shared" si="73"/>
        <v>Product</v>
      </c>
      <c r="D430" s="30" t="str">
        <f t="shared" si="74"/>
        <v>L7</v>
      </c>
      <c r="E430" s="30" t="str">
        <f t="shared" si="75"/>
        <v>Active</v>
      </c>
      <c r="F430" s="32">
        <v>7761000</v>
      </c>
      <c r="G430" s="33">
        <f t="shared" si="76"/>
        <v>5100000</v>
      </c>
      <c r="H430" s="33">
        <f t="shared" si="77"/>
        <v>8250000</v>
      </c>
      <c r="I430" s="33">
        <f t="shared" si="78"/>
        <v>11400000</v>
      </c>
      <c r="J430" s="25">
        <f t="shared" si="79"/>
        <v>0.94</v>
      </c>
      <c r="K430" s="22" t="str">
        <f t="shared" si="80"/>
        <v>Within Band</v>
      </c>
      <c r="L430" s="30">
        <f t="shared" si="81"/>
        <v>3</v>
      </c>
      <c r="M430" s="26">
        <v>8.2000000000000003E-2</v>
      </c>
      <c r="N430" s="34">
        <f t="shared" si="82"/>
        <v>8397400</v>
      </c>
      <c r="O430" s="31">
        <v>0.08</v>
      </c>
      <c r="P430" s="34">
        <f t="shared" si="83"/>
        <v>620900</v>
      </c>
      <c r="Q430" s="22" t="s">
        <v>1700</v>
      </c>
    </row>
    <row r="431" spans="1:17" x14ac:dyDescent="0.3">
      <c r="A431" s="22" t="s">
        <v>1468</v>
      </c>
      <c r="B431" t="str">
        <f t="shared" si="72"/>
        <v>Divya Patel</v>
      </c>
      <c r="C431" t="str">
        <f t="shared" si="73"/>
        <v>Human Resources</v>
      </c>
      <c r="D431" s="30" t="str">
        <f t="shared" si="74"/>
        <v>L1</v>
      </c>
      <c r="E431" s="30" t="str">
        <f t="shared" si="75"/>
        <v>Active</v>
      </c>
      <c r="F431" s="32">
        <v>411000</v>
      </c>
      <c r="G431" s="33">
        <f t="shared" si="76"/>
        <v>297500</v>
      </c>
      <c r="H431" s="33">
        <f t="shared" si="77"/>
        <v>508750</v>
      </c>
      <c r="I431" s="33">
        <f t="shared" si="78"/>
        <v>720000</v>
      </c>
      <c r="J431" s="25">
        <f t="shared" si="79"/>
        <v>0.81</v>
      </c>
      <c r="K431" s="22" t="str">
        <f t="shared" si="80"/>
        <v>Within Band</v>
      </c>
      <c r="L431" s="30">
        <f t="shared" si="81"/>
        <v>2</v>
      </c>
      <c r="M431" s="26">
        <v>4.7E-2</v>
      </c>
      <c r="N431" s="34">
        <f t="shared" si="82"/>
        <v>430300</v>
      </c>
      <c r="O431" s="31">
        <v>0.02</v>
      </c>
      <c r="P431" s="34">
        <f t="shared" si="83"/>
        <v>8200</v>
      </c>
      <c r="Q431" s="22" t="s">
        <v>1701</v>
      </c>
    </row>
    <row r="432" spans="1:17" x14ac:dyDescent="0.3">
      <c r="A432" s="22" t="s">
        <v>1471</v>
      </c>
      <c r="B432" t="str">
        <f t="shared" si="72"/>
        <v>Nisha Kapoor</v>
      </c>
      <c r="C432" t="str">
        <f t="shared" si="73"/>
        <v>Engineering</v>
      </c>
      <c r="D432" s="30" t="str">
        <f t="shared" si="74"/>
        <v>L3</v>
      </c>
      <c r="E432" s="30" t="str">
        <f t="shared" si="75"/>
        <v>Active</v>
      </c>
      <c r="F432" s="32">
        <v>2023000</v>
      </c>
      <c r="G432" s="33">
        <f t="shared" si="76"/>
        <v>850000</v>
      </c>
      <c r="H432" s="33">
        <f t="shared" si="77"/>
        <v>1445000</v>
      </c>
      <c r="I432" s="33">
        <f t="shared" si="78"/>
        <v>2040000</v>
      </c>
      <c r="J432" s="25">
        <f t="shared" si="79"/>
        <v>1.4</v>
      </c>
      <c r="K432" s="22" t="str">
        <f t="shared" si="80"/>
        <v>Within Band</v>
      </c>
      <c r="L432" s="30">
        <f t="shared" si="81"/>
        <v>2</v>
      </c>
      <c r="M432" s="26">
        <v>3.5999999999999997E-2</v>
      </c>
      <c r="N432" s="34">
        <f t="shared" si="82"/>
        <v>2095800</v>
      </c>
      <c r="O432" s="31">
        <v>0.03</v>
      </c>
      <c r="P432" s="34">
        <f t="shared" si="83"/>
        <v>60700</v>
      </c>
      <c r="Q432" s="22" t="s">
        <v>1701</v>
      </c>
    </row>
    <row r="433" spans="1:17" x14ac:dyDescent="0.3">
      <c r="A433" s="22" t="s">
        <v>1474</v>
      </c>
      <c r="B433" t="str">
        <f t="shared" si="72"/>
        <v>Gayatri Raghavan</v>
      </c>
      <c r="C433" t="str">
        <f t="shared" si="73"/>
        <v>Operations</v>
      </c>
      <c r="D433" s="30" t="str">
        <f t="shared" si="74"/>
        <v>L1</v>
      </c>
      <c r="E433" s="30" t="str">
        <f t="shared" si="75"/>
        <v>Exited</v>
      </c>
      <c r="F433" s="32">
        <v>422000</v>
      </c>
      <c r="G433" s="33">
        <f t="shared" si="76"/>
        <v>297500</v>
      </c>
      <c r="H433" s="33">
        <f t="shared" si="77"/>
        <v>508750</v>
      </c>
      <c r="I433" s="33">
        <f t="shared" si="78"/>
        <v>720000</v>
      </c>
      <c r="J433" s="25">
        <f t="shared" si="79"/>
        <v>0.83</v>
      </c>
      <c r="K433" s="22" t="str">
        <f t="shared" si="80"/>
        <v>Within Band</v>
      </c>
      <c r="L433" s="30">
        <f t="shared" si="81"/>
        <v>3</v>
      </c>
      <c r="M433" s="26">
        <v>8.8999999999999996E-2</v>
      </c>
      <c r="N433" s="34">
        <f t="shared" si="82"/>
        <v>0</v>
      </c>
      <c r="O433" s="31">
        <v>0.05</v>
      </c>
      <c r="P433" s="34">
        <f t="shared" si="83"/>
        <v>0</v>
      </c>
      <c r="Q433" s="22" t="s">
        <v>1701</v>
      </c>
    </row>
    <row r="434" spans="1:17" x14ac:dyDescent="0.3">
      <c r="A434" s="22" t="s">
        <v>1477</v>
      </c>
      <c r="B434" t="str">
        <f t="shared" si="72"/>
        <v>Mary Mishra</v>
      </c>
      <c r="C434" t="str">
        <f t="shared" si="73"/>
        <v>Sales</v>
      </c>
      <c r="D434" s="30" t="str">
        <f t="shared" si="74"/>
        <v>L3</v>
      </c>
      <c r="E434" s="30" t="str">
        <f t="shared" si="75"/>
        <v>Active</v>
      </c>
      <c r="F434" s="32">
        <v>1488000</v>
      </c>
      <c r="G434" s="33">
        <f t="shared" si="76"/>
        <v>850000</v>
      </c>
      <c r="H434" s="33">
        <f t="shared" si="77"/>
        <v>1445000</v>
      </c>
      <c r="I434" s="33">
        <f t="shared" si="78"/>
        <v>2040000</v>
      </c>
      <c r="J434" s="25">
        <f t="shared" si="79"/>
        <v>1.03</v>
      </c>
      <c r="K434" s="22" t="str">
        <f t="shared" si="80"/>
        <v>Within Band</v>
      </c>
      <c r="L434" s="30">
        <f t="shared" si="81"/>
        <v>4</v>
      </c>
      <c r="M434" s="26">
        <v>0.107</v>
      </c>
      <c r="N434" s="34">
        <f t="shared" si="82"/>
        <v>1647200</v>
      </c>
      <c r="O434" s="31">
        <v>0.12</v>
      </c>
      <c r="P434" s="34">
        <f t="shared" si="83"/>
        <v>178600</v>
      </c>
      <c r="Q434" s="22" t="s">
        <v>1701</v>
      </c>
    </row>
    <row r="435" spans="1:17" x14ac:dyDescent="0.3">
      <c r="A435" s="22" t="s">
        <v>1480</v>
      </c>
      <c r="B435" t="str">
        <f t="shared" si="72"/>
        <v>Ritu Saxena</v>
      </c>
      <c r="C435" t="str">
        <f t="shared" si="73"/>
        <v>Product</v>
      </c>
      <c r="D435" s="30" t="str">
        <f t="shared" si="74"/>
        <v>L3</v>
      </c>
      <c r="E435" s="30" t="str">
        <f t="shared" si="75"/>
        <v>Active</v>
      </c>
      <c r="F435" s="32">
        <v>1262000</v>
      </c>
      <c r="G435" s="33">
        <f t="shared" si="76"/>
        <v>850000</v>
      </c>
      <c r="H435" s="33">
        <f t="shared" si="77"/>
        <v>1445000</v>
      </c>
      <c r="I435" s="33">
        <f t="shared" si="78"/>
        <v>2040000</v>
      </c>
      <c r="J435" s="25">
        <f t="shared" si="79"/>
        <v>0.87</v>
      </c>
      <c r="K435" s="22" t="str">
        <f t="shared" si="80"/>
        <v>Within Band</v>
      </c>
      <c r="L435" s="30">
        <f t="shared" si="81"/>
        <v>4</v>
      </c>
      <c r="M435" s="26">
        <v>0.11</v>
      </c>
      <c r="N435" s="34">
        <f t="shared" si="82"/>
        <v>1400800</v>
      </c>
      <c r="O435" s="31">
        <v>0.12</v>
      </c>
      <c r="P435" s="34">
        <f t="shared" si="83"/>
        <v>151400</v>
      </c>
      <c r="Q435" s="22" t="s">
        <v>1701</v>
      </c>
    </row>
    <row r="436" spans="1:17" x14ac:dyDescent="0.3">
      <c r="A436" s="22" t="s">
        <v>1483</v>
      </c>
      <c r="B436" t="str">
        <f t="shared" si="72"/>
        <v>Rohan Hegde</v>
      </c>
      <c r="C436" t="str">
        <f t="shared" si="73"/>
        <v>Operations</v>
      </c>
      <c r="D436" s="30" t="str">
        <f t="shared" si="74"/>
        <v>L2</v>
      </c>
      <c r="E436" s="30" t="str">
        <f t="shared" si="75"/>
        <v>Active</v>
      </c>
      <c r="F436" s="32">
        <v>833000</v>
      </c>
      <c r="G436" s="33">
        <f t="shared" si="76"/>
        <v>510000</v>
      </c>
      <c r="H436" s="33">
        <f t="shared" si="77"/>
        <v>855000</v>
      </c>
      <c r="I436" s="33">
        <f t="shared" si="78"/>
        <v>1200000</v>
      </c>
      <c r="J436" s="25">
        <f t="shared" si="79"/>
        <v>0.97</v>
      </c>
      <c r="K436" s="22" t="str">
        <f t="shared" si="80"/>
        <v>Within Band</v>
      </c>
      <c r="L436" s="30">
        <f t="shared" si="81"/>
        <v>3</v>
      </c>
      <c r="M436" s="26">
        <v>7.2999999999999995E-2</v>
      </c>
      <c r="N436" s="34">
        <f t="shared" si="82"/>
        <v>893800</v>
      </c>
      <c r="O436" s="31">
        <v>0.08</v>
      </c>
      <c r="P436" s="34">
        <f t="shared" si="83"/>
        <v>66600</v>
      </c>
      <c r="Q436" s="22" t="s">
        <v>1701</v>
      </c>
    </row>
    <row r="437" spans="1:17" x14ac:dyDescent="0.3">
      <c r="A437" s="22" t="s">
        <v>1486</v>
      </c>
      <c r="B437" t="str">
        <f t="shared" si="72"/>
        <v>Gayatri Prabhu</v>
      </c>
      <c r="C437" t="str">
        <f t="shared" si="73"/>
        <v>Operations</v>
      </c>
      <c r="D437" s="30" t="str">
        <f t="shared" si="74"/>
        <v>L1</v>
      </c>
      <c r="E437" s="30" t="str">
        <f t="shared" si="75"/>
        <v>Exited</v>
      </c>
      <c r="F437" s="32">
        <v>329000</v>
      </c>
      <c r="G437" s="33">
        <f t="shared" si="76"/>
        <v>297500</v>
      </c>
      <c r="H437" s="33">
        <f t="shared" si="77"/>
        <v>508750</v>
      </c>
      <c r="I437" s="33">
        <f t="shared" si="78"/>
        <v>720000</v>
      </c>
      <c r="J437" s="25">
        <f t="shared" si="79"/>
        <v>0.65</v>
      </c>
      <c r="K437" s="22" t="str">
        <f t="shared" si="80"/>
        <v>Within Band</v>
      </c>
      <c r="L437" s="30">
        <f t="shared" si="81"/>
        <v>2</v>
      </c>
      <c r="M437" s="26">
        <v>3.4000000000000002E-2</v>
      </c>
      <c r="N437" s="34">
        <f t="shared" si="82"/>
        <v>0</v>
      </c>
      <c r="O437" s="31">
        <v>0.02</v>
      </c>
      <c r="P437" s="34">
        <f t="shared" si="83"/>
        <v>0</v>
      </c>
      <c r="Q437" s="22" t="s">
        <v>1701</v>
      </c>
    </row>
    <row r="438" spans="1:17" x14ac:dyDescent="0.3">
      <c r="A438" s="22" t="s">
        <v>1489</v>
      </c>
      <c r="B438" t="str">
        <f t="shared" si="72"/>
        <v>Ajay Bansal</v>
      </c>
      <c r="C438" t="str">
        <f t="shared" si="73"/>
        <v>Product</v>
      </c>
      <c r="D438" s="30" t="str">
        <f t="shared" si="74"/>
        <v>L3</v>
      </c>
      <c r="E438" s="30" t="str">
        <f t="shared" si="75"/>
        <v>Active</v>
      </c>
      <c r="F438" s="32">
        <v>1691000</v>
      </c>
      <c r="G438" s="33">
        <f t="shared" si="76"/>
        <v>850000</v>
      </c>
      <c r="H438" s="33">
        <f t="shared" si="77"/>
        <v>1445000</v>
      </c>
      <c r="I438" s="33">
        <f t="shared" si="78"/>
        <v>2040000</v>
      </c>
      <c r="J438" s="25">
        <f t="shared" si="79"/>
        <v>1.17</v>
      </c>
      <c r="K438" s="22" t="str">
        <f t="shared" si="80"/>
        <v>Within Band</v>
      </c>
      <c r="L438" s="30">
        <f t="shared" si="81"/>
        <v>3</v>
      </c>
      <c r="M438" s="26">
        <v>7.4999999999999997E-2</v>
      </c>
      <c r="N438" s="34">
        <f t="shared" si="82"/>
        <v>1817800</v>
      </c>
      <c r="O438" s="31">
        <v>0.08</v>
      </c>
      <c r="P438" s="34">
        <f t="shared" si="83"/>
        <v>135300</v>
      </c>
      <c r="Q438" s="22" t="s">
        <v>1701</v>
      </c>
    </row>
    <row r="439" spans="1:17" x14ac:dyDescent="0.3">
      <c r="A439" s="22" t="s">
        <v>1492</v>
      </c>
      <c r="B439" t="str">
        <f t="shared" si="72"/>
        <v>Sai Subramanian</v>
      </c>
      <c r="C439" t="str">
        <f t="shared" si="73"/>
        <v>Engineering</v>
      </c>
      <c r="D439" s="30" t="str">
        <f t="shared" si="74"/>
        <v>L1</v>
      </c>
      <c r="E439" s="30" t="str">
        <f t="shared" si="75"/>
        <v>Active</v>
      </c>
      <c r="F439" s="32">
        <v>672000</v>
      </c>
      <c r="G439" s="33">
        <f t="shared" si="76"/>
        <v>297500</v>
      </c>
      <c r="H439" s="33">
        <f t="shared" si="77"/>
        <v>508750</v>
      </c>
      <c r="I439" s="33">
        <f t="shared" si="78"/>
        <v>720000</v>
      </c>
      <c r="J439" s="25">
        <f t="shared" si="79"/>
        <v>1.32</v>
      </c>
      <c r="K439" s="22" t="str">
        <f t="shared" si="80"/>
        <v>Within Band</v>
      </c>
      <c r="L439" s="30">
        <f t="shared" si="81"/>
        <v>4</v>
      </c>
      <c r="M439" s="26">
        <v>0.12</v>
      </c>
      <c r="N439" s="34">
        <f t="shared" si="82"/>
        <v>752600</v>
      </c>
      <c r="O439" s="31">
        <v>0.08</v>
      </c>
      <c r="P439" s="34">
        <f t="shared" si="83"/>
        <v>53800</v>
      </c>
      <c r="Q439" s="22" t="s">
        <v>1701</v>
      </c>
    </row>
    <row r="440" spans="1:17" x14ac:dyDescent="0.3">
      <c r="A440" s="22" t="s">
        <v>1495</v>
      </c>
      <c r="B440" t="str">
        <f t="shared" si="72"/>
        <v>Priyanka Dsouza</v>
      </c>
      <c r="C440" t="str">
        <f t="shared" si="73"/>
        <v>Finance</v>
      </c>
      <c r="D440" s="30" t="str">
        <f t="shared" si="74"/>
        <v>L1</v>
      </c>
      <c r="E440" s="30" t="str">
        <f t="shared" si="75"/>
        <v>Active</v>
      </c>
      <c r="F440" s="32">
        <v>522000</v>
      </c>
      <c r="G440" s="33">
        <f t="shared" si="76"/>
        <v>297500</v>
      </c>
      <c r="H440" s="33">
        <f t="shared" si="77"/>
        <v>508750</v>
      </c>
      <c r="I440" s="33">
        <f t="shared" si="78"/>
        <v>720000</v>
      </c>
      <c r="J440" s="25">
        <f t="shared" si="79"/>
        <v>1.03</v>
      </c>
      <c r="K440" s="22" t="str">
        <f t="shared" si="80"/>
        <v>Within Band</v>
      </c>
      <c r="L440" s="30">
        <f t="shared" si="81"/>
        <v>4</v>
      </c>
      <c r="M440" s="26">
        <v>0.114</v>
      </c>
      <c r="N440" s="34">
        <f t="shared" si="82"/>
        <v>581500</v>
      </c>
      <c r="O440" s="31">
        <v>0.08</v>
      </c>
      <c r="P440" s="34">
        <f t="shared" si="83"/>
        <v>41800</v>
      </c>
      <c r="Q440" s="22" t="s">
        <v>1701</v>
      </c>
    </row>
    <row r="441" spans="1:17" x14ac:dyDescent="0.3">
      <c r="A441" s="22" t="s">
        <v>1498</v>
      </c>
      <c r="B441" t="str">
        <f t="shared" si="72"/>
        <v>Ravi Mukherjee</v>
      </c>
      <c r="C441" t="str">
        <f t="shared" si="73"/>
        <v>Customer Support</v>
      </c>
      <c r="D441" s="30" t="str">
        <f t="shared" si="74"/>
        <v>L1</v>
      </c>
      <c r="E441" s="30" t="str">
        <f t="shared" si="75"/>
        <v>Active</v>
      </c>
      <c r="F441" s="32">
        <v>411000</v>
      </c>
      <c r="G441" s="33">
        <f t="shared" si="76"/>
        <v>297500</v>
      </c>
      <c r="H441" s="33">
        <f t="shared" si="77"/>
        <v>508750</v>
      </c>
      <c r="I441" s="33">
        <f t="shared" si="78"/>
        <v>720000</v>
      </c>
      <c r="J441" s="25">
        <f t="shared" si="79"/>
        <v>0.81</v>
      </c>
      <c r="K441" s="22" t="str">
        <f t="shared" si="80"/>
        <v>Within Band</v>
      </c>
      <c r="L441" s="30">
        <f t="shared" si="81"/>
        <v>4</v>
      </c>
      <c r="M441" s="26">
        <v>0.111</v>
      </c>
      <c r="N441" s="34">
        <f t="shared" si="82"/>
        <v>456600</v>
      </c>
      <c r="O441" s="31">
        <v>0.08</v>
      </c>
      <c r="P441" s="34">
        <f t="shared" si="83"/>
        <v>32900</v>
      </c>
      <c r="Q441" s="22" t="s">
        <v>1701</v>
      </c>
    </row>
    <row r="442" spans="1:17" x14ac:dyDescent="0.3">
      <c r="A442" s="22" t="s">
        <v>1501</v>
      </c>
      <c r="B442" t="str">
        <f t="shared" si="72"/>
        <v>Ananya Menon</v>
      </c>
      <c r="C442" t="str">
        <f t="shared" si="73"/>
        <v>Product</v>
      </c>
      <c r="D442" s="30" t="str">
        <f t="shared" si="74"/>
        <v>L2</v>
      </c>
      <c r="E442" s="30" t="str">
        <f t="shared" si="75"/>
        <v>Active</v>
      </c>
      <c r="F442" s="32">
        <v>909000</v>
      </c>
      <c r="G442" s="33">
        <f t="shared" si="76"/>
        <v>510000</v>
      </c>
      <c r="H442" s="33">
        <f t="shared" si="77"/>
        <v>855000</v>
      </c>
      <c r="I442" s="33">
        <f t="shared" si="78"/>
        <v>1200000</v>
      </c>
      <c r="J442" s="25">
        <f t="shared" si="79"/>
        <v>1.06</v>
      </c>
      <c r="K442" s="22" t="str">
        <f t="shared" si="80"/>
        <v>Within Band</v>
      </c>
      <c r="L442" s="30">
        <f t="shared" si="81"/>
        <v>2</v>
      </c>
      <c r="M442" s="26">
        <v>4.8000000000000001E-2</v>
      </c>
      <c r="N442" s="34">
        <f t="shared" si="82"/>
        <v>952600</v>
      </c>
      <c r="O442" s="31">
        <v>0.03</v>
      </c>
      <c r="P442" s="34">
        <f t="shared" si="83"/>
        <v>27300</v>
      </c>
      <c r="Q442" s="22" t="s">
        <v>1701</v>
      </c>
    </row>
    <row r="443" spans="1:17" x14ac:dyDescent="0.3">
      <c r="A443" s="22" t="s">
        <v>1504</v>
      </c>
      <c r="B443" t="str">
        <f t="shared" si="72"/>
        <v>Vidya Pandey</v>
      </c>
      <c r="C443" t="str">
        <f t="shared" si="73"/>
        <v>Engineering</v>
      </c>
      <c r="D443" s="30" t="str">
        <f t="shared" si="74"/>
        <v>L2</v>
      </c>
      <c r="E443" s="30" t="str">
        <f t="shared" si="75"/>
        <v>Active</v>
      </c>
      <c r="F443" s="32">
        <v>1068000</v>
      </c>
      <c r="G443" s="33">
        <f t="shared" si="76"/>
        <v>510000</v>
      </c>
      <c r="H443" s="33">
        <f t="shared" si="77"/>
        <v>855000</v>
      </c>
      <c r="I443" s="33">
        <f t="shared" si="78"/>
        <v>1200000</v>
      </c>
      <c r="J443" s="25">
        <f t="shared" si="79"/>
        <v>1.25</v>
      </c>
      <c r="K443" s="22" t="str">
        <f t="shared" si="80"/>
        <v>Within Band</v>
      </c>
      <c r="L443" s="30">
        <f t="shared" si="81"/>
        <v>3</v>
      </c>
      <c r="M443" s="26">
        <v>9.8000000000000004E-2</v>
      </c>
      <c r="N443" s="34">
        <f t="shared" si="82"/>
        <v>1172700</v>
      </c>
      <c r="O443" s="31">
        <v>0.08</v>
      </c>
      <c r="P443" s="34">
        <f t="shared" si="83"/>
        <v>85400</v>
      </c>
      <c r="Q443" s="22" t="s">
        <v>1701</v>
      </c>
    </row>
    <row r="444" spans="1:17" x14ac:dyDescent="0.3">
      <c r="A444" s="22" t="s">
        <v>1507</v>
      </c>
      <c r="B444" t="str">
        <f t="shared" si="72"/>
        <v>Vikram Khan</v>
      </c>
      <c r="C444" t="str">
        <f t="shared" si="73"/>
        <v>Engineering</v>
      </c>
      <c r="D444" s="30" t="str">
        <f t="shared" si="74"/>
        <v>L1</v>
      </c>
      <c r="E444" s="30" t="str">
        <f t="shared" si="75"/>
        <v>Exited</v>
      </c>
      <c r="F444" s="32">
        <v>473000</v>
      </c>
      <c r="G444" s="33">
        <f t="shared" si="76"/>
        <v>297500</v>
      </c>
      <c r="H444" s="33">
        <f t="shared" si="77"/>
        <v>508750</v>
      </c>
      <c r="I444" s="33">
        <f t="shared" si="78"/>
        <v>720000</v>
      </c>
      <c r="J444" s="25">
        <f t="shared" si="79"/>
        <v>0.93</v>
      </c>
      <c r="K444" s="22" t="str">
        <f t="shared" si="80"/>
        <v>Within Band</v>
      </c>
      <c r="L444" s="30">
        <f t="shared" si="81"/>
        <v>3</v>
      </c>
      <c r="M444" s="26">
        <v>7.1999999999999995E-2</v>
      </c>
      <c r="N444" s="34">
        <f t="shared" si="82"/>
        <v>0</v>
      </c>
      <c r="O444" s="31">
        <v>0.05</v>
      </c>
      <c r="P444" s="34">
        <f t="shared" si="83"/>
        <v>0</v>
      </c>
      <c r="Q444" s="22" t="s">
        <v>1701</v>
      </c>
    </row>
    <row r="445" spans="1:17" x14ac:dyDescent="0.3">
      <c r="A445" s="22" t="s">
        <v>350</v>
      </c>
      <c r="B445" t="str">
        <f t="shared" si="72"/>
        <v>Prakash Desai</v>
      </c>
      <c r="C445" t="str">
        <f t="shared" si="73"/>
        <v>Engineering</v>
      </c>
      <c r="D445" s="30" t="str">
        <f t="shared" si="74"/>
        <v>L5</v>
      </c>
      <c r="E445" s="30" t="str">
        <f t="shared" si="75"/>
        <v>Active</v>
      </c>
      <c r="F445" s="32">
        <v>4730000</v>
      </c>
      <c r="G445" s="33">
        <f t="shared" si="76"/>
        <v>2295000</v>
      </c>
      <c r="H445" s="33">
        <f t="shared" si="77"/>
        <v>3667500</v>
      </c>
      <c r="I445" s="33">
        <f t="shared" si="78"/>
        <v>5040000</v>
      </c>
      <c r="J445" s="25">
        <f t="shared" si="79"/>
        <v>1.29</v>
      </c>
      <c r="K445" s="22" t="str">
        <f t="shared" si="80"/>
        <v>Within Band</v>
      </c>
      <c r="L445" s="30">
        <f t="shared" si="81"/>
        <v>5</v>
      </c>
      <c r="M445" s="26">
        <v>0.16400000000000001</v>
      </c>
      <c r="N445" s="34">
        <f t="shared" si="82"/>
        <v>5505700</v>
      </c>
      <c r="O445" s="31">
        <v>0.18</v>
      </c>
      <c r="P445" s="34">
        <f t="shared" si="83"/>
        <v>851400</v>
      </c>
      <c r="Q445" s="22" t="s">
        <v>1700</v>
      </c>
    </row>
    <row r="446" spans="1:17" x14ac:dyDescent="0.3">
      <c r="A446" s="22" t="s">
        <v>1511</v>
      </c>
      <c r="B446" t="str">
        <f t="shared" si="72"/>
        <v>Sindhu Thomas</v>
      </c>
      <c r="C446" t="str">
        <f t="shared" si="73"/>
        <v>Customer Support</v>
      </c>
      <c r="D446" s="30" t="str">
        <f t="shared" si="74"/>
        <v>L2</v>
      </c>
      <c r="E446" s="30" t="str">
        <f t="shared" si="75"/>
        <v>Exited</v>
      </c>
      <c r="F446" s="32">
        <v>646000</v>
      </c>
      <c r="G446" s="33">
        <f t="shared" si="76"/>
        <v>510000</v>
      </c>
      <c r="H446" s="33">
        <f t="shared" si="77"/>
        <v>855000</v>
      </c>
      <c r="I446" s="33">
        <f t="shared" si="78"/>
        <v>1200000</v>
      </c>
      <c r="J446" s="25">
        <f t="shared" si="79"/>
        <v>0.76</v>
      </c>
      <c r="K446" s="22" t="str">
        <f t="shared" si="80"/>
        <v>Within Band</v>
      </c>
      <c r="L446" s="30">
        <f t="shared" si="81"/>
        <v>2</v>
      </c>
      <c r="M446" s="26">
        <v>3.7999999999999999E-2</v>
      </c>
      <c r="N446" s="34">
        <f t="shared" si="82"/>
        <v>0</v>
      </c>
      <c r="O446" s="31">
        <v>0.03</v>
      </c>
      <c r="P446" s="34">
        <f t="shared" si="83"/>
        <v>0</v>
      </c>
      <c r="Q446" s="22" t="s">
        <v>1701</v>
      </c>
    </row>
    <row r="447" spans="1:17" x14ac:dyDescent="0.3">
      <c r="A447" s="22" t="s">
        <v>292</v>
      </c>
      <c r="B447" t="str">
        <f t="shared" si="72"/>
        <v>Anjali Iyer</v>
      </c>
      <c r="C447" t="str">
        <f t="shared" si="73"/>
        <v>Customer Support</v>
      </c>
      <c r="D447" s="30" t="str">
        <f t="shared" si="74"/>
        <v>L5</v>
      </c>
      <c r="E447" s="30" t="str">
        <f t="shared" si="75"/>
        <v>Active</v>
      </c>
      <c r="F447" s="32">
        <v>3027000</v>
      </c>
      <c r="G447" s="33">
        <f t="shared" si="76"/>
        <v>2295000</v>
      </c>
      <c r="H447" s="33">
        <f t="shared" si="77"/>
        <v>3667500</v>
      </c>
      <c r="I447" s="33">
        <f t="shared" si="78"/>
        <v>5040000</v>
      </c>
      <c r="J447" s="25">
        <f t="shared" si="79"/>
        <v>0.83</v>
      </c>
      <c r="K447" s="22" t="str">
        <f t="shared" si="80"/>
        <v>Within Band</v>
      </c>
      <c r="L447" s="30">
        <f t="shared" si="81"/>
        <v>4</v>
      </c>
      <c r="M447" s="26">
        <v>0.125</v>
      </c>
      <c r="N447" s="34">
        <f t="shared" si="82"/>
        <v>3405400</v>
      </c>
      <c r="O447" s="31">
        <v>0.12</v>
      </c>
      <c r="P447" s="34">
        <f t="shared" si="83"/>
        <v>363200</v>
      </c>
      <c r="Q447" s="22" t="s">
        <v>1700</v>
      </c>
    </row>
    <row r="448" spans="1:17" x14ac:dyDescent="0.3">
      <c r="A448" s="22" t="s">
        <v>1515</v>
      </c>
      <c r="B448" t="str">
        <f t="shared" si="72"/>
        <v>Meera Pandey</v>
      </c>
      <c r="C448" t="str">
        <f t="shared" si="73"/>
        <v>Operations</v>
      </c>
      <c r="D448" s="30" t="str">
        <f t="shared" si="74"/>
        <v>L4</v>
      </c>
      <c r="E448" s="30" t="str">
        <f t="shared" si="75"/>
        <v>Active</v>
      </c>
      <c r="F448" s="32">
        <v>2075000</v>
      </c>
      <c r="G448" s="33">
        <f t="shared" si="76"/>
        <v>1445000</v>
      </c>
      <c r="H448" s="33">
        <f t="shared" si="77"/>
        <v>2342500</v>
      </c>
      <c r="I448" s="33">
        <f t="shared" si="78"/>
        <v>3240000</v>
      </c>
      <c r="J448" s="25">
        <f t="shared" si="79"/>
        <v>0.89</v>
      </c>
      <c r="K448" s="22" t="str">
        <f t="shared" si="80"/>
        <v>Within Band</v>
      </c>
      <c r="L448" s="30">
        <f t="shared" si="81"/>
        <v>3</v>
      </c>
      <c r="M448" s="26">
        <v>8.3000000000000004E-2</v>
      </c>
      <c r="N448" s="34">
        <f t="shared" si="82"/>
        <v>2247200</v>
      </c>
      <c r="O448" s="31">
        <v>0.08</v>
      </c>
      <c r="P448" s="34">
        <f t="shared" si="83"/>
        <v>166000</v>
      </c>
      <c r="Q448" s="22" t="s">
        <v>1701</v>
      </c>
    </row>
    <row r="449" spans="1:17" x14ac:dyDescent="0.3">
      <c r="A449" s="22" t="s">
        <v>1518</v>
      </c>
      <c r="B449" t="str">
        <f t="shared" si="72"/>
        <v>Priya Verma</v>
      </c>
      <c r="C449" t="str">
        <f t="shared" si="73"/>
        <v>Sales</v>
      </c>
      <c r="D449" s="30" t="str">
        <f t="shared" si="74"/>
        <v>L2</v>
      </c>
      <c r="E449" s="30" t="str">
        <f t="shared" si="75"/>
        <v>Active</v>
      </c>
      <c r="F449" s="32">
        <v>658000</v>
      </c>
      <c r="G449" s="33">
        <f t="shared" si="76"/>
        <v>510000</v>
      </c>
      <c r="H449" s="33">
        <f t="shared" si="77"/>
        <v>855000</v>
      </c>
      <c r="I449" s="33">
        <f t="shared" si="78"/>
        <v>1200000</v>
      </c>
      <c r="J449" s="25">
        <f t="shared" si="79"/>
        <v>0.77</v>
      </c>
      <c r="K449" s="22" t="str">
        <f t="shared" si="80"/>
        <v>Within Band</v>
      </c>
      <c r="L449" s="30">
        <f t="shared" si="81"/>
        <v>3</v>
      </c>
      <c r="M449" s="26">
        <v>9.4E-2</v>
      </c>
      <c r="N449" s="34">
        <f t="shared" si="82"/>
        <v>719900</v>
      </c>
      <c r="O449" s="31">
        <v>0.08</v>
      </c>
      <c r="P449" s="34">
        <f t="shared" si="83"/>
        <v>52600</v>
      </c>
      <c r="Q449" s="22" t="s">
        <v>1701</v>
      </c>
    </row>
    <row r="450" spans="1:17" x14ac:dyDescent="0.3">
      <c r="A450" s="22" t="s">
        <v>1521</v>
      </c>
      <c r="B450" t="str">
        <f t="shared" ref="B450:B501" si="84">INDEX(M_Name,MATCH($A450,M_ID,0))</f>
        <v>Shruti Joshi</v>
      </c>
      <c r="C450" t="str">
        <f t="shared" ref="C450:C501" si="85">INDEX(M_Dept,MATCH($A450,M_ID,0))</f>
        <v>Engineering</v>
      </c>
      <c r="D450" s="30" t="str">
        <f t="shared" ref="D450:D501" si="86">INDEX(M_Level,MATCH($A450,M_ID,0))</f>
        <v>L1</v>
      </c>
      <c r="E450" s="30" t="str">
        <f t="shared" ref="E450:E501" si="87">INDEX(M_Status,MATCH($A450,M_ID,0))</f>
        <v>Exited</v>
      </c>
      <c r="F450" s="32">
        <v>527000</v>
      </c>
      <c r="G450" s="33">
        <f t="shared" ref="G450:G501" si="88">INDEX(BandMin,MATCH(D450,BandLevels,0))</f>
        <v>297500</v>
      </c>
      <c r="H450" s="33">
        <f t="shared" ref="H450:H501" si="89">INDEX(BandMid,MATCH(D450,BandLevels,0))</f>
        <v>508750</v>
      </c>
      <c r="I450" s="33">
        <f t="shared" ref="I450:I501" si="90">INDEX(BandMax,MATCH(D450,BandLevels,0))</f>
        <v>720000</v>
      </c>
      <c r="J450" s="25">
        <f t="shared" ref="J450:J501" si="91">ROUND(F450/H450,2)</f>
        <v>1.04</v>
      </c>
      <c r="K450" s="22" t="str">
        <f t="shared" ref="K450:K501" si="92">IF(F450&lt;G450,"Below Band",IF(F450&gt;I450,"Above Band","Within Band"))</f>
        <v>Within Band</v>
      </c>
      <c r="L450" s="30">
        <f t="shared" ref="L450:L501" si="93">INDEX(P_Rating,MATCH($A450,M_ID,0))</f>
        <v>3</v>
      </c>
      <c r="M450" s="26">
        <v>9.2999999999999999E-2</v>
      </c>
      <c r="N450" s="34">
        <f t="shared" ref="N450:N501" si="94">IF(E450="Exited",0,ROUND(F450*(1+M450),-2))</f>
        <v>0</v>
      </c>
      <c r="O450" s="31">
        <v>0.05</v>
      </c>
      <c r="P450" s="34">
        <f t="shared" ref="P450:P501" si="95">IF(E450="Exited",0,ROUND(F450*O450,-2))</f>
        <v>0</v>
      </c>
      <c r="Q450" s="22" t="s">
        <v>1701</v>
      </c>
    </row>
    <row r="451" spans="1:17" x14ac:dyDescent="0.3">
      <c r="A451" s="22" t="s">
        <v>1524</v>
      </c>
      <c r="B451" t="str">
        <f t="shared" si="84"/>
        <v>Dev Sharma</v>
      </c>
      <c r="C451" t="str">
        <f t="shared" si="85"/>
        <v>Customer Support</v>
      </c>
      <c r="D451" s="30" t="str">
        <f t="shared" si="86"/>
        <v>L1</v>
      </c>
      <c r="E451" s="30" t="str">
        <f t="shared" si="87"/>
        <v>Active</v>
      </c>
      <c r="F451" s="32">
        <v>347000</v>
      </c>
      <c r="G451" s="33">
        <f t="shared" si="88"/>
        <v>297500</v>
      </c>
      <c r="H451" s="33">
        <f t="shared" si="89"/>
        <v>508750</v>
      </c>
      <c r="I451" s="33">
        <f t="shared" si="90"/>
        <v>720000</v>
      </c>
      <c r="J451" s="25">
        <f t="shared" si="91"/>
        <v>0.68</v>
      </c>
      <c r="K451" s="22" t="str">
        <f t="shared" si="92"/>
        <v>Within Band</v>
      </c>
      <c r="L451" s="30">
        <f t="shared" si="93"/>
        <v>3</v>
      </c>
      <c r="M451" s="26">
        <v>9.9000000000000005E-2</v>
      </c>
      <c r="N451" s="34">
        <f t="shared" si="94"/>
        <v>381400</v>
      </c>
      <c r="O451" s="31">
        <v>0.05</v>
      </c>
      <c r="P451" s="34">
        <f t="shared" si="95"/>
        <v>17400</v>
      </c>
      <c r="Q451" s="22" t="s">
        <v>1701</v>
      </c>
    </row>
    <row r="452" spans="1:17" x14ac:dyDescent="0.3">
      <c r="A452" s="22" t="s">
        <v>1527</v>
      </c>
      <c r="B452" t="str">
        <f t="shared" si="84"/>
        <v>Madhuri Jain</v>
      </c>
      <c r="C452" t="str">
        <f t="shared" si="85"/>
        <v>Customer Support</v>
      </c>
      <c r="D452" s="30" t="str">
        <f t="shared" si="86"/>
        <v>L1</v>
      </c>
      <c r="E452" s="30" t="str">
        <f t="shared" si="87"/>
        <v>Active</v>
      </c>
      <c r="F452" s="32">
        <v>321000</v>
      </c>
      <c r="G452" s="33">
        <f t="shared" si="88"/>
        <v>297500</v>
      </c>
      <c r="H452" s="33">
        <f t="shared" si="89"/>
        <v>508750</v>
      </c>
      <c r="I452" s="33">
        <f t="shared" si="90"/>
        <v>720000</v>
      </c>
      <c r="J452" s="25">
        <f t="shared" si="91"/>
        <v>0.63</v>
      </c>
      <c r="K452" s="22" t="str">
        <f t="shared" si="92"/>
        <v>Within Band</v>
      </c>
      <c r="L452" s="30">
        <f t="shared" si="93"/>
        <v>3</v>
      </c>
      <c r="M452" s="26">
        <v>7.3999999999999996E-2</v>
      </c>
      <c r="N452" s="34">
        <f t="shared" si="94"/>
        <v>344800</v>
      </c>
      <c r="O452" s="31">
        <v>0.05</v>
      </c>
      <c r="P452" s="34">
        <f t="shared" si="95"/>
        <v>16100</v>
      </c>
      <c r="Q452" s="22" t="s">
        <v>1701</v>
      </c>
    </row>
    <row r="453" spans="1:17" x14ac:dyDescent="0.3">
      <c r="A453" s="22" t="s">
        <v>1530</v>
      </c>
      <c r="B453" t="str">
        <f t="shared" si="84"/>
        <v>Vikas Jain</v>
      </c>
      <c r="C453" t="str">
        <f t="shared" si="85"/>
        <v>Legal &amp; Compliance</v>
      </c>
      <c r="D453" s="30" t="str">
        <f t="shared" si="86"/>
        <v>L1</v>
      </c>
      <c r="E453" s="30" t="str">
        <f t="shared" si="87"/>
        <v>Exited</v>
      </c>
      <c r="F453" s="32">
        <v>497000</v>
      </c>
      <c r="G453" s="33">
        <f t="shared" si="88"/>
        <v>297500</v>
      </c>
      <c r="H453" s="33">
        <f t="shared" si="89"/>
        <v>508750</v>
      </c>
      <c r="I453" s="33">
        <f t="shared" si="90"/>
        <v>720000</v>
      </c>
      <c r="J453" s="25">
        <f t="shared" si="91"/>
        <v>0.98</v>
      </c>
      <c r="K453" s="22" t="str">
        <f t="shared" si="92"/>
        <v>Within Band</v>
      </c>
      <c r="L453" s="30">
        <f t="shared" si="93"/>
        <v>1</v>
      </c>
      <c r="M453" s="26">
        <v>8.9999999999999993E-3</v>
      </c>
      <c r="N453" s="34">
        <f t="shared" si="94"/>
        <v>0</v>
      </c>
      <c r="O453" s="31">
        <v>0</v>
      </c>
      <c r="P453" s="34">
        <f t="shared" si="95"/>
        <v>0</v>
      </c>
      <c r="Q453" s="22" t="s">
        <v>1701</v>
      </c>
    </row>
    <row r="454" spans="1:17" x14ac:dyDescent="0.3">
      <c r="A454" s="22" t="s">
        <v>1533</v>
      </c>
      <c r="B454" t="str">
        <f t="shared" si="84"/>
        <v>Revathi Bansal</v>
      </c>
      <c r="C454" t="str">
        <f t="shared" si="85"/>
        <v>Data &amp; Analytics</v>
      </c>
      <c r="D454" s="30" t="str">
        <f t="shared" si="86"/>
        <v>L4</v>
      </c>
      <c r="E454" s="30" t="str">
        <f t="shared" si="87"/>
        <v>Active</v>
      </c>
      <c r="F454" s="32">
        <v>2525000</v>
      </c>
      <c r="G454" s="33">
        <f t="shared" si="88"/>
        <v>1445000</v>
      </c>
      <c r="H454" s="33">
        <f t="shared" si="89"/>
        <v>2342500</v>
      </c>
      <c r="I454" s="33">
        <f t="shared" si="90"/>
        <v>3240000</v>
      </c>
      <c r="J454" s="25">
        <f t="shared" si="91"/>
        <v>1.08</v>
      </c>
      <c r="K454" s="22" t="str">
        <f t="shared" si="92"/>
        <v>Within Band</v>
      </c>
      <c r="L454" s="30">
        <f t="shared" si="93"/>
        <v>4</v>
      </c>
      <c r="M454" s="26">
        <v>0.11700000000000001</v>
      </c>
      <c r="N454" s="34">
        <f t="shared" si="94"/>
        <v>2820400</v>
      </c>
      <c r="O454" s="31">
        <v>0.12</v>
      </c>
      <c r="P454" s="34">
        <f t="shared" si="95"/>
        <v>303000</v>
      </c>
      <c r="Q454" s="22" t="s">
        <v>1700</v>
      </c>
    </row>
    <row r="455" spans="1:17" x14ac:dyDescent="0.3">
      <c r="A455" s="22" t="s">
        <v>1536</v>
      </c>
      <c r="B455" t="str">
        <f t="shared" si="84"/>
        <v>Prakash Kapoor</v>
      </c>
      <c r="C455" t="str">
        <f t="shared" si="85"/>
        <v>Engineering</v>
      </c>
      <c r="D455" s="30" t="str">
        <f t="shared" si="86"/>
        <v>L1</v>
      </c>
      <c r="E455" s="30" t="str">
        <f t="shared" si="87"/>
        <v>Active</v>
      </c>
      <c r="F455" s="32">
        <v>444000</v>
      </c>
      <c r="G455" s="33">
        <f t="shared" si="88"/>
        <v>297500</v>
      </c>
      <c r="H455" s="33">
        <f t="shared" si="89"/>
        <v>508750</v>
      </c>
      <c r="I455" s="33">
        <f t="shared" si="90"/>
        <v>720000</v>
      </c>
      <c r="J455" s="25">
        <f t="shared" si="91"/>
        <v>0.87</v>
      </c>
      <c r="K455" s="22" t="str">
        <f t="shared" si="92"/>
        <v>Within Band</v>
      </c>
      <c r="L455" s="30">
        <f t="shared" si="93"/>
        <v>2</v>
      </c>
      <c r="M455" s="26">
        <v>4.7E-2</v>
      </c>
      <c r="N455" s="34">
        <f t="shared" si="94"/>
        <v>464900</v>
      </c>
      <c r="O455" s="31">
        <v>0.02</v>
      </c>
      <c r="P455" s="34">
        <f t="shared" si="95"/>
        <v>8900</v>
      </c>
      <c r="Q455" s="22" t="s">
        <v>1701</v>
      </c>
    </row>
    <row r="456" spans="1:17" x14ac:dyDescent="0.3">
      <c r="A456" s="22" t="s">
        <v>1539</v>
      </c>
      <c r="B456" t="str">
        <f t="shared" si="84"/>
        <v>Joseph Hegde</v>
      </c>
      <c r="C456" t="str">
        <f t="shared" si="85"/>
        <v>Customer Support</v>
      </c>
      <c r="D456" s="30" t="str">
        <f t="shared" si="86"/>
        <v>L4</v>
      </c>
      <c r="E456" s="30" t="str">
        <f t="shared" si="87"/>
        <v>Active</v>
      </c>
      <c r="F456" s="32">
        <v>1877000</v>
      </c>
      <c r="G456" s="33">
        <f t="shared" si="88"/>
        <v>1445000</v>
      </c>
      <c r="H456" s="33">
        <f t="shared" si="89"/>
        <v>2342500</v>
      </c>
      <c r="I456" s="33">
        <f t="shared" si="90"/>
        <v>3240000</v>
      </c>
      <c r="J456" s="25">
        <f t="shared" si="91"/>
        <v>0.8</v>
      </c>
      <c r="K456" s="22" t="str">
        <f t="shared" si="92"/>
        <v>Within Band</v>
      </c>
      <c r="L456" s="30">
        <f t="shared" si="93"/>
        <v>2</v>
      </c>
      <c r="M456" s="26">
        <v>0.02</v>
      </c>
      <c r="N456" s="34">
        <f t="shared" si="94"/>
        <v>1914500</v>
      </c>
      <c r="O456" s="31">
        <v>0.03</v>
      </c>
      <c r="P456" s="34">
        <f t="shared" si="95"/>
        <v>56300</v>
      </c>
      <c r="Q456" s="22" t="s">
        <v>1701</v>
      </c>
    </row>
    <row r="457" spans="1:17" x14ac:dyDescent="0.3">
      <c r="A457" s="22" t="s">
        <v>1542</v>
      </c>
      <c r="B457" t="str">
        <f t="shared" si="84"/>
        <v>Ananya Krishnan</v>
      </c>
      <c r="C457" t="str">
        <f t="shared" si="85"/>
        <v>Legal &amp; Compliance</v>
      </c>
      <c r="D457" s="30" t="str">
        <f t="shared" si="86"/>
        <v>L4</v>
      </c>
      <c r="E457" s="30" t="str">
        <f t="shared" si="87"/>
        <v>Active</v>
      </c>
      <c r="F457" s="32">
        <v>2807000</v>
      </c>
      <c r="G457" s="33">
        <f t="shared" si="88"/>
        <v>1445000</v>
      </c>
      <c r="H457" s="33">
        <f t="shared" si="89"/>
        <v>2342500</v>
      </c>
      <c r="I457" s="33">
        <f t="shared" si="90"/>
        <v>3240000</v>
      </c>
      <c r="J457" s="25">
        <f t="shared" si="91"/>
        <v>1.2</v>
      </c>
      <c r="K457" s="22" t="str">
        <f t="shared" si="92"/>
        <v>Within Band</v>
      </c>
      <c r="L457" s="30">
        <f t="shared" si="93"/>
        <v>4</v>
      </c>
      <c r="M457" s="26">
        <v>0.115</v>
      </c>
      <c r="N457" s="34">
        <f t="shared" si="94"/>
        <v>3129800</v>
      </c>
      <c r="O457" s="31">
        <v>0.12</v>
      </c>
      <c r="P457" s="34">
        <f t="shared" si="95"/>
        <v>336800</v>
      </c>
      <c r="Q457" s="22" t="s">
        <v>1700</v>
      </c>
    </row>
    <row r="458" spans="1:17" x14ac:dyDescent="0.3">
      <c r="A458" s="22" t="s">
        <v>1545</v>
      </c>
      <c r="B458" t="str">
        <f t="shared" si="84"/>
        <v>Kiran Khanna</v>
      </c>
      <c r="C458" t="str">
        <f t="shared" si="85"/>
        <v>Customer Support</v>
      </c>
      <c r="D458" s="30" t="str">
        <f t="shared" si="86"/>
        <v>L1</v>
      </c>
      <c r="E458" s="30" t="str">
        <f t="shared" si="87"/>
        <v>Active</v>
      </c>
      <c r="F458" s="32">
        <v>301000</v>
      </c>
      <c r="G458" s="33">
        <f t="shared" si="88"/>
        <v>297500</v>
      </c>
      <c r="H458" s="33">
        <f t="shared" si="89"/>
        <v>508750</v>
      </c>
      <c r="I458" s="33">
        <f t="shared" si="90"/>
        <v>720000</v>
      </c>
      <c r="J458" s="25">
        <f t="shared" si="91"/>
        <v>0.59</v>
      </c>
      <c r="K458" s="22" t="str">
        <f t="shared" si="92"/>
        <v>Within Band</v>
      </c>
      <c r="L458" s="30">
        <f t="shared" si="93"/>
        <v>4</v>
      </c>
      <c r="M458" s="26">
        <v>0.13900000000000001</v>
      </c>
      <c r="N458" s="34">
        <f t="shared" si="94"/>
        <v>342800</v>
      </c>
      <c r="O458" s="31">
        <v>0.08</v>
      </c>
      <c r="P458" s="34">
        <f t="shared" si="95"/>
        <v>24100</v>
      </c>
      <c r="Q458" s="22" t="s">
        <v>1701</v>
      </c>
    </row>
    <row r="459" spans="1:17" x14ac:dyDescent="0.3">
      <c r="A459" s="22" t="s">
        <v>339</v>
      </c>
      <c r="B459" t="str">
        <f t="shared" si="84"/>
        <v>Kavya Krishnan</v>
      </c>
      <c r="C459" t="str">
        <f t="shared" si="85"/>
        <v>Sales</v>
      </c>
      <c r="D459" s="30" t="str">
        <f t="shared" si="86"/>
        <v>L5</v>
      </c>
      <c r="E459" s="30" t="str">
        <f t="shared" si="87"/>
        <v>Active</v>
      </c>
      <c r="F459" s="32">
        <v>3083000</v>
      </c>
      <c r="G459" s="33">
        <f t="shared" si="88"/>
        <v>2295000</v>
      </c>
      <c r="H459" s="33">
        <f t="shared" si="89"/>
        <v>3667500</v>
      </c>
      <c r="I459" s="33">
        <f t="shared" si="90"/>
        <v>5040000</v>
      </c>
      <c r="J459" s="25">
        <f t="shared" si="91"/>
        <v>0.84</v>
      </c>
      <c r="K459" s="22" t="str">
        <f t="shared" si="92"/>
        <v>Within Band</v>
      </c>
      <c r="L459" s="30">
        <f t="shared" si="93"/>
        <v>4</v>
      </c>
      <c r="M459" s="26">
        <v>0.13800000000000001</v>
      </c>
      <c r="N459" s="34">
        <f t="shared" si="94"/>
        <v>3508500</v>
      </c>
      <c r="O459" s="31">
        <v>0.12</v>
      </c>
      <c r="P459" s="34">
        <f t="shared" si="95"/>
        <v>370000</v>
      </c>
      <c r="Q459" s="22" t="s">
        <v>1700</v>
      </c>
    </row>
    <row r="460" spans="1:17" x14ac:dyDescent="0.3">
      <c r="A460" s="22" t="s">
        <v>1549</v>
      </c>
      <c r="B460" t="str">
        <f t="shared" si="84"/>
        <v>Yamini Malhotra</v>
      </c>
      <c r="C460" t="str">
        <f t="shared" si="85"/>
        <v>Data &amp; Analytics</v>
      </c>
      <c r="D460" s="30" t="str">
        <f t="shared" si="86"/>
        <v>L1</v>
      </c>
      <c r="E460" s="30" t="str">
        <f t="shared" si="87"/>
        <v>Active</v>
      </c>
      <c r="F460" s="32">
        <v>636000</v>
      </c>
      <c r="G460" s="33">
        <f t="shared" si="88"/>
        <v>297500</v>
      </c>
      <c r="H460" s="33">
        <f t="shared" si="89"/>
        <v>508750</v>
      </c>
      <c r="I460" s="33">
        <f t="shared" si="90"/>
        <v>720000</v>
      </c>
      <c r="J460" s="25">
        <f t="shared" si="91"/>
        <v>1.25</v>
      </c>
      <c r="K460" s="22" t="str">
        <f t="shared" si="92"/>
        <v>Within Band</v>
      </c>
      <c r="L460" s="30">
        <f t="shared" si="93"/>
        <v>3</v>
      </c>
      <c r="M460" s="26">
        <v>6.9000000000000006E-2</v>
      </c>
      <c r="N460" s="34">
        <f t="shared" si="94"/>
        <v>679900</v>
      </c>
      <c r="O460" s="31">
        <v>0.05</v>
      </c>
      <c r="P460" s="34">
        <f t="shared" si="95"/>
        <v>31800</v>
      </c>
      <c r="Q460" s="22" t="s">
        <v>1701</v>
      </c>
    </row>
    <row r="461" spans="1:17" x14ac:dyDescent="0.3">
      <c r="A461" s="22" t="s">
        <v>1552</v>
      </c>
      <c r="B461" t="str">
        <f t="shared" si="84"/>
        <v>Sowmya Yadav</v>
      </c>
      <c r="C461" t="str">
        <f t="shared" si="85"/>
        <v>Human Resources</v>
      </c>
      <c r="D461" s="30" t="str">
        <f t="shared" si="86"/>
        <v>L1</v>
      </c>
      <c r="E461" s="30" t="str">
        <f t="shared" si="87"/>
        <v>Active</v>
      </c>
      <c r="F461" s="32">
        <v>462000</v>
      </c>
      <c r="G461" s="33">
        <f t="shared" si="88"/>
        <v>297500</v>
      </c>
      <c r="H461" s="33">
        <f t="shared" si="89"/>
        <v>508750</v>
      </c>
      <c r="I461" s="33">
        <f t="shared" si="90"/>
        <v>720000</v>
      </c>
      <c r="J461" s="25">
        <f t="shared" si="91"/>
        <v>0.91</v>
      </c>
      <c r="K461" s="22" t="str">
        <f t="shared" si="92"/>
        <v>Within Band</v>
      </c>
      <c r="L461" s="30">
        <f t="shared" si="93"/>
        <v>2</v>
      </c>
      <c r="M461" s="26">
        <v>4.5999999999999999E-2</v>
      </c>
      <c r="N461" s="34">
        <f t="shared" si="94"/>
        <v>483300</v>
      </c>
      <c r="O461" s="31">
        <v>0.02</v>
      </c>
      <c r="P461" s="34">
        <f t="shared" si="95"/>
        <v>9200</v>
      </c>
      <c r="Q461" s="22" t="s">
        <v>1701</v>
      </c>
    </row>
    <row r="462" spans="1:17" x14ac:dyDescent="0.3">
      <c r="A462" s="22" t="s">
        <v>1555</v>
      </c>
      <c r="B462" t="str">
        <f t="shared" si="84"/>
        <v>Deepika Tiwari</v>
      </c>
      <c r="C462" t="str">
        <f t="shared" si="85"/>
        <v>Operations</v>
      </c>
      <c r="D462" s="30" t="str">
        <f t="shared" si="86"/>
        <v>L1</v>
      </c>
      <c r="E462" s="30" t="str">
        <f t="shared" si="87"/>
        <v>Active</v>
      </c>
      <c r="F462" s="32">
        <v>465000</v>
      </c>
      <c r="G462" s="33">
        <f t="shared" si="88"/>
        <v>297500</v>
      </c>
      <c r="H462" s="33">
        <f t="shared" si="89"/>
        <v>508750</v>
      </c>
      <c r="I462" s="33">
        <f t="shared" si="90"/>
        <v>720000</v>
      </c>
      <c r="J462" s="25">
        <f t="shared" si="91"/>
        <v>0.91</v>
      </c>
      <c r="K462" s="22" t="str">
        <f t="shared" si="92"/>
        <v>Within Band</v>
      </c>
      <c r="L462" s="30">
        <f t="shared" si="93"/>
        <v>5</v>
      </c>
      <c r="M462" s="26">
        <v>0.183</v>
      </c>
      <c r="N462" s="34">
        <f t="shared" si="94"/>
        <v>550100</v>
      </c>
      <c r="O462" s="31">
        <v>0.1</v>
      </c>
      <c r="P462" s="34">
        <f t="shared" si="95"/>
        <v>46500</v>
      </c>
      <c r="Q462" s="22" t="s">
        <v>1701</v>
      </c>
    </row>
    <row r="463" spans="1:17" x14ac:dyDescent="0.3">
      <c r="A463" s="22" t="s">
        <v>1558</v>
      </c>
      <c r="B463" t="str">
        <f t="shared" si="84"/>
        <v>Ashish Siddiqui</v>
      </c>
      <c r="C463" t="str">
        <f t="shared" si="85"/>
        <v>Operations</v>
      </c>
      <c r="D463" s="30" t="str">
        <f t="shared" si="86"/>
        <v>L2</v>
      </c>
      <c r="E463" s="30" t="str">
        <f t="shared" si="87"/>
        <v>Active</v>
      </c>
      <c r="F463" s="32">
        <v>580000</v>
      </c>
      <c r="G463" s="33">
        <f t="shared" si="88"/>
        <v>510000</v>
      </c>
      <c r="H463" s="33">
        <f t="shared" si="89"/>
        <v>855000</v>
      </c>
      <c r="I463" s="33">
        <f t="shared" si="90"/>
        <v>1200000</v>
      </c>
      <c r="J463" s="25">
        <f t="shared" si="91"/>
        <v>0.68</v>
      </c>
      <c r="K463" s="22" t="str">
        <f t="shared" si="92"/>
        <v>Within Band</v>
      </c>
      <c r="L463" s="30">
        <f t="shared" si="93"/>
        <v>4</v>
      </c>
      <c r="M463" s="26">
        <v>0.11700000000000001</v>
      </c>
      <c r="N463" s="34">
        <f t="shared" si="94"/>
        <v>647900</v>
      </c>
      <c r="O463" s="31">
        <v>0.12</v>
      </c>
      <c r="P463" s="34">
        <f t="shared" si="95"/>
        <v>69600</v>
      </c>
      <c r="Q463" s="22" t="s">
        <v>1701</v>
      </c>
    </row>
    <row r="464" spans="1:17" x14ac:dyDescent="0.3">
      <c r="A464" s="22" t="s">
        <v>1561</v>
      </c>
      <c r="B464" t="str">
        <f t="shared" si="84"/>
        <v>Rajesh Agarwal</v>
      </c>
      <c r="C464" t="str">
        <f t="shared" si="85"/>
        <v>Engineering</v>
      </c>
      <c r="D464" s="30" t="str">
        <f t="shared" si="86"/>
        <v>L4</v>
      </c>
      <c r="E464" s="30" t="str">
        <f t="shared" si="87"/>
        <v>Active</v>
      </c>
      <c r="F464" s="32">
        <v>2869000</v>
      </c>
      <c r="G464" s="33">
        <f t="shared" si="88"/>
        <v>1445000</v>
      </c>
      <c r="H464" s="33">
        <f t="shared" si="89"/>
        <v>2342500</v>
      </c>
      <c r="I464" s="33">
        <f t="shared" si="90"/>
        <v>3240000</v>
      </c>
      <c r="J464" s="25">
        <f t="shared" si="91"/>
        <v>1.22</v>
      </c>
      <c r="K464" s="22" t="str">
        <f t="shared" si="92"/>
        <v>Within Band</v>
      </c>
      <c r="L464" s="30">
        <f t="shared" si="93"/>
        <v>4</v>
      </c>
      <c r="M464" s="26">
        <v>0.115</v>
      </c>
      <c r="N464" s="34">
        <f t="shared" si="94"/>
        <v>3198900</v>
      </c>
      <c r="O464" s="31">
        <v>0.12</v>
      </c>
      <c r="P464" s="34">
        <f t="shared" si="95"/>
        <v>344300</v>
      </c>
      <c r="Q464" s="22" t="s">
        <v>1700</v>
      </c>
    </row>
    <row r="465" spans="1:17" x14ac:dyDescent="0.3">
      <c r="A465" s="22" t="s">
        <v>1564</v>
      </c>
      <c r="B465" t="str">
        <f t="shared" si="84"/>
        <v>Kritika Mehta</v>
      </c>
      <c r="C465" t="str">
        <f t="shared" si="85"/>
        <v>Engineering</v>
      </c>
      <c r="D465" s="30" t="str">
        <f t="shared" si="86"/>
        <v>L2</v>
      </c>
      <c r="E465" s="30" t="str">
        <f t="shared" si="87"/>
        <v>Active</v>
      </c>
      <c r="F465" s="32">
        <v>894000</v>
      </c>
      <c r="G465" s="33">
        <f t="shared" si="88"/>
        <v>510000</v>
      </c>
      <c r="H465" s="33">
        <f t="shared" si="89"/>
        <v>855000</v>
      </c>
      <c r="I465" s="33">
        <f t="shared" si="90"/>
        <v>1200000</v>
      </c>
      <c r="J465" s="25">
        <f t="shared" si="91"/>
        <v>1.05</v>
      </c>
      <c r="K465" s="22" t="str">
        <f t="shared" si="92"/>
        <v>Within Band</v>
      </c>
      <c r="L465" s="30">
        <f t="shared" si="93"/>
        <v>4</v>
      </c>
      <c r="M465" s="26">
        <v>0.108</v>
      </c>
      <c r="N465" s="34">
        <f t="shared" si="94"/>
        <v>990600</v>
      </c>
      <c r="O465" s="31">
        <v>0.12</v>
      </c>
      <c r="P465" s="34">
        <f t="shared" si="95"/>
        <v>107300</v>
      </c>
      <c r="Q465" s="22" t="s">
        <v>1701</v>
      </c>
    </row>
    <row r="466" spans="1:17" x14ac:dyDescent="0.3">
      <c r="A466" s="22" t="s">
        <v>1567</v>
      </c>
      <c r="B466" t="str">
        <f t="shared" si="84"/>
        <v>Yash Rao</v>
      </c>
      <c r="C466" t="str">
        <f t="shared" si="85"/>
        <v>Product</v>
      </c>
      <c r="D466" s="30" t="str">
        <f t="shared" si="86"/>
        <v>L1</v>
      </c>
      <c r="E466" s="30" t="str">
        <f t="shared" si="87"/>
        <v>Active</v>
      </c>
      <c r="F466" s="32">
        <v>458000</v>
      </c>
      <c r="G466" s="33">
        <f t="shared" si="88"/>
        <v>297500</v>
      </c>
      <c r="H466" s="33">
        <f t="shared" si="89"/>
        <v>508750</v>
      </c>
      <c r="I466" s="33">
        <f t="shared" si="90"/>
        <v>720000</v>
      </c>
      <c r="J466" s="25">
        <f t="shared" si="91"/>
        <v>0.9</v>
      </c>
      <c r="K466" s="22" t="str">
        <f t="shared" si="92"/>
        <v>Within Band</v>
      </c>
      <c r="L466" s="30">
        <f t="shared" si="93"/>
        <v>5</v>
      </c>
      <c r="M466" s="26">
        <v>0.16600000000000001</v>
      </c>
      <c r="N466" s="34">
        <f t="shared" si="94"/>
        <v>534000</v>
      </c>
      <c r="O466" s="31">
        <v>0.1</v>
      </c>
      <c r="P466" s="34">
        <f t="shared" si="95"/>
        <v>45800</v>
      </c>
      <c r="Q466" s="22" t="s">
        <v>1701</v>
      </c>
    </row>
    <row r="467" spans="1:17" x14ac:dyDescent="0.3">
      <c r="A467" s="22" t="s">
        <v>1570</v>
      </c>
      <c r="B467" t="str">
        <f t="shared" si="84"/>
        <v>Yamini Choudhary</v>
      </c>
      <c r="C467" t="str">
        <f t="shared" si="85"/>
        <v>Data &amp; Analytics</v>
      </c>
      <c r="D467" s="30" t="str">
        <f t="shared" si="86"/>
        <v>L2</v>
      </c>
      <c r="E467" s="30" t="str">
        <f t="shared" si="87"/>
        <v>Active</v>
      </c>
      <c r="F467" s="32">
        <v>1079000</v>
      </c>
      <c r="G467" s="33">
        <f t="shared" si="88"/>
        <v>510000</v>
      </c>
      <c r="H467" s="33">
        <f t="shared" si="89"/>
        <v>855000</v>
      </c>
      <c r="I467" s="33">
        <f t="shared" si="90"/>
        <v>1200000</v>
      </c>
      <c r="J467" s="25">
        <f t="shared" si="91"/>
        <v>1.26</v>
      </c>
      <c r="K467" s="22" t="str">
        <f t="shared" si="92"/>
        <v>Within Band</v>
      </c>
      <c r="L467" s="30">
        <f t="shared" si="93"/>
        <v>4</v>
      </c>
      <c r="M467" s="26">
        <v>0.111</v>
      </c>
      <c r="N467" s="34">
        <f t="shared" si="94"/>
        <v>1198800</v>
      </c>
      <c r="O467" s="31">
        <v>0.12</v>
      </c>
      <c r="P467" s="34">
        <f t="shared" si="95"/>
        <v>129500</v>
      </c>
      <c r="Q467" s="22" t="s">
        <v>1701</v>
      </c>
    </row>
    <row r="468" spans="1:17" x14ac:dyDescent="0.3">
      <c r="A468" s="22" t="s">
        <v>1573</v>
      </c>
      <c r="B468" t="str">
        <f t="shared" si="84"/>
        <v>Vikram Bansal</v>
      </c>
      <c r="C468" t="str">
        <f t="shared" si="85"/>
        <v>Finance</v>
      </c>
      <c r="D468" s="30" t="str">
        <f t="shared" si="86"/>
        <v>L2</v>
      </c>
      <c r="E468" s="30" t="str">
        <f t="shared" si="87"/>
        <v>Active</v>
      </c>
      <c r="F468" s="32">
        <v>987000</v>
      </c>
      <c r="G468" s="33">
        <f t="shared" si="88"/>
        <v>510000</v>
      </c>
      <c r="H468" s="33">
        <f t="shared" si="89"/>
        <v>855000</v>
      </c>
      <c r="I468" s="33">
        <f t="shared" si="90"/>
        <v>1200000</v>
      </c>
      <c r="J468" s="25">
        <f t="shared" si="91"/>
        <v>1.1499999999999999</v>
      </c>
      <c r="K468" s="22" t="str">
        <f t="shared" si="92"/>
        <v>Within Band</v>
      </c>
      <c r="L468" s="30">
        <f t="shared" si="93"/>
        <v>4</v>
      </c>
      <c r="M468" s="26">
        <v>0.129</v>
      </c>
      <c r="N468" s="34">
        <f t="shared" si="94"/>
        <v>1114300</v>
      </c>
      <c r="O468" s="31">
        <v>0.12</v>
      </c>
      <c r="P468" s="34">
        <f t="shared" si="95"/>
        <v>118400</v>
      </c>
      <c r="Q468" s="22" t="s">
        <v>1701</v>
      </c>
    </row>
    <row r="469" spans="1:17" x14ac:dyDescent="0.3">
      <c r="A469" s="22" t="s">
        <v>1576</v>
      </c>
      <c r="B469" t="str">
        <f t="shared" si="84"/>
        <v>Ramya Kapoor</v>
      </c>
      <c r="C469" t="str">
        <f t="shared" si="85"/>
        <v>Sales</v>
      </c>
      <c r="D469" s="30" t="str">
        <f t="shared" si="86"/>
        <v>L1</v>
      </c>
      <c r="E469" s="30" t="str">
        <f t="shared" si="87"/>
        <v>Active</v>
      </c>
      <c r="F469" s="32">
        <v>541000</v>
      </c>
      <c r="G469" s="33">
        <f t="shared" si="88"/>
        <v>297500</v>
      </c>
      <c r="H469" s="33">
        <f t="shared" si="89"/>
        <v>508750</v>
      </c>
      <c r="I469" s="33">
        <f t="shared" si="90"/>
        <v>720000</v>
      </c>
      <c r="J469" s="25">
        <f t="shared" si="91"/>
        <v>1.06</v>
      </c>
      <c r="K469" s="22" t="str">
        <f t="shared" si="92"/>
        <v>Within Band</v>
      </c>
      <c r="L469" s="30">
        <f t="shared" si="93"/>
        <v>3</v>
      </c>
      <c r="M469" s="26">
        <v>8.4000000000000005E-2</v>
      </c>
      <c r="N469" s="34">
        <f t="shared" si="94"/>
        <v>586400</v>
      </c>
      <c r="O469" s="31">
        <v>0.05</v>
      </c>
      <c r="P469" s="34">
        <f t="shared" si="95"/>
        <v>27100</v>
      </c>
      <c r="Q469" s="22" t="s">
        <v>1701</v>
      </c>
    </row>
    <row r="470" spans="1:17" x14ac:dyDescent="0.3">
      <c r="A470" s="22" t="s">
        <v>1579</v>
      </c>
      <c r="B470" t="str">
        <f t="shared" si="84"/>
        <v>Aniket Chatterjee</v>
      </c>
      <c r="C470" t="str">
        <f t="shared" si="85"/>
        <v>Product</v>
      </c>
      <c r="D470" s="30" t="str">
        <f t="shared" si="86"/>
        <v>L2</v>
      </c>
      <c r="E470" s="30" t="str">
        <f t="shared" si="87"/>
        <v>Active</v>
      </c>
      <c r="F470" s="32">
        <v>1172000</v>
      </c>
      <c r="G470" s="33">
        <f t="shared" si="88"/>
        <v>510000</v>
      </c>
      <c r="H470" s="33">
        <f t="shared" si="89"/>
        <v>855000</v>
      </c>
      <c r="I470" s="33">
        <f t="shared" si="90"/>
        <v>1200000</v>
      </c>
      <c r="J470" s="25">
        <f t="shared" si="91"/>
        <v>1.37</v>
      </c>
      <c r="K470" s="22" t="str">
        <f t="shared" si="92"/>
        <v>Within Band</v>
      </c>
      <c r="L470" s="30">
        <f t="shared" si="93"/>
        <v>4</v>
      </c>
      <c r="M470" s="26">
        <v>0.11899999999999999</v>
      </c>
      <c r="N470" s="34">
        <f t="shared" si="94"/>
        <v>1311500</v>
      </c>
      <c r="O470" s="31">
        <v>0.12</v>
      </c>
      <c r="P470" s="34">
        <f t="shared" si="95"/>
        <v>140600</v>
      </c>
      <c r="Q470" s="22" t="s">
        <v>1701</v>
      </c>
    </row>
    <row r="471" spans="1:17" x14ac:dyDescent="0.3">
      <c r="A471" s="22" t="s">
        <v>1582</v>
      </c>
      <c r="B471" t="str">
        <f t="shared" si="84"/>
        <v>Krishna Khan</v>
      </c>
      <c r="C471" t="str">
        <f t="shared" si="85"/>
        <v>Legal &amp; Compliance</v>
      </c>
      <c r="D471" s="30" t="str">
        <f t="shared" si="86"/>
        <v>L3</v>
      </c>
      <c r="E471" s="30" t="str">
        <f t="shared" si="87"/>
        <v>Active</v>
      </c>
      <c r="F471" s="32">
        <v>1545000</v>
      </c>
      <c r="G471" s="33">
        <f t="shared" si="88"/>
        <v>850000</v>
      </c>
      <c r="H471" s="33">
        <f t="shared" si="89"/>
        <v>1445000</v>
      </c>
      <c r="I471" s="33">
        <f t="shared" si="90"/>
        <v>2040000</v>
      </c>
      <c r="J471" s="25">
        <f t="shared" si="91"/>
        <v>1.07</v>
      </c>
      <c r="K471" s="22" t="str">
        <f t="shared" si="92"/>
        <v>Within Band</v>
      </c>
      <c r="L471" s="30">
        <f t="shared" si="93"/>
        <v>3</v>
      </c>
      <c r="M471" s="26">
        <v>7.3999999999999996E-2</v>
      </c>
      <c r="N471" s="34">
        <f t="shared" si="94"/>
        <v>1659300</v>
      </c>
      <c r="O471" s="31">
        <v>0.08</v>
      </c>
      <c r="P471" s="34">
        <f t="shared" si="95"/>
        <v>123600</v>
      </c>
      <c r="Q471" s="22" t="s">
        <v>1701</v>
      </c>
    </row>
    <row r="472" spans="1:17" x14ac:dyDescent="0.3">
      <c r="A472" s="22" t="s">
        <v>1585</v>
      </c>
      <c r="B472" t="str">
        <f t="shared" si="84"/>
        <v>Sowmya Prabhu</v>
      </c>
      <c r="C472" t="str">
        <f t="shared" si="85"/>
        <v>Engineering</v>
      </c>
      <c r="D472" s="30" t="str">
        <f t="shared" si="86"/>
        <v>L1</v>
      </c>
      <c r="E472" s="30" t="str">
        <f t="shared" si="87"/>
        <v>Active</v>
      </c>
      <c r="F472" s="32">
        <v>659000</v>
      </c>
      <c r="G472" s="33">
        <f t="shared" si="88"/>
        <v>297500</v>
      </c>
      <c r="H472" s="33">
        <f t="shared" si="89"/>
        <v>508750</v>
      </c>
      <c r="I472" s="33">
        <f t="shared" si="90"/>
        <v>720000</v>
      </c>
      <c r="J472" s="25">
        <f t="shared" si="91"/>
        <v>1.3</v>
      </c>
      <c r="K472" s="22" t="str">
        <f t="shared" si="92"/>
        <v>Within Band</v>
      </c>
      <c r="L472" s="30">
        <f t="shared" si="93"/>
        <v>4</v>
      </c>
      <c r="M472" s="26">
        <v>0.13</v>
      </c>
      <c r="N472" s="34">
        <f t="shared" si="94"/>
        <v>744700</v>
      </c>
      <c r="O472" s="31">
        <v>0.08</v>
      </c>
      <c r="P472" s="34">
        <f t="shared" si="95"/>
        <v>52700</v>
      </c>
      <c r="Q472" s="22" t="s">
        <v>1701</v>
      </c>
    </row>
    <row r="473" spans="1:17" x14ac:dyDescent="0.3">
      <c r="A473" s="22" t="s">
        <v>1588</v>
      </c>
      <c r="B473" t="str">
        <f t="shared" si="84"/>
        <v>Kritika Khan</v>
      </c>
      <c r="C473" t="str">
        <f t="shared" si="85"/>
        <v>Engineering</v>
      </c>
      <c r="D473" s="30" t="str">
        <f t="shared" si="86"/>
        <v>L2</v>
      </c>
      <c r="E473" s="30" t="str">
        <f t="shared" si="87"/>
        <v>Active</v>
      </c>
      <c r="F473" s="32">
        <v>1059000</v>
      </c>
      <c r="G473" s="33">
        <f t="shared" si="88"/>
        <v>510000</v>
      </c>
      <c r="H473" s="33">
        <f t="shared" si="89"/>
        <v>855000</v>
      </c>
      <c r="I473" s="33">
        <f t="shared" si="90"/>
        <v>1200000</v>
      </c>
      <c r="J473" s="25">
        <f t="shared" si="91"/>
        <v>1.24</v>
      </c>
      <c r="K473" s="22" t="str">
        <f t="shared" si="92"/>
        <v>Within Band</v>
      </c>
      <c r="L473" s="30">
        <f t="shared" si="93"/>
        <v>3</v>
      </c>
      <c r="M473" s="26">
        <v>7.0000000000000007E-2</v>
      </c>
      <c r="N473" s="34">
        <f t="shared" si="94"/>
        <v>1133100</v>
      </c>
      <c r="O473" s="31">
        <v>0.08</v>
      </c>
      <c r="P473" s="34">
        <f t="shared" si="95"/>
        <v>84700</v>
      </c>
      <c r="Q473" s="22" t="s">
        <v>1701</v>
      </c>
    </row>
    <row r="474" spans="1:17" x14ac:dyDescent="0.3">
      <c r="A474" s="22" t="s">
        <v>1591</v>
      </c>
      <c r="B474" t="str">
        <f t="shared" si="84"/>
        <v>Rashmi Gowda</v>
      </c>
      <c r="C474" t="str">
        <f t="shared" si="85"/>
        <v>Operations</v>
      </c>
      <c r="D474" s="30" t="str">
        <f t="shared" si="86"/>
        <v>L1</v>
      </c>
      <c r="E474" s="30" t="str">
        <f t="shared" si="87"/>
        <v>Active</v>
      </c>
      <c r="F474" s="32">
        <v>460000</v>
      </c>
      <c r="G474" s="33">
        <f t="shared" si="88"/>
        <v>297500</v>
      </c>
      <c r="H474" s="33">
        <f t="shared" si="89"/>
        <v>508750</v>
      </c>
      <c r="I474" s="33">
        <f t="shared" si="90"/>
        <v>720000</v>
      </c>
      <c r="J474" s="25">
        <f t="shared" si="91"/>
        <v>0.9</v>
      </c>
      <c r="K474" s="22" t="str">
        <f t="shared" si="92"/>
        <v>Within Band</v>
      </c>
      <c r="L474" s="30">
        <f t="shared" si="93"/>
        <v>5</v>
      </c>
      <c r="M474" s="26">
        <v>0.16400000000000001</v>
      </c>
      <c r="N474" s="34">
        <f t="shared" si="94"/>
        <v>535400</v>
      </c>
      <c r="O474" s="31">
        <v>0.1</v>
      </c>
      <c r="P474" s="34">
        <f t="shared" si="95"/>
        <v>46000</v>
      </c>
      <c r="Q474" s="22" t="s">
        <v>1701</v>
      </c>
    </row>
    <row r="475" spans="1:17" x14ac:dyDescent="0.3">
      <c r="A475" s="22" t="s">
        <v>1594</v>
      </c>
      <c r="B475" t="str">
        <f t="shared" si="84"/>
        <v>Ananya Khanna</v>
      </c>
      <c r="C475" t="str">
        <f t="shared" si="85"/>
        <v>Operations</v>
      </c>
      <c r="D475" s="30" t="str">
        <f t="shared" si="86"/>
        <v>L1</v>
      </c>
      <c r="E475" s="30" t="str">
        <f t="shared" si="87"/>
        <v>Active</v>
      </c>
      <c r="F475" s="32">
        <v>512000</v>
      </c>
      <c r="G475" s="33">
        <f t="shared" si="88"/>
        <v>297500</v>
      </c>
      <c r="H475" s="33">
        <f t="shared" si="89"/>
        <v>508750</v>
      </c>
      <c r="I475" s="33">
        <f t="shared" si="90"/>
        <v>720000</v>
      </c>
      <c r="J475" s="25">
        <f t="shared" si="91"/>
        <v>1.01</v>
      </c>
      <c r="K475" s="22" t="str">
        <f t="shared" si="92"/>
        <v>Within Band</v>
      </c>
      <c r="L475" s="30">
        <f t="shared" si="93"/>
        <v>3</v>
      </c>
      <c r="M475" s="26">
        <v>8.6999999999999994E-2</v>
      </c>
      <c r="N475" s="34">
        <f t="shared" si="94"/>
        <v>556500</v>
      </c>
      <c r="O475" s="31">
        <v>0.05</v>
      </c>
      <c r="P475" s="34">
        <f t="shared" si="95"/>
        <v>25600</v>
      </c>
      <c r="Q475" s="22" t="s">
        <v>1701</v>
      </c>
    </row>
    <row r="476" spans="1:17" x14ac:dyDescent="0.3">
      <c r="A476" s="22" t="s">
        <v>1597</v>
      </c>
      <c r="B476" t="str">
        <f t="shared" si="84"/>
        <v>Ritu Thomas</v>
      </c>
      <c r="C476" t="str">
        <f t="shared" si="85"/>
        <v>Sales</v>
      </c>
      <c r="D476" s="30" t="str">
        <f t="shared" si="86"/>
        <v>L1</v>
      </c>
      <c r="E476" s="30" t="str">
        <f t="shared" si="87"/>
        <v>Active</v>
      </c>
      <c r="F476" s="32">
        <v>462000</v>
      </c>
      <c r="G476" s="33">
        <f t="shared" si="88"/>
        <v>297500</v>
      </c>
      <c r="H476" s="33">
        <f t="shared" si="89"/>
        <v>508750</v>
      </c>
      <c r="I476" s="33">
        <f t="shared" si="90"/>
        <v>720000</v>
      </c>
      <c r="J476" s="25">
        <f t="shared" si="91"/>
        <v>0.91</v>
      </c>
      <c r="K476" s="22" t="str">
        <f t="shared" si="92"/>
        <v>Within Band</v>
      </c>
      <c r="L476" s="30">
        <f t="shared" si="93"/>
        <v>5</v>
      </c>
      <c r="M476" s="26">
        <v>0.182</v>
      </c>
      <c r="N476" s="34">
        <f t="shared" si="94"/>
        <v>546100</v>
      </c>
      <c r="O476" s="31">
        <v>0.1</v>
      </c>
      <c r="P476" s="34">
        <f t="shared" si="95"/>
        <v>46200</v>
      </c>
      <c r="Q476" s="22" t="s">
        <v>1701</v>
      </c>
    </row>
    <row r="477" spans="1:17" x14ac:dyDescent="0.3">
      <c r="A477" s="22" t="s">
        <v>1600</v>
      </c>
      <c r="B477" t="str">
        <f t="shared" si="84"/>
        <v>Gayatri Subramanian</v>
      </c>
      <c r="C477" t="str">
        <f t="shared" si="85"/>
        <v>Product</v>
      </c>
      <c r="D477" s="30" t="str">
        <f t="shared" si="86"/>
        <v>L2</v>
      </c>
      <c r="E477" s="30" t="str">
        <f t="shared" si="87"/>
        <v>Active</v>
      </c>
      <c r="F477" s="32">
        <v>1042000</v>
      </c>
      <c r="G477" s="33">
        <f t="shared" si="88"/>
        <v>510000</v>
      </c>
      <c r="H477" s="33">
        <f t="shared" si="89"/>
        <v>855000</v>
      </c>
      <c r="I477" s="33">
        <f t="shared" si="90"/>
        <v>1200000</v>
      </c>
      <c r="J477" s="25">
        <f t="shared" si="91"/>
        <v>1.22</v>
      </c>
      <c r="K477" s="22" t="str">
        <f t="shared" si="92"/>
        <v>Within Band</v>
      </c>
      <c r="L477" s="30">
        <f t="shared" si="93"/>
        <v>3</v>
      </c>
      <c r="M477" s="26">
        <v>0.08</v>
      </c>
      <c r="N477" s="34">
        <f t="shared" si="94"/>
        <v>1125400</v>
      </c>
      <c r="O477" s="31">
        <v>0.08</v>
      </c>
      <c r="P477" s="34">
        <f t="shared" si="95"/>
        <v>83400</v>
      </c>
      <c r="Q477" s="22" t="s">
        <v>1701</v>
      </c>
    </row>
    <row r="478" spans="1:17" x14ac:dyDescent="0.3">
      <c r="A478" s="22" t="s">
        <v>1603</v>
      </c>
      <c r="B478" t="str">
        <f t="shared" si="84"/>
        <v>Sanjay Rao</v>
      </c>
      <c r="C478" t="str">
        <f t="shared" si="85"/>
        <v>Marketing</v>
      </c>
      <c r="D478" s="30" t="str">
        <f t="shared" si="86"/>
        <v>L2</v>
      </c>
      <c r="E478" s="30" t="str">
        <f t="shared" si="87"/>
        <v>Active</v>
      </c>
      <c r="F478" s="32">
        <v>751000</v>
      </c>
      <c r="G478" s="33">
        <f t="shared" si="88"/>
        <v>510000</v>
      </c>
      <c r="H478" s="33">
        <f t="shared" si="89"/>
        <v>855000</v>
      </c>
      <c r="I478" s="33">
        <f t="shared" si="90"/>
        <v>1200000</v>
      </c>
      <c r="J478" s="25">
        <f t="shared" si="91"/>
        <v>0.88</v>
      </c>
      <c r="K478" s="22" t="str">
        <f t="shared" si="92"/>
        <v>Within Band</v>
      </c>
      <c r="L478" s="30">
        <f t="shared" si="93"/>
        <v>2</v>
      </c>
      <c r="M478" s="26">
        <v>0.03</v>
      </c>
      <c r="N478" s="34">
        <f t="shared" si="94"/>
        <v>773500</v>
      </c>
      <c r="O478" s="31">
        <v>0.03</v>
      </c>
      <c r="P478" s="34">
        <f t="shared" si="95"/>
        <v>22500</v>
      </c>
      <c r="Q478" s="22" t="s">
        <v>1701</v>
      </c>
    </row>
    <row r="479" spans="1:17" x14ac:dyDescent="0.3">
      <c r="A479" s="22" t="s">
        <v>1606</v>
      </c>
      <c r="B479" t="str">
        <f t="shared" si="84"/>
        <v>Mohit Chatterjee</v>
      </c>
      <c r="C479" t="str">
        <f t="shared" si="85"/>
        <v>Human Resources</v>
      </c>
      <c r="D479" s="30" t="str">
        <f t="shared" si="86"/>
        <v>L2</v>
      </c>
      <c r="E479" s="30" t="str">
        <f t="shared" si="87"/>
        <v>Active</v>
      </c>
      <c r="F479" s="32">
        <v>733000</v>
      </c>
      <c r="G479" s="33">
        <f t="shared" si="88"/>
        <v>510000</v>
      </c>
      <c r="H479" s="33">
        <f t="shared" si="89"/>
        <v>855000</v>
      </c>
      <c r="I479" s="33">
        <f t="shared" si="90"/>
        <v>1200000</v>
      </c>
      <c r="J479" s="25">
        <f t="shared" si="91"/>
        <v>0.86</v>
      </c>
      <c r="K479" s="22" t="str">
        <f t="shared" si="92"/>
        <v>Within Band</v>
      </c>
      <c r="L479" s="30">
        <f t="shared" si="93"/>
        <v>3</v>
      </c>
      <c r="M479" s="26">
        <v>8.1000000000000003E-2</v>
      </c>
      <c r="N479" s="34">
        <f t="shared" si="94"/>
        <v>792400</v>
      </c>
      <c r="O479" s="31">
        <v>0.08</v>
      </c>
      <c r="P479" s="34">
        <f t="shared" si="95"/>
        <v>58600</v>
      </c>
      <c r="Q479" s="22" t="s">
        <v>1701</v>
      </c>
    </row>
    <row r="480" spans="1:17" x14ac:dyDescent="0.3">
      <c r="A480" s="22" t="s">
        <v>1609</v>
      </c>
      <c r="B480" t="str">
        <f t="shared" si="84"/>
        <v>Abhishek Agarwal</v>
      </c>
      <c r="C480" t="str">
        <f t="shared" si="85"/>
        <v>Engineering</v>
      </c>
      <c r="D480" s="30" t="str">
        <f t="shared" si="86"/>
        <v>L2</v>
      </c>
      <c r="E480" s="30" t="str">
        <f t="shared" si="87"/>
        <v>Active</v>
      </c>
      <c r="F480" s="32">
        <v>877000</v>
      </c>
      <c r="G480" s="33">
        <f t="shared" si="88"/>
        <v>510000</v>
      </c>
      <c r="H480" s="33">
        <f t="shared" si="89"/>
        <v>855000</v>
      </c>
      <c r="I480" s="33">
        <f t="shared" si="90"/>
        <v>1200000</v>
      </c>
      <c r="J480" s="25">
        <f t="shared" si="91"/>
        <v>1.03</v>
      </c>
      <c r="K480" s="22" t="str">
        <f t="shared" si="92"/>
        <v>Within Band</v>
      </c>
      <c r="L480" s="30">
        <f t="shared" si="93"/>
        <v>3</v>
      </c>
      <c r="M480" s="26">
        <v>9.8000000000000004E-2</v>
      </c>
      <c r="N480" s="34">
        <f t="shared" si="94"/>
        <v>962900</v>
      </c>
      <c r="O480" s="31">
        <v>0.08</v>
      </c>
      <c r="P480" s="34">
        <f t="shared" si="95"/>
        <v>70200</v>
      </c>
      <c r="Q480" s="22" t="s">
        <v>1701</v>
      </c>
    </row>
    <row r="481" spans="1:17" x14ac:dyDescent="0.3">
      <c r="A481" s="22" t="s">
        <v>1612</v>
      </c>
      <c r="B481" t="str">
        <f t="shared" si="84"/>
        <v>Sanjay Bansal</v>
      </c>
      <c r="C481" t="str">
        <f t="shared" si="85"/>
        <v>Engineering</v>
      </c>
      <c r="D481" s="30" t="str">
        <f t="shared" si="86"/>
        <v>L2</v>
      </c>
      <c r="E481" s="30" t="str">
        <f t="shared" si="87"/>
        <v>Active</v>
      </c>
      <c r="F481" s="32">
        <v>1020000</v>
      </c>
      <c r="G481" s="33">
        <f t="shared" si="88"/>
        <v>510000</v>
      </c>
      <c r="H481" s="33">
        <f t="shared" si="89"/>
        <v>855000</v>
      </c>
      <c r="I481" s="33">
        <f t="shared" si="90"/>
        <v>1200000</v>
      </c>
      <c r="J481" s="25">
        <f t="shared" si="91"/>
        <v>1.19</v>
      </c>
      <c r="K481" s="22" t="str">
        <f t="shared" si="92"/>
        <v>Within Band</v>
      </c>
      <c r="L481" s="30">
        <f t="shared" si="93"/>
        <v>4</v>
      </c>
      <c r="M481" s="26">
        <v>0.13</v>
      </c>
      <c r="N481" s="34">
        <f t="shared" si="94"/>
        <v>1152600</v>
      </c>
      <c r="O481" s="31">
        <v>0.12</v>
      </c>
      <c r="P481" s="34">
        <f t="shared" si="95"/>
        <v>122400</v>
      </c>
      <c r="Q481" s="22" t="s">
        <v>1701</v>
      </c>
    </row>
    <row r="482" spans="1:17" x14ac:dyDescent="0.3">
      <c r="A482" s="22" t="s">
        <v>1615</v>
      </c>
      <c r="B482" t="str">
        <f t="shared" si="84"/>
        <v>Madhuri Banerjee</v>
      </c>
      <c r="C482" t="str">
        <f t="shared" si="85"/>
        <v>Customer Support</v>
      </c>
      <c r="D482" s="30" t="str">
        <f t="shared" si="86"/>
        <v>L3</v>
      </c>
      <c r="E482" s="30" t="str">
        <f t="shared" si="87"/>
        <v>Active</v>
      </c>
      <c r="F482" s="32">
        <v>1284000</v>
      </c>
      <c r="G482" s="33">
        <f t="shared" si="88"/>
        <v>850000</v>
      </c>
      <c r="H482" s="33">
        <f t="shared" si="89"/>
        <v>1445000</v>
      </c>
      <c r="I482" s="33">
        <f t="shared" si="90"/>
        <v>2040000</v>
      </c>
      <c r="J482" s="25">
        <f t="shared" si="91"/>
        <v>0.89</v>
      </c>
      <c r="K482" s="22" t="str">
        <f t="shared" si="92"/>
        <v>Within Band</v>
      </c>
      <c r="L482" s="30">
        <f t="shared" si="93"/>
        <v>3</v>
      </c>
      <c r="M482" s="26">
        <v>7.2999999999999995E-2</v>
      </c>
      <c r="N482" s="34">
        <f t="shared" si="94"/>
        <v>1377700</v>
      </c>
      <c r="O482" s="31">
        <v>0.08</v>
      </c>
      <c r="P482" s="34">
        <f t="shared" si="95"/>
        <v>102700</v>
      </c>
      <c r="Q482" s="22" t="s">
        <v>1701</v>
      </c>
    </row>
    <row r="483" spans="1:17" x14ac:dyDescent="0.3">
      <c r="A483" s="22" t="s">
        <v>1618</v>
      </c>
      <c r="B483" t="str">
        <f t="shared" si="84"/>
        <v>Rashmi Khanna</v>
      </c>
      <c r="C483" t="str">
        <f t="shared" si="85"/>
        <v>Legal &amp; Compliance</v>
      </c>
      <c r="D483" s="30" t="str">
        <f t="shared" si="86"/>
        <v>L1</v>
      </c>
      <c r="E483" s="30" t="str">
        <f t="shared" si="87"/>
        <v>Active</v>
      </c>
      <c r="F483" s="32">
        <v>540000</v>
      </c>
      <c r="G483" s="33">
        <f t="shared" si="88"/>
        <v>297500</v>
      </c>
      <c r="H483" s="33">
        <f t="shared" si="89"/>
        <v>508750</v>
      </c>
      <c r="I483" s="33">
        <f t="shared" si="90"/>
        <v>720000</v>
      </c>
      <c r="J483" s="25">
        <f t="shared" si="91"/>
        <v>1.06</v>
      </c>
      <c r="K483" s="22" t="str">
        <f t="shared" si="92"/>
        <v>Within Band</v>
      </c>
      <c r="L483" s="30">
        <f t="shared" si="93"/>
        <v>2</v>
      </c>
      <c r="M483" s="26">
        <v>1.7999999999999999E-2</v>
      </c>
      <c r="N483" s="34">
        <f t="shared" si="94"/>
        <v>549700</v>
      </c>
      <c r="O483" s="31">
        <v>0.02</v>
      </c>
      <c r="P483" s="34">
        <f t="shared" si="95"/>
        <v>10800</v>
      </c>
      <c r="Q483" s="22" t="s">
        <v>1701</v>
      </c>
    </row>
    <row r="484" spans="1:17" x14ac:dyDescent="0.3">
      <c r="A484" s="22" t="s">
        <v>1621</v>
      </c>
      <c r="B484" t="str">
        <f t="shared" si="84"/>
        <v>Amit Chatterjee</v>
      </c>
      <c r="C484" t="str">
        <f t="shared" si="85"/>
        <v>Operations</v>
      </c>
      <c r="D484" s="30" t="str">
        <f t="shared" si="86"/>
        <v>L1</v>
      </c>
      <c r="E484" s="30" t="str">
        <f t="shared" si="87"/>
        <v>Active</v>
      </c>
      <c r="F484" s="32">
        <v>377000</v>
      </c>
      <c r="G484" s="33">
        <f t="shared" si="88"/>
        <v>297500</v>
      </c>
      <c r="H484" s="33">
        <f t="shared" si="89"/>
        <v>508750</v>
      </c>
      <c r="I484" s="33">
        <f t="shared" si="90"/>
        <v>720000</v>
      </c>
      <c r="J484" s="25">
        <f t="shared" si="91"/>
        <v>0.74</v>
      </c>
      <c r="K484" s="22" t="str">
        <f t="shared" si="92"/>
        <v>Within Band</v>
      </c>
      <c r="L484" s="30">
        <f t="shared" si="93"/>
        <v>3</v>
      </c>
      <c r="M484" s="26">
        <v>9.1999999999999998E-2</v>
      </c>
      <c r="N484" s="34">
        <f t="shared" si="94"/>
        <v>411700</v>
      </c>
      <c r="O484" s="31">
        <v>0.05</v>
      </c>
      <c r="P484" s="34">
        <f t="shared" si="95"/>
        <v>18900</v>
      </c>
      <c r="Q484" s="22" t="s">
        <v>1701</v>
      </c>
    </row>
    <row r="485" spans="1:17" x14ac:dyDescent="0.3">
      <c r="A485" s="22" t="s">
        <v>1624</v>
      </c>
      <c r="B485" t="str">
        <f t="shared" si="84"/>
        <v>Ankit Raghavan</v>
      </c>
      <c r="C485" t="str">
        <f t="shared" si="85"/>
        <v>Human Resources</v>
      </c>
      <c r="D485" s="30" t="str">
        <f t="shared" si="86"/>
        <v>L3</v>
      </c>
      <c r="E485" s="30" t="str">
        <f t="shared" si="87"/>
        <v>Active</v>
      </c>
      <c r="F485" s="32">
        <v>1618000</v>
      </c>
      <c r="G485" s="33">
        <f t="shared" si="88"/>
        <v>850000</v>
      </c>
      <c r="H485" s="33">
        <f t="shared" si="89"/>
        <v>1445000</v>
      </c>
      <c r="I485" s="33">
        <f t="shared" si="90"/>
        <v>2040000</v>
      </c>
      <c r="J485" s="25">
        <f t="shared" si="91"/>
        <v>1.1200000000000001</v>
      </c>
      <c r="K485" s="22" t="str">
        <f t="shared" si="92"/>
        <v>Within Band</v>
      </c>
      <c r="L485" s="30">
        <f t="shared" si="93"/>
        <v>4</v>
      </c>
      <c r="M485" s="26">
        <v>0.127</v>
      </c>
      <c r="N485" s="34">
        <f t="shared" si="94"/>
        <v>1823500</v>
      </c>
      <c r="O485" s="31">
        <v>0.12</v>
      </c>
      <c r="P485" s="34">
        <f t="shared" si="95"/>
        <v>194200</v>
      </c>
      <c r="Q485" s="22" t="s">
        <v>1701</v>
      </c>
    </row>
    <row r="486" spans="1:17" x14ac:dyDescent="0.3">
      <c r="A486" s="22" t="s">
        <v>1627</v>
      </c>
      <c r="B486" t="str">
        <f t="shared" si="84"/>
        <v>Dev Reddy</v>
      </c>
      <c r="C486" t="str">
        <f t="shared" si="85"/>
        <v>Customer Support</v>
      </c>
      <c r="D486" s="30" t="str">
        <f t="shared" si="86"/>
        <v>L1</v>
      </c>
      <c r="E486" s="30" t="str">
        <f t="shared" si="87"/>
        <v>Active</v>
      </c>
      <c r="F486" s="32">
        <v>296000</v>
      </c>
      <c r="G486" s="33">
        <f t="shared" si="88"/>
        <v>297500</v>
      </c>
      <c r="H486" s="33">
        <f t="shared" si="89"/>
        <v>508750</v>
      </c>
      <c r="I486" s="33">
        <f t="shared" si="90"/>
        <v>720000</v>
      </c>
      <c r="J486" s="25">
        <f t="shared" si="91"/>
        <v>0.57999999999999996</v>
      </c>
      <c r="K486" s="22" t="str">
        <f t="shared" si="92"/>
        <v>Below Band</v>
      </c>
      <c r="L486" s="30">
        <f t="shared" si="93"/>
        <v>4</v>
      </c>
      <c r="M486" s="26">
        <v>0.113</v>
      </c>
      <c r="N486" s="34">
        <f t="shared" si="94"/>
        <v>329400</v>
      </c>
      <c r="O486" s="31">
        <v>0.08</v>
      </c>
      <c r="P486" s="34">
        <f t="shared" si="95"/>
        <v>23700</v>
      </c>
      <c r="Q486" s="22" t="s">
        <v>1701</v>
      </c>
    </row>
    <row r="487" spans="1:17" x14ac:dyDescent="0.3">
      <c r="A487" s="22" t="s">
        <v>1630</v>
      </c>
      <c r="B487" t="str">
        <f t="shared" si="84"/>
        <v>Radhika Fernandes</v>
      </c>
      <c r="C487" t="str">
        <f t="shared" si="85"/>
        <v>Product</v>
      </c>
      <c r="D487" s="30" t="str">
        <f t="shared" si="86"/>
        <v>L4</v>
      </c>
      <c r="E487" s="30" t="str">
        <f t="shared" si="87"/>
        <v>Active</v>
      </c>
      <c r="F487" s="32">
        <v>2145000</v>
      </c>
      <c r="G487" s="33">
        <f t="shared" si="88"/>
        <v>1445000</v>
      </c>
      <c r="H487" s="33">
        <f t="shared" si="89"/>
        <v>2342500</v>
      </c>
      <c r="I487" s="33">
        <f t="shared" si="90"/>
        <v>3240000</v>
      </c>
      <c r="J487" s="25">
        <f t="shared" si="91"/>
        <v>0.92</v>
      </c>
      <c r="K487" s="22" t="str">
        <f t="shared" si="92"/>
        <v>Within Band</v>
      </c>
      <c r="L487" s="30">
        <f t="shared" si="93"/>
        <v>3</v>
      </c>
      <c r="M487" s="26">
        <v>8.5000000000000006E-2</v>
      </c>
      <c r="N487" s="34">
        <f t="shared" si="94"/>
        <v>2327300</v>
      </c>
      <c r="O487" s="31">
        <v>0.08</v>
      </c>
      <c r="P487" s="34">
        <f t="shared" si="95"/>
        <v>171600</v>
      </c>
      <c r="Q487" s="22" t="s">
        <v>1701</v>
      </c>
    </row>
    <row r="488" spans="1:17" x14ac:dyDescent="0.3">
      <c r="A488" s="22" t="s">
        <v>1633</v>
      </c>
      <c r="B488" t="str">
        <f t="shared" si="84"/>
        <v>Kiran Kulkarni</v>
      </c>
      <c r="C488" t="str">
        <f t="shared" si="85"/>
        <v>Engineering</v>
      </c>
      <c r="D488" s="30" t="str">
        <f t="shared" si="86"/>
        <v>L1</v>
      </c>
      <c r="E488" s="30" t="str">
        <f t="shared" si="87"/>
        <v>Active</v>
      </c>
      <c r="F488" s="32">
        <v>442000</v>
      </c>
      <c r="G488" s="33">
        <f t="shared" si="88"/>
        <v>297500</v>
      </c>
      <c r="H488" s="33">
        <f t="shared" si="89"/>
        <v>508750</v>
      </c>
      <c r="I488" s="33">
        <f t="shared" si="90"/>
        <v>720000</v>
      </c>
      <c r="J488" s="25">
        <f t="shared" si="91"/>
        <v>0.87</v>
      </c>
      <c r="K488" s="22" t="str">
        <f t="shared" si="92"/>
        <v>Within Band</v>
      </c>
      <c r="L488" s="30">
        <f t="shared" si="93"/>
        <v>2</v>
      </c>
      <c r="M488" s="26">
        <v>2.5000000000000001E-2</v>
      </c>
      <c r="N488" s="34">
        <f t="shared" si="94"/>
        <v>453100</v>
      </c>
      <c r="O488" s="31">
        <v>0.02</v>
      </c>
      <c r="P488" s="34">
        <f t="shared" si="95"/>
        <v>8800</v>
      </c>
      <c r="Q488" s="22" t="s">
        <v>1701</v>
      </c>
    </row>
    <row r="489" spans="1:17" x14ac:dyDescent="0.3">
      <c r="A489" s="22" t="s">
        <v>1636</v>
      </c>
      <c r="B489" t="str">
        <f t="shared" si="84"/>
        <v>Tarun Patel</v>
      </c>
      <c r="C489" t="str">
        <f t="shared" si="85"/>
        <v>Customer Support</v>
      </c>
      <c r="D489" s="30" t="str">
        <f t="shared" si="86"/>
        <v>L4</v>
      </c>
      <c r="E489" s="30" t="str">
        <f t="shared" si="87"/>
        <v>Active</v>
      </c>
      <c r="F489" s="32">
        <v>2051000</v>
      </c>
      <c r="G489" s="33">
        <f t="shared" si="88"/>
        <v>1445000</v>
      </c>
      <c r="H489" s="33">
        <f t="shared" si="89"/>
        <v>2342500</v>
      </c>
      <c r="I489" s="33">
        <f t="shared" si="90"/>
        <v>3240000</v>
      </c>
      <c r="J489" s="25">
        <f t="shared" si="91"/>
        <v>0.88</v>
      </c>
      <c r="K489" s="22" t="str">
        <f t="shared" si="92"/>
        <v>Within Band</v>
      </c>
      <c r="L489" s="30">
        <f t="shared" si="93"/>
        <v>3</v>
      </c>
      <c r="M489" s="26">
        <v>9.2999999999999999E-2</v>
      </c>
      <c r="N489" s="34">
        <f t="shared" si="94"/>
        <v>2241700</v>
      </c>
      <c r="O489" s="31">
        <v>0.08</v>
      </c>
      <c r="P489" s="34">
        <f t="shared" si="95"/>
        <v>164100</v>
      </c>
      <c r="Q489" s="22" t="s">
        <v>1701</v>
      </c>
    </row>
    <row r="490" spans="1:17" x14ac:dyDescent="0.3">
      <c r="A490" s="22" t="s">
        <v>1639</v>
      </c>
      <c r="B490" t="str">
        <f t="shared" si="84"/>
        <v>Sanjay Das</v>
      </c>
      <c r="C490" t="str">
        <f t="shared" si="85"/>
        <v>Finance</v>
      </c>
      <c r="D490" s="30" t="str">
        <f t="shared" si="86"/>
        <v>L1</v>
      </c>
      <c r="E490" s="30" t="str">
        <f t="shared" si="87"/>
        <v>Active</v>
      </c>
      <c r="F490" s="32">
        <v>367000</v>
      </c>
      <c r="G490" s="33">
        <f t="shared" si="88"/>
        <v>297500</v>
      </c>
      <c r="H490" s="33">
        <f t="shared" si="89"/>
        <v>508750</v>
      </c>
      <c r="I490" s="33">
        <f t="shared" si="90"/>
        <v>720000</v>
      </c>
      <c r="J490" s="25">
        <f t="shared" si="91"/>
        <v>0.72</v>
      </c>
      <c r="K490" s="22" t="str">
        <f t="shared" si="92"/>
        <v>Within Band</v>
      </c>
      <c r="L490" s="30">
        <f t="shared" si="93"/>
        <v>3</v>
      </c>
      <c r="M490" s="26">
        <v>9.8000000000000004E-2</v>
      </c>
      <c r="N490" s="34">
        <f t="shared" si="94"/>
        <v>403000</v>
      </c>
      <c r="O490" s="31">
        <v>0.05</v>
      </c>
      <c r="P490" s="34">
        <f t="shared" si="95"/>
        <v>18400</v>
      </c>
      <c r="Q490" s="22" t="s">
        <v>1701</v>
      </c>
    </row>
    <row r="491" spans="1:17" x14ac:dyDescent="0.3">
      <c r="A491" s="22" t="s">
        <v>1642</v>
      </c>
      <c r="B491" t="str">
        <f t="shared" si="84"/>
        <v>Deepika Menon</v>
      </c>
      <c r="C491" t="str">
        <f t="shared" si="85"/>
        <v>Sales</v>
      </c>
      <c r="D491" s="30" t="str">
        <f t="shared" si="86"/>
        <v>L3</v>
      </c>
      <c r="E491" s="30" t="str">
        <f t="shared" si="87"/>
        <v>Active</v>
      </c>
      <c r="F491" s="32">
        <v>1498000</v>
      </c>
      <c r="G491" s="33">
        <f t="shared" si="88"/>
        <v>850000</v>
      </c>
      <c r="H491" s="33">
        <f t="shared" si="89"/>
        <v>1445000</v>
      </c>
      <c r="I491" s="33">
        <f t="shared" si="90"/>
        <v>2040000</v>
      </c>
      <c r="J491" s="25">
        <f t="shared" si="91"/>
        <v>1.04</v>
      </c>
      <c r="K491" s="22" t="str">
        <f t="shared" si="92"/>
        <v>Within Band</v>
      </c>
      <c r="L491" s="30">
        <f t="shared" si="93"/>
        <v>4</v>
      </c>
      <c r="M491" s="26">
        <v>0.13800000000000001</v>
      </c>
      <c r="N491" s="34">
        <f t="shared" si="94"/>
        <v>1704700</v>
      </c>
      <c r="O491" s="31">
        <v>0.12</v>
      </c>
      <c r="P491" s="34">
        <f t="shared" si="95"/>
        <v>179800</v>
      </c>
      <c r="Q491" s="22" t="s">
        <v>1701</v>
      </c>
    </row>
    <row r="492" spans="1:17" x14ac:dyDescent="0.3">
      <c r="A492" s="22" t="s">
        <v>1645</v>
      </c>
      <c r="B492" t="str">
        <f t="shared" si="84"/>
        <v>Sowmya Subramanian</v>
      </c>
      <c r="C492" t="str">
        <f t="shared" si="85"/>
        <v>Customer Support</v>
      </c>
      <c r="D492" s="30" t="str">
        <f t="shared" si="86"/>
        <v>L2</v>
      </c>
      <c r="E492" s="30" t="str">
        <f t="shared" si="87"/>
        <v>Active</v>
      </c>
      <c r="F492" s="32">
        <v>540000</v>
      </c>
      <c r="G492" s="33">
        <f t="shared" si="88"/>
        <v>510000</v>
      </c>
      <c r="H492" s="33">
        <f t="shared" si="89"/>
        <v>855000</v>
      </c>
      <c r="I492" s="33">
        <f t="shared" si="90"/>
        <v>1200000</v>
      </c>
      <c r="J492" s="25">
        <f t="shared" si="91"/>
        <v>0.63</v>
      </c>
      <c r="K492" s="22" t="str">
        <f t="shared" si="92"/>
        <v>Within Band</v>
      </c>
      <c r="L492" s="30">
        <f t="shared" si="93"/>
        <v>5</v>
      </c>
      <c r="M492" s="26">
        <v>0.17199999999999999</v>
      </c>
      <c r="N492" s="34">
        <f t="shared" si="94"/>
        <v>632900</v>
      </c>
      <c r="O492" s="31">
        <v>0.18</v>
      </c>
      <c r="P492" s="34">
        <f t="shared" si="95"/>
        <v>97200</v>
      </c>
      <c r="Q492" s="22" t="s">
        <v>1701</v>
      </c>
    </row>
    <row r="493" spans="1:17" x14ac:dyDescent="0.3">
      <c r="A493" s="22" t="s">
        <v>1648</v>
      </c>
      <c r="B493" t="str">
        <f t="shared" si="84"/>
        <v>Kunal Dsouza</v>
      </c>
      <c r="C493" t="str">
        <f t="shared" si="85"/>
        <v>Operations</v>
      </c>
      <c r="D493" s="30" t="str">
        <f t="shared" si="86"/>
        <v>L1</v>
      </c>
      <c r="E493" s="30" t="str">
        <f t="shared" si="87"/>
        <v>Active</v>
      </c>
      <c r="F493" s="32">
        <v>461000</v>
      </c>
      <c r="G493" s="33">
        <f t="shared" si="88"/>
        <v>297500</v>
      </c>
      <c r="H493" s="33">
        <f t="shared" si="89"/>
        <v>508750</v>
      </c>
      <c r="I493" s="33">
        <f t="shared" si="90"/>
        <v>720000</v>
      </c>
      <c r="J493" s="25">
        <f t="shared" si="91"/>
        <v>0.91</v>
      </c>
      <c r="K493" s="22" t="str">
        <f t="shared" si="92"/>
        <v>Within Band</v>
      </c>
      <c r="L493" s="30">
        <f t="shared" si="93"/>
        <v>3</v>
      </c>
      <c r="M493" s="26">
        <v>8.8999999999999996E-2</v>
      </c>
      <c r="N493" s="34">
        <f t="shared" si="94"/>
        <v>502000</v>
      </c>
      <c r="O493" s="31">
        <v>0.05</v>
      </c>
      <c r="P493" s="34">
        <f t="shared" si="95"/>
        <v>23100</v>
      </c>
      <c r="Q493" s="22" t="s">
        <v>1701</v>
      </c>
    </row>
    <row r="494" spans="1:17" x14ac:dyDescent="0.3">
      <c r="A494" s="22" t="s">
        <v>1651</v>
      </c>
      <c r="B494" t="str">
        <f t="shared" si="84"/>
        <v>Divya Kapoor</v>
      </c>
      <c r="C494" t="str">
        <f t="shared" si="85"/>
        <v>Product</v>
      </c>
      <c r="D494" s="30" t="str">
        <f t="shared" si="86"/>
        <v>L2</v>
      </c>
      <c r="E494" s="30" t="str">
        <f t="shared" si="87"/>
        <v>Active</v>
      </c>
      <c r="F494" s="32">
        <v>972000</v>
      </c>
      <c r="G494" s="33">
        <f t="shared" si="88"/>
        <v>510000</v>
      </c>
      <c r="H494" s="33">
        <f t="shared" si="89"/>
        <v>855000</v>
      </c>
      <c r="I494" s="33">
        <f t="shared" si="90"/>
        <v>1200000</v>
      </c>
      <c r="J494" s="25">
        <f t="shared" si="91"/>
        <v>1.1399999999999999</v>
      </c>
      <c r="K494" s="22" t="str">
        <f t="shared" si="92"/>
        <v>Within Band</v>
      </c>
      <c r="L494" s="30">
        <f t="shared" si="93"/>
        <v>3</v>
      </c>
      <c r="M494" s="26">
        <v>6.9000000000000006E-2</v>
      </c>
      <c r="N494" s="34">
        <f t="shared" si="94"/>
        <v>1039100</v>
      </c>
      <c r="O494" s="31">
        <v>0.08</v>
      </c>
      <c r="P494" s="34">
        <f t="shared" si="95"/>
        <v>77800</v>
      </c>
      <c r="Q494" s="22" t="s">
        <v>1701</v>
      </c>
    </row>
    <row r="495" spans="1:17" x14ac:dyDescent="0.3">
      <c r="A495" s="22" t="s">
        <v>1654</v>
      </c>
      <c r="B495" t="str">
        <f t="shared" si="84"/>
        <v>Ayesha Kulkarni</v>
      </c>
      <c r="C495" t="str">
        <f t="shared" si="85"/>
        <v>Engineering</v>
      </c>
      <c r="D495" s="30" t="str">
        <f t="shared" si="86"/>
        <v>L2</v>
      </c>
      <c r="E495" s="30" t="str">
        <f t="shared" si="87"/>
        <v>Active</v>
      </c>
      <c r="F495" s="32">
        <v>700000</v>
      </c>
      <c r="G495" s="33">
        <f t="shared" si="88"/>
        <v>510000</v>
      </c>
      <c r="H495" s="33">
        <f t="shared" si="89"/>
        <v>855000</v>
      </c>
      <c r="I495" s="33">
        <f t="shared" si="90"/>
        <v>1200000</v>
      </c>
      <c r="J495" s="25">
        <f t="shared" si="91"/>
        <v>0.82</v>
      </c>
      <c r="K495" s="22" t="str">
        <f t="shared" si="92"/>
        <v>Within Band</v>
      </c>
      <c r="L495" s="30">
        <f t="shared" si="93"/>
        <v>1</v>
      </c>
      <c r="M495" s="26">
        <v>-8.0000000000000002E-3</v>
      </c>
      <c r="N495" s="34">
        <f t="shared" si="94"/>
        <v>694400</v>
      </c>
      <c r="O495" s="31">
        <v>0</v>
      </c>
      <c r="P495" s="34">
        <f t="shared" si="95"/>
        <v>0</v>
      </c>
      <c r="Q495" s="22" t="s">
        <v>1701</v>
      </c>
    </row>
    <row r="496" spans="1:17" x14ac:dyDescent="0.3">
      <c r="A496" s="22" t="s">
        <v>1657</v>
      </c>
      <c r="B496" t="str">
        <f t="shared" si="84"/>
        <v>Ayesha Menon</v>
      </c>
      <c r="C496" t="str">
        <f t="shared" si="85"/>
        <v>Sales</v>
      </c>
      <c r="D496" s="30" t="str">
        <f t="shared" si="86"/>
        <v>L3</v>
      </c>
      <c r="E496" s="30" t="str">
        <f t="shared" si="87"/>
        <v>Active</v>
      </c>
      <c r="F496" s="32">
        <v>1608000</v>
      </c>
      <c r="G496" s="33">
        <f t="shared" si="88"/>
        <v>850000</v>
      </c>
      <c r="H496" s="33">
        <f t="shared" si="89"/>
        <v>1445000</v>
      </c>
      <c r="I496" s="33">
        <f t="shared" si="90"/>
        <v>2040000</v>
      </c>
      <c r="J496" s="25">
        <f t="shared" si="91"/>
        <v>1.1100000000000001</v>
      </c>
      <c r="K496" s="22" t="str">
        <f t="shared" si="92"/>
        <v>Within Band</v>
      </c>
      <c r="L496" s="30">
        <f t="shared" si="93"/>
        <v>4</v>
      </c>
      <c r="M496" s="26">
        <v>0.105</v>
      </c>
      <c r="N496" s="34">
        <f t="shared" si="94"/>
        <v>1776800</v>
      </c>
      <c r="O496" s="31">
        <v>0.12</v>
      </c>
      <c r="P496" s="34">
        <f t="shared" si="95"/>
        <v>193000</v>
      </c>
      <c r="Q496" s="22" t="s">
        <v>1701</v>
      </c>
    </row>
    <row r="497" spans="1:17" x14ac:dyDescent="0.3">
      <c r="A497" s="22" t="s">
        <v>1660</v>
      </c>
      <c r="B497" t="str">
        <f t="shared" si="84"/>
        <v>Trisha Sharma</v>
      </c>
      <c r="C497" t="str">
        <f t="shared" si="85"/>
        <v>Legal &amp; Compliance</v>
      </c>
      <c r="D497" s="30" t="str">
        <f t="shared" si="86"/>
        <v>L3</v>
      </c>
      <c r="E497" s="30" t="str">
        <f t="shared" si="87"/>
        <v>Active</v>
      </c>
      <c r="F497" s="32">
        <v>1335000</v>
      </c>
      <c r="G497" s="33">
        <f t="shared" si="88"/>
        <v>850000</v>
      </c>
      <c r="H497" s="33">
        <f t="shared" si="89"/>
        <v>1445000</v>
      </c>
      <c r="I497" s="33">
        <f t="shared" si="90"/>
        <v>2040000</v>
      </c>
      <c r="J497" s="25">
        <f t="shared" si="91"/>
        <v>0.92</v>
      </c>
      <c r="K497" s="22" t="str">
        <f t="shared" si="92"/>
        <v>Within Band</v>
      </c>
      <c r="L497" s="30">
        <f t="shared" si="93"/>
        <v>1</v>
      </c>
      <c r="M497" s="26">
        <v>4.0000000000000001E-3</v>
      </c>
      <c r="N497" s="34">
        <f t="shared" si="94"/>
        <v>1340300</v>
      </c>
      <c r="O497" s="31">
        <v>0</v>
      </c>
      <c r="P497" s="34">
        <f t="shared" si="95"/>
        <v>0</v>
      </c>
      <c r="Q497" s="22" t="s">
        <v>1701</v>
      </c>
    </row>
    <row r="498" spans="1:17" x14ac:dyDescent="0.3">
      <c r="A498" s="22" t="s">
        <v>1663</v>
      </c>
      <c r="B498" t="str">
        <f t="shared" si="84"/>
        <v>Vishal Kulkarni</v>
      </c>
      <c r="C498" t="str">
        <f t="shared" si="85"/>
        <v>Operations</v>
      </c>
      <c r="D498" s="30" t="str">
        <f t="shared" si="86"/>
        <v>L4</v>
      </c>
      <c r="E498" s="30" t="str">
        <f t="shared" si="87"/>
        <v>Active</v>
      </c>
      <c r="F498" s="32">
        <v>1808000</v>
      </c>
      <c r="G498" s="33">
        <f t="shared" si="88"/>
        <v>1445000</v>
      </c>
      <c r="H498" s="33">
        <f t="shared" si="89"/>
        <v>2342500</v>
      </c>
      <c r="I498" s="33">
        <f t="shared" si="90"/>
        <v>3240000</v>
      </c>
      <c r="J498" s="25">
        <f t="shared" si="91"/>
        <v>0.77</v>
      </c>
      <c r="K498" s="22" t="str">
        <f t="shared" si="92"/>
        <v>Within Band</v>
      </c>
      <c r="L498" s="30">
        <f t="shared" si="93"/>
        <v>3</v>
      </c>
      <c r="M498" s="26">
        <v>0.1</v>
      </c>
      <c r="N498" s="34">
        <f t="shared" si="94"/>
        <v>1988800</v>
      </c>
      <c r="O498" s="31">
        <v>0.08</v>
      </c>
      <c r="P498" s="34">
        <f t="shared" si="95"/>
        <v>144600</v>
      </c>
      <c r="Q498" s="22" t="s">
        <v>1701</v>
      </c>
    </row>
    <row r="499" spans="1:17" x14ac:dyDescent="0.3">
      <c r="A499" s="22" t="s">
        <v>484</v>
      </c>
      <c r="B499" t="str">
        <f t="shared" si="84"/>
        <v>Trisha Malhotra</v>
      </c>
      <c r="C499" t="str">
        <f t="shared" si="85"/>
        <v>Product</v>
      </c>
      <c r="D499" s="30" t="str">
        <f t="shared" si="86"/>
        <v>L5</v>
      </c>
      <c r="E499" s="30" t="str">
        <f t="shared" si="87"/>
        <v>Active</v>
      </c>
      <c r="F499" s="32">
        <v>4415000</v>
      </c>
      <c r="G499" s="33">
        <f t="shared" si="88"/>
        <v>2295000</v>
      </c>
      <c r="H499" s="33">
        <f t="shared" si="89"/>
        <v>3667500</v>
      </c>
      <c r="I499" s="33">
        <f t="shared" si="90"/>
        <v>5040000</v>
      </c>
      <c r="J499" s="25">
        <f t="shared" si="91"/>
        <v>1.2</v>
      </c>
      <c r="K499" s="22" t="str">
        <f t="shared" si="92"/>
        <v>Within Band</v>
      </c>
      <c r="L499" s="30">
        <f t="shared" si="93"/>
        <v>3</v>
      </c>
      <c r="M499" s="26">
        <v>9.7000000000000003E-2</v>
      </c>
      <c r="N499" s="34">
        <f t="shared" si="94"/>
        <v>4843300</v>
      </c>
      <c r="O499" s="31">
        <v>0.08</v>
      </c>
      <c r="P499" s="34">
        <f t="shared" si="95"/>
        <v>353200</v>
      </c>
      <c r="Q499" s="22" t="s">
        <v>1700</v>
      </c>
    </row>
    <row r="500" spans="1:17" x14ac:dyDescent="0.3">
      <c r="A500" s="22" t="s">
        <v>1667</v>
      </c>
      <c r="B500" t="str">
        <f t="shared" si="84"/>
        <v>Bhavana Singh</v>
      </c>
      <c r="C500" t="str">
        <f t="shared" si="85"/>
        <v>Engineering</v>
      </c>
      <c r="D500" s="30" t="str">
        <f t="shared" si="86"/>
        <v>L1</v>
      </c>
      <c r="E500" s="30" t="str">
        <f t="shared" si="87"/>
        <v>Active</v>
      </c>
      <c r="F500" s="32">
        <v>715000</v>
      </c>
      <c r="G500" s="33">
        <f t="shared" si="88"/>
        <v>297500</v>
      </c>
      <c r="H500" s="33">
        <f t="shared" si="89"/>
        <v>508750</v>
      </c>
      <c r="I500" s="33">
        <f t="shared" si="90"/>
        <v>720000</v>
      </c>
      <c r="J500" s="25">
        <f t="shared" si="91"/>
        <v>1.41</v>
      </c>
      <c r="K500" s="22" t="str">
        <f t="shared" si="92"/>
        <v>Within Band</v>
      </c>
      <c r="L500" s="30">
        <f t="shared" si="93"/>
        <v>2</v>
      </c>
      <c r="M500" s="26">
        <v>4.8000000000000001E-2</v>
      </c>
      <c r="N500" s="34">
        <f t="shared" si="94"/>
        <v>749300</v>
      </c>
      <c r="O500" s="31">
        <v>0.02</v>
      </c>
      <c r="P500" s="34">
        <f t="shared" si="95"/>
        <v>14300</v>
      </c>
      <c r="Q500" s="22" t="s">
        <v>1701</v>
      </c>
    </row>
    <row r="501" spans="1:17" x14ac:dyDescent="0.3">
      <c r="A501" s="22" t="s">
        <v>1670</v>
      </c>
      <c r="B501" t="str">
        <f t="shared" si="84"/>
        <v>Sowmya Patel</v>
      </c>
      <c r="C501" t="str">
        <f t="shared" si="85"/>
        <v>Legal &amp; Compliance</v>
      </c>
      <c r="D501" s="30" t="str">
        <f t="shared" si="86"/>
        <v>L2</v>
      </c>
      <c r="E501" s="30" t="str">
        <f t="shared" si="87"/>
        <v>Active</v>
      </c>
      <c r="F501" s="32">
        <v>926000</v>
      </c>
      <c r="G501" s="33">
        <f t="shared" si="88"/>
        <v>510000</v>
      </c>
      <c r="H501" s="33">
        <f t="shared" si="89"/>
        <v>855000</v>
      </c>
      <c r="I501" s="33">
        <f t="shared" si="90"/>
        <v>1200000</v>
      </c>
      <c r="J501" s="25">
        <f t="shared" si="91"/>
        <v>1.08</v>
      </c>
      <c r="K501" s="22" t="str">
        <f t="shared" si="92"/>
        <v>Within Band</v>
      </c>
      <c r="L501" s="30">
        <f t="shared" si="93"/>
        <v>2</v>
      </c>
      <c r="M501" s="26">
        <v>1.6E-2</v>
      </c>
      <c r="N501" s="34">
        <f t="shared" si="94"/>
        <v>940800</v>
      </c>
      <c r="O501" s="31">
        <v>0.03</v>
      </c>
      <c r="P501" s="34">
        <f t="shared" si="95"/>
        <v>27800</v>
      </c>
      <c r="Q501" s="22" t="s">
        <v>1701</v>
      </c>
    </row>
  </sheetData>
  <autoFilter ref="A1:Q501" xr:uid="{00000000-0009-0000-0000-000005000000}"/>
  <conditionalFormatting sqref="A2:Q501">
    <cfRule type="expression" dxfId="11" priority="1">
      <formula>MOD(ROW(),2)=0</formula>
    </cfRule>
  </conditionalFormatting>
  <conditionalFormatting sqref="J2:J501">
    <cfRule type="colorScale" priority="2">
      <colorScale>
        <cfvo type="min"/>
        <cfvo type="num" val="1"/>
        <cfvo type="max"/>
        <color rgb="FFF8C9CF"/>
        <color rgb="FFFFFFFF"/>
        <color rgb="FFC8EBD9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3C7DC4"/>
  </sheetPr>
  <dimension ref="A1:O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18.6640625" customWidth="1"/>
    <col min="4" max="4" width="9.6640625" customWidth="1"/>
    <col min="5" max="5" width="10.6640625" customWidth="1"/>
    <col min="6" max="6" width="9.6640625" customWidth="1"/>
    <col min="7" max="7" width="8.6640625" customWidth="1"/>
    <col min="8" max="8" width="9.6640625" customWidth="1"/>
    <col min="9" max="9" width="8.6640625" customWidth="1"/>
    <col min="10" max="10" width="9.6640625" customWidth="1"/>
    <col min="11" max="11" width="10.6640625" customWidth="1"/>
    <col min="12" max="13" width="8.6640625" customWidth="1"/>
    <col min="14" max="14" width="9.6640625" customWidth="1"/>
    <col min="15" max="15" width="16.6640625" customWidth="1"/>
  </cols>
  <sheetData>
    <row r="1" spans="1:15" ht="31.95" customHeight="1" x14ac:dyDescent="0.3">
      <c r="A1" s="6" t="s">
        <v>74</v>
      </c>
      <c r="B1" s="27" t="s">
        <v>75</v>
      </c>
      <c r="C1" s="27" t="s">
        <v>80</v>
      </c>
      <c r="D1" s="27" t="s">
        <v>86</v>
      </c>
      <c r="E1" s="6" t="s">
        <v>1702</v>
      </c>
      <c r="F1" s="6" t="s">
        <v>1703</v>
      </c>
      <c r="G1" s="6" t="s">
        <v>1704</v>
      </c>
      <c r="H1" s="6" t="s">
        <v>1705</v>
      </c>
      <c r="I1" s="27" t="s">
        <v>1706</v>
      </c>
      <c r="J1" s="27" t="s">
        <v>1707</v>
      </c>
      <c r="K1" s="27" t="s">
        <v>1708</v>
      </c>
      <c r="L1" s="6" t="s">
        <v>1709</v>
      </c>
      <c r="M1" s="6" t="s">
        <v>1710</v>
      </c>
      <c r="N1" s="6" t="s">
        <v>1711</v>
      </c>
      <c r="O1" s="27" t="s">
        <v>1712</v>
      </c>
    </row>
    <row r="2" spans="1:15" x14ac:dyDescent="0.3">
      <c r="A2" s="22" t="s">
        <v>91</v>
      </c>
      <c r="B2" t="str">
        <f t="shared" ref="B2:B65" si="0">INDEX(M_Name,MATCH($A2,M_ID,0))</f>
        <v>Vidya Kulkarni</v>
      </c>
      <c r="C2" t="str">
        <f t="shared" ref="C2:C65" si="1">INDEX(M_Dept,MATCH($A2,M_ID,0))</f>
        <v>Human Resources</v>
      </c>
      <c r="D2" s="30" t="str">
        <f t="shared" ref="D2:D65" si="2">INDEX(M_Status,MATCH($A2,M_ID,0))</f>
        <v>Active</v>
      </c>
      <c r="E2" s="22">
        <v>250</v>
      </c>
      <c r="F2" s="22">
        <v>13</v>
      </c>
      <c r="G2" s="22">
        <v>2</v>
      </c>
      <c r="H2" s="22">
        <v>3</v>
      </c>
      <c r="I2" s="22">
        <f t="shared" ref="I2:I65" si="3">SUM(F2:H2)</f>
        <v>18</v>
      </c>
      <c r="J2" s="22">
        <f t="shared" ref="J2:J65" si="4">E2-I2</f>
        <v>232</v>
      </c>
      <c r="K2" s="26">
        <f t="shared" ref="K2:K65" si="5">IFERROR(J2/E2,0)</f>
        <v>0.92800000000000005</v>
      </c>
      <c r="L2" s="22">
        <v>77</v>
      </c>
      <c r="M2" s="22">
        <v>14</v>
      </c>
      <c r="N2" s="22">
        <v>14</v>
      </c>
      <c r="O2" s="22" t="str">
        <f t="shared" ref="O2:O65" si="6">IF(H2&gt;=8,"High Unplanned",IF(K2&lt;0.9,"Low Attendance","Normal"))</f>
        <v>Normal</v>
      </c>
    </row>
    <row r="3" spans="1:15" x14ac:dyDescent="0.3">
      <c r="A3" s="22" t="s">
        <v>100</v>
      </c>
      <c r="B3" t="str">
        <f t="shared" si="0"/>
        <v>Vikas Singh</v>
      </c>
      <c r="C3" t="str">
        <f t="shared" si="1"/>
        <v>Engineering</v>
      </c>
      <c r="D3" s="30" t="str">
        <f t="shared" si="2"/>
        <v>Active</v>
      </c>
      <c r="E3" s="22">
        <v>250</v>
      </c>
      <c r="F3" s="22">
        <v>8</v>
      </c>
      <c r="G3" s="22">
        <v>1</v>
      </c>
      <c r="H3" s="22">
        <v>1</v>
      </c>
      <c r="I3" s="22">
        <f t="shared" si="3"/>
        <v>10</v>
      </c>
      <c r="J3" s="22">
        <f t="shared" si="4"/>
        <v>240</v>
      </c>
      <c r="K3" s="26">
        <f t="shared" si="5"/>
        <v>0.96</v>
      </c>
      <c r="L3" s="22">
        <v>27</v>
      </c>
      <c r="M3" s="22">
        <v>8</v>
      </c>
      <c r="N3" s="22">
        <v>45</v>
      </c>
      <c r="O3" s="22" t="str">
        <f t="shared" si="6"/>
        <v>Normal</v>
      </c>
    </row>
    <row r="4" spans="1:15" x14ac:dyDescent="0.3">
      <c r="A4" s="22" t="s">
        <v>108</v>
      </c>
      <c r="B4" t="str">
        <f t="shared" si="0"/>
        <v>Prakash Das</v>
      </c>
      <c r="C4" t="str">
        <f t="shared" si="1"/>
        <v>Human Resources</v>
      </c>
      <c r="D4" s="30" t="str">
        <f t="shared" si="2"/>
        <v>Active</v>
      </c>
      <c r="E4" s="22">
        <v>250</v>
      </c>
      <c r="F4" s="22">
        <v>6</v>
      </c>
      <c r="G4" s="22">
        <v>6</v>
      </c>
      <c r="H4" s="22">
        <v>5</v>
      </c>
      <c r="I4" s="22">
        <f t="shared" si="3"/>
        <v>17</v>
      </c>
      <c r="J4" s="22">
        <f t="shared" si="4"/>
        <v>233</v>
      </c>
      <c r="K4" s="26">
        <f t="shared" si="5"/>
        <v>0.93200000000000005</v>
      </c>
      <c r="L4" s="22">
        <v>57</v>
      </c>
      <c r="M4" s="22">
        <v>1</v>
      </c>
      <c r="N4" s="22">
        <v>21</v>
      </c>
      <c r="O4" s="22" t="str">
        <f t="shared" si="6"/>
        <v>Normal</v>
      </c>
    </row>
    <row r="5" spans="1:15" x14ac:dyDescent="0.3">
      <c r="A5" s="22" t="s">
        <v>112</v>
      </c>
      <c r="B5" t="str">
        <f t="shared" si="0"/>
        <v>Fatima Choudhary</v>
      </c>
      <c r="C5" t="str">
        <f t="shared" si="1"/>
        <v>Engineering</v>
      </c>
      <c r="D5" s="30" t="str">
        <f t="shared" si="2"/>
        <v>Active</v>
      </c>
      <c r="E5" s="22">
        <v>250</v>
      </c>
      <c r="F5" s="22">
        <v>20</v>
      </c>
      <c r="G5" s="22">
        <v>3</v>
      </c>
      <c r="H5" s="22">
        <v>7</v>
      </c>
      <c r="I5" s="22">
        <f t="shared" si="3"/>
        <v>30</v>
      </c>
      <c r="J5" s="22">
        <f t="shared" si="4"/>
        <v>220</v>
      </c>
      <c r="K5" s="26">
        <f t="shared" si="5"/>
        <v>0.88</v>
      </c>
      <c r="L5" s="22">
        <v>47</v>
      </c>
      <c r="M5" s="22">
        <v>4</v>
      </c>
      <c r="N5" s="22">
        <v>61</v>
      </c>
      <c r="O5" s="22" t="str">
        <f t="shared" si="6"/>
        <v>Low Attendance</v>
      </c>
    </row>
    <row r="6" spans="1:15" x14ac:dyDescent="0.3">
      <c r="A6" s="22" t="s">
        <v>115</v>
      </c>
      <c r="B6" t="str">
        <f t="shared" si="0"/>
        <v>Gaurav Fernandes</v>
      </c>
      <c r="C6" t="str">
        <f t="shared" si="1"/>
        <v>Engineering</v>
      </c>
      <c r="D6" s="30" t="str">
        <f t="shared" si="2"/>
        <v>Active</v>
      </c>
      <c r="E6" s="22">
        <v>250</v>
      </c>
      <c r="F6" s="22">
        <v>10</v>
      </c>
      <c r="G6" s="22">
        <v>4</v>
      </c>
      <c r="H6" s="22">
        <v>1</v>
      </c>
      <c r="I6" s="22">
        <f t="shared" si="3"/>
        <v>15</v>
      </c>
      <c r="J6" s="22">
        <f t="shared" si="4"/>
        <v>235</v>
      </c>
      <c r="K6" s="26">
        <f t="shared" si="5"/>
        <v>0.94</v>
      </c>
      <c r="L6" s="22">
        <v>90</v>
      </c>
      <c r="M6" s="22">
        <v>9</v>
      </c>
      <c r="N6" s="22">
        <v>50</v>
      </c>
      <c r="O6" s="22" t="str">
        <f t="shared" si="6"/>
        <v>Normal</v>
      </c>
    </row>
    <row r="7" spans="1:15" x14ac:dyDescent="0.3">
      <c r="A7" s="22" t="s">
        <v>118</v>
      </c>
      <c r="B7" t="str">
        <f t="shared" si="0"/>
        <v>Yash Shah</v>
      </c>
      <c r="C7" t="str">
        <f t="shared" si="1"/>
        <v>Operations</v>
      </c>
      <c r="D7" s="30" t="str">
        <f t="shared" si="2"/>
        <v>Exited</v>
      </c>
      <c r="E7" s="22">
        <v>211</v>
      </c>
      <c r="F7" s="22">
        <v>9</v>
      </c>
      <c r="G7" s="22">
        <v>4</v>
      </c>
      <c r="H7" s="22">
        <v>8</v>
      </c>
      <c r="I7" s="22">
        <f t="shared" si="3"/>
        <v>21</v>
      </c>
      <c r="J7" s="22">
        <f t="shared" si="4"/>
        <v>190</v>
      </c>
      <c r="K7" s="26">
        <f t="shared" si="5"/>
        <v>0.90047393364928907</v>
      </c>
      <c r="L7" s="22">
        <v>20</v>
      </c>
      <c r="M7" s="22">
        <v>8</v>
      </c>
      <c r="N7" s="22">
        <v>105</v>
      </c>
      <c r="O7" s="22" t="str">
        <f t="shared" si="6"/>
        <v>High Unplanned</v>
      </c>
    </row>
    <row r="8" spans="1:15" x14ac:dyDescent="0.3">
      <c r="A8" s="22" t="s">
        <v>125</v>
      </c>
      <c r="B8" t="str">
        <f t="shared" si="0"/>
        <v>Imran Tiwari</v>
      </c>
      <c r="C8" t="str">
        <f t="shared" si="1"/>
        <v>Marketing</v>
      </c>
      <c r="D8" s="30" t="str">
        <f t="shared" si="2"/>
        <v>Exited</v>
      </c>
      <c r="E8" s="22">
        <v>116</v>
      </c>
      <c r="F8" s="22">
        <v>11</v>
      </c>
      <c r="G8" s="22">
        <v>0</v>
      </c>
      <c r="H8" s="22">
        <v>14</v>
      </c>
      <c r="I8" s="22">
        <f t="shared" si="3"/>
        <v>25</v>
      </c>
      <c r="J8" s="22">
        <f t="shared" si="4"/>
        <v>91</v>
      </c>
      <c r="K8" s="26">
        <f t="shared" si="5"/>
        <v>0.78448275862068961</v>
      </c>
      <c r="L8" s="22">
        <v>72</v>
      </c>
      <c r="M8" s="22">
        <v>0</v>
      </c>
      <c r="N8" s="22">
        <v>22</v>
      </c>
      <c r="O8" s="22" t="str">
        <f t="shared" si="6"/>
        <v>High Unplanned</v>
      </c>
    </row>
    <row r="9" spans="1:15" x14ac:dyDescent="0.3">
      <c r="A9" s="22" t="s">
        <v>131</v>
      </c>
      <c r="B9" t="str">
        <f t="shared" si="0"/>
        <v>Aishwarya Khan</v>
      </c>
      <c r="C9" t="str">
        <f t="shared" si="1"/>
        <v>Engineering</v>
      </c>
      <c r="D9" s="30" t="str">
        <f t="shared" si="2"/>
        <v>Active</v>
      </c>
      <c r="E9" s="22">
        <v>250</v>
      </c>
      <c r="F9" s="22">
        <v>6</v>
      </c>
      <c r="G9" s="22">
        <v>7</v>
      </c>
      <c r="H9" s="22">
        <v>1</v>
      </c>
      <c r="I9" s="22">
        <f t="shared" si="3"/>
        <v>14</v>
      </c>
      <c r="J9" s="22">
        <f t="shared" si="4"/>
        <v>236</v>
      </c>
      <c r="K9" s="26">
        <f t="shared" si="5"/>
        <v>0.94399999999999995</v>
      </c>
      <c r="L9" s="22">
        <v>55</v>
      </c>
      <c r="M9" s="22">
        <v>1</v>
      </c>
      <c r="N9" s="22">
        <v>0</v>
      </c>
      <c r="O9" s="22" t="str">
        <f t="shared" si="6"/>
        <v>Normal</v>
      </c>
    </row>
    <row r="10" spans="1:15" x14ac:dyDescent="0.3">
      <c r="A10" s="22" t="s">
        <v>135</v>
      </c>
      <c r="B10" t="str">
        <f t="shared" si="0"/>
        <v>Ankit Khanna</v>
      </c>
      <c r="C10" t="str">
        <f t="shared" si="1"/>
        <v>Operations</v>
      </c>
      <c r="D10" s="30" t="str">
        <f t="shared" si="2"/>
        <v>Active</v>
      </c>
      <c r="E10" s="22">
        <v>250</v>
      </c>
      <c r="F10" s="22">
        <v>11</v>
      </c>
      <c r="G10" s="22">
        <v>2</v>
      </c>
      <c r="H10" s="22">
        <v>1</v>
      </c>
      <c r="I10" s="22">
        <f t="shared" si="3"/>
        <v>14</v>
      </c>
      <c r="J10" s="22">
        <f t="shared" si="4"/>
        <v>236</v>
      </c>
      <c r="K10" s="26">
        <f t="shared" si="5"/>
        <v>0.94399999999999995</v>
      </c>
      <c r="L10" s="22">
        <v>0</v>
      </c>
      <c r="M10" s="22">
        <v>1</v>
      </c>
      <c r="N10" s="22">
        <v>55</v>
      </c>
      <c r="O10" s="22" t="str">
        <f t="shared" si="6"/>
        <v>Normal</v>
      </c>
    </row>
    <row r="11" spans="1:15" x14ac:dyDescent="0.3">
      <c r="A11" s="22" t="s">
        <v>140</v>
      </c>
      <c r="B11" t="str">
        <f t="shared" si="0"/>
        <v>Pooja Das</v>
      </c>
      <c r="C11" t="str">
        <f t="shared" si="1"/>
        <v>Finance</v>
      </c>
      <c r="D11" s="30" t="str">
        <f t="shared" si="2"/>
        <v>Active</v>
      </c>
      <c r="E11" s="22">
        <v>250</v>
      </c>
      <c r="F11" s="22">
        <v>13</v>
      </c>
      <c r="G11" s="22">
        <v>3</v>
      </c>
      <c r="H11" s="22">
        <v>6</v>
      </c>
      <c r="I11" s="22">
        <f t="shared" si="3"/>
        <v>22</v>
      </c>
      <c r="J11" s="22">
        <f t="shared" si="4"/>
        <v>228</v>
      </c>
      <c r="K11" s="26">
        <f t="shared" si="5"/>
        <v>0.91200000000000003</v>
      </c>
      <c r="L11" s="22">
        <v>29</v>
      </c>
      <c r="M11" s="22">
        <v>6</v>
      </c>
      <c r="N11" s="22">
        <v>7</v>
      </c>
      <c r="O11" s="22" t="str">
        <f t="shared" si="6"/>
        <v>Normal</v>
      </c>
    </row>
    <row r="12" spans="1:15" x14ac:dyDescent="0.3">
      <c r="A12" s="22" t="s">
        <v>144</v>
      </c>
      <c r="B12" t="str">
        <f t="shared" si="0"/>
        <v>Trisha Patel</v>
      </c>
      <c r="C12" t="str">
        <f t="shared" si="1"/>
        <v>Product</v>
      </c>
      <c r="D12" s="30" t="str">
        <f t="shared" si="2"/>
        <v>Active</v>
      </c>
      <c r="E12" s="22">
        <v>250</v>
      </c>
      <c r="F12" s="22">
        <v>20</v>
      </c>
      <c r="G12" s="22">
        <v>7</v>
      </c>
      <c r="H12" s="22">
        <v>0</v>
      </c>
      <c r="I12" s="22">
        <f t="shared" si="3"/>
        <v>27</v>
      </c>
      <c r="J12" s="22">
        <f t="shared" si="4"/>
        <v>223</v>
      </c>
      <c r="K12" s="26">
        <f t="shared" si="5"/>
        <v>0.89200000000000002</v>
      </c>
      <c r="L12" s="22">
        <v>42</v>
      </c>
      <c r="M12" s="22">
        <v>3</v>
      </c>
      <c r="N12" s="22">
        <v>30</v>
      </c>
      <c r="O12" s="22" t="str">
        <f t="shared" si="6"/>
        <v>Low Attendance</v>
      </c>
    </row>
    <row r="13" spans="1:15" x14ac:dyDescent="0.3">
      <c r="A13" s="22" t="s">
        <v>150</v>
      </c>
      <c r="B13" t="str">
        <f t="shared" si="0"/>
        <v>Krishna Kumar</v>
      </c>
      <c r="C13" t="str">
        <f t="shared" si="1"/>
        <v>Operations</v>
      </c>
      <c r="D13" s="30" t="str">
        <f t="shared" si="2"/>
        <v>Active</v>
      </c>
      <c r="E13" s="22">
        <v>250</v>
      </c>
      <c r="F13" s="22">
        <v>12</v>
      </c>
      <c r="G13" s="22">
        <v>5</v>
      </c>
      <c r="H13" s="22">
        <v>1</v>
      </c>
      <c r="I13" s="22">
        <f t="shared" si="3"/>
        <v>18</v>
      </c>
      <c r="J13" s="22">
        <f t="shared" si="4"/>
        <v>232</v>
      </c>
      <c r="K13" s="26">
        <f t="shared" si="5"/>
        <v>0.92800000000000005</v>
      </c>
      <c r="L13" s="22">
        <v>13</v>
      </c>
      <c r="M13" s="22">
        <v>14</v>
      </c>
      <c r="N13" s="22">
        <v>23</v>
      </c>
      <c r="O13" s="22" t="str">
        <f t="shared" si="6"/>
        <v>Normal</v>
      </c>
    </row>
    <row r="14" spans="1:15" x14ac:dyDescent="0.3">
      <c r="A14" s="22" t="s">
        <v>157</v>
      </c>
      <c r="B14" t="str">
        <f t="shared" si="0"/>
        <v>Ramya Khanna</v>
      </c>
      <c r="C14" t="str">
        <f t="shared" si="1"/>
        <v>Legal &amp; Compliance</v>
      </c>
      <c r="D14" s="30" t="str">
        <f t="shared" si="2"/>
        <v>Active</v>
      </c>
      <c r="E14" s="22">
        <v>250</v>
      </c>
      <c r="F14" s="22">
        <v>14</v>
      </c>
      <c r="G14" s="22">
        <v>4</v>
      </c>
      <c r="H14" s="22">
        <v>0</v>
      </c>
      <c r="I14" s="22">
        <f t="shared" si="3"/>
        <v>18</v>
      </c>
      <c r="J14" s="22">
        <f t="shared" si="4"/>
        <v>232</v>
      </c>
      <c r="K14" s="26">
        <f t="shared" si="5"/>
        <v>0.92800000000000005</v>
      </c>
      <c r="L14" s="22">
        <v>66</v>
      </c>
      <c r="M14" s="22">
        <v>10</v>
      </c>
      <c r="N14" s="22">
        <v>28</v>
      </c>
      <c r="O14" s="22" t="str">
        <f t="shared" si="6"/>
        <v>Normal</v>
      </c>
    </row>
    <row r="15" spans="1:15" x14ac:dyDescent="0.3">
      <c r="A15" s="22" t="s">
        <v>163</v>
      </c>
      <c r="B15" t="str">
        <f t="shared" si="0"/>
        <v>Rashmi Jain</v>
      </c>
      <c r="C15" t="str">
        <f t="shared" si="1"/>
        <v>Human Resources</v>
      </c>
      <c r="D15" s="30" t="str">
        <f t="shared" si="2"/>
        <v>Active</v>
      </c>
      <c r="E15" s="22">
        <v>250</v>
      </c>
      <c r="F15" s="22">
        <v>8</v>
      </c>
      <c r="G15" s="22">
        <v>2</v>
      </c>
      <c r="H15" s="22">
        <v>1</v>
      </c>
      <c r="I15" s="22">
        <f t="shared" si="3"/>
        <v>11</v>
      </c>
      <c r="J15" s="22">
        <f t="shared" si="4"/>
        <v>239</v>
      </c>
      <c r="K15" s="26">
        <f t="shared" si="5"/>
        <v>0.95599999999999996</v>
      </c>
      <c r="L15" s="22">
        <v>65</v>
      </c>
      <c r="M15" s="22">
        <v>0</v>
      </c>
      <c r="N15" s="22">
        <v>22</v>
      </c>
      <c r="O15" s="22" t="str">
        <f t="shared" si="6"/>
        <v>Normal</v>
      </c>
    </row>
    <row r="16" spans="1:15" x14ac:dyDescent="0.3">
      <c r="A16" s="22" t="s">
        <v>169</v>
      </c>
      <c r="B16" t="str">
        <f t="shared" si="0"/>
        <v>Ajay Ansari</v>
      </c>
      <c r="C16" t="str">
        <f t="shared" si="1"/>
        <v>Operations</v>
      </c>
      <c r="D16" s="30" t="str">
        <f t="shared" si="2"/>
        <v>Active</v>
      </c>
      <c r="E16" s="22">
        <v>250</v>
      </c>
      <c r="F16" s="22">
        <v>20</v>
      </c>
      <c r="G16" s="22">
        <v>3</v>
      </c>
      <c r="H16" s="22">
        <v>0</v>
      </c>
      <c r="I16" s="22">
        <f t="shared" si="3"/>
        <v>23</v>
      </c>
      <c r="J16" s="22">
        <f t="shared" si="4"/>
        <v>227</v>
      </c>
      <c r="K16" s="26">
        <f t="shared" si="5"/>
        <v>0.90800000000000003</v>
      </c>
      <c r="L16" s="22">
        <v>9</v>
      </c>
      <c r="M16" s="22">
        <v>0</v>
      </c>
      <c r="N16" s="22">
        <v>17</v>
      </c>
      <c r="O16" s="22" t="str">
        <f t="shared" si="6"/>
        <v>Normal</v>
      </c>
    </row>
    <row r="17" spans="1:15" x14ac:dyDescent="0.3">
      <c r="A17" s="22" t="s">
        <v>172</v>
      </c>
      <c r="B17" t="str">
        <f t="shared" si="0"/>
        <v>Isha Verma</v>
      </c>
      <c r="C17" t="str">
        <f t="shared" si="1"/>
        <v>Customer Support</v>
      </c>
      <c r="D17" s="30" t="str">
        <f t="shared" si="2"/>
        <v>Active</v>
      </c>
      <c r="E17" s="22">
        <v>250</v>
      </c>
      <c r="F17" s="22">
        <v>12</v>
      </c>
      <c r="G17" s="22">
        <v>6</v>
      </c>
      <c r="H17" s="22">
        <v>3</v>
      </c>
      <c r="I17" s="22">
        <f t="shared" si="3"/>
        <v>21</v>
      </c>
      <c r="J17" s="22">
        <f t="shared" si="4"/>
        <v>229</v>
      </c>
      <c r="K17" s="26">
        <f t="shared" si="5"/>
        <v>0.91600000000000004</v>
      </c>
      <c r="L17" s="22">
        <v>1</v>
      </c>
      <c r="M17" s="22">
        <v>2</v>
      </c>
      <c r="N17" s="22">
        <v>85</v>
      </c>
      <c r="O17" s="22" t="str">
        <f t="shared" si="6"/>
        <v>Normal</v>
      </c>
    </row>
    <row r="18" spans="1:15" x14ac:dyDescent="0.3">
      <c r="A18" s="22" t="s">
        <v>178</v>
      </c>
      <c r="B18" t="str">
        <f t="shared" si="0"/>
        <v>Pooja Naidu</v>
      </c>
      <c r="C18" t="str">
        <f t="shared" si="1"/>
        <v>Engineering</v>
      </c>
      <c r="D18" s="30" t="str">
        <f t="shared" si="2"/>
        <v>Active</v>
      </c>
      <c r="E18" s="22">
        <v>250</v>
      </c>
      <c r="F18" s="22">
        <v>9</v>
      </c>
      <c r="G18" s="22">
        <v>7</v>
      </c>
      <c r="H18" s="22">
        <v>8</v>
      </c>
      <c r="I18" s="22">
        <f t="shared" si="3"/>
        <v>24</v>
      </c>
      <c r="J18" s="22">
        <f t="shared" si="4"/>
        <v>226</v>
      </c>
      <c r="K18" s="26">
        <f t="shared" si="5"/>
        <v>0.90400000000000003</v>
      </c>
      <c r="L18" s="22">
        <v>44</v>
      </c>
      <c r="M18" s="22">
        <v>1</v>
      </c>
      <c r="N18" s="22">
        <v>53</v>
      </c>
      <c r="O18" s="22" t="str">
        <f t="shared" si="6"/>
        <v>High Unplanned</v>
      </c>
    </row>
    <row r="19" spans="1:15" x14ac:dyDescent="0.3">
      <c r="A19" s="22" t="s">
        <v>184</v>
      </c>
      <c r="B19" t="str">
        <f t="shared" si="0"/>
        <v>Isha Chatterjee</v>
      </c>
      <c r="C19" t="str">
        <f t="shared" si="1"/>
        <v>Marketing</v>
      </c>
      <c r="D19" s="30" t="str">
        <f t="shared" si="2"/>
        <v>Exited</v>
      </c>
      <c r="E19" s="22">
        <v>137</v>
      </c>
      <c r="F19" s="22">
        <v>13</v>
      </c>
      <c r="G19" s="22">
        <v>8</v>
      </c>
      <c r="H19" s="22">
        <v>2</v>
      </c>
      <c r="I19" s="22">
        <f t="shared" si="3"/>
        <v>23</v>
      </c>
      <c r="J19" s="22">
        <f t="shared" si="4"/>
        <v>114</v>
      </c>
      <c r="K19" s="26">
        <f t="shared" si="5"/>
        <v>0.83211678832116787</v>
      </c>
      <c r="L19" s="22">
        <v>26</v>
      </c>
      <c r="M19" s="22">
        <v>5</v>
      </c>
      <c r="N19" s="22">
        <v>25</v>
      </c>
      <c r="O19" s="22" t="str">
        <f t="shared" si="6"/>
        <v>Low Attendance</v>
      </c>
    </row>
    <row r="20" spans="1:15" x14ac:dyDescent="0.3">
      <c r="A20" s="22" t="s">
        <v>191</v>
      </c>
      <c r="B20" t="str">
        <f t="shared" si="0"/>
        <v>Fatima Reddy</v>
      </c>
      <c r="C20" t="str">
        <f t="shared" si="1"/>
        <v>Sales</v>
      </c>
      <c r="D20" s="30" t="str">
        <f t="shared" si="2"/>
        <v>Active</v>
      </c>
      <c r="E20" s="22">
        <v>250</v>
      </c>
      <c r="F20" s="22">
        <v>14</v>
      </c>
      <c r="G20" s="22">
        <v>6</v>
      </c>
      <c r="H20" s="22">
        <v>0</v>
      </c>
      <c r="I20" s="22">
        <f t="shared" si="3"/>
        <v>20</v>
      </c>
      <c r="J20" s="22">
        <f t="shared" si="4"/>
        <v>230</v>
      </c>
      <c r="K20" s="26">
        <f t="shared" si="5"/>
        <v>0.92</v>
      </c>
      <c r="L20" s="22">
        <v>23</v>
      </c>
      <c r="M20" s="22">
        <v>12</v>
      </c>
      <c r="N20" s="22">
        <v>1</v>
      </c>
      <c r="O20" s="22" t="str">
        <f t="shared" si="6"/>
        <v>Normal</v>
      </c>
    </row>
    <row r="21" spans="1:15" x14ac:dyDescent="0.3">
      <c r="A21" s="22" t="s">
        <v>197</v>
      </c>
      <c r="B21" t="str">
        <f t="shared" si="0"/>
        <v>Naveen Subramanian</v>
      </c>
      <c r="C21" t="str">
        <f t="shared" si="1"/>
        <v>Customer Support</v>
      </c>
      <c r="D21" s="30" t="str">
        <f t="shared" si="2"/>
        <v>Active</v>
      </c>
      <c r="E21" s="22">
        <v>250</v>
      </c>
      <c r="F21" s="22">
        <v>8</v>
      </c>
      <c r="G21" s="22">
        <v>2</v>
      </c>
      <c r="H21" s="22">
        <v>1</v>
      </c>
      <c r="I21" s="22">
        <f t="shared" si="3"/>
        <v>11</v>
      </c>
      <c r="J21" s="22">
        <f t="shared" si="4"/>
        <v>239</v>
      </c>
      <c r="K21" s="26">
        <f t="shared" si="5"/>
        <v>0.95599999999999996</v>
      </c>
      <c r="L21" s="22">
        <v>0</v>
      </c>
      <c r="M21" s="22">
        <v>12</v>
      </c>
      <c r="N21" s="22">
        <v>87</v>
      </c>
      <c r="O21" s="22" t="str">
        <f t="shared" si="6"/>
        <v>Normal</v>
      </c>
    </row>
    <row r="22" spans="1:15" x14ac:dyDescent="0.3">
      <c r="A22" s="22" t="s">
        <v>203</v>
      </c>
      <c r="B22" t="str">
        <f t="shared" si="0"/>
        <v>Arun Mukherjee</v>
      </c>
      <c r="C22" t="str">
        <f t="shared" si="1"/>
        <v>Data &amp; Analytics</v>
      </c>
      <c r="D22" s="30" t="str">
        <f t="shared" si="2"/>
        <v>Active</v>
      </c>
      <c r="E22" s="22">
        <v>250</v>
      </c>
      <c r="F22" s="22">
        <v>9</v>
      </c>
      <c r="G22" s="22">
        <v>0</v>
      </c>
      <c r="H22" s="22">
        <v>3</v>
      </c>
      <c r="I22" s="22">
        <f t="shared" si="3"/>
        <v>12</v>
      </c>
      <c r="J22" s="22">
        <f t="shared" si="4"/>
        <v>238</v>
      </c>
      <c r="K22" s="26">
        <f t="shared" si="5"/>
        <v>0.95199999999999996</v>
      </c>
      <c r="L22" s="22">
        <v>53</v>
      </c>
      <c r="M22" s="22">
        <v>6</v>
      </c>
      <c r="N22" s="22">
        <v>38</v>
      </c>
      <c r="O22" s="22" t="str">
        <f t="shared" si="6"/>
        <v>Normal</v>
      </c>
    </row>
    <row r="23" spans="1:15" x14ac:dyDescent="0.3">
      <c r="A23" s="22" t="s">
        <v>209</v>
      </c>
      <c r="B23" t="str">
        <f t="shared" si="0"/>
        <v>Arun Joshi</v>
      </c>
      <c r="C23" t="str">
        <f t="shared" si="1"/>
        <v>Data &amp; Analytics</v>
      </c>
      <c r="D23" s="30" t="str">
        <f t="shared" si="2"/>
        <v>Active</v>
      </c>
      <c r="E23" s="22">
        <v>250</v>
      </c>
      <c r="F23" s="22">
        <v>17</v>
      </c>
      <c r="G23" s="22">
        <v>0</v>
      </c>
      <c r="H23" s="22">
        <v>1</v>
      </c>
      <c r="I23" s="22">
        <f t="shared" si="3"/>
        <v>18</v>
      </c>
      <c r="J23" s="22">
        <f t="shared" si="4"/>
        <v>232</v>
      </c>
      <c r="K23" s="26">
        <f t="shared" si="5"/>
        <v>0.92800000000000005</v>
      </c>
      <c r="L23" s="22">
        <v>47</v>
      </c>
      <c r="M23" s="22">
        <v>4</v>
      </c>
      <c r="N23" s="22">
        <v>31</v>
      </c>
      <c r="O23" s="22" t="str">
        <f t="shared" si="6"/>
        <v>Normal</v>
      </c>
    </row>
    <row r="24" spans="1:15" x14ac:dyDescent="0.3">
      <c r="A24" s="22" t="s">
        <v>214</v>
      </c>
      <c r="B24" t="str">
        <f t="shared" si="0"/>
        <v>Ashish Prabhu</v>
      </c>
      <c r="C24" t="str">
        <f t="shared" si="1"/>
        <v>Operations</v>
      </c>
      <c r="D24" s="30" t="str">
        <f t="shared" si="2"/>
        <v>Active</v>
      </c>
      <c r="E24" s="22">
        <v>250</v>
      </c>
      <c r="F24" s="22">
        <v>7</v>
      </c>
      <c r="G24" s="22">
        <v>6</v>
      </c>
      <c r="H24" s="22">
        <v>1</v>
      </c>
      <c r="I24" s="22">
        <f t="shared" si="3"/>
        <v>14</v>
      </c>
      <c r="J24" s="22">
        <f t="shared" si="4"/>
        <v>236</v>
      </c>
      <c r="K24" s="26">
        <f t="shared" si="5"/>
        <v>0.94399999999999995</v>
      </c>
      <c r="L24" s="22">
        <v>4</v>
      </c>
      <c r="M24" s="22">
        <v>11</v>
      </c>
      <c r="N24" s="22">
        <v>65</v>
      </c>
      <c r="O24" s="22" t="str">
        <f t="shared" si="6"/>
        <v>Normal</v>
      </c>
    </row>
    <row r="25" spans="1:15" x14ac:dyDescent="0.3">
      <c r="A25" s="22" t="s">
        <v>221</v>
      </c>
      <c r="B25" t="str">
        <f t="shared" si="0"/>
        <v>Priyanka Naidu</v>
      </c>
      <c r="C25" t="str">
        <f t="shared" si="1"/>
        <v>Human Resources</v>
      </c>
      <c r="D25" s="30" t="str">
        <f t="shared" si="2"/>
        <v>Active</v>
      </c>
      <c r="E25" s="22">
        <v>250</v>
      </c>
      <c r="F25" s="22">
        <v>8</v>
      </c>
      <c r="G25" s="22">
        <v>3</v>
      </c>
      <c r="H25" s="22">
        <v>1</v>
      </c>
      <c r="I25" s="22">
        <f t="shared" si="3"/>
        <v>12</v>
      </c>
      <c r="J25" s="22">
        <f t="shared" si="4"/>
        <v>238</v>
      </c>
      <c r="K25" s="26">
        <f t="shared" si="5"/>
        <v>0.95199999999999996</v>
      </c>
      <c r="L25" s="22">
        <v>24</v>
      </c>
      <c r="M25" s="22">
        <v>13</v>
      </c>
      <c r="N25" s="22">
        <v>16</v>
      </c>
      <c r="O25" s="22" t="str">
        <f t="shared" si="6"/>
        <v>Normal</v>
      </c>
    </row>
    <row r="26" spans="1:15" x14ac:dyDescent="0.3">
      <c r="A26" s="22" t="s">
        <v>227</v>
      </c>
      <c r="B26" t="str">
        <f t="shared" si="0"/>
        <v>Nikhil Agarwal</v>
      </c>
      <c r="C26" t="str">
        <f t="shared" si="1"/>
        <v>Sales</v>
      </c>
      <c r="D26" s="30" t="str">
        <f t="shared" si="2"/>
        <v>Active</v>
      </c>
      <c r="E26" s="22">
        <v>250</v>
      </c>
      <c r="F26" s="22">
        <v>17</v>
      </c>
      <c r="G26" s="22">
        <v>3</v>
      </c>
      <c r="H26" s="22">
        <v>8</v>
      </c>
      <c r="I26" s="22">
        <f t="shared" si="3"/>
        <v>28</v>
      </c>
      <c r="J26" s="22">
        <f t="shared" si="4"/>
        <v>222</v>
      </c>
      <c r="K26" s="26">
        <f t="shared" si="5"/>
        <v>0.88800000000000001</v>
      </c>
      <c r="L26" s="22">
        <v>35</v>
      </c>
      <c r="M26" s="22">
        <v>7</v>
      </c>
      <c r="N26" s="22">
        <v>6</v>
      </c>
      <c r="O26" s="22" t="str">
        <f t="shared" si="6"/>
        <v>High Unplanned</v>
      </c>
    </row>
    <row r="27" spans="1:15" x14ac:dyDescent="0.3">
      <c r="A27" s="22" t="s">
        <v>233</v>
      </c>
      <c r="B27" t="str">
        <f t="shared" si="0"/>
        <v>Revathi Rao</v>
      </c>
      <c r="C27" t="str">
        <f t="shared" si="1"/>
        <v>Sales</v>
      </c>
      <c r="D27" s="30" t="str">
        <f t="shared" si="2"/>
        <v>Exited</v>
      </c>
      <c r="E27" s="22">
        <v>89</v>
      </c>
      <c r="F27" s="22">
        <v>8</v>
      </c>
      <c r="G27" s="22">
        <v>8</v>
      </c>
      <c r="H27" s="22">
        <v>2</v>
      </c>
      <c r="I27" s="22">
        <f t="shared" si="3"/>
        <v>18</v>
      </c>
      <c r="J27" s="22">
        <f t="shared" si="4"/>
        <v>71</v>
      </c>
      <c r="K27" s="26">
        <f t="shared" si="5"/>
        <v>0.797752808988764</v>
      </c>
      <c r="L27" s="22">
        <v>34</v>
      </c>
      <c r="M27" s="22">
        <v>13</v>
      </c>
      <c r="N27" s="22">
        <v>37</v>
      </c>
      <c r="O27" s="22" t="str">
        <f t="shared" si="6"/>
        <v>Low Attendance</v>
      </c>
    </row>
    <row r="28" spans="1:15" x14ac:dyDescent="0.3">
      <c r="A28" s="22" t="s">
        <v>239</v>
      </c>
      <c r="B28" t="str">
        <f t="shared" si="0"/>
        <v>Yash Yadav</v>
      </c>
      <c r="C28" t="str">
        <f t="shared" si="1"/>
        <v>Engineering</v>
      </c>
      <c r="D28" s="30" t="str">
        <f t="shared" si="2"/>
        <v>Active</v>
      </c>
      <c r="E28" s="22">
        <v>250</v>
      </c>
      <c r="F28" s="22">
        <v>16</v>
      </c>
      <c r="G28" s="22">
        <v>2</v>
      </c>
      <c r="H28" s="22">
        <v>1</v>
      </c>
      <c r="I28" s="22">
        <f t="shared" si="3"/>
        <v>19</v>
      </c>
      <c r="J28" s="22">
        <f t="shared" si="4"/>
        <v>231</v>
      </c>
      <c r="K28" s="26">
        <f t="shared" si="5"/>
        <v>0.92400000000000004</v>
      </c>
      <c r="L28" s="22">
        <v>26</v>
      </c>
      <c r="M28" s="22">
        <v>6</v>
      </c>
      <c r="N28" s="22">
        <v>4</v>
      </c>
      <c r="O28" s="22" t="str">
        <f t="shared" si="6"/>
        <v>Normal</v>
      </c>
    </row>
    <row r="29" spans="1:15" x14ac:dyDescent="0.3">
      <c r="A29" s="22" t="s">
        <v>245</v>
      </c>
      <c r="B29" t="str">
        <f t="shared" si="0"/>
        <v>Gayatri Krishnan</v>
      </c>
      <c r="C29" t="str">
        <f t="shared" si="1"/>
        <v>Operations</v>
      </c>
      <c r="D29" s="30" t="str">
        <f t="shared" si="2"/>
        <v>Exited</v>
      </c>
      <c r="E29" s="22">
        <v>49</v>
      </c>
      <c r="F29" s="22">
        <v>4</v>
      </c>
      <c r="G29" s="22">
        <v>3</v>
      </c>
      <c r="H29" s="22">
        <v>8</v>
      </c>
      <c r="I29" s="22">
        <f t="shared" si="3"/>
        <v>15</v>
      </c>
      <c r="J29" s="22">
        <f t="shared" si="4"/>
        <v>34</v>
      </c>
      <c r="K29" s="26">
        <f t="shared" si="5"/>
        <v>0.69387755102040816</v>
      </c>
      <c r="L29" s="22">
        <v>13</v>
      </c>
      <c r="M29" s="22">
        <v>0</v>
      </c>
      <c r="N29" s="22">
        <v>78</v>
      </c>
      <c r="O29" s="22" t="str">
        <f t="shared" si="6"/>
        <v>High Unplanned</v>
      </c>
    </row>
    <row r="30" spans="1:15" x14ac:dyDescent="0.3">
      <c r="A30" s="22" t="s">
        <v>248</v>
      </c>
      <c r="B30" t="str">
        <f t="shared" si="0"/>
        <v>Nisha Jain</v>
      </c>
      <c r="C30" t="str">
        <f t="shared" si="1"/>
        <v>Customer Support</v>
      </c>
      <c r="D30" s="30" t="str">
        <f t="shared" si="2"/>
        <v>Active</v>
      </c>
      <c r="E30" s="22">
        <v>250</v>
      </c>
      <c r="F30" s="22">
        <v>9</v>
      </c>
      <c r="G30" s="22">
        <v>1</v>
      </c>
      <c r="H30" s="22">
        <v>5</v>
      </c>
      <c r="I30" s="22">
        <f t="shared" si="3"/>
        <v>15</v>
      </c>
      <c r="J30" s="22">
        <f t="shared" si="4"/>
        <v>235</v>
      </c>
      <c r="K30" s="26">
        <f t="shared" si="5"/>
        <v>0.94</v>
      </c>
      <c r="L30" s="22">
        <v>12</v>
      </c>
      <c r="M30" s="22">
        <v>6</v>
      </c>
      <c r="N30" s="22">
        <v>67</v>
      </c>
      <c r="O30" s="22" t="str">
        <f t="shared" si="6"/>
        <v>Normal</v>
      </c>
    </row>
    <row r="31" spans="1:15" x14ac:dyDescent="0.3">
      <c r="A31" s="22" t="s">
        <v>254</v>
      </c>
      <c r="B31" t="str">
        <f t="shared" si="0"/>
        <v>Rashmi Ansari</v>
      </c>
      <c r="C31" t="str">
        <f t="shared" si="1"/>
        <v>Finance</v>
      </c>
      <c r="D31" s="30" t="str">
        <f t="shared" si="2"/>
        <v>Active</v>
      </c>
      <c r="E31" s="22">
        <v>250</v>
      </c>
      <c r="F31" s="22">
        <v>10</v>
      </c>
      <c r="G31" s="22">
        <v>3</v>
      </c>
      <c r="H31" s="22">
        <v>1</v>
      </c>
      <c r="I31" s="22">
        <f t="shared" si="3"/>
        <v>14</v>
      </c>
      <c r="J31" s="22">
        <f t="shared" si="4"/>
        <v>236</v>
      </c>
      <c r="K31" s="26">
        <f t="shared" si="5"/>
        <v>0.94399999999999995</v>
      </c>
      <c r="L31" s="22">
        <v>64</v>
      </c>
      <c r="M31" s="22">
        <v>7</v>
      </c>
      <c r="N31" s="22">
        <v>3</v>
      </c>
      <c r="O31" s="22" t="str">
        <f t="shared" si="6"/>
        <v>Normal</v>
      </c>
    </row>
    <row r="32" spans="1:15" x14ac:dyDescent="0.3">
      <c r="A32" s="22" t="s">
        <v>260</v>
      </c>
      <c r="B32" t="str">
        <f t="shared" si="0"/>
        <v>Prakash Krishnan</v>
      </c>
      <c r="C32" t="str">
        <f t="shared" si="1"/>
        <v>Marketing</v>
      </c>
      <c r="D32" s="30" t="str">
        <f t="shared" si="2"/>
        <v>Active</v>
      </c>
      <c r="E32" s="22">
        <v>250</v>
      </c>
      <c r="F32" s="22">
        <v>14</v>
      </c>
      <c r="G32" s="22">
        <v>6</v>
      </c>
      <c r="H32" s="22">
        <v>2</v>
      </c>
      <c r="I32" s="22">
        <f t="shared" si="3"/>
        <v>22</v>
      </c>
      <c r="J32" s="22">
        <f t="shared" si="4"/>
        <v>228</v>
      </c>
      <c r="K32" s="26">
        <f t="shared" si="5"/>
        <v>0.91200000000000003</v>
      </c>
      <c r="L32" s="22">
        <v>48</v>
      </c>
      <c r="M32" s="22">
        <v>1</v>
      </c>
      <c r="N32" s="22">
        <v>17</v>
      </c>
      <c r="O32" s="22" t="str">
        <f t="shared" si="6"/>
        <v>Normal</v>
      </c>
    </row>
    <row r="33" spans="1:15" x14ac:dyDescent="0.3">
      <c r="A33" s="22" t="s">
        <v>264</v>
      </c>
      <c r="B33" t="str">
        <f t="shared" si="0"/>
        <v>Vishal Prabhu</v>
      </c>
      <c r="C33" t="str">
        <f t="shared" si="1"/>
        <v>Operations</v>
      </c>
      <c r="D33" s="30" t="str">
        <f t="shared" si="2"/>
        <v>Active</v>
      </c>
      <c r="E33" s="22">
        <v>250</v>
      </c>
      <c r="F33" s="22">
        <v>11</v>
      </c>
      <c r="G33" s="22">
        <v>4</v>
      </c>
      <c r="H33" s="22">
        <v>8</v>
      </c>
      <c r="I33" s="22">
        <f t="shared" si="3"/>
        <v>23</v>
      </c>
      <c r="J33" s="22">
        <f t="shared" si="4"/>
        <v>227</v>
      </c>
      <c r="K33" s="26">
        <f t="shared" si="5"/>
        <v>0.90800000000000003</v>
      </c>
      <c r="L33" s="22">
        <v>22</v>
      </c>
      <c r="M33" s="22">
        <v>6</v>
      </c>
      <c r="N33" s="22">
        <v>31</v>
      </c>
      <c r="O33" s="22" t="str">
        <f t="shared" si="6"/>
        <v>High Unplanned</v>
      </c>
    </row>
    <row r="34" spans="1:15" x14ac:dyDescent="0.3">
      <c r="A34" s="22" t="s">
        <v>267</v>
      </c>
      <c r="B34" t="str">
        <f t="shared" si="0"/>
        <v>Gayatri Tiwari</v>
      </c>
      <c r="C34" t="str">
        <f t="shared" si="1"/>
        <v>Sales</v>
      </c>
      <c r="D34" s="30" t="str">
        <f t="shared" si="2"/>
        <v>Active</v>
      </c>
      <c r="E34" s="22">
        <v>250</v>
      </c>
      <c r="F34" s="22">
        <v>11</v>
      </c>
      <c r="G34" s="22">
        <v>0</v>
      </c>
      <c r="H34" s="22">
        <v>0</v>
      </c>
      <c r="I34" s="22">
        <f t="shared" si="3"/>
        <v>11</v>
      </c>
      <c r="J34" s="22">
        <f t="shared" si="4"/>
        <v>239</v>
      </c>
      <c r="K34" s="26">
        <f t="shared" si="5"/>
        <v>0.95599999999999996</v>
      </c>
      <c r="L34" s="22">
        <v>10</v>
      </c>
      <c r="M34" s="22">
        <v>0</v>
      </c>
      <c r="N34" s="22">
        <v>20</v>
      </c>
      <c r="O34" s="22" t="str">
        <f t="shared" si="6"/>
        <v>Normal</v>
      </c>
    </row>
    <row r="35" spans="1:15" x14ac:dyDescent="0.3">
      <c r="A35" s="22" t="s">
        <v>273</v>
      </c>
      <c r="B35" t="str">
        <f t="shared" si="0"/>
        <v>Aditi Varghese</v>
      </c>
      <c r="C35" t="str">
        <f t="shared" si="1"/>
        <v>Engineering</v>
      </c>
      <c r="D35" s="30" t="str">
        <f t="shared" si="2"/>
        <v>Active</v>
      </c>
      <c r="E35" s="22">
        <v>250</v>
      </c>
      <c r="F35" s="22">
        <v>9</v>
      </c>
      <c r="G35" s="22">
        <v>4</v>
      </c>
      <c r="H35" s="22">
        <v>8</v>
      </c>
      <c r="I35" s="22">
        <f t="shared" si="3"/>
        <v>21</v>
      </c>
      <c r="J35" s="22">
        <f t="shared" si="4"/>
        <v>229</v>
      </c>
      <c r="K35" s="26">
        <f t="shared" si="5"/>
        <v>0.91600000000000004</v>
      </c>
      <c r="L35" s="22">
        <v>22</v>
      </c>
      <c r="M35" s="22">
        <v>6</v>
      </c>
      <c r="N35" s="22">
        <v>23</v>
      </c>
      <c r="O35" s="22" t="str">
        <f t="shared" si="6"/>
        <v>High Unplanned</v>
      </c>
    </row>
    <row r="36" spans="1:15" x14ac:dyDescent="0.3">
      <c r="A36" s="22" t="s">
        <v>276</v>
      </c>
      <c r="B36" t="str">
        <f t="shared" si="0"/>
        <v>Dev Gupta</v>
      </c>
      <c r="C36" t="str">
        <f t="shared" si="1"/>
        <v>Operations</v>
      </c>
      <c r="D36" s="30" t="str">
        <f t="shared" si="2"/>
        <v>Active</v>
      </c>
      <c r="E36" s="22">
        <v>250</v>
      </c>
      <c r="F36" s="22">
        <v>10</v>
      </c>
      <c r="G36" s="22">
        <v>7</v>
      </c>
      <c r="H36" s="22">
        <v>1</v>
      </c>
      <c r="I36" s="22">
        <f t="shared" si="3"/>
        <v>18</v>
      </c>
      <c r="J36" s="22">
        <f t="shared" si="4"/>
        <v>232</v>
      </c>
      <c r="K36" s="26">
        <f t="shared" si="5"/>
        <v>0.92800000000000005</v>
      </c>
      <c r="L36" s="22">
        <v>9</v>
      </c>
      <c r="M36" s="22">
        <v>1</v>
      </c>
      <c r="N36" s="22">
        <v>12</v>
      </c>
      <c r="O36" s="22" t="str">
        <f t="shared" si="6"/>
        <v>Normal</v>
      </c>
    </row>
    <row r="37" spans="1:15" x14ac:dyDescent="0.3">
      <c r="A37" s="22" t="s">
        <v>279</v>
      </c>
      <c r="B37" t="str">
        <f t="shared" si="0"/>
        <v>Anjali Thomas</v>
      </c>
      <c r="C37" t="str">
        <f t="shared" si="1"/>
        <v>Human Resources</v>
      </c>
      <c r="D37" s="30" t="str">
        <f t="shared" si="2"/>
        <v>Active</v>
      </c>
      <c r="E37" s="22">
        <v>250</v>
      </c>
      <c r="F37" s="22">
        <v>16</v>
      </c>
      <c r="G37" s="22">
        <v>0</v>
      </c>
      <c r="H37" s="22">
        <v>6</v>
      </c>
      <c r="I37" s="22">
        <f t="shared" si="3"/>
        <v>22</v>
      </c>
      <c r="J37" s="22">
        <f t="shared" si="4"/>
        <v>228</v>
      </c>
      <c r="K37" s="26">
        <f t="shared" si="5"/>
        <v>0.91200000000000003</v>
      </c>
      <c r="L37" s="22">
        <v>52</v>
      </c>
      <c r="M37" s="22">
        <v>5</v>
      </c>
      <c r="N37" s="22">
        <v>23</v>
      </c>
      <c r="O37" s="22" t="str">
        <f t="shared" si="6"/>
        <v>Normal</v>
      </c>
    </row>
    <row r="38" spans="1:15" x14ac:dyDescent="0.3">
      <c r="A38" s="22" t="s">
        <v>282</v>
      </c>
      <c r="B38" t="str">
        <f t="shared" si="0"/>
        <v>Aniket Khanna</v>
      </c>
      <c r="C38" t="str">
        <f t="shared" si="1"/>
        <v>Product</v>
      </c>
      <c r="D38" s="30" t="str">
        <f t="shared" si="2"/>
        <v>Active</v>
      </c>
      <c r="E38" s="22">
        <v>250</v>
      </c>
      <c r="F38" s="22">
        <v>17</v>
      </c>
      <c r="G38" s="22">
        <v>8</v>
      </c>
      <c r="H38" s="22">
        <v>2</v>
      </c>
      <c r="I38" s="22">
        <f t="shared" si="3"/>
        <v>27</v>
      </c>
      <c r="J38" s="22">
        <f t="shared" si="4"/>
        <v>223</v>
      </c>
      <c r="K38" s="26">
        <f t="shared" si="5"/>
        <v>0.89200000000000002</v>
      </c>
      <c r="L38" s="22">
        <v>40</v>
      </c>
      <c r="M38" s="22">
        <v>10</v>
      </c>
      <c r="N38" s="22">
        <v>17</v>
      </c>
      <c r="O38" s="22" t="str">
        <f t="shared" si="6"/>
        <v>Low Attendance</v>
      </c>
    </row>
    <row r="39" spans="1:15" x14ac:dyDescent="0.3">
      <c r="A39" s="22" t="s">
        <v>288</v>
      </c>
      <c r="B39" t="str">
        <f t="shared" si="0"/>
        <v>Varun Reddy</v>
      </c>
      <c r="C39" t="str">
        <f t="shared" si="1"/>
        <v>Customer Support</v>
      </c>
      <c r="D39" s="30" t="str">
        <f t="shared" si="2"/>
        <v>Active</v>
      </c>
      <c r="E39" s="22">
        <v>250</v>
      </c>
      <c r="F39" s="22">
        <v>9</v>
      </c>
      <c r="G39" s="22">
        <v>6</v>
      </c>
      <c r="H39" s="22">
        <v>0</v>
      </c>
      <c r="I39" s="22">
        <f t="shared" si="3"/>
        <v>15</v>
      </c>
      <c r="J39" s="22">
        <f t="shared" si="4"/>
        <v>235</v>
      </c>
      <c r="K39" s="26">
        <f t="shared" si="5"/>
        <v>0.94</v>
      </c>
      <c r="L39" s="22">
        <v>3</v>
      </c>
      <c r="M39" s="22">
        <v>2</v>
      </c>
      <c r="N39" s="22">
        <v>80</v>
      </c>
      <c r="O39" s="22" t="str">
        <f t="shared" si="6"/>
        <v>Normal</v>
      </c>
    </row>
    <row r="40" spans="1:15" x14ac:dyDescent="0.3">
      <c r="A40" s="22" t="s">
        <v>293</v>
      </c>
      <c r="B40" t="str">
        <f t="shared" si="0"/>
        <v>Karan Patel</v>
      </c>
      <c r="C40" t="str">
        <f t="shared" si="1"/>
        <v>Finance</v>
      </c>
      <c r="D40" s="30" t="str">
        <f t="shared" si="2"/>
        <v>Active</v>
      </c>
      <c r="E40" s="22">
        <v>250</v>
      </c>
      <c r="F40" s="22">
        <v>17</v>
      </c>
      <c r="G40" s="22">
        <v>1</v>
      </c>
      <c r="H40" s="22">
        <v>0</v>
      </c>
      <c r="I40" s="22">
        <f t="shared" si="3"/>
        <v>18</v>
      </c>
      <c r="J40" s="22">
        <f t="shared" si="4"/>
        <v>232</v>
      </c>
      <c r="K40" s="26">
        <f t="shared" si="5"/>
        <v>0.92800000000000005</v>
      </c>
      <c r="L40" s="22">
        <v>34</v>
      </c>
      <c r="M40" s="22">
        <v>3</v>
      </c>
      <c r="N40" s="22">
        <v>28</v>
      </c>
      <c r="O40" s="22" t="str">
        <f t="shared" si="6"/>
        <v>Normal</v>
      </c>
    </row>
    <row r="41" spans="1:15" x14ac:dyDescent="0.3">
      <c r="A41" s="22" t="s">
        <v>297</v>
      </c>
      <c r="B41" t="str">
        <f t="shared" si="0"/>
        <v>Sanjay Mehta</v>
      </c>
      <c r="C41" t="str">
        <f t="shared" si="1"/>
        <v>Human Resources</v>
      </c>
      <c r="D41" s="30" t="str">
        <f t="shared" si="2"/>
        <v>Active</v>
      </c>
      <c r="E41" s="22">
        <v>250</v>
      </c>
      <c r="F41" s="22">
        <v>20</v>
      </c>
      <c r="G41" s="22">
        <v>1</v>
      </c>
      <c r="H41" s="22">
        <v>6</v>
      </c>
      <c r="I41" s="22">
        <f t="shared" si="3"/>
        <v>27</v>
      </c>
      <c r="J41" s="22">
        <f t="shared" si="4"/>
        <v>223</v>
      </c>
      <c r="K41" s="26">
        <f t="shared" si="5"/>
        <v>0.89200000000000002</v>
      </c>
      <c r="L41" s="22">
        <v>89</v>
      </c>
      <c r="M41" s="22">
        <v>5</v>
      </c>
      <c r="N41" s="22">
        <v>19</v>
      </c>
      <c r="O41" s="22" t="str">
        <f t="shared" si="6"/>
        <v>Low Attendance</v>
      </c>
    </row>
    <row r="42" spans="1:15" x14ac:dyDescent="0.3">
      <c r="A42" s="22" t="s">
        <v>300</v>
      </c>
      <c r="B42" t="str">
        <f t="shared" si="0"/>
        <v>Nisha Mehta</v>
      </c>
      <c r="C42" t="str">
        <f t="shared" si="1"/>
        <v>Human Resources</v>
      </c>
      <c r="D42" s="30" t="str">
        <f t="shared" si="2"/>
        <v>Exited</v>
      </c>
      <c r="E42" s="22">
        <v>206</v>
      </c>
      <c r="F42" s="22">
        <v>17</v>
      </c>
      <c r="G42" s="22">
        <v>7</v>
      </c>
      <c r="H42" s="22">
        <v>15</v>
      </c>
      <c r="I42" s="22">
        <f t="shared" si="3"/>
        <v>39</v>
      </c>
      <c r="J42" s="22">
        <f t="shared" si="4"/>
        <v>167</v>
      </c>
      <c r="K42" s="26">
        <f t="shared" si="5"/>
        <v>0.81067961165048541</v>
      </c>
      <c r="L42" s="22">
        <v>78</v>
      </c>
      <c r="M42" s="22">
        <v>11</v>
      </c>
      <c r="N42" s="22">
        <v>9</v>
      </c>
      <c r="O42" s="22" t="str">
        <f t="shared" si="6"/>
        <v>High Unplanned</v>
      </c>
    </row>
    <row r="43" spans="1:15" x14ac:dyDescent="0.3">
      <c r="A43" s="22" t="s">
        <v>303</v>
      </c>
      <c r="B43" t="str">
        <f t="shared" si="0"/>
        <v>Tejaswini Hegde</v>
      </c>
      <c r="C43" t="str">
        <f t="shared" si="1"/>
        <v>Engineering</v>
      </c>
      <c r="D43" s="30" t="str">
        <f t="shared" si="2"/>
        <v>Active</v>
      </c>
      <c r="E43" s="22">
        <v>250</v>
      </c>
      <c r="F43" s="22">
        <v>6</v>
      </c>
      <c r="G43" s="22">
        <v>2</v>
      </c>
      <c r="H43" s="22">
        <v>6</v>
      </c>
      <c r="I43" s="22">
        <f t="shared" si="3"/>
        <v>14</v>
      </c>
      <c r="J43" s="22">
        <f t="shared" si="4"/>
        <v>236</v>
      </c>
      <c r="K43" s="26">
        <f t="shared" si="5"/>
        <v>0.94399999999999995</v>
      </c>
      <c r="L43" s="22">
        <v>42</v>
      </c>
      <c r="M43" s="22">
        <v>14</v>
      </c>
      <c r="N43" s="22">
        <v>112</v>
      </c>
      <c r="O43" s="22" t="str">
        <f t="shared" si="6"/>
        <v>Normal</v>
      </c>
    </row>
    <row r="44" spans="1:15" x14ac:dyDescent="0.3">
      <c r="A44" s="22" t="s">
        <v>207</v>
      </c>
      <c r="B44" t="str">
        <f t="shared" si="0"/>
        <v>Trisha Jain</v>
      </c>
      <c r="C44" t="str">
        <f t="shared" si="1"/>
        <v>Data &amp; Analytics</v>
      </c>
      <c r="D44" s="30" t="str">
        <f t="shared" si="2"/>
        <v>Active</v>
      </c>
      <c r="E44" s="22">
        <v>250</v>
      </c>
      <c r="F44" s="22">
        <v>18</v>
      </c>
      <c r="G44" s="22">
        <v>8</v>
      </c>
      <c r="H44" s="22">
        <v>12</v>
      </c>
      <c r="I44" s="22">
        <f t="shared" si="3"/>
        <v>38</v>
      </c>
      <c r="J44" s="22">
        <f t="shared" si="4"/>
        <v>212</v>
      </c>
      <c r="K44" s="26">
        <f t="shared" si="5"/>
        <v>0.84799999999999998</v>
      </c>
      <c r="L44" s="22">
        <v>56</v>
      </c>
      <c r="M44" s="22">
        <v>7</v>
      </c>
      <c r="N44" s="22">
        <v>40</v>
      </c>
      <c r="O44" s="22" t="str">
        <f t="shared" si="6"/>
        <v>High Unplanned</v>
      </c>
    </row>
    <row r="45" spans="1:15" x14ac:dyDescent="0.3">
      <c r="A45" s="22" t="s">
        <v>310</v>
      </c>
      <c r="B45" t="str">
        <f t="shared" si="0"/>
        <v>Rohan Patel</v>
      </c>
      <c r="C45" t="str">
        <f t="shared" si="1"/>
        <v>Engineering</v>
      </c>
      <c r="D45" s="30" t="str">
        <f t="shared" si="2"/>
        <v>Active</v>
      </c>
      <c r="E45" s="22">
        <v>250</v>
      </c>
      <c r="F45" s="22">
        <v>17</v>
      </c>
      <c r="G45" s="22">
        <v>1</v>
      </c>
      <c r="H45" s="22">
        <v>8</v>
      </c>
      <c r="I45" s="22">
        <f t="shared" si="3"/>
        <v>26</v>
      </c>
      <c r="J45" s="22">
        <f t="shared" si="4"/>
        <v>224</v>
      </c>
      <c r="K45" s="26">
        <f t="shared" si="5"/>
        <v>0.89600000000000002</v>
      </c>
      <c r="L45" s="22">
        <v>18</v>
      </c>
      <c r="M45" s="22">
        <v>7</v>
      </c>
      <c r="N45" s="22">
        <v>53</v>
      </c>
      <c r="O45" s="22" t="str">
        <f t="shared" si="6"/>
        <v>High Unplanned</v>
      </c>
    </row>
    <row r="46" spans="1:15" x14ac:dyDescent="0.3">
      <c r="A46" s="22" t="s">
        <v>315</v>
      </c>
      <c r="B46" t="str">
        <f t="shared" si="0"/>
        <v>Vikas Chatterjee</v>
      </c>
      <c r="C46" t="str">
        <f t="shared" si="1"/>
        <v>Operations</v>
      </c>
      <c r="D46" s="30" t="str">
        <f t="shared" si="2"/>
        <v>Exited</v>
      </c>
      <c r="E46" s="22">
        <v>176</v>
      </c>
      <c r="F46" s="22">
        <v>14</v>
      </c>
      <c r="G46" s="22">
        <v>8</v>
      </c>
      <c r="H46" s="22">
        <v>3</v>
      </c>
      <c r="I46" s="22">
        <f t="shared" si="3"/>
        <v>25</v>
      </c>
      <c r="J46" s="22">
        <f t="shared" si="4"/>
        <v>151</v>
      </c>
      <c r="K46" s="26">
        <f t="shared" si="5"/>
        <v>0.85795454545454541</v>
      </c>
      <c r="L46" s="22">
        <v>5</v>
      </c>
      <c r="M46" s="22">
        <v>9</v>
      </c>
      <c r="N46" s="22">
        <v>35</v>
      </c>
      <c r="O46" s="22" t="str">
        <f t="shared" si="6"/>
        <v>Low Attendance</v>
      </c>
    </row>
    <row r="47" spans="1:15" x14ac:dyDescent="0.3">
      <c r="A47" s="22" t="s">
        <v>318</v>
      </c>
      <c r="B47" t="str">
        <f t="shared" si="0"/>
        <v>Karan Gowda</v>
      </c>
      <c r="C47" t="str">
        <f t="shared" si="1"/>
        <v>Operations</v>
      </c>
      <c r="D47" s="30" t="str">
        <f t="shared" si="2"/>
        <v>Active</v>
      </c>
      <c r="E47" s="22">
        <v>250</v>
      </c>
      <c r="F47" s="22">
        <v>17</v>
      </c>
      <c r="G47" s="22">
        <v>2</v>
      </c>
      <c r="H47" s="22">
        <v>1</v>
      </c>
      <c r="I47" s="22">
        <f t="shared" si="3"/>
        <v>20</v>
      </c>
      <c r="J47" s="22">
        <f t="shared" si="4"/>
        <v>230</v>
      </c>
      <c r="K47" s="26">
        <f t="shared" si="5"/>
        <v>0.92</v>
      </c>
      <c r="L47" s="22">
        <v>18</v>
      </c>
      <c r="M47" s="22">
        <v>0</v>
      </c>
      <c r="N47" s="22">
        <v>101</v>
      </c>
      <c r="O47" s="22" t="str">
        <f t="shared" si="6"/>
        <v>Normal</v>
      </c>
    </row>
    <row r="48" spans="1:15" x14ac:dyDescent="0.3">
      <c r="A48" s="22" t="s">
        <v>321</v>
      </c>
      <c r="B48" t="str">
        <f t="shared" si="0"/>
        <v>Keerthi Gupta</v>
      </c>
      <c r="C48" t="str">
        <f t="shared" si="1"/>
        <v>Customer Support</v>
      </c>
      <c r="D48" s="30" t="str">
        <f t="shared" si="2"/>
        <v>Active</v>
      </c>
      <c r="E48" s="22">
        <v>250</v>
      </c>
      <c r="F48" s="22">
        <v>17</v>
      </c>
      <c r="G48" s="22">
        <v>3</v>
      </c>
      <c r="H48" s="22">
        <v>3</v>
      </c>
      <c r="I48" s="22">
        <f t="shared" si="3"/>
        <v>23</v>
      </c>
      <c r="J48" s="22">
        <f t="shared" si="4"/>
        <v>227</v>
      </c>
      <c r="K48" s="26">
        <f t="shared" si="5"/>
        <v>0.90800000000000003</v>
      </c>
      <c r="L48" s="22">
        <v>12</v>
      </c>
      <c r="M48" s="22">
        <v>7</v>
      </c>
      <c r="N48" s="22">
        <v>87</v>
      </c>
      <c r="O48" s="22" t="str">
        <f t="shared" si="6"/>
        <v>Normal</v>
      </c>
    </row>
    <row r="49" spans="1:15" x14ac:dyDescent="0.3">
      <c r="A49" s="22" t="s">
        <v>324</v>
      </c>
      <c r="B49" t="str">
        <f t="shared" si="0"/>
        <v>Sindhu Sharma</v>
      </c>
      <c r="C49" t="str">
        <f t="shared" si="1"/>
        <v>Data &amp; Analytics</v>
      </c>
      <c r="D49" s="30" t="str">
        <f t="shared" si="2"/>
        <v>Active</v>
      </c>
      <c r="E49" s="22">
        <v>250</v>
      </c>
      <c r="F49" s="22">
        <v>14</v>
      </c>
      <c r="G49" s="22">
        <v>8</v>
      </c>
      <c r="H49" s="22">
        <v>12</v>
      </c>
      <c r="I49" s="22">
        <f t="shared" si="3"/>
        <v>34</v>
      </c>
      <c r="J49" s="22">
        <f t="shared" si="4"/>
        <v>216</v>
      </c>
      <c r="K49" s="26">
        <f t="shared" si="5"/>
        <v>0.86399999999999999</v>
      </c>
      <c r="L49" s="22">
        <v>31</v>
      </c>
      <c r="M49" s="22">
        <v>7</v>
      </c>
      <c r="N49" s="22">
        <v>32</v>
      </c>
      <c r="O49" s="22" t="str">
        <f t="shared" si="6"/>
        <v>High Unplanned</v>
      </c>
    </row>
    <row r="50" spans="1:15" x14ac:dyDescent="0.3">
      <c r="A50" s="22" t="s">
        <v>218</v>
      </c>
      <c r="B50" t="str">
        <f t="shared" si="0"/>
        <v>Ajay Kumar</v>
      </c>
      <c r="C50" t="str">
        <f t="shared" si="1"/>
        <v>Operations</v>
      </c>
      <c r="D50" s="30" t="str">
        <f t="shared" si="2"/>
        <v>Active</v>
      </c>
      <c r="E50" s="22">
        <v>250</v>
      </c>
      <c r="F50" s="22">
        <v>12</v>
      </c>
      <c r="G50" s="22">
        <v>8</v>
      </c>
      <c r="H50" s="22">
        <v>3</v>
      </c>
      <c r="I50" s="22">
        <f t="shared" si="3"/>
        <v>23</v>
      </c>
      <c r="J50" s="22">
        <f t="shared" si="4"/>
        <v>227</v>
      </c>
      <c r="K50" s="26">
        <f t="shared" si="5"/>
        <v>0.90800000000000003</v>
      </c>
      <c r="L50" s="22">
        <v>12</v>
      </c>
      <c r="M50" s="22">
        <v>9</v>
      </c>
      <c r="N50" s="22">
        <v>34</v>
      </c>
      <c r="O50" s="22" t="str">
        <f t="shared" si="6"/>
        <v>Normal</v>
      </c>
    </row>
    <row r="51" spans="1:15" x14ac:dyDescent="0.3">
      <c r="A51" s="22" t="s">
        <v>328</v>
      </c>
      <c r="B51" t="str">
        <f t="shared" si="0"/>
        <v>Harini Choudhary</v>
      </c>
      <c r="C51" t="str">
        <f t="shared" si="1"/>
        <v>Engineering</v>
      </c>
      <c r="D51" s="30" t="str">
        <f t="shared" si="2"/>
        <v>Active</v>
      </c>
      <c r="E51" s="22">
        <v>250</v>
      </c>
      <c r="F51" s="22">
        <v>9</v>
      </c>
      <c r="G51" s="22">
        <v>2</v>
      </c>
      <c r="H51" s="22">
        <v>0</v>
      </c>
      <c r="I51" s="22">
        <f t="shared" si="3"/>
        <v>11</v>
      </c>
      <c r="J51" s="22">
        <f t="shared" si="4"/>
        <v>239</v>
      </c>
      <c r="K51" s="26">
        <f t="shared" si="5"/>
        <v>0.95599999999999996</v>
      </c>
      <c r="L51" s="22">
        <v>83</v>
      </c>
      <c r="M51" s="22">
        <v>3</v>
      </c>
      <c r="N51" s="22">
        <v>75</v>
      </c>
      <c r="O51" s="22" t="str">
        <f t="shared" si="6"/>
        <v>Normal</v>
      </c>
    </row>
    <row r="52" spans="1:15" x14ac:dyDescent="0.3">
      <c r="A52" s="22" t="s">
        <v>231</v>
      </c>
      <c r="B52" t="str">
        <f t="shared" si="0"/>
        <v>Joseph Varghese</v>
      </c>
      <c r="C52" t="str">
        <f t="shared" si="1"/>
        <v>Sales</v>
      </c>
      <c r="D52" s="30" t="str">
        <f t="shared" si="2"/>
        <v>Active</v>
      </c>
      <c r="E52" s="22">
        <v>250</v>
      </c>
      <c r="F52" s="22">
        <v>17</v>
      </c>
      <c r="G52" s="22">
        <v>0</v>
      </c>
      <c r="H52" s="22">
        <v>11</v>
      </c>
      <c r="I52" s="22">
        <f t="shared" si="3"/>
        <v>28</v>
      </c>
      <c r="J52" s="22">
        <f t="shared" si="4"/>
        <v>222</v>
      </c>
      <c r="K52" s="26">
        <f t="shared" si="5"/>
        <v>0.88800000000000001</v>
      </c>
      <c r="L52" s="22">
        <v>68</v>
      </c>
      <c r="M52" s="22">
        <v>8</v>
      </c>
      <c r="N52" s="22">
        <v>33</v>
      </c>
      <c r="O52" s="22" t="str">
        <f t="shared" si="6"/>
        <v>High Unplanned</v>
      </c>
    </row>
    <row r="53" spans="1:15" x14ac:dyDescent="0.3">
      <c r="A53" s="22" t="s">
        <v>332</v>
      </c>
      <c r="B53" t="str">
        <f t="shared" si="0"/>
        <v>Siddharth Mehta</v>
      </c>
      <c r="C53" t="str">
        <f t="shared" si="1"/>
        <v>Engineering</v>
      </c>
      <c r="D53" s="30" t="str">
        <f t="shared" si="2"/>
        <v>Exited</v>
      </c>
      <c r="E53" s="22">
        <v>63</v>
      </c>
      <c r="F53" s="22">
        <v>6</v>
      </c>
      <c r="G53" s="22">
        <v>4</v>
      </c>
      <c r="H53" s="22">
        <v>5</v>
      </c>
      <c r="I53" s="22">
        <f t="shared" si="3"/>
        <v>15</v>
      </c>
      <c r="J53" s="22">
        <f t="shared" si="4"/>
        <v>48</v>
      </c>
      <c r="K53" s="26">
        <f t="shared" si="5"/>
        <v>0.76190476190476186</v>
      </c>
      <c r="L53" s="22">
        <v>47</v>
      </c>
      <c r="M53" s="22">
        <v>11</v>
      </c>
      <c r="N53" s="22">
        <v>34</v>
      </c>
      <c r="O53" s="22" t="str">
        <f t="shared" si="6"/>
        <v>Low Attendance</v>
      </c>
    </row>
    <row r="54" spans="1:15" x14ac:dyDescent="0.3">
      <c r="A54" s="22" t="s">
        <v>335</v>
      </c>
      <c r="B54" t="str">
        <f t="shared" si="0"/>
        <v>Dev Jain</v>
      </c>
      <c r="C54" t="str">
        <f t="shared" si="1"/>
        <v>Sales</v>
      </c>
      <c r="D54" s="30" t="str">
        <f t="shared" si="2"/>
        <v>Active</v>
      </c>
      <c r="E54" s="22">
        <v>250</v>
      </c>
      <c r="F54" s="22">
        <v>14</v>
      </c>
      <c r="G54" s="22">
        <v>1</v>
      </c>
      <c r="H54" s="22">
        <v>0</v>
      </c>
      <c r="I54" s="22">
        <f t="shared" si="3"/>
        <v>15</v>
      </c>
      <c r="J54" s="22">
        <f t="shared" si="4"/>
        <v>235</v>
      </c>
      <c r="K54" s="26">
        <f t="shared" si="5"/>
        <v>0.94</v>
      </c>
      <c r="L54" s="22">
        <v>15</v>
      </c>
      <c r="M54" s="22">
        <v>8</v>
      </c>
      <c r="N54" s="22">
        <v>15</v>
      </c>
      <c r="O54" s="22" t="str">
        <f t="shared" si="6"/>
        <v>Normal</v>
      </c>
    </row>
    <row r="55" spans="1:15" x14ac:dyDescent="0.3">
      <c r="A55" s="22" t="s">
        <v>340</v>
      </c>
      <c r="B55" t="str">
        <f t="shared" si="0"/>
        <v>Ritu Patel</v>
      </c>
      <c r="C55" t="str">
        <f t="shared" si="1"/>
        <v>Operations</v>
      </c>
      <c r="D55" s="30" t="str">
        <f t="shared" si="2"/>
        <v>Active</v>
      </c>
      <c r="E55" s="22">
        <v>250</v>
      </c>
      <c r="F55" s="22">
        <v>10</v>
      </c>
      <c r="G55" s="22">
        <v>0</v>
      </c>
      <c r="H55" s="22">
        <v>2</v>
      </c>
      <c r="I55" s="22">
        <f t="shared" si="3"/>
        <v>12</v>
      </c>
      <c r="J55" s="22">
        <f t="shared" si="4"/>
        <v>238</v>
      </c>
      <c r="K55" s="26">
        <f t="shared" si="5"/>
        <v>0.95199999999999996</v>
      </c>
      <c r="L55" s="22">
        <v>8</v>
      </c>
      <c r="M55" s="22">
        <v>14</v>
      </c>
      <c r="N55" s="22">
        <v>17</v>
      </c>
      <c r="O55" s="22" t="str">
        <f t="shared" si="6"/>
        <v>Normal</v>
      </c>
    </row>
    <row r="56" spans="1:15" x14ac:dyDescent="0.3">
      <c r="A56" s="22" t="s">
        <v>343</v>
      </c>
      <c r="B56" t="str">
        <f t="shared" si="0"/>
        <v>Sachin Iyer</v>
      </c>
      <c r="C56" t="str">
        <f t="shared" si="1"/>
        <v>Customer Support</v>
      </c>
      <c r="D56" s="30" t="str">
        <f t="shared" si="2"/>
        <v>Active</v>
      </c>
      <c r="E56" s="22">
        <v>250</v>
      </c>
      <c r="F56" s="22">
        <v>10</v>
      </c>
      <c r="G56" s="22">
        <v>0</v>
      </c>
      <c r="H56" s="22">
        <v>2</v>
      </c>
      <c r="I56" s="22">
        <f t="shared" si="3"/>
        <v>12</v>
      </c>
      <c r="J56" s="22">
        <f t="shared" si="4"/>
        <v>238</v>
      </c>
      <c r="K56" s="26">
        <f t="shared" si="5"/>
        <v>0.95199999999999996</v>
      </c>
      <c r="L56" s="22">
        <v>7</v>
      </c>
      <c r="M56" s="22">
        <v>13</v>
      </c>
      <c r="N56" s="22">
        <v>26</v>
      </c>
      <c r="O56" s="22" t="str">
        <f t="shared" si="6"/>
        <v>Normal</v>
      </c>
    </row>
    <row r="57" spans="1:15" x14ac:dyDescent="0.3">
      <c r="A57" s="22" t="s">
        <v>346</v>
      </c>
      <c r="B57" t="str">
        <f t="shared" si="0"/>
        <v>Pallavi Menon</v>
      </c>
      <c r="C57" t="str">
        <f t="shared" si="1"/>
        <v>Engineering</v>
      </c>
      <c r="D57" s="30" t="str">
        <f t="shared" si="2"/>
        <v>Active</v>
      </c>
      <c r="E57" s="22">
        <v>250</v>
      </c>
      <c r="F57" s="22">
        <v>14</v>
      </c>
      <c r="G57" s="22">
        <v>1</v>
      </c>
      <c r="H57" s="22">
        <v>0</v>
      </c>
      <c r="I57" s="22">
        <f t="shared" si="3"/>
        <v>15</v>
      </c>
      <c r="J57" s="22">
        <f t="shared" si="4"/>
        <v>235</v>
      </c>
      <c r="K57" s="26">
        <f t="shared" si="5"/>
        <v>0.94</v>
      </c>
      <c r="L57" s="22">
        <v>54</v>
      </c>
      <c r="M57" s="22">
        <v>10</v>
      </c>
      <c r="N57" s="22">
        <v>77</v>
      </c>
      <c r="O57" s="22" t="str">
        <f t="shared" si="6"/>
        <v>Normal</v>
      </c>
    </row>
    <row r="58" spans="1:15" x14ac:dyDescent="0.3">
      <c r="A58" s="22" t="s">
        <v>351</v>
      </c>
      <c r="B58" t="str">
        <f t="shared" si="0"/>
        <v>Imran Jain</v>
      </c>
      <c r="C58" t="str">
        <f t="shared" si="1"/>
        <v>Engineering</v>
      </c>
      <c r="D58" s="30" t="str">
        <f t="shared" si="2"/>
        <v>Active</v>
      </c>
      <c r="E58" s="22">
        <v>250</v>
      </c>
      <c r="F58" s="22">
        <v>11</v>
      </c>
      <c r="G58" s="22">
        <v>5</v>
      </c>
      <c r="H58" s="22">
        <v>0</v>
      </c>
      <c r="I58" s="22">
        <f t="shared" si="3"/>
        <v>16</v>
      </c>
      <c r="J58" s="22">
        <f t="shared" si="4"/>
        <v>234</v>
      </c>
      <c r="K58" s="26">
        <f t="shared" si="5"/>
        <v>0.93600000000000005</v>
      </c>
      <c r="L58" s="22">
        <v>80</v>
      </c>
      <c r="M58" s="22">
        <v>4</v>
      </c>
      <c r="N58" s="22">
        <v>92</v>
      </c>
      <c r="O58" s="22" t="str">
        <f t="shared" si="6"/>
        <v>Normal</v>
      </c>
    </row>
    <row r="59" spans="1:15" x14ac:dyDescent="0.3">
      <c r="A59" s="22" t="s">
        <v>354</v>
      </c>
      <c r="B59" t="str">
        <f t="shared" si="0"/>
        <v>Amit Gupta</v>
      </c>
      <c r="C59" t="str">
        <f t="shared" si="1"/>
        <v>Engineering</v>
      </c>
      <c r="D59" s="30" t="str">
        <f t="shared" si="2"/>
        <v>Active</v>
      </c>
      <c r="E59" s="22">
        <v>250</v>
      </c>
      <c r="F59" s="22">
        <v>8</v>
      </c>
      <c r="G59" s="22">
        <v>6</v>
      </c>
      <c r="H59" s="22">
        <v>5</v>
      </c>
      <c r="I59" s="22">
        <f t="shared" si="3"/>
        <v>19</v>
      </c>
      <c r="J59" s="22">
        <f t="shared" si="4"/>
        <v>231</v>
      </c>
      <c r="K59" s="26">
        <f t="shared" si="5"/>
        <v>0.92400000000000004</v>
      </c>
      <c r="L59" s="22">
        <v>47</v>
      </c>
      <c r="M59" s="22">
        <v>5</v>
      </c>
      <c r="N59" s="22">
        <v>7</v>
      </c>
      <c r="O59" s="22" t="str">
        <f t="shared" si="6"/>
        <v>Normal</v>
      </c>
    </row>
    <row r="60" spans="1:15" x14ac:dyDescent="0.3">
      <c r="A60" s="22" t="s">
        <v>357</v>
      </c>
      <c r="B60" t="str">
        <f t="shared" si="0"/>
        <v>Fatima Kulkarni</v>
      </c>
      <c r="C60" t="str">
        <f t="shared" si="1"/>
        <v>Engineering</v>
      </c>
      <c r="D60" s="30" t="str">
        <f t="shared" si="2"/>
        <v>Exited</v>
      </c>
      <c r="E60" s="22">
        <v>100</v>
      </c>
      <c r="F60" s="22">
        <v>10</v>
      </c>
      <c r="G60" s="22">
        <v>0</v>
      </c>
      <c r="H60" s="22">
        <v>5</v>
      </c>
      <c r="I60" s="22">
        <f t="shared" si="3"/>
        <v>15</v>
      </c>
      <c r="J60" s="22">
        <f t="shared" si="4"/>
        <v>85</v>
      </c>
      <c r="K60" s="26">
        <f t="shared" si="5"/>
        <v>0.85</v>
      </c>
      <c r="L60" s="22">
        <v>38</v>
      </c>
      <c r="M60" s="22">
        <v>11</v>
      </c>
      <c r="N60" s="22">
        <v>35</v>
      </c>
      <c r="O60" s="22" t="str">
        <f t="shared" si="6"/>
        <v>Low Attendance</v>
      </c>
    </row>
    <row r="61" spans="1:15" x14ac:dyDescent="0.3">
      <c r="A61" s="22" t="s">
        <v>314</v>
      </c>
      <c r="B61" t="str">
        <f t="shared" si="0"/>
        <v>Isha Jain</v>
      </c>
      <c r="C61" t="str">
        <f t="shared" si="1"/>
        <v>Engineering</v>
      </c>
      <c r="D61" s="30" t="str">
        <f t="shared" si="2"/>
        <v>Active</v>
      </c>
      <c r="E61" s="22">
        <v>250</v>
      </c>
      <c r="F61" s="22">
        <v>8</v>
      </c>
      <c r="G61" s="22">
        <v>4</v>
      </c>
      <c r="H61" s="22">
        <v>12</v>
      </c>
      <c r="I61" s="22">
        <f t="shared" si="3"/>
        <v>24</v>
      </c>
      <c r="J61" s="22">
        <f t="shared" si="4"/>
        <v>226</v>
      </c>
      <c r="K61" s="26">
        <f t="shared" si="5"/>
        <v>0.90400000000000003</v>
      </c>
      <c r="L61" s="22">
        <v>78</v>
      </c>
      <c r="M61" s="22">
        <v>10</v>
      </c>
      <c r="N61" s="22">
        <v>111</v>
      </c>
      <c r="O61" s="22" t="str">
        <f t="shared" si="6"/>
        <v>High Unplanned</v>
      </c>
    </row>
    <row r="62" spans="1:15" x14ac:dyDescent="0.3">
      <c r="A62" s="22" t="s">
        <v>363</v>
      </c>
      <c r="B62" t="str">
        <f t="shared" si="0"/>
        <v>Sowmya Mishra</v>
      </c>
      <c r="C62" t="str">
        <f t="shared" si="1"/>
        <v>Operations</v>
      </c>
      <c r="D62" s="30" t="str">
        <f t="shared" si="2"/>
        <v>Active</v>
      </c>
      <c r="E62" s="22">
        <v>250</v>
      </c>
      <c r="F62" s="22">
        <v>18</v>
      </c>
      <c r="G62" s="22">
        <v>1</v>
      </c>
      <c r="H62" s="22">
        <v>3</v>
      </c>
      <c r="I62" s="22">
        <f t="shared" si="3"/>
        <v>22</v>
      </c>
      <c r="J62" s="22">
        <f t="shared" si="4"/>
        <v>228</v>
      </c>
      <c r="K62" s="26">
        <f t="shared" si="5"/>
        <v>0.91200000000000003</v>
      </c>
      <c r="L62" s="22">
        <v>22</v>
      </c>
      <c r="M62" s="22">
        <v>6</v>
      </c>
      <c r="N62" s="22">
        <v>83</v>
      </c>
      <c r="O62" s="22" t="str">
        <f t="shared" si="6"/>
        <v>Normal</v>
      </c>
    </row>
    <row r="63" spans="1:15" x14ac:dyDescent="0.3">
      <c r="A63" s="22" t="s">
        <v>366</v>
      </c>
      <c r="B63" t="str">
        <f t="shared" si="0"/>
        <v>Mohit Kapoor</v>
      </c>
      <c r="C63" t="str">
        <f t="shared" si="1"/>
        <v>Engineering</v>
      </c>
      <c r="D63" s="30" t="str">
        <f t="shared" si="2"/>
        <v>Active</v>
      </c>
      <c r="E63" s="22">
        <v>250</v>
      </c>
      <c r="F63" s="22">
        <v>10</v>
      </c>
      <c r="G63" s="22">
        <v>8</v>
      </c>
      <c r="H63" s="22">
        <v>1</v>
      </c>
      <c r="I63" s="22">
        <f t="shared" si="3"/>
        <v>19</v>
      </c>
      <c r="J63" s="22">
        <f t="shared" si="4"/>
        <v>231</v>
      </c>
      <c r="K63" s="26">
        <f t="shared" si="5"/>
        <v>0.92400000000000004</v>
      </c>
      <c r="L63" s="22">
        <v>66</v>
      </c>
      <c r="M63" s="22">
        <v>3</v>
      </c>
      <c r="N63" s="22">
        <v>41</v>
      </c>
      <c r="O63" s="22" t="str">
        <f t="shared" si="6"/>
        <v>Normal</v>
      </c>
    </row>
    <row r="64" spans="1:15" x14ac:dyDescent="0.3">
      <c r="A64" s="22" t="s">
        <v>369</v>
      </c>
      <c r="B64" t="str">
        <f t="shared" si="0"/>
        <v>Akash Mukherjee</v>
      </c>
      <c r="C64" t="str">
        <f t="shared" si="1"/>
        <v>Engineering</v>
      </c>
      <c r="D64" s="30" t="str">
        <f t="shared" si="2"/>
        <v>Exited</v>
      </c>
      <c r="E64" s="22">
        <v>165</v>
      </c>
      <c r="F64" s="22">
        <v>10</v>
      </c>
      <c r="G64" s="22">
        <v>3</v>
      </c>
      <c r="H64" s="22">
        <v>2</v>
      </c>
      <c r="I64" s="22">
        <f t="shared" si="3"/>
        <v>15</v>
      </c>
      <c r="J64" s="22">
        <f t="shared" si="4"/>
        <v>150</v>
      </c>
      <c r="K64" s="26">
        <f t="shared" si="5"/>
        <v>0.90909090909090906</v>
      </c>
      <c r="L64" s="22">
        <v>60</v>
      </c>
      <c r="M64" s="22">
        <v>2</v>
      </c>
      <c r="N64" s="22">
        <v>57</v>
      </c>
      <c r="O64" s="22" t="str">
        <f t="shared" si="6"/>
        <v>Normal</v>
      </c>
    </row>
    <row r="65" spans="1:15" x14ac:dyDescent="0.3">
      <c r="A65" s="22" t="s">
        <v>372</v>
      </c>
      <c r="B65" t="str">
        <f t="shared" si="0"/>
        <v>Swathi Bose</v>
      </c>
      <c r="C65" t="str">
        <f t="shared" si="1"/>
        <v>Engineering</v>
      </c>
      <c r="D65" s="30" t="str">
        <f t="shared" si="2"/>
        <v>Active</v>
      </c>
      <c r="E65" s="22">
        <v>250</v>
      </c>
      <c r="F65" s="22">
        <v>9</v>
      </c>
      <c r="G65" s="22">
        <v>6</v>
      </c>
      <c r="H65" s="22">
        <v>1</v>
      </c>
      <c r="I65" s="22">
        <f t="shared" si="3"/>
        <v>16</v>
      </c>
      <c r="J65" s="22">
        <f t="shared" si="4"/>
        <v>234</v>
      </c>
      <c r="K65" s="26">
        <f t="shared" si="5"/>
        <v>0.93600000000000005</v>
      </c>
      <c r="L65" s="22">
        <v>71</v>
      </c>
      <c r="M65" s="22">
        <v>1</v>
      </c>
      <c r="N65" s="22">
        <v>63</v>
      </c>
      <c r="O65" s="22" t="str">
        <f t="shared" si="6"/>
        <v>Normal</v>
      </c>
    </row>
    <row r="66" spans="1:15" x14ac:dyDescent="0.3">
      <c r="A66" s="22" t="s">
        <v>375</v>
      </c>
      <c r="B66" t="str">
        <f t="shared" ref="B66:B129" si="7">INDEX(M_Name,MATCH($A66,M_ID,0))</f>
        <v>Rohit Iyer</v>
      </c>
      <c r="C66" t="str">
        <f t="shared" ref="C66:C129" si="8">INDEX(M_Dept,MATCH($A66,M_ID,0))</f>
        <v>Operations</v>
      </c>
      <c r="D66" s="30" t="str">
        <f t="shared" ref="D66:D129" si="9">INDEX(M_Status,MATCH($A66,M_ID,0))</f>
        <v>Active</v>
      </c>
      <c r="E66" s="22">
        <v>250</v>
      </c>
      <c r="F66" s="22">
        <v>8</v>
      </c>
      <c r="G66" s="22">
        <v>7</v>
      </c>
      <c r="H66" s="22">
        <v>0</v>
      </c>
      <c r="I66" s="22">
        <f t="shared" ref="I66:I129" si="10">SUM(F66:H66)</f>
        <v>15</v>
      </c>
      <c r="J66" s="22">
        <f t="shared" ref="J66:J129" si="11">E66-I66</f>
        <v>235</v>
      </c>
      <c r="K66" s="26">
        <f t="shared" ref="K66:K129" si="12">IFERROR(J66/E66,0)</f>
        <v>0.94</v>
      </c>
      <c r="L66" s="22">
        <v>5</v>
      </c>
      <c r="M66" s="22">
        <v>3</v>
      </c>
      <c r="N66" s="22">
        <v>72</v>
      </c>
      <c r="O66" s="22" t="str">
        <f t="shared" ref="O66:O129" si="13">IF(H66&gt;=8,"High Unplanned",IF(K66&lt;0.9,"Low Attendance","Normal"))</f>
        <v>Normal</v>
      </c>
    </row>
    <row r="67" spans="1:15" x14ac:dyDescent="0.3">
      <c r="A67" s="22" t="s">
        <v>380</v>
      </c>
      <c r="B67" t="str">
        <f t="shared" si="7"/>
        <v>Ajay Joshi</v>
      </c>
      <c r="C67" t="str">
        <f t="shared" si="8"/>
        <v>Operations</v>
      </c>
      <c r="D67" s="30" t="str">
        <f t="shared" si="9"/>
        <v>Active</v>
      </c>
      <c r="E67" s="22">
        <v>250</v>
      </c>
      <c r="F67" s="22">
        <v>13</v>
      </c>
      <c r="G67" s="22">
        <v>2</v>
      </c>
      <c r="H67" s="22">
        <v>4</v>
      </c>
      <c r="I67" s="22">
        <f t="shared" si="10"/>
        <v>19</v>
      </c>
      <c r="J67" s="22">
        <f t="shared" si="11"/>
        <v>231</v>
      </c>
      <c r="K67" s="26">
        <f t="shared" si="12"/>
        <v>0.92400000000000004</v>
      </c>
      <c r="L67" s="22">
        <v>9</v>
      </c>
      <c r="M67" s="22">
        <v>2</v>
      </c>
      <c r="N67" s="22">
        <v>113</v>
      </c>
      <c r="O67" s="22" t="str">
        <f t="shared" si="13"/>
        <v>Normal</v>
      </c>
    </row>
    <row r="68" spans="1:15" x14ac:dyDescent="0.3">
      <c r="A68" s="22" t="s">
        <v>271</v>
      </c>
      <c r="B68" t="str">
        <f t="shared" si="7"/>
        <v>Akash Bansal</v>
      </c>
      <c r="C68" t="str">
        <f t="shared" si="8"/>
        <v>Sales</v>
      </c>
      <c r="D68" s="30" t="str">
        <f t="shared" si="9"/>
        <v>Active</v>
      </c>
      <c r="E68" s="22">
        <v>250</v>
      </c>
      <c r="F68" s="22">
        <v>8</v>
      </c>
      <c r="G68" s="22">
        <v>6</v>
      </c>
      <c r="H68" s="22">
        <v>3</v>
      </c>
      <c r="I68" s="22">
        <f t="shared" si="10"/>
        <v>17</v>
      </c>
      <c r="J68" s="22">
        <f t="shared" si="11"/>
        <v>233</v>
      </c>
      <c r="K68" s="26">
        <f t="shared" si="12"/>
        <v>0.93200000000000005</v>
      </c>
      <c r="L68" s="22">
        <v>34</v>
      </c>
      <c r="M68" s="22">
        <v>1</v>
      </c>
      <c r="N68" s="22">
        <v>9</v>
      </c>
      <c r="O68" s="22" t="str">
        <f t="shared" si="13"/>
        <v>Normal</v>
      </c>
    </row>
    <row r="69" spans="1:15" x14ac:dyDescent="0.3">
      <c r="A69" s="22" t="s">
        <v>387</v>
      </c>
      <c r="B69" t="str">
        <f t="shared" si="7"/>
        <v>Pooja Mehta</v>
      </c>
      <c r="C69" t="str">
        <f t="shared" si="8"/>
        <v>Customer Support</v>
      </c>
      <c r="D69" s="30" t="str">
        <f t="shared" si="9"/>
        <v>Active</v>
      </c>
      <c r="E69" s="22">
        <v>250</v>
      </c>
      <c r="F69" s="22">
        <v>7</v>
      </c>
      <c r="G69" s="22">
        <v>6</v>
      </c>
      <c r="H69" s="22">
        <v>1</v>
      </c>
      <c r="I69" s="22">
        <f t="shared" si="10"/>
        <v>14</v>
      </c>
      <c r="J69" s="22">
        <f t="shared" si="11"/>
        <v>236</v>
      </c>
      <c r="K69" s="26">
        <f t="shared" si="12"/>
        <v>0.94399999999999995</v>
      </c>
      <c r="L69" s="22">
        <v>20</v>
      </c>
      <c r="M69" s="22">
        <v>6</v>
      </c>
      <c r="N69" s="22">
        <v>12</v>
      </c>
      <c r="O69" s="22" t="str">
        <f t="shared" si="13"/>
        <v>Normal</v>
      </c>
    </row>
    <row r="70" spans="1:15" x14ac:dyDescent="0.3">
      <c r="A70" s="22" t="s">
        <v>176</v>
      </c>
      <c r="B70" t="str">
        <f t="shared" si="7"/>
        <v>Akash Dsouza</v>
      </c>
      <c r="C70" t="str">
        <f t="shared" si="8"/>
        <v>Customer Support</v>
      </c>
      <c r="D70" s="30" t="str">
        <f t="shared" si="9"/>
        <v>Active</v>
      </c>
      <c r="E70" s="22">
        <v>250</v>
      </c>
      <c r="F70" s="22">
        <v>17</v>
      </c>
      <c r="G70" s="22">
        <v>8</v>
      </c>
      <c r="H70" s="22">
        <v>0</v>
      </c>
      <c r="I70" s="22">
        <f t="shared" si="10"/>
        <v>25</v>
      </c>
      <c r="J70" s="22">
        <f t="shared" si="11"/>
        <v>225</v>
      </c>
      <c r="K70" s="26">
        <f t="shared" si="12"/>
        <v>0.9</v>
      </c>
      <c r="L70" s="22">
        <v>24</v>
      </c>
      <c r="M70" s="22">
        <v>12</v>
      </c>
      <c r="N70" s="22">
        <v>1</v>
      </c>
      <c r="O70" s="22" t="str">
        <f t="shared" si="13"/>
        <v>Normal</v>
      </c>
    </row>
    <row r="71" spans="1:15" x14ac:dyDescent="0.3">
      <c r="A71" s="22" t="s">
        <v>394</v>
      </c>
      <c r="B71" t="str">
        <f t="shared" si="7"/>
        <v>Naveen Mehta</v>
      </c>
      <c r="C71" t="str">
        <f t="shared" si="8"/>
        <v>Data &amp; Analytics</v>
      </c>
      <c r="D71" s="30" t="str">
        <f t="shared" si="9"/>
        <v>Exited</v>
      </c>
      <c r="E71" s="22">
        <v>88</v>
      </c>
      <c r="F71" s="22">
        <v>8</v>
      </c>
      <c r="G71" s="22">
        <v>1</v>
      </c>
      <c r="H71" s="22">
        <v>1</v>
      </c>
      <c r="I71" s="22">
        <f t="shared" si="10"/>
        <v>10</v>
      </c>
      <c r="J71" s="22">
        <f t="shared" si="11"/>
        <v>78</v>
      </c>
      <c r="K71" s="26">
        <f t="shared" si="12"/>
        <v>0.88636363636363635</v>
      </c>
      <c r="L71" s="22">
        <v>12</v>
      </c>
      <c r="M71" s="22">
        <v>1</v>
      </c>
      <c r="N71" s="22">
        <v>0</v>
      </c>
      <c r="O71" s="22" t="str">
        <f t="shared" si="13"/>
        <v>Low Attendance</v>
      </c>
    </row>
    <row r="72" spans="1:15" x14ac:dyDescent="0.3">
      <c r="A72" s="22" t="s">
        <v>397</v>
      </c>
      <c r="B72" t="str">
        <f t="shared" si="7"/>
        <v>Varsha Siddiqui</v>
      </c>
      <c r="C72" t="str">
        <f t="shared" si="8"/>
        <v>Engineering</v>
      </c>
      <c r="D72" s="30" t="str">
        <f t="shared" si="9"/>
        <v>Active</v>
      </c>
      <c r="E72" s="22">
        <v>250</v>
      </c>
      <c r="F72" s="22">
        <v>18</v>
      </c>
      <c r="G72" s="22">
        <v>0</v>
      </c>
      <c r="H72" s="22">
        <v>0</v>
      </c>
      <c r="I72" s="22">
        <f t="shared" si="10"/>
        <v>18</v>
      </c>
      <c r="J72" s="22">
        <f t="shared" si="11"/>
        <v>232</v>
      </c>
      <c r="K72" s="26">
        <f t="shared" si="12"/>
        <v>0.92800000000000005</v>
      </c>
      <c r="L72" s="22">
        <v>20</v>
      </c>
      <c r="M72" s="22">
        <v>4</v>
      </c>
      <c r="N72" s="22">
        <v>18</v>
      </c>
      <c r="O72" s="22" t="str">
        <f t="shared" si="13"/>
        <v>Normal</v>
      </c>
    </row>
    <row r="73" spans="1:15" x14ac:dyDescent="0.3">
      <c r="A73" s="22" t="s">
        <v>402</v>
      </c>
      <c r="B73" t="str">
        <f t="shared" si="7"/>
        <v>Rajesh Shah</v>
      </c>
      <c r="C73" t="str">
        <f t="shared" si="8"/>
        <v>Marketing</v>
      </c>
      <c r="D73" s="30" t="str">
        <f t="shared" si="9"/>
        <v>Active</v>
      </c>
      <c r="E73" s="22">
        <v>250</v>
      </c>
      <c r="F73" s="22">
        <v>16</v>
      </c>
      <c r="G73" s="22">
        <v>0</v>
      </c>
      <c r="H73" s="22">
        <v>3</v>
      </c>
      <c r="I73" s="22">
        <f t="shared" si="10"/>
        <v>19</v>
      </c>
      <c r="J73" s="22">
        <f t="shared" si="11"/>
        <v>231</v>
      </c>
      <c r="K73" s="26">
        <f t="shared" si="12"/>
        <v>0.92400000000000004</v>
      </c>
      <c r="L73" s="22">
        <v>11</v>
      </c>
      <c r="M73" s="22">
        <v>12</v>
      </c>
      <c r="N73" s="22">
        <v>6</v>
      </c>
      <c r="O73" s="22" t="str">
        <f t="shared" si="13"/>
        <v>Normal</v>
      </c>
    </row>
    <row r="74" spans="1:15" x14ac:dyDescent="0.3">
      <c r="A74" s="22" t="s">
        <v>405</v>
      </c>
      <c r="B74" t="str">
        <f t="shared" si="7"/>
        <v>Vishal Ansari</v>
      </c>
      <c r="C74" t="str">
        <f t="shared" si="8"/>
        <v>Product</v>
      </c>
      <c r="D74" s="30" t="str">
        <f t="shared" si="9"/>
        <v>Active</v>
      </c>
      <c r="E74" s="22">
        <v>250</v>
      </c>
      <c r="F74" s="22">
        <v>14</v>
      </c>
      <c r="G74" s="22">
        <v>5</v>
      </c>
      <c r="H74" s="22">
        <v>5</v>
      </c>
      <c r="I74" s="22">
        <f t="shared" si="10"/>
        <v>24</v>
      </c>
      <c r="J74" s="22">
        <f t="shared" si="11"/>
        <v>226</v>
      </c>
      <c r="K74" s="26">
        <f t="shared" si="12"/>
        <v>0.90400000000000003</v>
      </c>
      <c r="L74" s="22">
        <v>20</v>
      </c>
      <c r="M74" s="22">
        <v>3</v>
      </c>
      <c r="N74" s="22">
        <v>8</v>
      </c>
      <c r="O74" s="22" t="str">
        <f t="shared" si="13"/>
        <v>Normal</v>
      </c>
    </row>
    <row r="75" spans="1:15" x14ac:dyDescent="0.3">
      <c r="A75" s="22" t="s">
        <v>409</v>
      </c>
      <c r="B75" t="str">
        <f t="shared" si="7"/>
        <v>Mansi Reddy</v>
      </c>
      <c r="C75" t="str">
        <f t="shared" si="8"/>
        <v>Sales</v>
      </c>
      <c r="D75" s="30" t="str">
        <f t="shared" si="9"/>
        <v>Active</v>
      </c>
      <c r="E75" s="22">
        <v>250</v>
      </c>
      <c r="F75" s="22">
        <v>13</v>
      </c>
      <c r="G75" s="22">
        <v>7</v>
      </c>
      <c r="H75" s="22">
        <v>9</v>
      </c>
      <c r="I75" s="22">
        <f t="shared" si="10"/>
        <v>29</v>
      </c>
      <c r="J75" s="22">
        <f t="shared" si="11"/>
        <v>221</v>
      </c>
      <c r="K75" s="26">
        <f t="shared" si="12"/>
        <v>0.88400000000000001</v>
      </c>
      <c r="L75" s="22">
        <v>52</v>
      </c>
      <c r="M75" s="22">
        <v>7</v>
      </c>
      <c r="N75" s="22">
        <v>9</v>
      </c>
      <c r="O75" s="22" t="str">
        <f t="shared" si="13"/>
        <v>High Unplanned</v>
      </c>
    </row>
    <row r="76" spans="1:15" x14ac:dyDescent="0.3">
      <c r="A76" s="22" t="s">
        <v>412</v>
      </c>
      <c r="B76" t="str">
        <f t="shared" si="7"/>
        <v>Sandeep Gupta</v>
      </c>
      <c r="C76" t="str">
        <f t="shared" si="8"/>
        <v>Operations</v>
      </c>
      <c r="D76" s="30" t="str">
        <f t="shared" si="9"/>
        <v>Active</v>
      </c>
      <c r="E76" s="22">
        <v>250</v>
      </c>
      <c r="F76" s="22">
        <v>9</v>
      </c>
      <c r="G76" s="22">
        <v>0</v>
      </c>
      <c r="H76" s="22">
        <v>2</v>
      </c>
      <c r="I76" s="22">
        <f t="shared" si="10"/>
        <v>11</v>
      </c>
      <c r="J76" s="22">
        <f t="shared" si="11"/>
        <v>239</v>
      </c>
      <c r="K76" s="26">
        <f t="shared" si="12"/>
        <v>0.95599999999999996</v>
      </c>
      <c r="L76" s="22">
        <v>8</v>
      </c>
      <c r="M76" s="22">
        <v>10</v>
      </c>
      <c r="N76" s="22">
        <v>69</v>
      </c>
      <c r="O76" s="22" t="str">
        <f t="shared" si="13"/>
        <v>Normal</v>
      </c>
    </row>
    <row r="77" spans="1:15" x14ac:dyDescent="0.3">
      <c r="A77" s="22" t="s">
        <v>417</v>
      </c>
      <c r="B77" t="str">
        <f t="shared" si="7"/>
        <v>Sneha Hegde</v>
      </c>
      <c r="C77" t="str">
        <f t="shared" si="8"/>
        <v>Engineering</v>
      </c>
      <c r="D77" s="30" t="str">
        <f t="shared" si="9"/>
        <v>Active</v>
      </c>
      <c r="E77" s="22">
        <v>250</v>
      </c>
      <c r="F77" s="22">
        <v>7</v>
      </c>
      <c r="G77" s="22">
        <v>0</v>
      </c>
      <c r="H77" s="22">
        <v>5</v>
      </c>
      <c r="I77" s="22">
        <f t="shared" si="10"/>
        <v>12</v>
      </c>
      <c r="J77" s="22">
        <f t="shared" si="11"/>
        <v>238</v>
      </c>
      <c r="K77" s="26">
        <f t="shared" si="12"/>
        <v>0.95199999999999996</v>
      </c>
      <c r="L77" s="22">
        <v>23</v>
      </c>
      <c r="M77" s="22">
        <v>8</v>
      </c>
      <c r="N77" s="22">
        <v>37</v>
      </c>
      <c r="O77" s="22" t="str">
        <f t="shared" si="13"/>
        <v>Normal</v>
      </c>
    </row>
    <row r="78" spans="1:15" x14ac:dyDescent="0.3">
      <c r="A78" s="22" t="s">
        <v>420</v>
      </c>
      <c r="B78" t="str">
        <f t="shared" si="7"/>
        <v>Kiran Chatterjee</v>
      </c>
      <c r="C78" t="str">
        <f t="shared" si="8"/>
        <v>Operations</v>
      </c>
      <c r="D78" s="30" t="str">
        <f t="shared" si="9"/>
        <v>Active</v>
      </c>
      <c r="E78" s="22">
        <v>250</v>
      </c>
      <c r="F78" s="22">
        <v>7</v>
      </c>
      <c r="G78" s="22">
        <v>8</v>
      </c>
      <c r="H78" s="22">
        <v>5</v>
      </c>
      <c r="I78" s="22">
        <f t="shared" si="10"/>
        <v>20</v>
      </c>
      <c r="J78" s="22">
        <f t="shared" si="11"/>
        <v>230</v>
      </c>
      <c r="K78" s="26">
        <f t="shared" si="12"/>
        <v>0.92</v>
      </c>
      <c r="L78" s="22">
        <v>13</v>
      </c>
      <c r="M78" s="22">
        <v>2</v>
      </c>
      <c r="N78" s="22">
        <v>0</v>
      </c>
      <c r="O78" s="22" t="str">
        <f t="shared" si="13"/>
        <v>Normal</v>
      </c>
    </row>
    <row r="79" spans="1:15" x14ac:dyDescent="0.3">
      <c r="A79" s="22" t="s">
        <v>423</v>
      </c>
      <c r="B79" t="str">
        <f t="shared" si="7"/>
        <v>Aishwarya Joshi</v>
      </c>
      <c r="C79" t="str">
        <f t="shared" si="8"/>
        <v>Finance</v>
      </c>
      <c r="D79" s="30" t="str">
        <f t="shared" si="9"/>
        <v>Active</v>
      </c>
      <c r="E79" s="22">
        <v>250</v>
      </c>
      <c r="F79" s="22">
        <v>20</v>
      </c>
      <c r="G79" s="22">
        <v>3</v>
      </c>
      <c r="H79" s="22">
        <v>0</v>
      </c>
      <c r="I79" s="22">
        <f t="shared" si="10"/>
        <v>23</v>
      </c>
      <c r="J79" s="22">
        <f t="shared" si="11"/>
        <v>227</v>
      </c>
      <c r="K79" s="26">
        <f t="shared" si="12"/>
        <v>0.90800000000000003</v>
      </c>
      <c r="L79" s="22">
        <v>64</v>
      </c>
      <c r="M79" s="22">
        <v>6</v>
      </c>
      <c r="N79" s="22">
        <v>9</v>
      </c>
      <c r="O79" s="22" t="str">
        <f t="shared" si="13"/>
        <v>Normal</v>
      </c>
    </row>
    <row r="80" spans="1:15" x14ac:dyDescent="0.3">
      <c r="A80" s="22" t="s">
        <v>427</v>
      </c>
      <c r="B80" t="str">
        <f t="shared" si="7"/>
        <v>Sindhu Das</v>
      </c>
      <c r="C80" t="str">
        <f t="shared" si="8"/>
        <v>Marketing</v>
      </c>
      <c r="D80" s="30" t="str">
        <f t="shared" si="9"/>
        <v>Active</v>
      </c>
      <c r="E80" s="22">
        <v>250</v>
      </c>
      <c r="F80" s="22">
        <v>11</v>
      </c>
      <c r="G80" s="22">
        <v>4</v>
      </c>
      <c r="H80" s="22">
        <v>1</v>
      </c>
      <c r="I80" s="22">
        <f t="shared" si="10"/>
        <v>16</v>
      </c>
      <c r="J80" s="22">
        <f t="shared" si="11"/>
        <v>234</v>
      </c>
      <c r="K80" s="26">
        <f t="shared" si="12"/>
        <v>0.93600000000000005</v>
      </c>
      <c r="L80" s="22">
        <v>59</v>
      </c>
      <c r="M80" s="22">
        <v>10</v>
      </c>
      <c r="N80" s="22">
        <v>7</v>
      </c>
      <c r="O80" s="22" t="str">
        <f t="shared" si="13"/>
        <v>Normal</v>
      </c>
    </row>
    <row r="81" spans="1:15" x14ac:dyDescent="0.3">
      <c r="A81" s="22" t="s">
        <v>430</v>
      </c>
      <c r="B81" t="str">
        <f t="shared" si="7"/>
        <v>Nandini Shetty</v>
      </c>
      <c r="C81" t="str">
        <f t="shared" si="8"/>
        <v>Data &amp; Analytics</v>
      </c>
      <c r="D81" s="30" t="str">
        <f t="shared" si="9"/>
        <v>Active</v>
      </c>
      <c r="E81" s="22">
        <v>250</v>
      </c>
      <c r="F81" s="22">
        <v>13</v>
      </c>
      <c r="G81" s="22">
        <v>2</v>
      </c>
      <c r="H81" s="22">
        <v>12</v>
      </c>
      <c r="I81" s="22">
        <f t="shared" si="10"/>
        <v>27</v>
      </c>
      <c r="J81" s="22">
        <f t="shared" si="11"/>
        <v>223</v>
      </c>
      <c r="K81" s="26">
        <f t="shared" si="12"/>
        <v>0.89200000000000002</v>
      </c>
      <c r="L81" s="22">
        <v>38</v>
      </c>
      <c r="M81" s="22">
        <v>1</v>
      </c>
      <c r="N81" s="22">
        <v>18</v>
      </c>
      <c r="O81" s="22" t="str">
        <f t="shared" si="13"/>
        <v>High Unplanned</v>
      </c>
    </row>
    <row r="82" spans="1:15" x14ac:dyDescent="0.3">
      <c r="A82" s="22" t="s">
        <v>435</v>
      </c>
      <c r="B82" t="str">
        <f t="shared" si="7"/>
        <v>Deepak Thomas</v>
      </c>
      <c r="C82" t="str">
        <f t="shared" si="8"/>
        <v>Engineering</v>
      </c>
      <c r="D82" s="30" t="str">
        <f t="shared" si="9"/>
        <v>Active</v>
      </c>
      <c r="E82" s="22">
        <v>250</v>
      </c>
      <c r="F82" s="22">
        <v>11</v>
      </c>
      <c r="G82" s="22">
        <v>1</v>
      </c>
      <c r="H82" s="22">
        <v>2</v>
      </c>
      <c r="I82" s="22">
        <f t="shared" si="10"/>
        <v>14</v>
      </c>
      <c r="J82" s="22">
        <f t="shared" si="11"/>
        <v>236</v>
      </c>
      <c r="K82" s="26">
        <f t="shared" si="12"/>
        <v>0.94399999999999995</v>
      </c>
      <c r="L82" s="22">
        <v>25</v>
      </c>
      <c r="M82" s="22">
        <v>5</v>
      </c>
      <c r="N82" s="22">
        <v>118</v>
      </c>
      <c r="O82" s="22" t="str">
        <f t="shared" si="13"/>
        <v>Normal</v>
      </c>
    </row>
    <row r="83" spans="1:15" x14ac:dyDescent="0.3">
      <c r="A83" s="22" t="s">
        <v>438</v>
      </c>
      <c r="B83" t="str">
        <f t="shared" si="7"/>
        <v>Mansi Dsouza</v>
      </c>
      <c r="C83" t="str">
        <f t="shared" si="8"/>
        <v>Engineering</v>
      </c>
      <c r="D83" s="30" t="str">
        <f t="shared" si="9"/>
        <v>Active</v>
      </c>
      <c r="E83" s="22">
        <v>250</v>
      </c>
      <c r="F83" s="22">
        <v>20</v>
      </c>
      <c r="G83" s="22">
        <v>1</v>
      </c>
      <c r="H83" s="22">
        <v>5</v>
      </c>
      <c r="I83" s="22">
        <f t="shared" si="10"/>
        <v>26</v>
      </c>
      <c r="J83" s="22">
        <f t="shared" si="11"/>
        <v>224</v>
      </c>
      <c r="K83" s="26">
        <f t="shared" si="12"/>
        <v>0.89600000000000002</v>
      </c>
      <c r="L83" s="22">
        <v>87</v>
      </c>
      <c r="M83" s="22">
        <v>2</v>
      </c>
      <c r="N83" s="22">
        <v>22</v>
      </c>
      <c r="O83" s="22" t="str">
        <f t="shared" si="13"/>
        <v>Low Attendance</v>
      </c>
    </row>
    <row r="84" spans="1:15" x14ac:dyDescent="0.3">
      <c r="A84" s="22" t="s">
        <v>167</v>
      </c>
      <c r="B84" t="str">
        <f t="shared" si="7"/>
        <v>Akash Das</v>
      </c>
      <c r="C84" t="str">
        <f t="shared" si="8"/>
        <v>Human Resources</v>
      </c>
      <c r="D84" s="30" t="str">
        <f t="shared" si="9"/>
        <v>Active</v>
      </c>
      <c r="E84" s="22">
        <v>250</v>
      </c>
      <c r="F84" s="22">
        <v>12</v>
      </c>
      <c r="G84" s="22">
        <v>8</v>
      </c>
      <c r="H84" s="22">
        <v>1</v>
      </c>
      <c r="I84" s="22">
        <f t="shared" si="10"/>
        <v>21</v>
      </c>
      <c r="J84" s="22">
        <f t="shared" si="11"/>
        <v>229</v>
      </c>
      <c r="K84" s="26">
        <f t="shared" si="12"/>
        <v>0.91600000000000004</v>
      </c>
      <c r="L84" s="22">
        <v>33</v>
      </c>
      <c r="M84" s="22">
        <v>10</v>
      </c>
      <c r="N84" s="22">
        <v>27</v>
      </c>
      <c r="O84" s="22" t="str">
        <f t="shared" si="13"/>
        <v>Normal</v>
      </c>
    </row>
    <row r="85" spans="1:15" x14ac:dyDescent="0.3">
      <c r="A85" s="22" t="s">
        <v>286</v>
      </c>
      <c r="B85" t="str">
        <f t="shared" si="7"/>
        <v>Mansi Pillai</v>
      </c>
      <c r="C85" t="str">
        <f t="shared" si="8"/>
        <v>Product</v>
      </c>
      <c r="D85" s="30" t="str">
        <f t="shared" si="9"/>
        <v>Active</v>
      </c>
      <c r="E85" s="22">
        <v>250</v>
      </c>
      <c r="F85" s="22">
        <v>8</v>
      </c>
      <c r="G85" s="22">
        <v>4</v>
      </c>
      <c r="H85" s="22">
        <v>2</v>
      </c>
      <c r="I85" s="22">
        <f t="shared" si="10"/>
        <v>14</v>
      </c>
      <c r="J85" s="22">
        <f t="shared" si="11"/>
        <v>236</v>
      </c>
      <c r="K85" s="26">
        <f t="shared" si="12"/>
        <v>0.94399999999999995</v>
      </c>
      <c r="L85" s="22">
        <v>46</v>
      </c>
      <c r="M85" s="22">
        <v>5</v>
      </c>
      <c r="N85" s="22">
        <v>6</v>
      </c>
      <c r="O85" s="22" t="str">
        <f t="shared" si="13"/>
        <v>Normal</v>
      </c>
    </row>
    <row r="86" spans="1:15" x14ac:dyDescent="0.3">
      <c r="A86" s="22" t="s">
        <v>445</v>
      </c>
      <c r="B86" t="str">
        <f t="shared" si="7"/>
        <v>Rohan Menon</v>
      </c>
      <c r="C86" t="str">
        <f t="shared" si="8"/>
        <v>Operations</v>
      </c>
      <c r="D86" s="30" t="str">
        <f t="shared" si="9"/>
        <v>Active</v>
      </c>
      <c r="E86" s="22">
        <v>250</v>
      </c>
      <c r="F86" s="22">
        <v>10</v>
      </c>
      <c r="G86" s="22">
        <v>7</v>
      </c>
      <c r="H86" s="22">
        <v>7</v>
      </c>
      <c r="I86" s="22">
        <f t="shared" si="10"/>
        <v>24</v>
      </c>
      <c r="J86" s="22">
        <f t="shared" si="11"/>
        <v>226</v>
      </c>
      <c r="K86" s="26">
        <f t="shared" si="12"/>
        <v>0.90400000000000003</v>
      </c>
      <c r="L86" s="22">
        <v>25</v>
      </c>
      <c r="M86" s="22">
        <v>14</v>
      </c>
      <c r="N86" s="22">
        <v>91</v>
      </c>
      <c r="O86" s="22" t="str">
        <f t="shared" si="13"/>
        <v>Normal</v>
      </c>
    </row>
    <row r="87" spans="1:15" x14ac:dyDescent="0.3">
      <c r="A87" s="22" t="s">
        <v>243</v>
      </c>
      <c r="B87" t="str">
        <f t="shared" si="7"/>
        <v>Bhavana Hegde</v>
      </c>
      <c r="C87" t="str">
        <f t="shared" si="8"/>
        <v>Engineering</v>
      </c>
      <c r="D87" s="30" t="str">
        <f t="shared" si="9"/>
        <v>Active</v>
      </c>
      <c r="E87" s="22">
        <v>250</v>
      </c>
      <c r="F87" s="22">
        <v>18</v>
      </c>
      <c r="G87" s="22">
        <v>1</v>
      </c>
      <c r="H87" s="22">
        <v>3</v>
      </c>
      <c r="I87" s="22">
        <f t="shared" si="10"/>
        <v>22</v>
      </c>
      <c r="J87" s="22">
        <f t="shared" si="11"/>
        <v>228</v>
      </c>
      <c r="K87" s="26">
        <f t="shared" si="12"/>
        <v>0.91200000000000003</v>
      </c>
      <c r="L87" s="22">
        <v>29</v>
      </c>
      <c r="M87" s="22">
        <v>12</v>
      </c>
      <c r="N87" s="22">
        <v>83</v>
      </c>
      <c r="O87" s="22" t="str">
        <f t="shared" si="13"/>
        <v>Normal</v>
      </c>
    </row>
    <row r="88" spans="1:15" x14ac:dyDescent="0.3">
      <c r="A88" s="22" t="s">
        <v>449</v>
      </c>
      <c r="B88" t="str">
        <f t="shared" si="7"/>
        <v>Arun Choudhary</v>
      </c>
      <c r="C88" t="str">
        <f t="shared" si="8"/>
        <v>Engineering</v>
      </c>
      <c r="D88" s="30" t="str">
        <f t="shared" si="9"/>
        <v>Active</v>
      </c>
      <c r="E88" s="22">
        <v>250</v>
      </c>
      <c r="F88" s="22">
        <v>8</v>
      </c>
      <c r="G88" s="22">
        <v>5</v>
      </c>
      <c r="H88" s="22">
        <v>0</v>
      </c>
      <c r="I88" s="22">
        <f t="shared" si="10"/>
        <v>13</v>
      </c>
      <c r="J88" s="22">
        <f t="shared" si="11"/>
        <v>237</v>
      </c>
      <c r="K88" s="26">
        <f t="shared" si="12"/>
        <v>0.94799999999999995</v>
      </c>
      <c r="L88" s="22">
        <v>67</v>
      </c>
      <c r="M88" s="22">
        <v>11</v>
      </c>
      <c r="N88" s="22">
        <v>101</v>
      </c>
      <c r="O88" s="22" t="str">
        <f t="shared" si="13"/>
        <v>Normal</v>
      </c>
    </row>
    <row r="89" spans="1:15" x14ac:dyDescent="0.3">
      <c r="A89" s="22" t="s">
        <v>452</v>
      </c>
      <c r="B89" t="str">
        <f t="shared" si="7"/>
        <v>Ankit Tiwari</v>
      </c>
      <c r="C89" t="str">
        <f t="shared" si="8"/>
        <v>Human Resources</v>
      </c>
      <c r="D89" s="30" t="str">
        <f t="shared" si="9"/>
        <v>Active</v>
      </c>
      <c r="E89" s="22">
        <v>250</v>
      </c>
      <c r="F89" s="22">
        <v>18</v>
      </c>
      <c r="G89" s="22">
        <v>7</v>
      </c>
      <c r="H89" s="22">
        <v>5</v>
      </c>
      <c r="I89" s="22">
        <f t="shared" si="10"/>
        <v>30</v>
      </c>
      <c r="J89" s="22">
        <f t="shared" si="11"/>
        <v>220</v>
      </c>
      <c r="K89" s="26">
        <f t="shared" si="12"/>
        <v>0.88</v>
      </c>
      <c r="L89" s="22">
        <v>24</v>
      </c>
      <c r="M89" s="22">
        <v>9</v>
      </c>
      <c r="N89" s="22">
        <v>27</v>
      </c>
      <c r="O89" s="22" t="str">
        <f t="shared" si="13"/>
        <v>Low Attendance</v>
      </c>
    </row>
    <row r="90" spans="1:15" x14ac:dyDescent="0.3">
      <c r="A90" s="22" t="s">
        <v>455</v>
      </c>
      <c r="B90" t="str">
        <f t="shared" si="7"/>
        <v>Mary Varghese</v>
      </c>
      <c r="C90" t="str">
        <f t="shared" si="8"/>
        <v>Customer Support</v>
      </c>
      <c r="D90" s="30" t="str">
        <f t="shared" si="9"/>
        <v>Active</v>
      </c>
      <c r="E90" s="22">
        <v>250</v>
      </c>
      <c r="F90" s="22">
        <v>17</v>
      </c>
      <c r="G90" s="22">
        <v>4</v>
      </c>
      <c r="H90" s="22">
        <v>4</v>
      </c>
      <c r="I90" s="22">
        <f t="shared" si="10"/>
        <v>25</v>
      </c>
      <c r="J90" s="22">
        <f t="shared" si="11"/>
        <v>225</v>
      </c>
      <c r="K90" s="26">
        <f t="shared" si="12"/>
        <v>0.9</v>
      </c>
      <c r="L90" s="22">
        <v>4</v>
      </c>
      <c r="M90" s="22">
        <v>2</v>
      </c>
      <c r="N90" s="22">
        <v>98</v>
      </c>
      <c r="O90" s="22" t="str">
        <f t="shared" si="13"/>
        <v>Normal</v>
      </c>
    </row>
    <row r="91" spans="1:15" x14ac:dyDescent="0.3">
      <c r="A91" s="22" t="s">
        <v>458</v>
      </c>
      <c r="B91" t="str">
        <f t="shared" si="7"/>
        <v>Madhuri Malhotra</v>
      </c>
      <c r="C91" t="str">
        <f t="shared" si="8"/>
        <v>Sales</v>
      </c>
      <c r="D91" s="30" t="str">
        <f t="shared" si="9"/>
        <v>Exited</v>
      </c>
      <c r="E91" s="22">
        <v>222</v>
      </c>
      <c r="F91" s="22">
        <v>12</v>
      </c>
      <c r="G91" s="22">
        <v>5</v>
      </c>
      <c r="H91" s="22">
        <v>1</v>
      </c>
      <c r="I91" s="22">
        <f t="shared" si="10"/>
        <v>18</v>
      </c>
      <c r="J91" s="22">
        <f t="shared" si="11"/>
        <v>204</v>
      </c>
      <c r="K91" s="26">
        <f t="shared" si="12"/>
        <v>0.91891891891891897</v>
      </c>
      <c r="L91" s="22">
        <v>64</v>
      </c>
      <c r="M91" s="22">
        <v>7</v>
      </c>
      <c r="N91" s="22">
        <v>26</v>
      </c>
      <c r="O91" s="22" t="str">
        <f t="shared" si="13"/>
        <v>Normal</v>
      </c>
    </row>
    <row r="92" spans="1:15" x14ac:dyDescent="0.3">
      <c r="A92" s="22" t="s">
        <v>461</v>
      </c>
      <c r="B92" t="str">
        <f t="shared" si="7"/>
        <v>Srinivas Bose</v>
      </c>
      <c r="C92" t="str">
        <f t="shared" si="8"/>
        <v>Engineering</v>
      </c>
      <c r="D92" s="30" t="str">
        <f t="shared" si="9"/>
        <v>Active</v>
      </c>
      <c r="E92" s="22">
        <v>250</v>
      </c>
      <c r="F92" s="22">
        <v>15</v>
      </c>
      <c r="G92" s="22">
        <v>5</v>
      </c>
      <c r="H92" s="22">
        <v>0</v>
      </c>
      <c r="I92" s="22">
        <f t="shared" si="10"/>
        <v>20</v>
      </c>
      <c r="J92" s="22">
        <f t="shared" si="11"/>
        <v>230</v>
      </c>
      <c r="K92" s="26">
        <f t="shared" si="12"/>
        <v>0.92</v>
      </c>
      <c r="L92" s="22">
        <v>41</v>
      </c>
      <c r="M92" s="22">
        <v>6</v>
      </c>
      <c r="N92" s="22">
        <v>53</v>
      </c>
      <c r="O92" s="22" t="str">
        <f t="shared" si="13"/>
        <v>Normal</v>
      </c>
    </row>
    <row r="93" spans="1:15" x14ac:dyDescent="0.3">
      <c r="A93" s="22" t="s">
        <v>464</v>
      </c>
      <c r="B93" t="str">
        <f t="shared" si="7"/>
        <v>Kunal Jain</v>
      </c>
      <c r="C93" t="str">
        <f t="shared" si="8"/>
        <v>Operations</v>
      </c>
      <c r="D93" s="30" t="str">
        <f t="shared" si="9"/>
        <v>Active</v>
      </c>
      <c r="E93" s="22">
        <v>250</v>
      </c>
      <c r="F93" s="22">
        <v>14</v>
      </c>
      <c r="G93" s="22">
        <v>7</v>
      </c>
      <c r="H93" s="22">
        <v>2</v>
      </c>
      <c r="I93" s="22">
        <f t="shared" si="10"/>
        <v>23</v>
      </c>
      <c r="J93" s="22">
        <f t="shared" si="11"/>
        <v>227</v>
      </c>
      <c r="K93" s="26">
        <f t="shared" si="12"/>
        <v>0.90800000000000003</v>
      </c>
      <c r="L93" s="22">
        <v>15</v>
      </c>
      <c r="M93" s="22">
        <v>8</v>
      </c>
      <c r="N93" s="22">
        <v>68</v>
      </c>
      <c r="O93" s="22" t="str">
        <f t="shared" si="13"/>
        <v>Normal</v>
      </c>
    </row>
    <row r="94" spans="1:15" x14ac:dyDescent="0.3">
      <c r="A94" s="22" t="s">
        <v>467</v>
      </c>
      <c r="B94" t="str">
        <f t="shared" si="7"/>
        <v>Priyanka Hegde</v>
      </c>
      <c r="C94" t="str">
        <f t="shared" si="8"/>
        <v>Product</v>
      </c>
      <c r="D94" s="30" t="str">
        <f t="shared" si="9"/>
        <v>Active</v>
      </c>
      <c r="E94" s="22">
        <v>250</v>
      </c>
      <c r="F94" s="22">
        <v>19</v>
      </c>
      <c r="G94" s="22">
        <v>3</v>
      </c>
      <c r="H94" s="22">
        <v>1</v>
      </c>
      <c r="I94" s="22">
        <f t="shared" si="10"/>
        <v>23</v>
      </c>
      <c r="J94" s="22">
        <f t="shared" si="11"/>
        <v>227</v>
      </c>
      <c r="K94" s="26">
        <f t="shared" si="12"/>
        <v>0.90800000000000003</v>
      </c>
      <c r="L94" s="22">
        <v>84</v>
      </c>
      <c r="M94" s="22">
        <v>11</v>
      </c>
      <c r="N94" s="22">
        <v>26</v>
      </c>
      <c r="O94" s="22" t="str">
        <f t="shared" si="13"/>
        <v>Normal</v>
      </c>
    </row>
    <row r="95" spans="1:15" x14ac:dyDescent="0.3">
      <c r="A95" s="22" t="s">
        <v>470</v>
      </c>
      <c r="B95" t="str">
        <f t="shared" si="7"/>
        <v>Gayatri Thomas</v>
      </c>
      <c r="C95" t="str">
        <f t="shared" si="8"/>
        <v>Product</v>
      </c>
      <c r="D95" s="30" t="str">
        <f t="shared" si="9"/>
        <v>Active</v>
      </c>
      <c r="E95" s="22">
        <v>250</v>
      </c>
      <c r="F95" s="22">
        <v>14</v>
      </c>
      <c r="G95" s="22">
        <v>3</v>
      </c>
      <c r="H95" s="22">
        <v>3</v>
      </c>
      <c r="I95" s="22">
        <f t="shared" si="10"/>
        <v>20</v>
      </c>
      <c r="J95" s="22">
        <f t="shared" si="11"/>
        <v>230</v>
      </c>
      <c r="K95" s="26">
        <f t="shared" si="12"/>
        <v>0.92</v>
      </c>
      <c r="L95" s="22">
        <v>40</v>
      </c>
      <c r="M95" s="22">
        <v>5</v>
      </c>
      <c r="N95" s="22">
        <v>0</v>
      </c>
      <c r="O95" s="22" t="str">
        <f t="shared" si="13"/>
        <v>Normal</v>
      </c>
    </row>
    <row r="96" spans="1:15" x14ac:dyDescent="0.3">
      <c r="A96" s="22" t="s">
        <v>473</v>
      </c>
      <c r="B96" t="str">
        <f t="shared" si="7"/>
        <v>Mary Banerjee</v>
      </c>
      <c r="C96" t="str">
        <f t="shared" si="8"/>
        <v>Data &amp; Analytics</v>
      </c>
      <c r="D96" s="30" t="str">
        <f t="shared" si="9"/>
        <v>Active</v>
      </c>
      <c r="E96" s="22">
        <v>250</v>
      </c>
      <c r="F96" s="22">
        <v>9</v>
      </c>
      <c r="G96" s="22">
        <v>0</v>
      </c>
      <c r="H96" s="22">
        <v>1</v>
      </c>
      <c r="I96" s="22">
        <f t="shared" si="10"/>
        <v>10</v>
      </c>
      <c r="J96" s="22">
        <f t="shared" si="11"/>
        <v>240</v>
      </c>
      <c r="K96" s="26">
        <f t="shared" si="12"/>
        <v>0.96</v>
      </c>
      <c r="L96" s="22">
        <v>70</v>
      </c>
      <c r="M96" s="22">
        <v>2</v>
      </c>
      <c r="N96" s="22">
        <v>7</v>
      </c>
      <c r="O96" s="22" t="str">
        <f t="shared" si="13"/>
        <v>Normal</v>
      </c>
    </row>
    <row r="97" spans="1:15" x14ac:dyDescent="0.3">
      <c r="A97" s="22" t="s">
        <v>477</v>
      </c>
      <c r="B97" t="str">
        <f t="shared" si="7"/>
        <v>Pallavi Malhotra</v>
      </c>
      <c r="C97" t="str">
        <f t="shared" si="8"/>
        <v>Marketing</v>
      </c>
      <c r="D97" s="30" t="str">
        <f t="shared" si="9"/>
        <v>Active</v>
      </c>
      <c r="E97" s="22">
        <v>250</v>
      </c>
      <c r="F97" s="22">
        <v>6</v>
      </c>
      <c r="G97" s="22">
        <v>5</v>
      </c>
      <c r="H97" s="22">
        <v>1</v>
      </c>
      <c r="I97" s="22">
        <f t="shared" si="10"/>
        <v>12</v>
      </c>
      <c r="J97" s="22">
        <f t="shared" si="11"/>
        <v>238</v>
      </c>
      <c r="K97" s="26">
        <f t="shared" si="12"/>
        <v>0.95199999999999996</v>
      </c>
      <c r="L97" s="22">
        <v>27</v>
      </c>
      <c r="M97" s="22">
        <v>4</v>
      </c>
      <c r="N97" s="22">
        <v>29</v>
      </c>
      <c r="O97" s="22" t="str">
        <f t="shared" si="13"/>
        <v>Normal</v>
      </c>
    </row>
    <row r="98" spans="1:15" x14ac:dyDescent="0.3">
      <c r="A98" s="22" t="s">
        <v>480</v>
      </c>
      <c r="B98" t="str">
        <f t="shared" si="7"/>
        <v>Sowmya Menon</v>
      </c>
      <c r="C98" t="str">
        <f t="shared" si="8"/>
        <v>Product</v>
      </c>
      <c r="D98" s="30" t="str">
        <f t="shared" si="9"/>
        <v>Exited</v>
      </c>
      <c r="E98" s="22">
        <v>144</v>
      </c>
      <c r="F98" s="22">
        <v>8</v>
      </c>
      <c r="G98" s="22">
        <v>8</v>
      </c>
      <c r="H98" s="22">
        <v>12</v>
      </c>
      <c r="I98" s="22">
        <f t="shared" si="10"/>
        <v>28</v>
      </c>
      <c r="J98" s="22">
        <f t="shared" si="11"/>
        <v>116</v>
      </c>
      <c r="K98" s="26">
        <f t="shared" si="12"/>
        <v>0.80555555555555558</v>
      </c>
      <c r="L98" s="22">
        <v>63</v>
      </c>
      <c r="M98" s="22">
        <v>3</v>
      </c>
      <c r="N98" s="22">
        <v>13</v>
      </c>
      <c r="O98" s="22" t="str">
        <f t="shared" si="13"/>
        <v>High Unplanned</v>
      </c>
    </row>
    <row r="99" spans="1:15" x14ac:dyDescent="0.3">
      <c r="A99" s="22" t="s">
        <v>485</v>
      </c>
      <c r="B99" t="str">
        <f t="shared" si="7"/>
        <v>Sanjana Verma</v>
      </c>
      <c r="C99" t="str">
        <f t="shared" si="8"/>
        <v>Human Resources</v>
      </c>
      <c r="D99" s="30" t="str">
        <f t="shared" si="9"/>
        <v>Active</v>
      </c>
      <c r="E99" s="22">
        <v>250</v>
      </c>
      <c r="F99" s="22">
        <v>19</v>
      </c>
      <c r="G99" s="22">
        <v>3</v>
      </c>
      <c r="H99" s="22">
        <v>0</v>
      </c>
      <c r="I99" s="22">
        <f t="shared" si="10"/>
        <v>22</v>
      </c>
      <c r="J99" s="22">
        <f t="shared" si="11"/>
        <v>228</v>
      </c>
      <c r="K99" s="26">
        <f t="shared" si="12"/>
        <v>0.91200000000000003</v>
      </c>
      <c r="L99" s="22">
        <v>27</v>
      </c>
      <c r="M99" s="22">
        <v>1</v>
      </c>
      <c r="N99" s="22">
        <v>9</v>
      </c>
      <c r="O99" s="22" t="str">
        <f t="shared" si="13"/>
        <v>Normal</v>
      </c>
    </row>
    <row r="100" spans="1:15" x14ac:dyDescent="0.3">
      <c r="A100" s="22" t="s">
        <v>488</v>
      </c>
      <c r="B100" t="str">
        <f t="shared" si="7"/>
        <v>Karan Khan</v>
      </c>
      <c r="C100" t="str">
        <f t="shared" si="8"/>
        <v>Sales</v>
      </c>
      <c r="D100" s="30" t="str">
        <f t="shared" si="9"/>
        <v>Active</v>
      </c>
      <c r="E100" s="22">
        <v>250</v>
      </c>
      <c r="F100" s="22">
        <v>12</v>
      </c>
      <c r="G100" s="22">
        <v>0</v>
      </c>
      <c r="H100" s="22">
        <v>8</v>
      </c>
      <c r="I100" s="22">
        <f t="shared" si="10"/>
        <v>20</v>
      </c>
      <c r="J100" s="22">
        <f t="shared" si="11"/>
        <v>230</v>
      </c>
      <c r="K100" s="26">
        <f t="shared" si="12"/>
        <v>0.92</v>
      </c>
      <c r="L100" s="22">
        <v>57</v>
      </c>
      <c r="M100" s="22">
        <v>0</v>
      </c>
      <c r="N100" s="22">
        <v>6</v>
      </c>
      <c r="O100" s="22" t="str">
        <f t="shared" si="13"/>
        <v>High Unplanned</v>
      </c>
    </row>
    <row r="101" spans="1:15" x14ac:dyDescent="0.3">
      <c r="A101" s="22" t="s">
        <v>491</v>
      </c>
      <c r="B101" t="str">
        <f t="shared" si="7"/>
        <v>Arjun Iyer</v>
      </c>
      <c r="C101" t="str">
        <f t="shared" si="8"/>
        <v>Engineering</v>
      </c>
      <c r="D101" s="30" t="str">
        <f t="shared" si="9"/>
        <v>Active</v>
      </c>
      <c r="E101" s="22">
        <v>250</v>
      </c>
      <c r="F101" s="22">
        <v>16</v>
      </c>
      <c r="G101" s="22">
        <v>1</v>
      </c>
      <c r="H101" s="22">
        <v>2</v>
      </c>
      <c r="I101" s="22">
        <f t="shared" si="10"/>
        <v>19</v>
      </c>
      <c r="J101" s="22">
        <f t="shared" si="11"/>
        <v>231</v>
      </c>
      <c r="K101" s="26">
        <f t="shared" si="12"/>
        <v>0.92400000000000004</v>
      </c>
      <c r="L101" s="22">
        <v>86</v>
      </c>
      <c r="M101" s="22">
        <v>13</v>
      </c>
      <c r="N101" s="22">
        <v>20</v>
      </c>
      <c r="O101" s="22" t="str">
        <f t="shared" si="13"/>
        <v>Normal</v>
      </c>
    </row>
    <row r="102" spans="1:15" x14ac:dyDescent="0.3">
      <c r="A102" s="22" t="s">
        <v>379</v>
      </c>
      <c r="B102" t="str">
        <f t="shared" si="7"/>
        <v>Pallavi Nair</v>
      </c>
      <c r="C102" t="str">
        <f t="shared" si="8"/>
        <v>Operations</v>
      </c>
      <c r="D102" s="30" t="str">
        <f t="shared" si="9"/>
        <v>Active</v>
      </c>
      <c r="E102" s="22">
        <v>250</v>
      </c>
      <c r="F102" s="22">
        <v>6</v>
      </c>
      <c r="G102" s="22">
        <v>2</v>
      </c>
      <c r="H102" s="22">
        <v>3</v>
      </c>
      <c r="I102" s="22">
        <f t="shared" si="10"/>
        <v>11</v>
      </c>
      <c r="J102" s="22">
        <f t="shared" si="11"/>
        <v>239</v>
      </c>
      <c r="K102" s="26">
        <f t="shared" si="12"/>
        <v>0.95599999999999996</v>
      </c>
      <c r="L102" s="22">
        <v>7</v>
      </c>
      <c r="M102" s="22">
        <v>1</v>
      </c>
      <c r="N102" s="22">
        <v>1</v>
      </c>
      <c r="O102" s="22" t="str">
        <f t="shared" si="13"/>
        <v>Normal</v>
      </c>
    </row>
    <row r="103" spans="1:15" x14ac:dyDescent="0.3">
      <c r="A103" s="22" t="s">
        <v>495</v>
      </c>
      <c r="B103" t="str">
        <f t="shared" si="7"/>
        <v>Ravi Kumar</v>
      </c>
      <c r="C103" t="str">
        <f t="shared" si="8"/>
        <v>Sales</v>
      </c>
      <c r="D103" s="30" t="str">
        <f t="shared" si="9"/>
        <v>Active</v>
      </c>
      <c r="E103" s="22">
        <v>250</v>
      </c>
      <c r="F103" s="22">
        <v>15</v>
      </c>
      <c r="G103" s="22">
        <v>6</v>
      </c>
      <c r="H103" s="22">
        <v>0</v>
      </c>
      <c r="I103" s="22">
        <f t="shared" si="10"/>
        <v>21</v>
      </c>
      <c r="J103" s="22">
        <f t="shared" si="11"/>
        <v>229</v>
      </c>
      <c r="K103" s="26">
        <f t="shared" si="12"/>
        <v>0.91600000000000004</v>
      </c>
      <c r="L103" s="22">
        <v>33</v>
      </c>
      <c r="M103" s="22">
        <v>7</v>
      </c>
      <c r="N103" s="22">
        <v>8</v>
      </c>
      <c r="O103" s="22" t="str">
        <f t="shared" si="13"/>
        <v>Normal</v>
      </c>
    </row>
    <row r="104" spans="1:15" x14ac:dyDescent="0.3">
      <c r="A104" s="22" t="s">
        <v>498</v>
      </c>
      <c r="B104" t="str">
        <f t="shared" si="7"/>
        <v>Sowmya Verma</v>
      </c>
      <c r="C104" t="str">
        <f t="shared" si="8"/>
        <v>Finance</v>
      </c>
      <c r="D104" s="30" t="str">
        <f t="shared" si="9"/>
        <v>Active</v>
      </c>
      <c r="E104" s="22">
        <v>250</v>
      </c>
      <c r="F104" s="22">
        <v>17</v>
      </c>
      <c r="G104" s="22">
        <v>8</v>
      </c>
      <c r="H104" s="22">
        <v>3</v>
      </c>
      <c r="I104" s="22">
        <f t="shared" si="10"/>
        <v>28</v>
      </c>
      <c r="J104" s="22">
        <f t="shared" si="11"/>
        <v>222</v>
      </c>
      <c r="K104" s="26">
        <f t="shared" si="12"/>
        <v>0.88800000000000001</v>
      </c>
      <c r="L104" s="22">
        <v>48</v>
      </c>
      <c r="M104" s="22">
        <v>7</v>
      </c>
      <c r="N104" s="22">
        <v>26</v>
      </c>
      <c r="O104" s="22" t="str">
        <f t="shared" si="13"/>
        <v>Low Attendance</v>
      </c>
    </row>
    <row r="105" spans="1:15" x14ac:dyDescent="0.3">
      <c r="A105" s="22" t="s">
        <v>503</v>
      </c>
      <c r="B105" t="str">
        <f t="shared" si="7"/>
        <v>Arun Agarwal</v>
      </c>
      <c r="C105" t="str">
        <f t="shared" si="8"/>
        <v>Sales</v>
      </c>
      <c r="D105" s="30" t="str">
        <f t="shared" si="9"/>
        <v>Active</v>
      </c>
      <c r="E105" s="22">
        <v>250</v>
      </c>
      <c r="F105" s="22">
        <v>17</v>
      </c>
      <c r="G105" s="22">
        <v>5</v>
      </c>
      <c r="H105" s="22">
        <v>1</v>
      </c>
      <c r="I105" s="22">
        <f t="shared" si="10"/>
        <v>23</v>
      </c>
      <c r="J105" s="22">
        <f t="shared" si="11"/>
        <v>227</v>
      </c>
      <c r="K105" s="26">
        <f t="shared" si="12"/>
        <v>0.90800000000000003</v>
      </c>
      <c r="L105" s="22">
        <v>11</v>
      </c>
      <c r="M105" s="22">
        <v>4</v>
      </c>
      <c r="N105" s="22">
        <v>7</v>
      </c>
      <c r="O105" s="22" t="str">
        <f t="shared" si="13"/>
        <v>Normal</v>
      </c>
    </row>
    <row r="106" spans="1:15" x14ac:dyDescent="0.3">
      <c r="A106" s="22" t="s">
        <v>506</v>
      </c>
      <c r="B106" t="str">
        <f t="shared" si="7"/>
        <v>Shreya Gowda</v>
      </c>
      <c r="C106" t="str">
        <f t="shared" si="8"/>
        <v>Engineering</v>
      </c>
      <c r="D106" s="30" t="str">
        <f t="shared" si="9"/>
        <v>Active</v>
      </c>
      <c r="E106" s="22">
        <v>250</v>
      </c>
      <c r="F106" s="22">
        <v>8</v>
      </c>
      <c r="G106" s="22">
        <v>0</v>
      </c>
      <c r="H106" s="22">
        <v>5</v>
      </c>
      <c r="I106" s="22">
        <f t="shared" si="10"/>
        <v>13</v>
      </c>
      <c r="J106" s="22">
        <f t="shared" si="11"/>
        <v>237</v>
      </c>
      <c r="K106" s="26">
        <f t="shared" si="12"/>
        <v>0.94799999999999995</v>
      </c>
      <c r="L106" s="22">
        <v>14</v>
      </c>
      <c r="M106" s="22">
        <v>9</v>
      </c>
      <c r="N106" s="22">
        <v>96</v>
      </c>
      <c r="O106" s="22" t="str">
        <f t="shared" si="13"/>
        <v>Normal</v>
      </c>
    </row>
    <row r="107" spans="1:15" x14ac:dyDescent="0.3">
      <c r="A107" s="22" t="s">
        <v>182</v>
      </c>
      <c r="B107" t="str">
        <f t="shared" si="7"/>
        <v>Harsh Siddiqui</v>
      </c>
      <c r="C107" t="str">
        <f t="shared" si="8"/>
        <v>Engineering</v>
      </c>
      <c r="D107" s="30" t="str">
        <f t="shared" si="9"/>
        <v>Active</v>
      </c>
      <c r="E107" s="22">
        <v>250</v>
      </c>
      <c r="F107" s="22">
        <v>8</v>
      </c>
      <c r="G107" s="22">
        <v>8</v>
      </c>
      <c r="H107" s="22">
        <v>0</v>
      </c>
      <c r="I107" s="22">
        <f t="shared" si="10"/>
        <v>16</v>
      </c>
      <c r="J107" s="22">
        <f t="shared" si="11"/>
        <v>234</v>
      </c>
      <c r="K107" s="26">
        <f t="shared" si="12"/>
        <v>0.93600000000000005</v>
      </c>
      <c r="L107" s="22">
        <v>60</v>
      </c>
      <c r="M107" s="22">
        <v>13</v>
      </c>
      <c r="N107" s="22">
        <v>54</v>
      </c>
      <c r="O107" s="22" t="str">
        <f t="shared" si="13"/>
        <v>Normal</v>
      </c>
    </row>
    <row r="108" spans="1:15" x14ac:dyDescent="0.3">
      <c r="A108" s="22" t="s">
        <v>510</v>
      </c>
      <c r="B108" t="str">
        <f t="shared" si="7"/>
        <v>Imran Subramanian</v>
      </c>
      <c r="C108" t="str">
        <f t="shared" si="8"/>
        <v>Product</v>
      </c>
      <c r="D108" s="30" t="str">
        <f t="shared" si="9"/>
        <v>Active</v>
      </c>
      <c r="E108" s="22">
        <v>250</v>
      </c>
      <c r="F108" s="22">
        <v>16</v>
      </c>
      <c r="G108" s="22">
        <v>7</v>
      </c>
      <c r="H108" s="22">
        <v>2</v>
      </c>
      <c r="I108" s="22">
        <f t="shared" si="10"/>
        <v>25</v>
      </c>
      <c r="J108" s="22">
        <f t="shared" si="11"/>
        <v>225</v>
      </c>
      <c r="K108" s="26">
        <f t="shared" si="12"/>
        <v>0.9</v>
      </c>
      <c r="L108" s="22">
        <v>43</v>
      </c>
      <c r="M108" s="22">
        <v>14</v>
      </c>
      <c r="N108" s="22">
        <v>36</v>
      </c>
      <c r="O108" s="22" t="str">
        <f t="shared" si="13"/>
        <v>Normal</v>
      </c>
    </row>
    <row r="109" spans="1:15" x14ac:dyDescent="0.3">
      <c r="A109" s="22" t="s">
        <v>515</v>
      </c>
      <c r="B109" t="str">
        <f t="shared" si="7"/>
        <v>Keerthi Siddiqui</v>
      </c>
      <c r="C109" t="str">
        <f t="shared" si="8"/>
        <v>Customer Support</v>
      </c>
      <c r="D109" s="30" t="str">
        <f t="shared" si="9"/>
        <v>Active</v>
      </c>
      <c r="E109" s="22">
        <v>250</v>
      </c>
      <c r="F109" s="22">
        <v>14</v>
      </c>
      <c r="G109" s="22">
        <v>4</v>
      </c>
      <c r="H109" s="22">
        <v>3</v>
      </c>
      <c r="I109" s="22">
        <f t="shared" si="10"/>
        <v>21</v>
      </c>
      <c r="J109" s="22">
        <f t="shared" si="11"/>
        <v>229</v>
      </c>
      <c r="K109" s="26">
        <f t="shared" si="12"/>
        <v>0.91600000000000004</v>
      </c>
      <c r="L109" s="22">
        <v>13</v>
      </c>
      <c r="M109" s="22">
        <v>14</v>
      </c>
      <c r="N109" s="22">
        <v>20</v>
      </c>
      <c r="O109" s="22" t="str">
        <f t="shared" si="13"/>
        <v>Normal</v>
      </c>
    </row>
    <row r="110" spans="1:15" x14ac:dyDescent="0.3">
      <c r="A110" s="22" t="s">
        <v>518</v>
      </c>
      <c r="B110" t="str">
        <f t="shared" si="7"/>
        <v>Nandini Choudhary</v>
      </c>
      <c r="C110" t="str">
        <f t="shared" si="8"/>
        <v>Engineering</v>
      </c>
      <c r="D110" s="30" t="str">
        <f t="shared" si="9"/>
        <v>Active</v>
      </c>
      <c r="E110" s="22">
        <v>250</v>
      </c>
      <c r="F110" s="22">
        <v>10</v>
      </c>
      <c r="G110" s="22">
        <v>1</v>
      </c>
      <c r="H110" s="22">
        <v>2</v>
      </c>
      <c r="I110" s="22">
        <f t="shared" si="10"/>
        <v>13</v>
      </c>
      <c r="J110" s="22">
        <f t="shared" si="11"/>
        <v>237</v>
      </c>
      <c r="K110" s="26">
        <f t="shared" si="12"/>
        <v>0.94799999999999995</v>
      </c>
      <c r="L110" s="22">
        <v>26</v>
      </c>
      <c r="M110" s="22">
        <v>11</v>
      </c>
      <c r="N110" s="22">
        <v>27</v>
      </c>
      <c r="O110" s="22" t="str">
        <f t="shared" si="13"/>
        <v>Normal</v>
      </c>
    </row>
    <row r="111" spans="1:15" x14ac:dyDescent="0.3">
      <c r="A111" s="22" t="s">
        <v>188</v>
      </c>
      <c r="B111" t="str">
        <f t="shared" si="7"/>
        <v>Aishwarya Mukherjee</v>
      </c>
      <c r="C111" t="str">
        <f t="shared" si="8"/>
        <v>Marketing</v>
      </c>
      <c r="D111" s="30" t="str">
        <f t="shared" si="9"/>
        <v>Active</v>
      </c>
      <c r="E111" s="22">
        <v>250</v>
      </c>
      <c r="F111" s="22">
        <v>12</v>
      </c>
      <c r="G111" s="22">
        <v>0</v>
      </c>
      <c r="H111" s="22">
        <v>1</v>
      </c>
      <c r="I111" s="22">
        <f t="shared" si="10"/>
        <v>13</v>
      </c>
      <c r="J111" s="22">
        <f t="shared" si="11"/>
        <v>237</v>
      </c>
      <c r="K111" s="26">
        <f t="shared" si="12"/>
        <v>0.94799999999999995</v>
      </c>
      <c r="L111" s="22">
        <v>33</v>
      </c>
      <c r="M111" s="22">
        <v>13</v>
      </c>
      <c r="N111" s="22">
        <v>35</v>
      </c>
      <c r="O111" s="22" t="str">
        <f t="shared" si="13"/>
        <v>Normal</v>
      </c>
    </row>
    <row r="112" spans="1:15" x14ac:dyDescent="0.3">
      <c r="A112" s="22" t="s">
        <v>225</v>
      </c>
      <c r="B112" t="str">
        <f t="shared" si="7"/>
        <v>Ajay Patel</v>
      </c>
      <c r="C112" t="str">
        <f t="shared" si="8"/>
        <v>Human Resources</v>
      </c>
      <c r="D112" s="30" t="str">
        <f t="shared" si="9"/>
        <v>Exited</v>
      </c>
      <c r="E112" s="22">
        <v>201</v>
      </c>
      <c r="F112" s="22">
        <v>15</v>
      </c>
      <c r="G112" s="22">
        <v>1</v>
      </c>
      <c r="H112" s="22">
        <v>10</v>
      </c>
      <c r="I112" s="22">
        <f t="shared" si="10"/>
        <v>26</v>
      </c>
      <c r="J112" s="22">
        <f t="shared" si="11"/>
        <v>175</v>
      </c>
      <c r="K112" s="26">
        <f t="shared" si="12"/>
        <v>0.87064676616915426</v>
      </c>
      <c r="L112" s="22">
        <v>71</v>
      </c>
      <c r="M112" s="22">
        <v>5</v>
      </c>
      <c r="N112" s="22">
        <v>25</v>
      </c>
      <c r="O112" s="22" t="str">
        <f t="shared" si="13"/>
        <v>High Unplanned</v>
      </c>
    </row>
    <row r="113" spans="1:15" x14ac:dyDescent="0.3">
      <c r="A113" s="22" t="s">
        <v>526</v>
      </c>
      <c r="B113" t="str">
        <f t="shared" si="7"/>
        <v>Trisha Saxena</v>
      </c>
      <c r="C113" t="str">
        <f t="shared" si="8"/>
        <v>Sales</v>
      </c>
      <c r="D113" s="30" t="str">
        <f t="shared" si="9"/>
        <v>Active</v>
      </c>
      <c r="E113" s="22">
        <v>250</v>
      </c>
      <c r="F113" s="22">
        <v>19</v>
      </c>
      <c r="G113" s="22">
        <v>6</v>
      </c>
      <c r="H113" s="22">
        <v>4</v>
      </c>
      <c r="I113" s="22">
        <f t="shared" si="10"/>
        <v>29</v>
      </c>
      <c r="J113" s="22">
        <f t="shared" si="11"/>
        <v>221</v>
      </c>
      <c r="K113" s="26">
        <f t="shared" si="12"/>
        <v>0.88400000000000001</v>
      </c>
      <c r="L113" s="22">
        <v>64</v>
      </c>
      <c r="M113" s="22">
        <v>3</v>
      </c>
      <c r="N113" s="22">
        <v>17</v>
      </c>
      <c r="O113" s="22" t="str">
        <f t="shared" si="13"/>
        <v>Low Attendance</v>
      </c>
    </row>
    <row r="114" spans="1:15" x14ac:dyDescent="0.3">
      <c r="A114" s="22" t="s">
        <v>529</v>
      </c>
      <c r="B114" t="str">
        <f t="shared" si="7"/>
        <v>Vikas Shah</v>
      </c>
      <c r="C114" t="str">
        <f t="shared" si="8"/>
        <v>Customer Support</v>
      </c>
      <c r="D114" s="30" t="str">
        <f t="shared" si="9"/>
        <v>Active</v>
      </c>
      <c r="E114" s="22">
        <v>250</v>
      </c>
      <c r="F114" s="22">
        <v>7</v>
      </c>
      <c r="G114" s="22">
        <v>1</v>
      </c>
      <c r="H114" s="22">
        <v>0</v>
      </c>
      <c r="I114" s="22">
        <f t="shared" si="10"/>
        <v>8</v>
      </c>
      <c r="J114" s="22">
        <f t="shared" si="11"/>
        <v>242</v>
      </c>
      <c r="K114" s="26">
        <f t="shared" si="12"/>
        <v>0.96799999999999997</v>
      </c>
      <c r="L114" s="22">
        <v>19</v>
      </c>
      <c r="M114" s="22">
        <v>12</v>
      </c>
      <c r="N114" s="22">
        <v>108</v>
      </c>
      <c r="O114" s="22" t="str">
        <f t="shared" si="13"/>
        <v>Normal</v>
      </c>
    </row>
    <row r="115" spans="1:15" x14ac:dyDescent="0.3">
      <c r="A115" s="22" t="s">
        <v>532</v>
      </c>
      <c r="B115" t="str">
        <f t="shared" si="7"/>
        <v>Aarav Thomas</v>
      </c>
      <c r="C115" t="str">
        <f t="shared" si="8"/>
        <v>Sales</v>
      </c>
      <c r="D115" s="30" t="str">
        <f t="shared" si="9"/>
        <v>Active</v>
      </c>
      <c r="E115" s="22">
        <v>250</v>
      </c>
      <c r="F115" s="22">
        <v>11</v>
      </c>
      <c r="G115" s="22">
        <v>0</v>
      </c>
      <c r="H115" s="22">
        <v>1</v>
      </c>
      <c r="I115" s="22">
        <f t="shared" si="10"/>
        <v>12</v>
      </c>
      <c r="J115" s="22">
        <f t="shared" si="11"/>
        <v>238</v>
      </c>
      <c r="K115" s="26">
        <f t="shared" si="12"/>
        <v>0.95199999999999996</v>
      </c>
      <c r="L115" s="22">
        <v>30</v>
      </c>
      <c r="M115" s="22">
        <v>8</v>
      </c>
      <c r="N115" s="22">
        <v>6</v>
      </c>
      <c r="O115" s="22" t="str">
        <f t="shared" si="13"/>
        <v>Normal</v>
      </c>
    </row>
    <row r="116" spans="1:15" x14ac:dyDescent="0.3">
      <c r="A116" s="22" t="s">
        <v>535</v>
      </c>
      <c r="B116" t="str">
        <f t="shared" si="7"/>
        <v>Naveen Verma</v>
      </c>
      <c r="C116" t="str">
        <f t="shared" si="8"/>
        <v>Operations</v>
      </c>
      <c r="D116" s="30" t="str">
        <f t="shared" si="9"/>
        <v>Active</v>
      </c>
      <c r="E116" s="22">
        <v>250</v>
      </c>
      <c r="F116" s="22">
        <v>7</v>
      </c>
      <c r="G116" s="22">
        <v>3</v>
      </c>
      <c r="H116" s="22">
        <v>2</v>
      </c>
      <c r="I116" s="22">
        <f t="shared" si="10"/>
        <v>12</v>
      </c>
      <c r="J116" s="22">
        <f t="shared" si="11"/>
        <v>238</v>
      </c>
      <c r="K116" s="26">
        <f t="shared" si="12"/>
        <v>0.95199999999999996</v>
      </c>
      <c r="L116" s="22">
        <v>24</v>
      </c>
      <c r="M116" s="22">
        <v>14</v>
      </c>
      <c r="N116" s="22">
        <v>39</v>
      </c>
      <c r="O116" s="22" t="str">
        <f t="shared" si="13"/>
        <v>Normal</v>
      </c>
    </row>
    <row r="117" spans="1:15" x14ac:dyDescent="0.3">
      <c r="A117" s="22" t="s">
        <v>538</v>
      </c>
      <c r="B117" t="str">
        <f t="shared" si="7"/>
        <v>Tanvi Tiwari</v>
      </c>
      <c r="C117" t="str">
        <f t="shared" si="8"/>
        <v>Legal &amp; Compliance</v>
      </c>
      <c r="D117" s="30" t="str">
        <f t="shared" si="9"/>
        <v>Active</v>
      </c>
      <c r="E117" s="22">
        <v>250</v>
      </c>
      <c r="F117" s="22">
        <v>9</v>
      </c>
      <c r="G117" s="22">
        <v>8</v>
      </c>
      <c r="H117" s="22">
        <v>3</v>
      </c>
      <c r="I117" s="22">
        <f t="shared" si="10"/>
        <v>20</v>
      </c>
      <c r="J117" s="22">
        <f t="shared" si="11"/>
        <v>230</v>
      </c>
      <c r="K117" s="26">
        <f t="shared" si="12"/>
        <v>0.92</v>
      </c>
      <c r="L117" s="22">
        <v>40</v>
      </c>
      <c r="M117" s="22">
        <v>4</v>
      </c>
      <c r="N117" s="22">
        <v>5</v>
      </c>
      <c r="O117" s="22" t="str">
        <f t="shared" si="13"/>
        <v>Normal</v>
      </c>
    </row>
    <row r="118" spans="1:15" x14ac:dyDescent="0.3">
      <c r="A118" s="22" t="s">
        <v>542</v>
      </c>
      <c r="B118" t="str">
        <f t="shared" si="7"/>
        <v>Sneha Saxena</v>
      </c>
      <c r="C118" t="str">
        <f t="shared" si="8"/>
        <v>Product</v>
      </c>
      <c r="D118" s="30" t="str">
        <f t="shared" si="9"/>
        <v>Active</v>
      </c>
      <c r="E118" s="22">
        <v>250</v>
      </c>
      <c r="F118" s="22">
        <v>15</v>
      </c>
      <c r="G118" s="22">
        <v>0</v>
      </c>
      <c r="H118" s="22">
        <v>2</v>
      </c>
      <c r="I118" s="22">
        <f t="shared" si="10"/>
        <v>17</v>
      </c>
      <c r="J118" s="22">
        <f t="shared" si="11"/>
        <v>233</v>
      </c>
      <c r="K118" s="26">
        <f t="shared" si="12"/>
        <v>0.93200000000000005</v>
      </c>
      <c r="L118" s="22">
        <v>71</v>
      </c>
      <c r="M118" s="22">
        <v>0</v>
      </c>
      <c r="N118" s="22">
        <v>3</v>
      </c>
      <c r="O118" s="22" t="str">
        <f t="shared" si="13"/>
        <v>Normal</v>
      </c>
    </row>
    <row r="119" spans="1:15" x14ac:dyDescent="0.3">
      <c r="A119" s="22" t="s">
        <v>154</v>
      </c>
      <c r="B119" t="str">
        <f t="shared" si="7"/>
        <v>Amit Kumar</v>
      </c>
      <c r="C119" t="str">
        <f t="shared" si="8"/>
        <v>Operations</v>
      </c>
      <c r="D119" s="30" t="str">
        <f t="shared" si="9"/>
        <v>Exited</v>
      </c>
      <c r="E119" s="22">
        <v>134</v>
      </c>
      <c r="F119" s="22">
        <v>11</v>
      </c>
      <c r="G119" s="22">
        <v>1</v>
      </c>
      <c r="H119" s="22">
        <v>8</v>
      </c>
      <c r="I119" s="22">
        <f t="shared" si="10"/>
        <v>20</v>
      </c>
      <c r="J119" s="22">
        <f t="shared" si="11"/>
        <v>114</v>
      </c>
      <c r="K119" s="26">
        <f t="shared" si="12"/>
        <v>0.85074626865671643</v>
      </c>
      <c r="L119" s="22">
        <v>0</v>
      </c>
      <c r="M119" s="22">
        <v>5</v>
      </c>
      <c r="N119" s="22">
        <v>96</v>
      </c>
      <c r="O119" s="22" t="str">
        <f t="shared" si="13"/>
        <v>High Unplanned</v>
      </c>
    </row>
    <row r="120" spans="1:15" x14ac:dyDescent="0.3">
      <c r="A120" s="22" t="s">
        <v>547</v>
      </c>
      <c r="B120" t="str">
        <f t="shared" si="7"/>
        <v>Pranav Banerjee</v>
      </c>
      <c r="C120" t="str">
        <f t="shared" si="8"/>
        <v>Operations</v>
      </c>
      <c r="D120" s="30" t="str">
        <f t="shared" si="9"/>
        <v>Active</v>
      </c>
      <c r="E120" s="22">
        <v>250</v>
      </c>
      <c r="F120" s="22">
        <v>10</v>
      </c>
      <c r="G120" s="22">
        <v>6</v>
      </c>
      <c r="H120" s="22">
        <v>6</v>
      </c>
      <c r="I120" s="22">
        <f t="shared" si="10"/>
        <v>22</v>
      </c>
      <c r="J120" s="22">
        <f t="shared" si="11"/>
        <v>228</v>
      </c>
      <c r="K120" s="26">
        <f t="shared" si="12"/>
        <v>0.91200000000000003</v>
      </c>
      <c r="L120" s="22">
        <v>24</v>
      </c>
      <c r="M120" s="22">
        <v>6</v>
      </c>
      <c r="N120" s="22">
        <v>92</v>
      </c>
      <c r="O120" s="22" t="str">
        <f t="shared" si="13"/>
        <v>Normal</v>
      </c>
    </row>
    <row r="121" spans="1:15" x14ac:dyDescent="0.3">
      <c r="A121" s="22" t="s">
        <v>551</v>
      </c>
      <c r="B121" t="str">
        <f t="shared" si="7"/>
        <v>Ayesha Reddy</v>
      </c>
      <c r="C121" t="str">
        <f t="shared" si="8"/>
        <v>Data &amp; Analytics</v>
      </c>
      <c r="D121" s="30" t="str">
        <f t="shared" si="9"/>
        <v>Exited</v>
      </c>
      <c r="E121" s="22">
        <v>82</v>
      </c>
      <c r="F121" s="22">
        <v>8</v>
      </c>
      <c r="G121" s="22">
        <v>2</v>
      </c>
      <c r="H121" s="22">
        <v>3</v>
      </c>
      <c r="I121" s="22">
        <f t="shared" si="10"/>
        <v>13</v>
      </c>
      <c r="J121" s="22">
        <f t="shared" si="11"/>
        <v>69</v>
      </c>
      <c r="K121" s="26">
        <f t="shared" si="12"/>
        <v>0.84146341463414631</v>
      </c>
      <c r="L121" s="22">
        <v>22</v>
      </c>
      <c r="M121" s="22">
        <v>5</v>
      </c>
      <c r="N121" s="22">
        <v>26</v>
      </c>
      <c r="O121" s="22" t="str">
        <f t="shared" si="13"/>
        <v>Low Attendance</v>
      </c>
    </row>
    <row r="122" spans="1:15" x14ac:dyDescent="0.3">
      <c r="A122" s="22" t="s">
        <v>554</v>
      </c>
      <c r="B122" t="str">
        <f t="shared" si="7"/>
        <v>Srinivas Kulkarni</v>
      </c>
      <c r="C122" t="str">
        <f t="shared" si="8"/>
        <v>Finance</v>
      </c>
      <c r="D122" s="30" t="str">
        <f t="shared" si="9"/>
        <v>Active</v>
      </c>
      <c r="E122" s="22">
        <v>250</v>
      </c>
      <c r="F122" s="22">
        <v>20</v>
      </c>
      <c r="G122" s="22">
        <v>8</v>
      </c>
      <c r="H122" s="22">
        <v>0</v>
      </c>
      <c r="I122" s="22">
        <f t="shared" si="10"/>
        <v>28</v>
      </c>
      <c r="J122" s="22">
        <f t="shared" si="11"/>
        <v>222</v>
      </c>
      <c r="K122" s="26">
        <f t="shared" si="12"/>
        <v>0.88800000000000001</v>
      </c>
      <c r="L122" s="22">
        <v>29</v>
      </c>
      <c r="M122" s="22">
        <v>0</v>
      </c>
      <c r="N122" s="22">
        <v>37</v>
      </c>
      <c r="O122" s="22" t="str">
        <f t="shared" si="13"/>
        <v>Low Attendance</v>
      </c>
    </row>
    <row r="123" spans="1:15" x14ac:dyDescent="0.3">
      <c r="A123" s="22" t="s">
        <v>557</v>
      </c>
      <c r="B123" t="str">
        <f t="shared" si="7"/>
        <v>Divya Kulkarni</v>
      </c>
      <c r="C123" t="str">
        <f t="shared" si="8"/>
        <v>Customer Support</v>
      </c>
      <c r="D123" s="30" t="str">
        <f t="shared" si="9"/>
        <v>Exited</v>
      </c>
      <c r="E123" s="22">
        <v>71</v>
      </c>
      <c r="F123" s="22">
        <v>7</v>
      </c>
      <c r="G123" s="22">
        <v>6</v>
      </c>
      <c r="H123" s="22">
        <v>2</v>
      </c>
      <c r="I123" s="22">
        <f t="shared" si="10"/>
        <v>15</v>
      </c>
      <c r="J123" s="22">
        <f t="shared" si="11"/>
        <v>56</v>
      </c>
      <c r="K123" s="26">
        <f t="shared" si="12"/>
        <v>0.78873239436619713</v>
      </c>
      <c r="L123" s="22">
        <v>1</v>
      </c>
      <c r="M123" s="22">
        <v>4</v>
      </c>
      <c r="N123" s="22">
        <v>20</v>
      </c>
      <c r="O123" s="22" t="str">
        <f t="shared" si="13"/>
        <v>Low Attendance</v>
      </c>
    </row>
    <row r="124" spans="1:15" x14ac:dyDescent="0.3">
      <c r="A124" s="22" t="s">
        <v>561</v>
      </c>
      <c r="B124" t="str">
        <f t="shared" si="7"/>
        <v>Arjun Bansal</v>
      </c>
      <c r="C124" t="str">
        <f t="shared" si="8"/>
        <v>Operations</v>
      </c>
      <c r="D124" s="30" t="str">
        <f t="shared" si="9"/>
        <v>Active</v>
      </c>
      <c r="E124" s="22">
        <v>250</v>
      </c>
      <c r="F124" s="22">
        <v>8</v>
      </c>
      <c r="G124" s="22">
        <v>7</v>
      </c>
      <c r="H124" s="22">
        <v>2</v>
      </c>
      <c r="I124" s="22">
        <f t="shared" si="10"/>
        <v>17</v>
      </c>
      <c r="J124" s="22">
        <f t="shared" si="11"/>
        <v>233</v>
      </c>
      <c r="K124" s="26">
        <f t="shared" si="12"/>
        <v>0.93200000000000005</v>
      </c>
      <c r="L124" s="22">
        <v>22</v>
      </c>
      <c r="M124" s="22">
        <v>3</v>
      </c>
      <c r="N124" s="22">
        <v>113</v>
      </c>
      <c r="O124" s="22" t="str">
        <f t="shared" si="13"/>
        <v>Normal</v>
      </c>
    </row>
    <row r="125" spans="1:15" x14ac:dyDescent="0.3">
      <c r="A125" s="22" t="s">
        <v>392</v>
      </c>
      <c r="B125" t="str">
        <f t="shared" si="7"/>
        <v>Vikram Joshi</v>
      </c>
      <c r="C125" t="str">
        <f t="shared" si="8"/>
        <v>Customer Support</v>
      </c>
      <c r="D125" s="30" t="str">
        <f t="shared" si="9"/>
        <v>Active</v>
      </c>
      <c r="E125" s="22">
        <v>250</v>
      </c>
      <c r="F125" s="22">
        <v>9</v>
      </c>
      <c r="G125" s="22">
        <v>2</v>
      </c>
      <c r="H125" s="22">
        <v>3</v>
      </c>
      <c r="I125" s="22">
        <f t="shared" si="10"/>
        <v>14</v>
      </c>
      <c r="J125" s="22">
        <f t="shared" si="11"/>
        <v>236</v>
      </c>
      <c r="K125" s="26">
        <f t="shared" si="12"/>
        <v>0.94399999999999995</v>
      </c>
      <c r="L125" s="22">
        <v>5</v>
      </c>
      <c r="M125" s="22">
        <v>8</v>
      </c>
      <c r="N125" s="22">
        <v>66</v>
      </c>
      <c r="O125" s="22" t="str">
        <f t="shared" si="13"/>
        <v>Normal</v>
      </c>
    </row>
    <row r="126" spans="1:15" x14ac:dyDescent="0.3">
      <c r="A126" s="22" t="s">
        <v>566</v>
      </c>
      <c r="B126" t="str">
        <f t="shared" si="7"/>
        <v>Rohan Pandey</v>
      </c>
      <c r="C126" t="str">
        <f t="shared" si="8"/>
        <v>Engineering</v>
      </c>
      <c r="D126" s="30" t="str">
        <f t="shared" si="9"/>
        <v>Active</v>
      </c>
      <c r="E126" s="22">
        <v>250</v>
      </c>
      <c r="F126" s="22">
        <v>17</v>
      </c>
      <c r="G126" s="22">
        <v>8</v>
      </c>
      <c r="H126" s="22">
        <v>8</v>
      </c>
      <c r="I126" s="22">
        <f t="shared" si="10"/>
        <v>33</v>
      </c>
      <c r="J126" s="22">
        <f t="shared" si="11"/>
        <v>217</v>
      </c>
      <c r="K126" s="26">
        <f t="shared" si="12"/>
        <v>0.86799999999999999</v>
      </c>
      <c r="L126" s="22">
        <v>53</v>
      </c>
      <c r="M126" s="22">
        <v>7</v>
      </c>
      <c r="N126" s="22">
        <v>100</v>
      </c>
      <c r="O126" s="22" t="str">
        <f t="shared" si="13"/>
        <v>High Unplanned</v>
      </c>
    </row>
    <row r="127" spans="1:15" x14ac:dyDescent="0.3">
      <c r="A127" s="22" t="s">
        <v>570</v>
      </c>
      <c r="B127" t="str">
        <f t="shared" si="7"/>
        <v>Imran Krishnan</v>
      </c>
      <c r="C127" t="str">
        <f t="shared" si="8"/>
        <v>Operations</v>
      </c>
      <c r="D127" s="30" t="str">
        <f t="shared" si="9"/>
        <v>Active</v>
      </c>
      <c r="E127" s="22">
        <v>250</v>
      </c>
      <c r="F127" s="22">
        <v>8</v>
      </c>
      <c r="G127" s="22">
        <v>5</v>
      </c>
      <c r="H127" s="22">
        <v>1</v>
      </c>
      <c r="I127" s="22">
        <f t="shared" si="10"/>
        <v>14</v>
      </c>
      <c r="J127" s="22">
        <f t="shared" si="11"/>
        <v>236</v>
      </c>
      <c r="K127" s="26">
        <f t="shared" si="12"/>
        <v>0.94399999999999995</v>
      </c>
      <c r="L127" s="22">
        <v>19</v>
      </c>
      <c r="M127" s="22">
        <v>13</v>
      </c>
      <c r="N127" s="22">
        <v>120</v>
      </c>
      <c r="O127" s="22" t="str">
        <f t="shared" si="13"/>
        <v>Normal</v>
      </c>
    </row>
    <row r="128" spans="1:15" x14ac:dyDescent="0.3">
      <c r="A128" s="22" t="s">
        <v>573</v>
      </c>
      <c r="B128" t="str">
        <f t="shared" si="7"/>
        <v>Ayesha Raghavan</v>
      </c>
      <c r="C128" t="str">
        <f t="shared" si="8"/>
        <v>Sales</v>
      </c>
      <c r="D128" s="30" t="str">
        <f t="shared" si="9"/>
        <v>Active</v>
      </c>
      <c r="E128" s="22">
        <v>250</v>
      </c>
      <c r="F128" s="22">
        <v>12</v>
      </c>
      <c r="G128" s="22">
        <v>0</v>
      </c>
      <c r="H128" s="22">
        <v>5</v>
      </c>
      <c r="I128" s="22">
        <f t="shared" si="10"/>
        <v>17</v>
      </c>
      <c r="J128" s="22">
        <f t="shared" si="11"/>
        <v>233</v>
      </c>
      <c r="K128" s="26">
        <f t="shared" si="12"/>
        <v>0.93200000000000005</v>
      </c>
      <c r="L128" s="22">
        <v>59</v>
      </c>
      <c r="M128" s="22">
        <v>3</v>
      </c>
      <c r="N128" s="22">
        <v>13</v>
      </c>
      <c r="O128" s="22" t="str">
        <f t="shared" si="13"/>
        <v>Normal</v>
      </c>
    </row>
    <row r="129" spans="1:15" x14ac:dyDescent="0.3">
      <c r="A129" s="22" t="s">
        <v>577</v>
      </c>
      <c r="B129" t="str">
        <f t="shared" si="7"/>
        <v>Abhishek Das</v>
      </c>
      <c r="C129" t="str">
        <f t="shared" si="8"/>
        <v>Operations</v>
      </c>
      <c r="D129" s="30" t="str">
        <f t="shared" si="9"/>
        <v>Active</v>
      </c>
      <c r="E129" s="22">
        <v>250</v>
      </c>
      <c r="F129" s="22">
        <v>15</v>
      </c>
      <c r="G129" s="22">
        <v>1</v>
      </c>
      <c r="H129" s="22">
        <v>14</v>
      </c>
      <c r="I129" s="22">
        <f t="shared" si="10"/>
        <v>30</v>
      </c>
      <c r="J129" s="22">
        <f t="shared" si="11"/>
        <v>220</v>
      </c>
      <c r="K129" s="26">
        <f t="shared" si="12"/>
        <v>0.88</v>
      </c>
      <c r="L129" s="22">
        <v>20</v>
      </c>
      <c r="M129" s="22">
        <v>7</v>
      </c>
      <c r="N129" s="22">
        <v>12</v>
      </c>
      <c r="O129" s="22" t="str">
        <f t="shared" si="13"/>
        <v>High Unplanned</v>
      </c>
    </row>
    <row r="130" spans="1:15" x14ac:dyDescent="0.3">
      <c r="A130" s="22" t="s">
        <v>401</v>
      </c>
      <c r="B130" t="str">
        <f t="shared" ref="B130:B193" si="14">INDEX(M_Name,MATCH($A130,M_ID,0))</f>
        <v>Madhuri Menon</v>
      </c>
      <c r="C130" t="str">
        <f t="shared" ref="C130:C193" si="15">INDEX(M_Dept,MATCH($A130,M_ID,0))</f>
        <v>Engineering</v>
      </c>
      <c r="D130" s="30" t="str">
        <f t="shared" ref="D130:D193" si="16">INDEX(M_Status,MATCH($A130,M_ID,0))</f>
        <v>Active</v>
      </c>
      <c r="E130" s="22">
        <v>250</v>
      </c>
      <c r="F130" s="22">
        <v>18</v>
      </c>
      <c r="G130" s="22">
        <v>0</v>
      </c>
      <c r="H130" s="22">
        <v>0</v>
      </c>
      <c r="I130" s="22">
        <f t="shared" ref="I130:I193" si="17">SUM(F130:H130)</f>
        <v>18</v>
      </c>
      <c r="J130" s="22">
        <f t="shared" ref="J130:J193" si="18">E130-I130</f>
        <v>232</v>
      </c>
      <c r="K130" s="26">
        <f t="shared" ref="K130:K193" si="19">IFERROR(J130/E130,0)</f>
        <v>0.92800000000000005</v>
      </c>
      <c r="L130" s="22">
        <v>49</v>
      </c>
      <c r="M130" s="22">
        <v>8</v>
      </c>
      <c r="N130" s="22">
        <v>111</v>
      </c>
      <c r="O130" s="22" t="str">
        <f t="shared" ref="O130:O193" si="20">IF(H130&gt;=8,"High Unplanned",IF(K130&lt;0.9,"Low Attendance","Normal"))</f>
        <v>Normal</v>
      </c>
    </row>
    <row r="131" spans="1:15" x14ac:dyDescent="0.3">
      <c r="A131" s="22" t="s">
        <v>237</v>
      </c>
      <c r="B131" t="str">
        <f t="shared" si="14"/>
        <v>Yash Raghavan</v>
      </c>
      <c r="C131" t="str">
        <f t="shared" si="15"/>
        <v>Sales</v>
      </c>
      <c r="D131" s="30" t="str">
        <f t="shared" si="16"/>
        <v>Active</v>
      </c>
      <c r="E131" s="22">
        <v>250</v>
      </c>
      <c r="F131" s="22">
        <v>18</v>
      </c>
      <c r="G131" s="22">
        <v>1</v>
      </c>
      <c r="H131" s="22">
        <v>7</v>
      </c>
      <c r="I131" s="22">
        <f t="shared" si="17"/>
        <v>26</v>
      </c>
      <c r="J131" s="22">
        <f t="shared" si="18"/>
        <v>224</v>
      </c>
      <c r="K131" s="26">
        <f t="shared" si="19"/>
        <v>0.89600000000000002</v>
      </c>
      <c r="L131" s="22">
        <v>50</v>
      </c>
      <c r="M131" s="22">
        <v>2</v>
      </c>
      <c r="N131" s="22">
        <v>18</v>
      </c>
      <c r="O131" s="22" t="str">
        <f t="shared" si="20"/>
        <v>Low Attendance</v>
      </c>
    </row>
    <row r="132" spans="1:15" x14ac:dyDescent="0.3">
      <c r="A132" s="22" t="s">
        <v>582</v>
      </c>
      <c r="B132" t="str">
        <f t="shared" si="14"/>
        <v>Vidya Saxena</v>
      </c>
      <c r="C132" t="str">
        <f t="shared" si="15"/>
        <v>Engineering</v>
      </c>
      <c r="D132" s="30" t="str">
        <f t="shared" si="16"/>
        <v>Active</v>
      </c>
      <c r="E132" s="22">
        <v>250</v>
      </c>
      <c r="F132" s="22">
        <v>8</v>
      </c>
      <c r="G132" s="22">
        <v>1</v>
      </c>
      <c r="H132" s="22">
        <v>1</v>
      </c>
      <c r="I132" s="22">
        <f t="shared" si="17"/>
        <v>10</v>
      </c>
      <c r="J132" s="22">
        <f t="shared" si="18"/>
        <v>240</v>
      </c>
      <c r="K132" s="26">
        <f t="shared" si="19"/>
        <v>0.96</v>
      </c>
      <c r="L132" s="22">
        <v>56</v>
      </c>
      <c r="M132" s="22">
        <v>5</v>
      </c>
      <c r="N132" s="22">
        <v>11</v>
      </c>
      <c r="O132" s="22" t="str">
        <f t="shared" si="20"/>
        <v>Normal</v>
      </c>
    </row>
    <row r="133" spans="1:15" x14ac:dyDescent="0.3">
      <c r="A133" s="22" t="s">
        <v>585</v>
      </c>
      <c r="B133" t="str">
        <f t="shared" si="14"/>
        <v>Ramya Mukherjee</v>
      </c>
      <c r="C133" t="str">
        <f t="shared" si="15"/>
        <v>Engineering</v>
      </c>
      <c r="D133" s="30" t="str">
        <f t="shared" si="16"/>
        <v>Active</v>
      </c>
      <c r="E133" s="22">
        <v>250</v>
      </c>
      <c r="F133" s="22">
        <v>7</v>
      </c>
      <c r="G133" s="22">
        <v>2</v>
      </c>
      <c r="H133" s="22">
        <v>8</v>
      </c>
      <c r="I133" s="22">
        <f t="shared" si="17"/>
        <v>17</v>
      </c>
      <c r="J133" s="22">
        <f t="shared" si="18"/>
        <v>233</v>
      </c>
      <c r="K133" s="26">
        <f t="shared" si="19"/>
        <v>0.93200000000000005</v>
      </c>
      <c r="L133" s="22">
        <v>43</v>
      </c>
      <c r="M133" s="22">
        <v>7</v>
      </c>
      <c r="N133" s="22">
        <v>32</v>
      </c>
      <c r="O133" s="22" t="str">
        <f t="shared" si="20"/>
        <v>High Unplanned</v>
      </c>
    </row>
    <row r="134" spans="1:15" x14ac:dyDescent="0.3">
      <c r="A134" s="22" t="s">
        <v>588</v>
      </c>
      <c r="B134" t="str">
        <f t="shared" si="14"/>
        <v>Meera Naidu</v>
      </c>
      <c r="C134" t="str">
        <f t="shared" si="15"/>
        <v>Customer Support</v>
      </c>
      <c r="D134" s="30" t="str">
        <f t="shared" si="16"/>
        <v>Active</v>
      </c>
      <c r="E134" s="22">
        <v>250</v>
      </c>
      <c r="F134" s="22">
        <v>18</v>
      </c>
      <c r="G134" s="22">
        <v>7</v>
      </c>
      <c r="H134" s="22">
        <v>3</v>
      </c>
      <c r="I134" s="22">
        <f t="shared" si="17"/>
        <v>28</v>
      </c>
      <c r="J134" s="22">
        <f t="shared" si="18"/>
        <v>222</v>
      </c>
      <c r="K134" s="26">
        <f t="shared" si="19"/>
        <v>0.88800000000000001</v>
      </c>
      <c r="L134" s="22">
        <v>4</v>
      </c>
      <c r="M134" s="22">
        <v>1</v>
      </c>
      <c r="N134" s="22">
        <v>72</v>
      </c>
      <c r="O134" s="22" t="str">
        <f t="shared" si="20"/>
        <v>Low Attendance</v>
      </c>
    </row>
    <row r="135" spans="1:15" x14ac:dyDescent="0.3">
      <c r="A135" s="22" t="s">
        <v>591</v>
      </c>
      <c r="B135" t="str">
        <f t="shared" si="14"/>
        <v>Krishna Shah</v>
      </c>
      <c r="C135" t="str">
        <f t="shared" si="15"/>
        <v>Human Resources</v>
      </c>
      <c r="D135" s="30" t="str">
        <f t="shared" si="16"/>
        <v>Active</v>
      </c>
      <c r="E135" s="22">
        <v>250</v>
      </c>
      <c r="F135" s="22">
        <v>13</v>
      </c>
      <c r="G135" s="22">
        <v>0</v>
      </c>
      <c r="H135" s="22">
        <v>1</v>
      </c>
      <c r="I135" s="22">
        <f t="shared" si="17"/>
        <v>14</v>
      </c>
      <c r="J135" s="22">
        <f t="shared" si="18"/>
        <v>236</v>
      </c>
      <c r="K135" s="26">
        <f t="shared" si="19"/>
        <v>0.94399999999999995</v>
      </c>
      <c r="L135" s="22">
        <v>46</v>
      </c>
      <c r="M135" s="22">
        <v>6</v>
      </c>
      <c r="N135" s="22">
        <v>26</v>
      </c>
      <c r="O135" s="22" t="str">
        <f t="shared" si="20"/>
        <v>Normal</v>
      </c>
    </row>
    <row r="136" spans="1:15" x14ac:dyDescent="0.3">
      <c r="A136" s="22" t="s">
        <v>594</v>
      </c>
      <c r="B136" t="str">
        <f t="shared" si="14"/>
        <v>Neha Kamath</v>
      </c>
      <c r="C136" t="str">
        <f t="shared" si="15"/>
        <v>Operations</v>
      </c>
      <c r="D136" s="30" t="str">
        <f t="shared" si="16"/>
        <v>Active</v>
      </c>
      <c r="E136" s="22">
        <v>250</v>
      </c>
      <c r="F136" s="22">
        <v>19</v>
      </c>
      <c r="G136" s="22">
        <v>2</v>
      </c>
      <c r="H136" s="22">
        <v>1</v>
      </c>
      <c r="I136" s="22">
        <f t="shared" si="17"/>
        <v>22</v>
      </c>
      <c r="J136" s="22">
        <f t="shared" si="18"/>
        <v>228</v>
      </c>
      <c r="K136" s="26">
        <f t="shared" si="19"/>
        <v>0.91200000000000003</v>
      </c>
      <c r="L136" s="22">
        <v>16</v>
      </c>
      <c r="M136" s="22">
        <v>13</v>
      </c>
      <c r="N136" s="22">
        <v>79</v>
      </c>
      <c r="O136" s="22" t="str">
        <f t="shared" si="20"/>
        <v>Normal</v>
      </c>
    </row>
    <row r="137" spans="1:15" x14ac:dyDescent="0.3">
      <c r="A137" s="22" t="s">
        <v>597</v>
      </c>
      <c r="B137" t="str">
        <f t="shared" si="14"/>
        <v>Lakshmi Iyer</v>
      </c>
      <c r="C137" t="str">
        <f t="shared" si="15"/>
        <v>Operations</v>
      </c>
      <c r="D137" s="30" t="str">
        <f t="shared" si="16"/>
        <v>Active</v>
      </c>
      <c r="E137" s="22">
        <v>250</v>
      </c>
      <c r="F137" s="22">
        <v>11</v>
      </c>
      <c r="G137" s="22">
        <v>5</v>
      </c>
      <c r="H137" s="22">
        <v>0</v>
      </c>
      <c r="I137" s="22">
        <f t="shared" si="17"/>
        <v>16</v>
      </c>
      <c r="J137" s="22">
        <f t="shared" si="18"/>
        <v>234</v>
      </c>
      <c r="K137" s="26">
        <f t="shared" si="19"/>
        <v>0.93600000000000005</v>
      </c>
      <c r="L137" s="22">
        <v>13</v>
      </c>
      <c r="M137" s="22">
        <v>8</v>
      </c>
      <c r="N137" s="22">
        <v>57</v>
      </c>
      <c r="O137" s="22" t="str">
        <f t="shared" si="20"/>
        <v>Normal</v>
      </c>
    </row>
    <row r="138" spans="1:15" x14ac:dyDescent="0.3">
      <c r="A138" s="22" t="s">
        <v>600</v>
      </c>
      <c r="B138" t="str">
        <f t="shared" si="14"/>
        <v>Aarav Choudhary</v>
      </c>
      <c r="C138" t="str">
        <f t="shared" si="15"/>
        <v>Data &amp; Analytics</v>
      </c>
      <c r="D138" s="30" t="str">
        <f t="shared" si="16"/>
        <v>Exited</v>
      </c>
      <c r="E138" s="22">
        <v>139</v>
      </c>
      <c r="F138" s="22">
        <v>10</v>
      </c>
      <c r="G138" s="22">
        <v>0</v>
      </c>
      <c r="H138" s="22">
        <v>2</v>
      </c>
      <c r="I138" s="22">
        <f t="shared" si="17"/>
        <v>12</v>
      </c>
      <c r="J138" s="22">
        <f t="shared" si="18"/>
        <v>127</v>
      </c>
      <c r="K138" s="26">
        <f t="shared" si="19"/>
        <v>0.91366906474820142</v>
      </c>
      <c r="L138" s="22">
        <v>17</v>
      </c>
      <c r="M138" s="22">
        <v>11</v>
      </c>
      <c r="N138" s="22">
        <v>15</v>
      </c>
      <c r="O138" s="22" t="str">
        <f t="shared" si="20"/>
        <v>Normal</v>
      </c>
    </row>
    <row r="139" spans="1:15" x14ac:dyDescent="0.3">
      <c r="A139" s="22" t="s">
        <v>603</v>
      </c>
      <c r="B139" t="str">
        <f t="shared" si="14"/>
        <v>Ananya Banerjee</v>
      </c>
      <c r="C139" t="str">
        <f t="shared" si="15"/>
        <v>Engineering</v>
      </c>
      <c r="D139" s="30" t="str">
        <f t="shared" si="16"/>
        <v>Exited</v>
      </c>
      <c r="E139" s="22">
        <v>180</v>
      </c>
      <c r="F139" s="22">
        <v>17</v>
      </c>
      <c r="G139" s="22">
        <v>8</v>
      </c>
      <c r="H139" s="22">
        <v>2</v>
      </c>
      <c r="I139" s="22">
        <f t="shared" si="17"/>
        <v>27</v>
      </c>
      <c r="J139" s="22">
        <f t="shared" si="18"/>
        <v>153</v>
      </c>
      <c r="K139" s="26">
        <f t="shared" si="19"/>
        <v>0.85</v>
      </c>
      <c r="L139" s="22">
        <v>47</v>
      </c>
      <c r="M139" s="22">
        <v>6</v>
      </c>
      <c r="N139" s="22">
        <v>20</v>
      </c>
      <c r="O139" s="22" t="str">
        <f t="shared" si="20"/>
        <v>Low Attendance</v>
      </c>
    </row>
    <row r="140" spans="1:15" x14ac:dyDescent="0.3">
      <c r="A140" s="22" t="s">
        <v>606</v>
      </c>
      <c r="B140" t="str">
        <f t="shared" si="14"/>
        <v>Prakash Kamath</v>
      </c>
      <c r="C140" t="str">
        <f t="shared" si="15"/>
        <v>Operations</v>
      </c>
      <c r="D140" s="30" t="str">
        <f t="shared" si="16"/>
        <v>Active</v>
      </c>
      <c r="E140" s="22">
        <v>250</v>
      </c>
      <c r="F140" s="22">
        <v>15</v>
      </c>
      <c r="G140" s="22">
        <v>6</v>
      </c>
      <c r="H140" s="22">
        <v>5</v>
      </c>
      <c r="I140" s="22">
        <f t="shared" si="17"/>
        <v>26</v>
      </c>
      <c r="J140" s="22">
        <f t="shared" si="18"/>
        <v>224</v>
      </c>
      <c r="K140" s="26">
        <f t="shared" si="19"/>
        <v>0.89600000000000002</v>
      </c>
      <c r="L140" s="22">
        <v>7</v>
      </c>
      <c r="M140" s="22">
        <v>6</v>
      </c>
      <c r="N140" s="22">
        <v>111</v>
      </c>
      <c r="O140" s="22" t="str">
        <f t="shared" si="20"/>
        <v>Low Attendance</v>
      </c>
    </row>
    <row r="141" spans="1:15" x14ac:dyDescent="0.3">
      <c r="A141" s="22" t="s">
        <v>609</v>
      </c>
      <c r="B141" t="str">
        <f t="shared" si="14"/>
        <v>Anusha Jain</v>
      </c>
      <c r="C141" t="str">
        <f t="shared" si="15"/>
        <v>Engineering</v>
      </c>
      <c r="D141" s="30" t="str">
        <f t="shared" si="16"/>
        <v>Active</v>
      </c>
      <c r="E141" s="22">
        <v>250</v>
      </c>
      <c r="F141" s="22">
        <v>13</v>
      </c>
      <c r="G141" s="22">
        <v>1</v>
      </c>
      <c r="H141" s="22">
        <v>1</v>
      </c>
      <c r="I141" s="22">
        <f t="shared" si="17"/>
        <v>15</v>
      </c>
      <c r="J141" s="22">
        <f t="shared" si="18"/>
        <v>235</v>
      </c>
      <c r="K141" s="26">
        <f t="shared" si="19"/>
        <v>0.94</v>
      </c>
      <c r="L141" s="22">
        <v>69</v>
      </c>
      <c r="M141" s="22">
        <v>10</v>
      </c>
      <c r="N141" s="22">
        <v>68</v>
      </c>
      <c r="O141" s="22" t="str">
        <f t="shared" si="20"/>
        <v>Normal</v>
      </c>
    </row>
    <row r="142" spans="1:15" x14ac:dyDescent="0.3">
      <c r="A142" s="22" t="s">
        <v>612</v>
      </c>
      <c r="B142" t="str">
        <f t="shared" si="14"/>
        <v>Abhishek Banerjee</v>
      </c>
      <c r="C142" t="str">
        <f t="shared" si="15"/>
        <v>Operations</v>
      </c>
      <c r="D142" s="30" t="str">
        <f t="shared" si="16"/>
        <v>Active</v>
      </c>
      <c r="E142" s="22">
        <v>250</v>
      </c>
      <c r="F142" s="22">
        <v>20</v>
      </c>
      <c r="G142" s="22">
        <v>7</v>
      </c>
      <c r="H142" s="22">
        <v>0</v>
      </c>
      <c r="I142" s="22">
        <f t="shared" si="17"/>
        <v>27</v>
      </c>
      <c r="J142" s="22">
        <f t="shared" si="18"/>
        <v>223</v>
      </c>
      <c r="K142" s="26">
        <f t="shared" si="19"/>
        <v>0.89200000000000002</v>
      </c>
      <c r="L142" s="22">
        <v>5</v>
      </c>
      <c r="M142" s="22">
        <v>11</v>
      </c>
      <c r="N142" s="22">
        <v>13</v>
      </c>
      <c r="O142" s="22" t="str">
        <f t="shared" si="20"/>
        <v>Low Attendance</v>
      </c>
    </row>
    <row r="143" spans="1:15" x14ac:dyDescent="0.3">
      <c r="A143" s="22" t="s">
        <v>615</v>
      </c>
      <c r="B143" t="str">
        <f t="shared" si="14"/>
        <v>Nisha Naidu</v>
      </c>
      <c r="C143" t="str">
        <f t="shared" si="15"/>
        <v>Sales</v>
      </c>
      <c r="D143" s="30" t="str">
        <f t="shared" si="16"/>
        <v>Active</v>
      </c>
      <c r="E143" s="22">
        <v>250</v>
      </c>
      <c r="F143" s="22">
        <v>20</v>
      </c>
      <c r="G143" s="22">
        <v>6</v>
      </c>
      <c r="H143" s="22">
        <v>3</v>
      </c>
      <c r="I143" s="22">
        <f t="shared" si="17"/>
        <v>29</v>
      </c>
      <c r="J143" s="22">
        <f t="shared" si="18"/>
        <v>221</v>
      </c>
      <c r="K143" s="26">
        <f t="shared" si="19"/>
        <v>0.88400000000000001</v>
      </c>
      <c r="L143" s="22">
        <v>35</v>
      </c>
      <c r="M143" s="22">
        <v>6</v>
      </c>
      <c r="N143" s="22">
        <v>21</v>
      </c>
      <c r="O143" s="22" t="str">
        <f t="shared" si="20"/>
        <v>Low Attendance</v>
      </c>
    </row>
    <row r="144" spans="1:15" x14ac:dyDescent="0.3">
      <c r="A144" s="22" t="s">
        <v>618</v>
      </c>
      <c r="B144" t="str">
        <f t="shared" si="14"/>
        <v>Tejaswini Naidu</v>
      </c>
      <c r="C144" t="str">
        <f t="shared" si="15"/>
        <v>Operations</v>
      </c>
      <c r="D144" s="30" t="str">
        <f t="shared" si="16"/>
        <v>Active</v>
      </c>
      <c r="E144" s="22">
        <v>250</v>
      </c>
      <c r="F144" s="22">
        <v>7</v>
      </c>
      <c r="G144" s="22">
        <v>5</v>
      </c>
      <c r="H144" s="22">
        <v>1</v>
      </c>
      <c r="I144" s="22">
        <f t="shared" si="17"/>
        <v>13</v>
      </c>
      <c r="J144" s="22">
        <f t="shared" si="18"/>
        <v>237</v>
      </c>
      <c r="K144" s="26">
        <f t="shared" si="19"/>
        <v>0.94799999999999995</v>
      </c>
      <c r="L144" s="22">
        <v>19</v>
      </c>
      <c r="M144" s="22">
        <v>7</v>
      </c>
      <c r="N144" s="22">
        <v>27</v>
      </c>
      <c r="O144" s="22" t="str">
        <f t="shared" si="20"/>
        <v>Normal</v>
      </c>
    </row>
    <row r="145" spans="1:15" x14ac:dyDescent="0.3">
      <c r="A145" s="22" t="s">
        <v>622</v>
      </c>
      <c r="B145" t="str">
        <f t="shared" si="14"/>
        <v>Nandini Bansal</v>
      </c>
      <c r="C145" t="str">
        <f t="shared" si="15"/>
        <v>Marketing</v>
      </c>
      <c r="D145" s="30" t="str">
        <f t="shared" si="16"/>
        <v>Active</v>
      </c>
      <c r="E145" s="22">
        <v>250</v>
      </c>
      <c r="F145" s="22">
        <v>17</v>
      </c>
      <c r="G145" s="22">
        <v>7</v>
      </c>
      <c r="H145" s="22">
        <v>5</v>
      </c>
      <c r="I145" s="22">
        <f t="shared" si="17"/>
        <v>29</v>
      </c>
      <c r="J145" s="22">
        <f t="shared" si="18"/>
        <v>221</v>
      </c>
      <c r="K145" s="26">
        <f t="shared" si="19"/>
        <v>0.88400000000000001</v>
      </c>
      <c r="L145" s="22">
        <v>14</v>
      </c>
      <c r="M145" s="22">
        <v>8</v>
      </c>
      <c r="N145" s="22">
        <v>9</v>
      </c>
      <c r="O145" s="22" t="str">
        <f t="shared" si="20"/>
        <v>Low Attendance</v>
      </c>
    </row>
    <row r="146" spans="1:15" x14ac:dyDescent="0.3">
      <c r="A146" s="22" t="s">
        <v>626</v>
      </c>
      <c r="B146" t="str">
        <f t="shared" si="14"/>
        <v>Srinivas Bansal</v>
      </c>
      <c r="C146" t="str">
        <f t="shared" si="15"/>
        <v>Sales</v>
      </c>
      <c r="D146" s="30" t="str">
        <f t="shared" si="16"/>
        <v>Active</v>
      </c>
      <c r="E146" s="22">
        <v>250</v>
      </c>
      <c r="F146" s="22">
        <v>13</v>
      </c>
      <c r="G146" s="22">
        <v>2</v>
      </c>
      <c r="H146" s="22">
        <v>2</v>
      </c>
      <c r="I146" s="22">
        <f t="shared" si="17"/>
        <v>17</v>
      </c>
      <c r="J146" s="22">
        <f t="shared" si="18"/>
        <v>233</v>
      </c>
      <c r="K146" s="26">
        <f t="shared" si="19"/>
        <v>0.93200000000000005</v>
      </c>
      <c r="L146" s="22">
        <v>50</v>
      </c>
      <c r="M146" s="22">
        <v>9</v>
      </c>
      <c r="N146" s="22">
        <v>2</v>
      </c>
      <c r="O146" s="22" t="str">
        <f t="shared" si="20"/>
        <v>Normal</v>
      </c>
    </row>
    <row r="147" spans="1:15" x14ac:dyDescent="0.3">
      <c r="A147" s="22" t="s">
        <v>629</v>
      </c>
      <c r="B147" t="str">
        <f t="shared" si="14"/>
        <v>Tejaswini Dsouza</v>
      </c>
      <c r="C147" t="str">
        <f t="shared" si="15"/>
        <v>Sales</v>
      </c>
      <c r="D147" s="30" t="str">
        <f t="shared" si="16"/>
        <v>Exited</v>
      </c>
      <c r="E147" s="22">
        <v>126</v>
      </c>
      <c r="F147" s="22">
        <v>12</v>
      </c>
      <c r="G147" s="22">
        <v>6</v>
      </c>
      <c r="H147" s="22">
        <v>4</v>
      </c>
      <c r="I147" s="22">
        <f t="shared" si="17"/>
        <v>22</v>
      </c>
      <c r="J147" s="22">
        <f t="shared" si="18"/>
        <v>104</v>
      </c>
      <c r="K147" s="26">
        <f t="shared" si="19"/>
        <v>0.82539682539682535</v>
      </c>
      <c r="L147" s="22">
        <v>65</v>
      </c>
      <c r="M147" s="22">
        <v>7</v>
      </c>
      <c r="N147" s="22">
        <v>13</v>
      </c>
      <c r="O147" s="22" t="str">
        <f t="shared" si="20"/>
        <v>Low Attendance</v>
      </c>
    </row>
    <row r="148" spans="1:15" x14ac:dyDescent="0.3">
      <c r="A148" s="22" t="s">
        <v>632</v>
      </c>
      <c r="B148" t="str">
        <f t="shared" si="14"/>
        <v>Zara Krishnan</v>
      </c>
      <c r="C148" t="str">
        <f t="shared" si="15"/>
        <v>Legal &amp; Compliance</v>
      </c>
      <c r="D148" s="30" t="str">
        <f t="shared" si="16"/>
        <v>Active</v>
      </c>
      <c r="E148" s="22">
        <v>250</v>
      </c>
      <c r="F148" s="22">
        <v>6</v>
      </c>
      <c r="G148" s="22">
        <v>3</v>
      </c>
      <c r="H148" s="22">
        <v>5</v>
      </c>
      <c r="I148" s="22">
        <f t="shared" si="17"/>
        <v>14</v>
      </c>
      <c r="J148" s="22">
        <f t="shared" si="18"/>
        <v>236</v>
      </c>
      <c r="K148" s="26">
        <f t="shared" si="19"/>
        <v>0.94399999999999995</v>
      </c>
      <c r="L148" s="22">
        <v>64</v>
      </c>
      <c r="M148" s="22">
        <v>4</v>
      </c>
      <c r="N148" s="22">
        <v>16</v>
      </c>
      <c r="O148" s="22" t="str">
        <f t="shared" si="20"/>
        <v>Normal</v>
      </c>
    </row>
    <row r="149" spans="1:15" x14ac:dyDescent="0.3">
      <c r="A149" s="22" t="s">
        <v>635</v>
      </c>
      <c r="B149" t="str">
        <f t="shared" si="14"/>
        <v>Suresh Bansal</v>
      </c>
      <c r="C149" t="str">
        <f t="shared" si="15"/>
        <v>Product</v>
      </c>
      <c r="D149" s="30" t="str">
        <f t="shared" si="16"/>
        <v>Active</v>
      </c>
      <c r="E149" s="22">
        <v>250</v>
      </c>
      <c r="F149" s="22">
        <v>16</v>
      </c>
      <c r="G149" s="22">
        <v>2</v>
      </c>
      <c r="H149" s="22">
        <v>0</v>
      </c>
      <c r="I149" s="22">
        <f t="shared" si="17"/>
        <v>18</v>
      </c>
      <c r="J149" s="22">
        <f t="shared" si="18"/>
        <v>232</v>
      </c>
      <c r="K149" s="26">
        <f t="shared" si="19"/>
        <v>0.92800000000000005</v>
      </c>
      <c r="L149" s="22">
        <v>18</v>
      </c>
      <c r="M149" s="22">
        <v>4</v>
      </c>
      <c r="N149" s="22">
        <v>25</v>
      </c>
      <c r="O149" s="22" t="str">
        <f t="shared" si="20"/>
        <v>Normal</v>
      </c>
    </row>
    <row r="150" spans="1:15" x14ac:dyDescent="0.3">
      <c r="A150" s="22" t="s">
        <v>638</v>
      </c>
      <c r="B150" t="str">
        <f t="shared" si="14"/>
        <v>Ashish Sharma</v>
      </c>
      <c r="C150" t="str">
        <f t="shared" si="15"/>
        <v>Sales</v>
      </c>
      <c r="D150" s="30" t="str">
        <f t="shared" si="16"/>
        <v>Active</v>
      </c>
      <c r="E150" s="22">
        <v>250</v>
      </c>
      <c r="F150" s="22">
        <v>7</v>
      </c>
      <c r="G150" s="22">
        <v>4</v>
      </c>
      <c r="H150" s="22">
        <v>10</v>
      </c>
      <c r="I150" s="22">
        <f t="shared" si="17"/>
        <v>21</v>
      </c>
      <c r="J150" s="22">
        <f t="shared" si="18"/>
        <v>229</v>
      </c>
      <c r="K150" s="26">
        <f t="shared" si="19"/>
        <v>0.91600000000000004</v>
      </c>
      <c r="L150" s="22">
        <v>63</v>
      </c>
      <c r="M150" s="22">
        <v>8</v>
      </c>
      <c r="N150" s="22">
        <v>13</v>
      </c>
      <c r="O150" s="22" t="str">
        <f t="shared" si="20"/>
        <v>High Unplanned</v>
      </c>
    </row>
    <row r="151" spans="1:15" x14ac:dyDescent="0.3">
      <c r="A151" s="22" t="s">
        <v>252</v>
      </c>
      <c r="B151" t="str">
        <f t="shared" si="14"/>
        <v>Vidya Chatterjee</v>
      </c>
      <c r="C151" t="str">
        <f t="shared" si="15"/>
        <v>Customer Support</v>
      </c>
      <c r="D151" s="30" t="str">
        <f t="shared" si="16"/>
        <v>Active</v>
      </c>
      <c r="E151" s="22">
        <v>250</v>
      </c>
      <c r="F151" s="22">
        <v>16</v>
      </c>
      <c r="G151" s="22">
        <v>4</v>
      </c>
      <c r="H151" s="22">
        <v>0</v>
      </c>
      <c r="I151" s="22">
        <f t="shared" si="17"/>
        <v>20</v>
      </c>
      <c r="J151" s="22">
        <f t="shared" si="18"/>
        <v>230</v>
      </c>
      <c r="K151" s="26">
        <f t="shared" si="19"/>
        <v>0.92</v>
      </c>
      <c r="L151" s="22">
        <v>1</v>
      </c>
      <c r="M151" s="22">
        <v>1</v>
      </c>
      <c r="N151" s="22">
        <v>114</v>
      </c>
      <c r="O151" s="22" t="str">
        <f t="shared" si="20"/>
        <v>Normal</v>
      </c>
    </row>
    <row r="152" spans="1:15" x14ac:dyDescent="0.3">
      <c r="A152" s="22" t="s">
        <v>644</v>
      </c>
      <c r="B152" t="str">
        <f t="shared" si="14"/>
        <v>Abhishek Verma</v>
      </c>
      <c r="C152" t="str">
        <f t="shared" si="15"/>
        <v>Engineering</v>
      </c>
      <c r="D152" s="30" t="str">
        <f t="shared" si="16"/>
        <v>Active</v>
      </c>
      <c r="E152" s="22">
        <v>250</v>
      </c>
      <c r="F152" s="22">
        <v>20</v>
      </c>
      <c r="G152" s="22">
        <v>6</v>
      </c>
      <c r="H152" s="22">
        <v>1</v>
      </c>
      <c r="I152" s="22">
        <f t="shared" si="17"/>
        <v>27</v>
      </c>
      <c r="J152" s="22">
        <f t="shared" si="18"/>
        <v>223</v>
      </c>
      <c r="K152" s="26">
        <f t="shared" si="19"/>
        <v>0.89200000000000002</v>
      </c>
      <c r="L152" s="22">
        <v>48</v>
      </c>
      <c r="M152" s="22">
        <v>2</v>
      </c>
      <c r="N152" s="22">
        <v>25</v>
      </c>
      <c r="O152" s="22" t="str">
        <f t="shared" si="20"/>
        <v>Low Attendance</v>
      </c>
    </row>
    <row r="153" spans="1:15" x14ac:dyDescent="0.3">
      <c r="A153" s="22" t="s">
        <v>647</v>
      </c>
      <c r="B153" t="str">
        <f t="shared" si="14"/>
        <v>Tarun Pillai</v>
      </c>
      <c r="C153" t="str">
        <f t="shared" si="15"/>
        <v>Engineering</v>
      </c>
      <c r="D153" s="30" t="str">
        <f t="shared" si="16"/>
        <v>Active</v>
      </c>
      <c r="E153" s="22">
        <v>250</v>
      </c>
      <c r="F153" s="22">
        <v>11</v>
      </c>
      <c r="G153" s="22">
        <v>6</v>
      </c>
      <c r="H153" s="22">
        <v>8</v>
      </c>
      <c r="I153" s="22">
        <f t="shared" si="17"/>
        <v>25</v>
      </c>
      <c r="J153" s="22">
        <f t="shared" si="18"/>
        <v>225</v>
      </c>
      <c r="K153" s="26">
        <f t="shared" si="19"/>
        <v>0.9</v>
      </c>
      <c r="L153" s="22">
        <v>30</v>
      </c>
      <c r="M153" s="22">
        <v>11</v>
      </c>
      <c r="N153" s="22">
        <v>55</v>
      </c>
      <c r="O153" s="22" t="str">
        <f t="shared" si="20"/>
        <v>High Unplanned</v>
      </c>
    </row>
    <row r="154" spans="1:15" x14ac:dyDescent="0.3">
      <c r="A154" s="22" t="s">
        <v>650</v>
      </c>
      <c r="B154" t="str">
        <f t="shared" si="14"/>
        <v>Zara Bose</v>
      </c>
      <c r="C154" t="str">
        <f t="shared" si="15"/>
        <v>Operations</v>
      </c>
      <c r="D154" s="30" t="str">
        <f t="shared" si="16"/>
        <v>Active</v>
      </c>
      <c r="E154" s="22">
        <v>250</v>
      </c>
      <c r="F154" s="22">
        <v>11</v>
      </c>
      <c r="G154" s="22">
        <v>6</v>
      </c>
      <c r="H154" s="22">
        <v>5</v>
      </c>
      <c r="I154" s="22">
        <f t="shared" si="17"/>
        <v>22</v>
      </c>
      <c r="J154" s="22">
        <f t="shared" si="18"/>
        <v>228</v>
      </c>
      <c r="K154" s="26">
        <f t="shared" si="19"/>
        <v>0.91200000000000003</v>
      </c>
      <c r="L154" s="22">
        <v>17</v>
      </c>
      <c r="M154" s="22">
        <v>12</v>
      </c>
      <c r="N154" s="22">
        <v>114</v>
      </c>
      <c r="O154" s="22" t="str">
        <f t="shared" si="20"/>
        <v>Normal</v>
      </c>
    </row>
    <row r="155" spans="1:15" x14ac:dyDescent="0.3">
      <c r="A155" s="22" t="s">
        <v>653</v>
      </c>
      <c r="B155" t="str">
        <f t="shared" si="14"/>
        <v>Krishna Chatterjee</v>
      </c>
      <c r="C155" t="str">
        <f t="shared" si="15"/>
        <v>Operations</v>
      </c>
      <c r="D155" s="30" t="str">
        <f t="shared" si="16"/>
        <v>Active</v>
      </c>
      <c r="E155" s="22">
        <v>250</v>
      </c>
      <c r="F155" s="22">
        <v>15</v>
      </c>
      <c r="G155" s="22">
        <v>3</v>
      </c>
      <c r="H155" s="22">
        <v>0</v>
      </c>
      <c r="I155" s="22">
        <f t="shared" si="17"/>
        <v>18</v>
      </c>
      <c r="J155" s="22">
        <f t="shared" si="18"/>
        <v>232</v>
      </c>
      <c r="K155" s="26">
        <f t="shared" si="19"/>
        <v>0.92800000000000005</v>
      </c>
      <c r="L155" s="22">
        <v>21</v>
      </c>
      <c r="M155" s="22">
        <v>9</v>
      </c>
      <c r="N155" s="22">
        <v>78</v>
      </c>
      <c r="O155" s="22" t="str">
        <f t="shared" si="20"/>
        <v>Normal</v>
      </c>
    </row>
    <row r="156" spans="1:15" x14ac:dyDescent="0.3">
      <c r="A156" s="22" t="s">
        <v>656</v>
      </c>
      <c r="B156" t="str">
        <f t="shared" si="14"/>
        <v>Mary Singh</v>
      </c>
      <c r="C156" t="str">
        <f t="shared" si="15"/>
        <v>Human Resources</v>
      </c>
      <c r="D156" s="30" t="str">
        <f t="shared" si="16"/>
        <v>Active</v>
      </c>
      <c r="E156" s="22">
        <v>250</v>
      </c>
      <c r="F156" s="22">
        <v>8</v>
      </c>
      <c r="G156" s="22">
        <v>5</v>
      </c>
      <c r="H156" s="22">
        <v>3</v>
      </c>
      <c r="I156" s="22">
        <f t="shared" si="17"/>
        <v>16</v>
      </c>
      <c r="J156" s="22">
        <f t="shared" si="18"/>
        <v>234</v>
      </c>
      <c r="K156" s="26">
        <f t="shared" si="19"/>
        <v>0.93600000000000005</v>
      </c>
      <c r="L156" s="22">
        <v>50</v>
      </c>
      <c r="M156" s="22">
        <v>0</v>
      </c>
      <c r="N156" s="22">
        <v>9</v>
      </c>
      <c r="O156" s="22" t="str">
        <f t="shared" si="20"/>
        <v>Normal</v>
      </c>
    </row>
    <row r="157" spans="1:15" x14ac:dyDescent="0.3">
      <c r="A157" s="22" t="s">
        <v>660</v>
      </c>
      <c r="B157" t="str">
        <f t="shared" si="14"/>
        <v>Lakshmi Pillai</v>
      </c>
      <c r="C157" t="str">
        <f t="shared" si="15"/>
        <v>Finance</v>
      </c>
      <c r="D157" s="30" t="str">
        <f t="shared" si="16"/>
        <v>Active</v>
      </c>
      <c r="E157" s="22">
        <v>250</v>
      </c>
      <c r="F157" s="22">
        <v>20</v>
      </c>
      <c r="G157" s="22">
        <v>7</v>
      </c>
      <c r="H157" s="22">
        <v>8</v>
      </c>
      <c r="I157" s="22">
        <f t="shared" si="17"/>
        <v>35</v>
      </c>
      <c r="J157" s="22">
        <f t="shared" si="18"/>
        <v>215</v>
      </c>
      <c r="K157" s="26">
        <f t="shared" si="19"/>
        <v>0.86</v>
      </c>
      <c r="L157" s="22">
        <v>73</v>
      </c>
      <c r="M157" s="22">
        <v>13</v>
      </c>
      <c r="N157" s="22">
        <v>20</v>
      </c>
      <c r="O157" s="22" t="str">
        <f t="shared" si="20"/>
        <v>High Unplanned</v>
      </c>
    </row>
    <row r="158" spans="1:15" x14ac:dyDescent="0.3">
      <c r="A158" s="22" t="s">
        <v>663</v>
      </c>
      <c r="B158" t="str">
        <f t="shared" si="14"/>
        <v>Varun Subramanian</v>
      </c>
      <c r="C158" t="str">
        <f t="shared" si="15"/>
        <v>Data &amp; Analytics</v>
      </c>
      <c r="D158" s="30" t="str">
        <f t="shared" si="16"/>
        <v>Active</v>
      </c>
      <c r="E158" s="22">
        <v>250</v>
      </c>
      <c r="F158" s="22">
        <v>7</v>
      </c>
      <c r="G158" s="22">
        <v>6</v>
      </c>
      <c r="H158" s="22">
        <v>3</v>
      </c>
      <c r="I158" s="22">
        <f t="shared" si="17"/>
        <v>16</v>
      </c>
      <c r="J158" s="22">
        <f t="shared" si="18"/>
        <v>234</v>
      </c>
      <c r="K158" s="26">
        <f t="shared" si="19"/>
        <v>0.93600000000000005</v>
      </c>
      <c r="L158" s="22">
        <v>67</v>
      </c>
      <c r="M158" s="22">
        <v>13</v>
      </c>
      <c r="N158" s="22">
        <v>8</v>
      </c>
      <c r="O158" s="22" t="str">
        <f t="shared" si="20"/>
        <v>Normal</v>
      </c>
    </row>
    <row r="159" spans="1:15" x14ac:dyDescent="0.3">
      <c r="A159" s="22" t="s">
        <v>122</v>
      </c>
      <c r="B159" t="str">
        <f t="shared" si="14"/>
        <v>Pallavi Shah</v>
      </c>
      <c r="C159" t="str">
        <f t="shared" si="15"/>
        <v>Operations</v>
      </c>
      <c r="D159" s="30" t="str">
        <f t="shared" si="16"/>
        <v>Active</v>
      </c>
      <c r="E159" s="22">
        <v>250</v>
      </c>
      <c r="F159" s="22">
        <v>16</v>
      </c>
      <c r="G159" s="22">
        <v>7</v>
      </c>
      <c r="H159" s="22">
        <v>2</v>
      </c>
      <c r="I159" s="22">
        <f t="shared" si="17"/>
        <v>25</v>
      </c>
      <c r="J159" s="22">
        <f t="shared" si="18"/>
        <v>225</v>
      </c>
      <c r="K159" s="26">
        <f t="shared" si="19"/>
        <v>0.9</v>
      </c>
      <c r="L159" s="22">
        <v>18</v>
      </c>
      <c r="M159" s="22">
        <v>1</v>
      </c>
      <c r="N159" s="22">
        <v>4</v>
      </c>
      <c r="O159" s="22" t="str">
        <f t="shared" si="20"/>
        <v>Normal</v>
      </c>
    </row>
    <row r="160" spans="1:15" x14ac:dyDescent="0.3">
      <c r="A160" s="22" t="s">
        <v>668</v>
      </c>
      <c r="B160" t="str">
        <f t="shared" si="14"/>
        <v>Sanjana Kamath</v>
      </c>
      <c r="C160" t="str">
        <f t="shared" si="15"/>
        <v>Finance</v>
      </c>
      <c r="D160" s="30" t="str">
        <f t="shared" si="16"/>
        <v>Active</v>
      </c>
      <c r="E160" s="22">
        <v>250</v>
      </c>
      <c r="F160" s="22">
        <v>9</v>
      </c>
      <c r="G160" s="22">
        <v>3</v>
      </c>
      <c r="H160" s="22">
        <v>1</v>
      </c>
      <c r="I160" s="22">
        <f t="shared" si="17"/>
        <v>13</v>
      </c>
      <c r="J160" s="22">
        <f t="shared" si="18"/>
        <v>237</v>
      </c>
      <c r="K160" s="26">
        <f t="shared" si="19"/>
        <v>0.94799999999999995</v>
      </c>
      <c r="L160" s="22">
        <v>79</v>
      </c>
      <c r="M160" s="22">
        <v>12</v>
      </c>
      <c r="N160" s="22">
        <v>10</v>
      </c>
      <c r="O160" s="22" t="str">
        <f t="shared" si="20"/>
        <v>Normal</v>
      </c>
    </row>
    <row r="161" spans="1:15" x14ac:dyDescent="0.3">
      <c r="A161" s="22" t="s">
        <v>672</v>
      </c>
      <c r="B161" t="str">
        <f t="shared" si="14"/>
        <v>Bhavana Varghese</v>
      </c>
      <c r="C161" t="str">
        <f t="shared" si="15"/>
        <v>Customer Support</v>
      </c>
      <c r="D161" s="30" t="str">
        <f t="shared" si="16"/>
        <v>Exited</v>
      </c>
      <c r="E161" s="22">
        <v>20</v>
      </c>
      <c r="F161" s="22">
        <v>2</v>
      </c>
      <c r="G161" s="22">
        <v>6</v>
      </c>
      <c r="H161" s="22">
        <v>1</v>
      </c>
      <c r="I161" s="22">
        <f t="shared" si="17"/>
        <v>9</v>
      </c>
      <c r="J161" s="22">
        <f t="shared" si="18"/>
        <v>11</v>
      </c>
      <c r="K161" s="26">
        <f t="shared" si="19"/>
        <v>0.55000000000000004</v>
      </c>
      <c r="L161" s="22">
        <v>6</v>
      </c>
      <c r="M161" s="22">
        <v>3</v>
      </c>
      <c r="N161" s="22">
        <v>86</v>
      </c>
      <c r="O161" s="22" t="str">
        <f t="shared" si="20"/>
        <v>Low Attendance</v>
      </c>
    </row>
    <row r="162" spans="1:15" x14ac:dyDescent="0.3">
      <c r="A162" s="22" t="s">
        <v>675</v>
      </c>
      <c r="B162" t="str">
        <f t="shared" si="14"/>
        <v>Tanvi Siddiqui</v>
      </c>
      <c r="C162" t="str">
        <f t="shared" si="15"/>
        <v>Sales</v>
      </c>
      <c r="D162" s="30" t="str">
        <f t="shared" si="16"/>
        <v>Active</v>
      </c>
      <c r="E162" s="22">
        <v>250</v>
      </c>
      <c r="F162" s="22">
        <v>15</v>
      </c>
      <c r="G162" s="22">
        <v>0</v>
      </c>
      <c r="H162" s="22">
        <v>1</v>
      </c>
      <c r="I162" s="22">
        <f t="shared" si="17"/>
        <v>16</v>
      </c>
      <c r="J162" s="22">
        <f t="shared" si="18"/>
        <v>234</v>
      </c>
      <c r="K162" s="26">
        <f t="shared" si="19"/>
        <v>0.93600000000000005</v>
      </c>
      <c r="L162" s="22">
        <v>56</v>
      </c>
      <c r="M162" s="22">
        <v>0</v>
      </c>
      <c r="N162" s="22">
        <v>19</v>
      </c>
      <c r="O162" s="22" t="str">
        <f t="shared" si="20"/>
        <v>Normal</v>
      </c>
    </row>
    <row r="163" spans="1:15" x14ac:dyDescent="0.3">
      <c r="A163" s="22" t="s">
        <v>678</v>
      </c>
      <c r="B163" t="str">
        <f t="shared" si="14"/>
        <v>Aditi Siddiqui</v>
      </c>
      <c r="C163" t="str">
        <f t="shared" si="15"/>
        <v>Engineering</v>
      </c>
      <c r="D163" s="30" t="str">
        <f t="shared" si="16"/>
        <v>Active</v>
      </c>
      <c r="E163" s="22">
        <v>250</v>
      </c>
      <c r="F163" s="22">
        <v>20</v>
      </c>
      <c r="G163" s="22">
        <v>4</v>
      </c>
      <c r="H163" s="22">
        <v>2</v>
      </c>
      <c r="I163" s="22">
        <f t="shared" si="17"/>
        <v>26</v>
      </c>
      <c r="J163" s="22">
        <f t="shared" si="18"/>
        <v>224</v>
      </c>
      <c r="K163" s="26">
        <f t="shared" si="19"/>
        <v>0.89600000000000002</v>
      </c>
      <c r="L163" s="22">
        <v>25</v>
      </c>
      <c r="M163" s="22">
        <v>11</v>
      </c>
      <c r="N163" s="22">
        <v>63</v>
      </c>
      <c r="O163" s="22" t="str">
        <f t="shared" si="20"/>
        <v>Low Attendance</v>
      </c>
    </row>
    <row r="164" spans="1:15" x14ac:dyDescent="0.3">
      <c r="A164" s="22" t="s">
        <v>681</v>
      </c>
      <c r="B164" t="str">
        <f t="shared" si="14"/>
        <v>Aditi Yadav</v>
      </c>
      <c r="C164" t="str">
        <f t="shared" si="15"/>
        <v>Legal &amp; Compliance</v>
      </c>
      <c r="D164" s="30" t="str">
        <f t="shared" si="16"/>
        <v>Active</v>
      </c>
      <c r="E164" s="22">
        <v>250</v>
      </c>
      <c r="F164" s="22">
        <v>16</v>
      </c>
      <c r="G164" s="22">
        <v>7</v>
      </c>
      <c r="H164" s="22">
        <v>1</v>
      </c>
      <c r="I164" s="22">
        <f t="shared" si="17"/>
        <v>24</v>
      </c>
      <c r="J164" s="22">
        <f t="shared" si="18"/>
        <v>226</v>
      </c>
      <c r="K164" s="26">
        <f t="shared" si="19"/>
        <v>0.90400000000000003</v>
      </c>
      <c r="L164" s="22">
        <v>55</v>
      </c>
      <c r="M164" s="22">
        <v>5</v>
      </c>
      <c r="N164" s="22">
        <v>34</v>
      </c>
      <c r="O164" s="22" t="str">
        <f t="shared" si="20"/>
        <v>Normal</v>
      </c>
    </row>
    <row r="165" spans="1:15" x14ac:dyDescent="0.3">
      <c r="A165" s="22" t="s">
        <v>687</v>
      </c>
      <c r="B165" t="str">
        <f t="shared" si="14"/>
        <v>Gaurav Saxena</v>
      </c>
      <c r="C165" t="str">
        <f t="shared" si="15"/>
        <v>Sales</v>
      </c>
      <c r="D165" s="30" t="str">
        <f t="shared" si="16"/>
        <v>Active</v>
      </c>
      <c r="E165" s="22">
        <v>250</v>
      </c>
      <c r="F165" s="22">
        <v>12</v>
      </c>
      <c r="G165" s="22">
        <v>8</v>
      </c>
      <c r="H165" s="22">
        <v>12</v>
      </c>
      <c r="I165" s="22">
        <f t="shared" si="17"/>
        <v>32</v>
      </c>
      <c r="J165" s="22">
        <f t="shared" si="18"/>
        <v>218</v>
      </c>
      <c r="K165" s="26">
        <f t="shared" si="19"/>
        <v>0.872</v>
      </c>
      <c r="L165" s="22">
        <v>52</v>
      </c>
      <c r="M165" s="22">
        <v>1</v>
      </c>
      <c r="N165" s="22">
        <v>11</v>
      </c>
      <c r="O165" s="22" t="str">
        <f t="shared" si="20"/>
        <v>High Unplanned</v>
      </c>
    </row>
    <row r="166" spans="1:15" x14ac:dyDescent="0.3">
      <c r="A166" s="22" t="s">
        <v>690</v>
      </c>
      <c r="B166" t="str">
        <f t="shared" si="14"/>
        <v>Kiran Hegde</v>
      </c>
      <c r="C166" t="str">
        <f t="shared" si="15"/>
        <v>Sales</v>
      </c>
      <c r="D166" s="30" t="str">
        <f t="shared" si="16"/>
        <v>Active</v>
      </c>
      <c r="E166" s="22">
        <v>250</v>
      </c>
      <c r="F166" s="22">
        <v>13</v>
      </c>
      <c r="G166" s="22">
        <v>6</v>
      </c>
      <c r="H166" s="22">
        <v>1</v>
      </c>
      <c r="I166" s="22">
        <f t="shared" si="17"/>
        <v>20</v>
      </c>
      <c r="J166" s="22">
        <f t="shared" si="18"/>
        <v>230</v>
      </c>
      <c r="K166" s="26">
        <f t="shared" si="19"/>
        <v>0.92</v>
      </c>
      <c r="L166" s="22">
        <v>80</v>
      </c>
      <c r="M166" s="22">
        <v>9</v>
      </c>
      <c r="N166" s="22">
        <v>10</v>
      </c>
      <c r="O166" s="22" t="str">
        <f t="shared" si="20"/>
        <v>Normal</v>
      </c>
    </row>
    <row r="167" spans="1:15" x14ac:dyDescent="0.3">
      <c r="A167" s="22" t="s">
        <v>693</v>
      </c>
      <c r="B167" t="str">
        <f t="shared" si="14"/>
        <v>Aditi Prabhu</v>
      </c>
      <c r="C167" t="str">
        <f t="shared" si="15"/>
        <v>Engineering</v>
      </c>
      <c r="D167" s="30" t="str">
        <f t="shared" si="16"/>
        <v>Active</v>
      </c>
      <c r="E167" s="22">
        <v>250</v>
      </c>
      <c r="F167" s="22">
        <v>14</v>
      </c>
      <c r="G167" s="22">
        <v>6</v>
      </c>
      <c r="H167" s="22">
        <v>1</v>
      </c>
      <c r="I167" s="22">
        <f t="shared" si="17"/>
        <v>21</v>
      </c>
      <c r="J167" s="22">
        <f t="shared" si="18"/>
        <v>229</v>
      </c>
      <c r="K167" s="26">
        <f t="shared" si="19"/>
        <v>0.91600000000000004</v>
      </c>
      <c r="L167" s="22">
        <v>65</v>
      </c>
      <c r="M167" s="22">
        <v>10</v>
      </c>
      <c r="N167" s="22">
        <v>36</v>
      </c>
      <c r="O167" s="22" t="str">
        <f t="shared" si="20"/>
        <v>Normal</v>
      </c>
    </row>
    <row r="168" spans="1:15" x14ac:dyDescent="0.3">
      <c r="A168" s="22" t="s">
        <v>696</v>
      </c>
      <c r="B168" t="str">
        <f t="shared" si="14"/>
        <v>Sanjay Krishnan</v>
      </c>
      <c r="C168" t="str">
        <f t="shared" si="15"/>
        <v>Operations</v>
      </c>
      <c r="D168" s="30" t="str">
        <f t="shared" si="16"/>
        <v>Exited</v>
      </c>
      <c r="E168" s="22">
        <v>127</v>
      </c>
      <c r="F168" s="22">
        <v>12</v>
      </c>
      <c r="G168" s="22">
        <v>1</v>
      </c>
      <c r="H168" s="22">
        <v>12</v>
      </c>
      <c r="I168" s="22">
        <f t="shared" si="17"/>
        <v>25</v>
      </c>
      <c r="J168" s="22">
        <f t="shared" si="18"/>
        <v>102</v>
      </c>
      <c r="K168" s="26">
        <f t="shared" si="19"/>
        <v>0.80314960629921262</v>
      </c>
      <c r="L168" s="22">
        <v>25</v>
      </c>
      <c r="M168" s="22">
        <v>13</v>
      </c>
      <c r="N168" s="22">
        <v>13</v>
      </c>
      <c r="O168" s="22" t="str">
        <f t="shared" si="20"/>
        <v>High Unplanned</v>
      </c>
    </row>
    <row r="169" spans="1:15" x14ac:dyDescent="0.3">
      <c r="A169" s="22" t="s">
        <v>699</v>
      </c>
      <c r="B169" t="str">
        <f t="shared" si="14"/>
        <v>Priya Fernandes</v>
      </c>
      <c r="C169" t="str">
        <f t="shared" si="15"/>
        <v>Legal &amp; Compliance</v>
      </c>
      <c r="D169" s="30" t="str">
        <f t="shared" si="16"/>
        <v>Active</v>
      </c>
      <c r="E169" s="22">
        <v>250</v>
      </c>
      <c r="F169" s="22">
        <v>7</v>
      </c>
      <c r="G169" s="22">
        <v>0</v>
      </c>
      <c r="H169" s="22">
        <v>2</v>
      </c>
      <c r="I169" s="22">
        <f t="shared" si="17"/>
        <v>9</v>
      </c>
      <c r="J169" s="22">
        <f t="shared" si="18"/>
        <v>241</v>
      </c>
      <c r="K169" s="26">
        <f t="shared" si="19"/>
        <v>0.96399999999999997</v>
      </c>
      <c r="L169" s="22">
        <v>62</v>
      </c>
      <c r="M169" s="22">
        <v>1</v>
      </c>
      <c r="N169" s="22">
        <v>31</v>
      </c>
      <c r="O169" s="22" t="str">
        <f t="shared" si="20"/>
        <v>Normal</v>
      </c>
    </row>
    <row r="170" spans="1:15" x14ac:dyDescent="0.3">
      <c r="A170" s="22" t="s">
        <v>702</v>
      </c>
      <c r="B170" t="str">
        <f t="shared" si="14"/>
        <v>Aniket Siddiqui</v>
      </c>
      <c r="C170" t="str">
        <f t="shared" si="15"/>
        <v>Engineering</v>
      </c>
      <c r="D170" s="30" t="str">
        <f t="shared" si="16"/>
        <v>Active</v>
      </c>
      <c r="E170" s="22">
        <v>250</v>
      </c>
      <c r="F170" s="22">
        <v>17</v>
      </c>
      <c r="G170" s="22">
        <v>8</v>
      </c>
      <c r="H170" s="22">
        <v>5</v>
      </c>
      <c r="I170" s="22">
        <f t="shared" si="17"/>
        <v>30</v>
      </c>
      <c r="J170" s="22">
        <f t="shared" si="18"/>
        <v>220</v>
      </c>
      <c r="K170" s="26">
        <f t="shared" si="19"/>
        <v>0.88</v>
      </c>
      <c r="L170" s="22">
        <v>74</v>
      </c>
      <c r="M170" s="22">
        <v>9</v>
      </c>
      <c r="N170" s="22">
        <v>103</v>
      </c>
      <c r="O170" s="22" t="str">
        <f t="shared" si="20"/>
        <v>Low Attendance</v>
      </c>
    </row>
    <row r="171" spans="1:15" x14ac:dyDescent="0.3">
      <c r="A171" s="22" t="s">
        <v>705</v>
      </c>
      <c r="B171" t="str">
        <f t="shared" si="14"/>
        <v>Deepak Saxena</v>
      </c>
      <c r="C171" t="str">
        <f t="shared" si="15"/>
        <v>Engineering</v>
      </c>
      <c r="D171" s="30" t="str">
        <f t="shared" si="16"/>
        <v>Active</v>
      </c>
      <c r="E171" s="22">
        <v>250</v>
      </c>
      <c r="F171" s="22">
        <v>6</v>
      </c>
      <c r="G171" s="22">
        <v>4</v>
      </c>
      <c r="H171" s="22">
        <v>5</v>
      </c>
      <c r="I171" s="22">
        <f t="shared" si="17"/>
        <v>15</v>
      </c>
      <c r="J171" s="22">
        <f t="shared" si="18"/>
        <v>235</v>
      </c>
      <c r="K171" s="26">
        <f t="shared" si="19"/>
        <v>0.94</v>
      </c>
      <c r="L171" s="22">
        <v>37</v>
      </c>
      <c r="M171" s="22">
        <v>3</v>
      </c>
      <c r="N171" s="22">
        <v>99</v>
      </c>
      <c r="O171" s="22" t="str">
        <f t="shared" si="20"/>
        <v>Normal</v>
      </c>
    </row>
    <row r="172" spans="1:15" x14ac:dyDescent="0.3">
      <c r="A172" s="22" t="s">
        <v>708</v>
      </c>
      <c r="B172" t="str">
        <f t="shared" si="14"/>
        <v>Kritika Gowda</v>
      </c>
      <c r="C172" t="str">
        <f t="shared" si="15"/>
        <v>Marketing</v>
      </c>
      <c r="D172" s="30" t="str">
        <f t="shared" si="16"/>
        <v>Active</v>
      </c>
      <c r="E172" s="22">
        <v>250</v>
      </c>
      <c r="F172" s="22">
        <v>13</v>
      </c>
      <c r="G172" s="22">
        <v>8</v>
      </c>
      <c r="H172" s="22">
        <v>1</v>
      </c>
      <c r="I172" s="22">
        <f t="shared" si="17"/>
        <v>22</v>
      </c>
      <c r="J172" s="22">
        <f t="shared" si="18"/>
        <v>228</v>
      </c>
      <c r="K172" s="26">
        <f t="shared" si="19"/>
        <v>0.91200000000000003</v>
      </c>
      <c r="L172" s="22">
        <v>35</v>
      </c>
      <c r="M172" s="22">
        <v>13</v>
      </c>
      <c r="N172" s="22">
        <v>30</v>
      </c>
      <c r="O172" s="22" t="str">
        <f t="shared" si="20"/>
        <v>Normal</v>
      </c>
    </row>
    <row r="173" spans="1:15" x14ac:dyDescent="0.3">
      <c r="A173" s="22" t="s">
        <v>711</v>
      </c>
      <c r="B173" t="str">
        <f t="shared" si="14"/>
        <v>Sai Desai</v>
      </c>
      <c r="C173" t="str">
        <f t="shared" si="15"/>
        <v>Sales</v>
      </c>
      <c r="D173" s="30" t="str">
        <f t="shared" si="16"/>
        <v>Active</v>
      </c>
      <c r="E173" s="22">
        <v>250</v>
      </c>
      <c r="F173" s="22">
        <v>7</v>
      </c>
      <c r="G173" s="22">
        <v>5</v>
      </c>
      <c r="H173" s="22">
        <v>12</v>
      </c>
      <c r="I173" s="22">
        <f t="shared" si="17"/>
        <v>24</v>
      </c>
      <c r="J173" s="22">
        <f t="shared" si="18"/>
        <v>226</v>
      </c>
      <c r="K173" s="26">
        <f t="shared" si="19"/>
        <v>0.90400000000000003</v>
      </c>
      <c r="L173" s="22">
        <v>69</v>
      </c>
      <c r="M173" s="22">
        <v>6</v>
      </c>
      <c r="N173" s="22">
        <v>25</v>
      </c>
      <c r="O173" s="22" t="str">
        <f t="shared" si="20"/>
        <v>High Unplanned</v>
      </c>
    </row>
    <row r="174" spans="1:15" x14ac:dyDescent="0.3">
      <c r="A174" s="22" t="s">
        <v>714</v>
      </c>
      <c r="B174" t="str">
        <f t="shared" si="14"/>
        <v>Rashmi Kulkarni</v>
      </c>
      <c r="C174" t="str">
        <f t="shared" si="15"/>
        <v>Marketing</v>
      </c>
      <c r="D174" s="30" t="str">
        <f t="shared" si="16"/>
        <v>Active</v>
      </c>
      <c r="E174" s="22">
        <v>250</v>
      </c>
      <c r="F174" s="22">
        <v>6</v>
      </c>
      <c r="G174" s="22">
        <v>5</v>
      </c>
      <c r="H174" s="22">
        <v>3</v>
      </c>
      <c r="I174" s="22">
        <f t="shared" si="17"/>
        <v>14</v>
      </c>
      <c r="J174" s="22">
        <f t="shared" si="18"/>
        <v>236</v>
      </c>
      <c r="K174" s="26">
        <f t="shared" si="19"/>
        <v>0.94399999999999995</v>
      </c>
      <c r="L174" s="22">
        <v>74</v>
      </c>
      <c r="M174" s="22">
        <v>4</v>
      </c>
      <c r="N174" s="22">
        <v>17</v>
      </c>
      <c r="O174" s="22" t="str">
        <f t="shared" si="20"/>
        <v>Normal</v>
      </c>
    </row>
    <row r="175" spans="1:15" x14ac:dyDescent="0.3">
      <c r="A175" s="22" t="s">
        <v>717</v>
      </c>
      <c r="B175" t="str">
        <f t="shared" si="14"/>
        <v>Nikhil Desai</v>
      </c>
      <c r="C175" t="str">
        <f t="shared" si="15"/>
        <v>Operations</v>
      </c>
      <c r="D175" s="30" t="str">
        <f t="shared" si="16"/>
        <v>Active</v>
      </c>
      <c r="E175" s="22">
        <v>250</v>
      </c>
      <c r="F175" s="22">
        <v>20</v>
      </c>
      <c r="G175" s="22">
        <v>4</v>
      </c>
      <c r="H175" s="22">
        <v>6</v>
      </c>
      <c r="I175" s="22">
        <f t="shared" si="17"/>
        <v>30</v>
      </c>
      <c r="J175" s="22">
        <f t="shared" si="18"/>
        <v>220</v>
      </c>
      <c r="K175" s="26">
        <f t="shared" si="19"/>
        <v>0.88</v>
      </c>
      <c r="L175" s="22">
        <v>21</v>
      </c>
      <c r="M175" s="22">
        <v>3</v>
      </c>
      <c r="N175" s="22">
        <v>0</v>
      </c>
      <c r="O175" s="22" t="str">
        <f t="shared" si="20"/>
        <v>Low Attendance</v>
      </c>
    </row>
    <row r="176" spans="1:15" x14ac:dyDescent="0.3">
      <c r="A176" s="22" t="s">
        <v>720</v>
      </c>
      <c r="B176" t="str">
        <f t="shared" si="14"/>
        <v>Ananya Sharma</v>
      </c>
      <c r="C176" t="str">
        <f t="shared" si="15"/>
        <v>Human Resources</v>
      </c>
      <c r="D176" s="30" t="str">
        <f t="shared" si="16"/>
        <v>Active</v>
      </c>
      <c r="E176" s="22">
        <v>250</v>
      </c>
      <c r="F176" s="22">
        <v>20</v>
      </c>
      <c r="G176" s="22">
        <v>6</v>
      </c>
      <c r="H176" s="22">
        <v>0</v>
      </c>
      <c r="I176" s="22">
        <f t="shared" si="17"/>
        <v>26</v>
      </c>
      <c r="J176" s="22">
        <f t="shared" si="18"/>
        <v>224</v>
      </c>
      <c r="K176" s="26">
        <f t="shared" si="19"/>
        <v>0.89600000000000002</v>
      </c>
      <c r="L176" s="22">
        <v>13</v>
      </c>
      <c r="M176" s="22">
        <v>2</v>
      </c>
      <c r="N176" s="22">
        <v>23</v>
      </c>
      <c r="O176" s="22" t="str">
        <f t="shared" si="20"/>
        <v>Low Attendance</v>
      </c>
    </row>
    <row r="177" spans="1:15" x14ac:dyDescent="0.3">
      <c r="A177" s="22" t="s">
        <v>723</v>
      </c>
      <c r="B177" t="str">
        <f t="shared" si="14"/>
        <v>Manish Khanna</v>
      </c>
      <c r="C177" t="str">
        <f t="shared" si="15"/>
        <v>Customer Support</v>
      </c>
      <c r="D177" s="30" t="str">
        <f t="shared" si="16"/>
        <v>Active</v>
      </c>
      <c r="E177" s="22">
        <v>250</v>
      </c>
      <c r="F177" s="22">
        <v>19</v>
      </c>
      <c r="G177" s="22">
        <v>8</v>
      </c>
      <c r="H177" s="22">
        <v>5</v>
      </c>
      <c r="I177" s="22">
        <f t="shared" si="17"/>
        <v>32</v>
      </c>
      <c r="J177" s="22">
        <f t="shared" si="18"/>
        <v>218</v>
      </c>
      <c r="K177" s="26">
        <f t="shared" si="19"/>
        <v>0.872</v>
      </c>
      <c r="L177" s="22">
        <v>19</v>
      </c>
      <c r="M177" s="22">
        <v>5</v>
      </c>
      <c r="N177" s="22">
        <v>42</v>
      </c>
      <c r="O177" s="22" t="str">
        <f t="shared" si="20"/>
        <v>Low Attendance</v>
      </c>
    </row>
    <row r="178" spans="1:15" x14ac:dyDescent="0.3">
      <c r="A178" s="22" t="s">
        <v>728</v>
      </c>
      <c r="B178" t="str">
        <f t="shared" si="14"/>
        <v>Vinay Malhotra</v>
      </c>
      <c r="C178" t="str">
        <f t="shared" si="15"/>
        <v>Customer Support</v>
      </c>
      <c r="D178" s="30" t="str">
        <f t="shared" si="16"/>
        <v>Active</v>
      </c>
      <c r="E178" s="22">
        <v>250</v>
      </c>
      <c r="F178" s="22">
        <v>8</v>
      </c>
      <c r="G178" s="22">
        <v>6</v>
      </c>
      <c r="H178" s="22">
        <v>1</v>
      </c>
      <c r="I178" s="22">
        <f t="shared" si="17"/>
        <v>15</v>
      </c>
      <c r="J178" s="22">
        <f t="shared" si="18"/>
        <v>235</v>
      </c>
      <c r="K178" s="26">
        <f t="shared" si="19"/>
        <v>0.94</v>
      </c>
      <c r="L178" s="22">
        <v>12</v>
      </c>
      <c r="M178" s="22">
        <v>3</v>
      </c>
      <c r="N178" s="22">
        <v>78</v>
      </c>
      <c r="O178" s="22" t="str">
        <f t="shared" si="20"/>
        <v>Normal</v>
      </c>
    </row>
    <row r="179" spans="1:15" x14ac:dyDescent="0.3">
      <c r="A179" s="22" t="s">
        <v>731</v>
      </c>
      <c r="B179" t="str">
        <f t="shared" si="14"/>
        <v>Sai Kumar</v>
      </c>
      <c r="C179" t="str">
        <f t="shared" si="15"/>
        <v>Operations</v>
      </c>
      <c r="D179" s="30" t="str">
        <f t="shared" si="16"/>
        <v>Active</v>
      </c>
      <c r="E179" s="22">
        <v>250</v>
      </c>
      <c r="F179" s="22">
        <v>16</v>
      </c>
      <c r="G179" s="22">
        <v>6</v>
      </c>
      <c r="H179" s="22">
        <v>5</v>
      </c>
      <c r="I179" s="22">
        <f t="shared" si="17"/>
        <v>27</v>
      </c>
      <c r="J179" s="22">
        <f t="shared" si="18"/>
        <v>223</v>
      </c>
      <c r="K179" s="26">
        <f t="shared" si="19"/>
        <v>0.89200000000000002</v>
      </c>
      <c r="L179" s="22">
        <v>25</v>
      </c>
      <c r="M179" s="22">
        <v>14</v>
      </c>
      <c r="N179" s="22">
        <v>73</v>
      </c>
      <c r="O179" s="22" t="str">
        <f t="shared" si="20"/>
        <v>Low Attendance</v>
      </c>
    </row>
    <row r="180" spans="1:15" x14ac:dyDescent="0.3">
      <c r="A180" s="22" t="s">
        <v>734</v>
      </c>
      <c r="B180" t="str">
        <f t="shared" si="14"/>
        <v>Zara Chatterjee</v>
      </c>
      <c r="C180" t="str">
        <f t="shared" si="15"/>
        <v>Customer Support</v>
      </c>
      <c r="D180" s="30" t="str">
        <f t="shared" si="16"/>
        <v>Active</v>
      </c>
      <c r="E180" s="22">
        <v>250</v>
      </c>
      <c r="F180" s="22">
        <v>12</v>
      </c>
      <c r="G180" s="22">
        <v>2</v>
      </c>
      <c r="H180" s="22">
        <v>13</v>
      </c>
      <c r="I180" s="22">
        <f t="shared" si="17"/>
        <v>27</v>
      </c>
      <c r="J180" s="22">
        <f t="shared" si="18"/>
        <v>223</v>
      </c>
      <c r="K180" s="26">
        <f t="shared" si="19"/>
        <v>0.89200000000000002</v>
      </c>
      <c r="L180" s="22">
        <v>23</v>
      </c>
      <c r="M180" s="22">
        <v>2</v>
      </c>
      <c r="N180" s="22">
        <v>51</v>
      </c>
      <c r="O180" s="22" t="str">
        <f t="shared" si="20"/>
        <v>High Unplanned</v>
      </c>
    </row>
    <row r="181" spans="1:15" x14ac:dyDescent="0.3">
      <c r="A181" s="22" t="s">
        <v>737</v>
      </c>
      <c r="B181" t="str">
        <f t="shared" si="14"/>
        <v>Venkat Subramanian</v>
      </c>
      <c r="C181" t="str">
        <f t="shared" si="15"/>
        <v>Operations</v>
      </c>
      <c r="D181" s="30" t="str">
        <f t="shared" si="16"/>
        <v>Exited</v>
      </c>
      <c r="E181" s="22">
        <v>204</v>
      </c>
      <c r="F181" s="22">
        <v>20</v>
      </c>
      <c r="G181" s="22">
        <v>5</v>
      </c>
      <c r="H181" s="22">
        <v>2</v>
      </c>
      <c r="I181" s="22">
        <f t="shared" si="17"/>
        <v>27</v>
      </c>
      <c r="J181" s="22">
        <f t="shared" si="18"/>
        <v>177</v>
      </c>
      <c r="K181" s="26">
        <f t="shared" si="19"/>
        <v>0.86764705882352944</v>
      </c>
      <c r="L181" s="22">
        <v>13</v>
      </c>
      <c r="M181" s="22">
        <v>3</v>
      </c>
      <c r="N181" s="22">
        <v>12</v>
      </c>
      <c r="O181" s="22" t="str">
        <f t="shared" si="20"/>
        <v>Low Attendance</v>
      </c>
    </row>
    <row r="182" spans="1:15" x14ac:dyDescent="0.3">
      <c r="A182" s="22" t="s">
        <v>740</v>
      </c>
      <c r="B182" t="str">
        <f t="shared" si="14"/>
        <v>Radhika Saxena</v>
      </c>
      <c r="C182" t="str">
        <f t="shared" si="15"/>
        <v>Finance</v>
      </c>
      <c r="D182" s="30" t="str">
        <f t="shared" si="16"/>
        <v>Active</v>
      </c>
      <c r="E182" s="22">
        <v>250</v>
      </c>
      <c r="F182" s="22">
        <v>17</v>
      </c>
      <c r="G182" s="22">
        <v>2</v>
      </c>
      <c r="H182" s="22">
        <v>2</v>
      </c>
      <c r="I182" s="22">
        <f t="shared" si="17"/>
        <v>21</v>
      </c>
      <c r="J182" s="22">
        <f t="shared" si="18"/>
        <v>229</v>
      </c>
      <c r="K182" s="26">
        <f t="shared" si="19"/>
        <v>0.91600000000000004</v>
      </c>
      <c r="L182" s="22">
        <v>90</v>
      </c>
      <c r="M182" s="22">
        <v>9</v>
      </c>
      <c r="N182" s="22">
        <v>25</v>
      </c>
      <c r="O182" s="22" t="str">
        <f t="shared" si="20"/>
        <v>Normal</v>
      </c>
    </row>
    <row r="183" spans="1:15" x14ac:dyDescent="0.3">
      <c r="A183" s="22" t="s">
        <v>743</v>
      </c>
      <c r="B183" t="str">
        <f t="shared" si="14"/>
        <v>Revathi Pandey</v>
      </c>
      <c r="C183" t="str">
        <f t="shared" si="15"/>
        <v>Human Resources</v>
      </c>
      <c r="D183" s="30" t="str">
        <f t="shared" si="16"/>
        <v>Active</v>
      </c>
      <c r="E183" s="22">
        <v>250</v>
      </c>
      <c r="F183" s="22">
        <v>19</v>
      </c>
      <c r="G183" s="22">
        <v>4</v>
      </c>
      <c r="H183" s="22">
        <v>5</v>
      </c>
      <c r="I183" s="22">
        <f t="shared" si="17"/>
        <v>28</v>
      </c>
      <c r="J183" s="22">
        <f t="shared" si="18"/>
        <v>222</v>
      </c>
      <c r="K183" s="26">
        <f t="shared" si="19"/>
        <v>0.88800000000000001</v>
      </c>
      <c r="L183" s="22">
        <v>30</v>
      </c>
      <c r="M183" s="22">
        <v>5</v>
      </c>
      <c r="N183" s="22">
        <v>13</v>
      </c>
      <c r="O183" s="22" t="str">
        <f t="shared" si="20"/>
        <v>Low Attendance</v>
      </c>
    </row>
    <row r="184" spans="1:15" x14ac:dyDescent="0.3">
      <c r="A184" s="22" t="s">
        <v>746</v>
      </c>
      <c r="B184" t="str">
        <f t="shared" si="14"/>
        <v>Tarun Pandey</v>
      </c>
      <c r="C184" t="str">
        <f t="shared" si="15"/>
        <v>Data &amp; Analytics</v>
      </c>
      <c r="D184" s="30" t="str">
        <f t="shared" si="16"/>
        <v>Active</v>
      </c>
      <c r="E184" s="22">
        <v>250</v>
      </c>
      <c r="F184" s="22">
        <v>7</v>
      </c>
      <c r="G184" s="22">
        <v>1</v>
      </c>
      <c r="H184" s="22">
        <v>0</v>
      </c>
      <c r="I184" s="22">
        <f t="shared" si="17"/>
        <v>8</v>
      </c>
      <c r="J184" s="22">
        <f t="shared" si="18"/>
        <v>242</v>
      </c>
      <c r="K184" s="26">
        <f t="shared" si="19"/>
        <v>0.96799999999999997</v>
      </c>
      <c r="L184" s="22">
        <v>11</v>
      </c>
      <c r="M184" s="22">
        <v>10</v>
      </c>
      <c r="N184" s="22">
        <v>37</v>
      </c>
      <c r="O184" s="22" t="str">
        <f t="shared" si="20"/>
        <v>Normal</v>
      </c>
    </row>
    <row r="185" spans="1:15" x14ac:dyDescent="0.3">
      <c r="A185" s="22" t="s">
        <v>750</v>
      </c>
      <c r="B185" t="str">
        <f t="shared" si="14"/>
        <v>Amit Shah</v>
      </c>
      <c r="C185" t="str">
        <f t="shared" si="15"/>
        <v>Operations</v>
      </c>
      <c r="D185" s="30" t="str">
        <f t="shared" si="16"/>
        <v>Active</v>
      </c>
      <c r="E185" s="22">
        <v>250</v>
      </c>
      <c r="F185" s="22">
        <v>8</v>
      </c>
      <c r="G185" s="22">
        <v>0</v>
      </c>
      <c r="H185" s="22">
        <v>2</v>
      </c>
      <c r="I185" s="22">
        <f t="shared" si="17"/>
        <v>10</v>
      </c>
      <c r="J185" s="22">
        <f t="shared" si="18"/>
        <v>240</v>
      </c>
      <c r="K185" s="26">
        <f t="shared" si="19"/>
        <v>0.96</v>
      </c>
      <c r="L185" s="22">
        <v>17</v>
      </c>
      <c r="M185" s="22">
        <v>14</v>
      </c>
      <c r="N185" s="22">
        <v>10</v>
      </c>
      <c r="O185" s="22" t="str">
        <f t="shared" si="20"/>
        <v>Normal</v>
      </c>
    </row>
    <row r="186" spans="1:15" x14ac:dyDescent="0.3">
      <c r="A186" s="22" t="s">
        <v>753</v>
      </c>
      <c r="B186" t="str">
        <f t="shared" si="14"/>
        <v>Arjun Nair</v>
      </c>
      <c r="C186" t="str">
        <f t="shared" si="15"/>
        <v>Marketing</v>
      </c>
      <c r="D186" s="30" t="str">
        <f t="shared" si="16"/>
        <v>Active</v>
      </c>
      <c r="E186" s="22">
        <v>250</v>
      </c>
      <c r="F186" s="22">
        <v>15</v>
      </c>
      <c r="G186" s="22">
        <v>6</v>
      </c>
      <c r="H186" s="22">
        <v>0</v>
      </c>
      <c r="I186" s="22">
        <f t="shared" si="17"/>
        <v>21</v>
      </c>
      <c r="J186" s="22">
        <f t="shared" si="18"/>
        <v>229</v>
      </c>
      <c r="K186" s="26">
        <f t="shared" si="19"/>
        <v>0.91600000000000004</v>
      </c>
      <c r="L186" s="22">
        <v>26</v>
      </c>
      <c r="M186" s="22">
        <v>7</v>
      </c>
      <c r="N186" s="22">
        <v>40</v>
      </c>
      <c r="O186" s="22" t="str">
        <f t="shared" si="20"/>
        <v>Normal</v>
      </c>
    </row>
    <row r="187" spans="1:15" x14ac:dyDescent="0.3">
      <c r="A187" s="22" t="s">
        <v>756</v>
      </c>
      <c r="B187" t="str">
        <f t="shared" si="14"/>
        <v>Yash Das</v>
      </c>
      <c r="C187" t="str">
        <f t="shared" si="15"/>
        <v>Product</v>
      </c>
      <c r="D187" s="30" t="str">
        <f t="shared" si="16"/>
        <v>Active</v>
      </c>
      <c r="E187" s="22">
        <v>250</v>
      </c>
      <c r="F187" s="22">
        <v>16</v>
      </c>
      <c r="G187" s="22">
        <v>5</v>
      </c>
      <c r="H187" s="22">
        <v>3</v>
      </c>
      <c r="I187" s="22">
        <f t="shared" si="17"/>
        <v>24</v>
      </c>
      <c r="J187" s="22">
        <f t="shared" si="18"/>
        <v>226</v>
      </c>
      <c r="K187" s="26">
        <f t="shared" si="19"/>
        <v>0.90400000000000003</v>
      </c>
      <c r="L187" s="22">
        <v>48</v>
      </c>
      <c r="M187" s="22">
        <v>3</v>
      </c>
      <c r="N187" s="22">
        <v>34</v>
      </c>
      <c r="O187" s="22" t="str">
        <f t="shared" si="20"/>
        <v>Normal</v>
      </c>
    </row>
    <row r="188" spans="1:15" x14ac:dyDescent="0.3">
      <c r="A188" s="22" t="s">
        <v>759</v>
      </c>
      <c r="B188" t="str">
        <f t="shared" si="14"/>
        <v>Manish Siddiqui</v>
      </c>
      <c r="C188" t="str">
        <f t="shared" si="15"/>
        <v>Legal &amp; Compliance</v>
      </c>
      <c r="D188" s="30" t="str">
        <f t="shared" si="16"/>
        <v>Active</v>
      </c>
      <c r="E188" s="22">
        <v>250</v>
      </c>
      <c r="F188" s="22">
        <v>19</v>
      </c>
      <c r="G188" s="22">
        <v>3</v>
      </c>
      <c r="H188" s="22">
        <v>3</v>
      </c>
      <c r="I188" s="22">
        <f t="shared" si="17"/>
        <v>25</v>
      </c>
      <c r="J188" s="22">
        <f t="shared" si="18"/>
        <v>225</v>
      </c>
      <c r="K188" s="26">
        <f t="shared" si="19"/>
        <v>0.9</v>
      </c>
      <c r="L188" s="22">
        <v>58</v>
      </c>
      <c r="M188" s="22">
        <v>12</v>
      </c>
      <c r="N188" s="22">
        <v>16</v>
      </c>
      <c r="O188" s="22" t="str">
        <f t="shared" si="20"/>
        <v>Normal</v>
      </c>
    </row>
    <row r="189" spans="1:15" x14ac:dyDescent="0.3">
      <c r="A189" s="22" t="s">
        <v>762</v>
      </c>
      <c r="B189" t="str">
        <f t="shared" si="14"/>
        <v>Gaurav Ansari</v>
      </c>
      <c r="C189" t="str">
        <f t="shared" si="15"/>
        <v>Human Resources</v>
      </c>
      <c r="D189" s="30" t="str">
        <f t="shared" si="16"/>
        <v>Active</v>
      </c>
      <c r="E189" s="22">
        <v>250</v>
      </c>
      <c r="F189" s="22">
        <v>16</v>
      </c>
      <c r="G189" s="22">
        <v>0</v>
      </c>
      <c r="H189" s="22">
        <v>1</v>
      </c>
      <c r="I189" s="22">
        <f t="shared" si="17"/>
        <v>17</v>
      </c>
      <c r="J189" s="22">
        <f t="shared" si="18"/>
        <v>233</v>
      </c>
      <c r="K189" s="26">
        <f t="shared" si="19"/>
        <v>0.93200000000000005</v>
      </c>
      <c r="L189" s="22">
        <v>28</v>
      </c>
      <c r="M189" s="22">
        <v>10</v>
      </c>
      <c r="N189" s="22">
        <v>1</v>
      </c>
      <c r="O189" s="22" t="str">
        <f t="shared" si="20"/>
        <v>Normal</v>
      </c>
    </row>
    <row r="190" spans="1:15" x14ac:dyDescent="0.3">
      <c r="A190" s="22" t="s">
        <v>416</v>
      </c>
      <c r="B190" t="str">
        <f t="shared" si="14"/>
        <v>Ramya Menon</v>
      </c>
      <c r="C190" t="str">
        <f t="shared" si="15"/>
        <v>Operations</v>
      </c>
      <c r="D190" s="30" t="str">
        <f t="shared" si="16"/>
        <v>Active</v>
      </c>
      <c r="E190" s="22">
        <v>250</v>
      </c>
      <c r="F190" s="22">
        <v>16</v>
      </c>
      <c r="G190" s="22">
        <v>1</v>
      </c>
      <c r="H190" s="22">
        <v>0</v>
      </c>
      <c r="I190" s="22">
        <f t="shared" si="17"/>
        <v>17</v>
      </c>
      <c r="J190" s="22">
        <f t="shared" si="18"/>
        <v>233</v>
      </c>
      <c r="K190" s="26">
        <f t="shared" si="19"/>
        <v>0.93200000000000005</v>
      </c>
      <c r="L190" s="22">
        <v>19</v>
      </c>
      <c r="M190" s="22">
        <v>1</v>
      </c>
      <c r="N190" s="22">
        <v>13</v>
      </c>
      <c r="O190" s="22" t="str">
        <f t="shared" si="20"/>
        <v>Normal</v>
      </c>
    </row>
    <row r="191" spans="1:15" x14ac:dyDescent="0.3">
      <c r="A191" s="22" t="s">
        <v>766</v>
      </c>
      <c r="B191" t="str">
        <f t="shared" si="14"/>
        <v>Imran Kapoor</v>
      </c>
      <c r="C191" t="str">
        <f t="shared" si="15"/>
        <v>Operations</v>
      </c>
      <c r="D191" s="30" t="str">
        <f t="shared" si="16"/>
        <v>Active</v>
      </c>
      <c r="E191" s="22">
        <v>250</v>
      </c>
      <c r="F191" s="22">
        <v>8</v>
      </c>
      <c r="G191" s="22">
        <v>4</v>
      </c>
      <c r="H191" s="22">
        <v>1</v>
      </c>
      <c r="I191" s="22">
        <f t="shared" si="17"/>
        <v>13</v>
      </c>
      <c r="J191" s="22">
        <f t="shared" si="18"/>
        <v>237</v>
      </c>
      <c r="K191" s="26">
        <f t="shared" si="19"/>
        <v>0.94799999999999995</v>
      </c>
      <c r="L191" s="22">
        <v>5</v>
      </c>
      <c r="M191" s="22">
        <v>1</v>
      </c>
      <c r="N191" s="22">
        <v>9</v>
      </c>
      <c r="O191" s="22" t="str">
        <f t="shared" si="20"/>
        <v>Normal</v>
      </c>
    </row>
    <row r="192" spans="1:15" x14ac:dyDescent="0.3">
      <c r="A192" s="22" t="s">
        <v>769</v>
      </c>
      <c r="B192" t="str">
        <f t="shared" si="14"/>
        <v>Pooja Choudhary</v>
      </c>
      <c r="C192" t="str">
        <f t="shared" si="15"/>
        <v>Sales</v>
      </c>
      <c r="D192" s="30" t="str">
        <f t="shared" si="16"/>
        <v>Active</v>
      </c>
      <c r="E192" s="22">
        <v>250</v>
      </c>
      <c r="F192" s="22">
        <v>13</v>
      </c>
      <c r="G192" s="22">
        <v>5</v>
      </c>
      <c r="H192" s="22">
        <v>11</v>
      </c>
      <c r="I192" s="22">
        <f t="shared" si="17"/>
        <v>29</v>
      </c>
      <c r="J192" s="22">
        <f t="shared" si="18"/>
        <v>221</v>
      </c>
      <c r="K192" s="26">
        <f t="shared" si="19"/>
        <v>0.88400000000000001</v>
      </c>
      <c r="L192" s="22">
        <v>60</v>
      </c>
      <c r="M192" s="22">
        <v>1</v>
      </c>
      <c r="N192" s="22">
        <v>31</v>
      </c>
      <c r="O192" s="22" t="str">
        <f t="shared" si="20"/>
        <v>High Unplanned</v>
      </c>
    </row>
    <row r="193" spans="1:15" x14ac:dyDescent="0.3">
      <c r="A193" s="22" t="s">
        <v>772</v>
      </c>
      <c r="B193" t="str">
        <f t="shared" si="14"/>
        <v>Ayesha Mishra</v>
      </c>
      <c r="C193" t="str">
        <f t="shared" si="15"/>
        <v>Sales</v>
      </c>
      <c r="D193" s="30" t="str">
        <f t="shared" si="16"/>
        <v>Active</v>
      </c>
      <c r="E193" s="22">
        <v>250</v>
      </c>
      <c r="F193" s="22">
        <v>18</v>
      </c>
      <c r="G193" s="22">
        <v>0</v>
      </c>
      <c r="H193" s="22">
        <v>1</v>
      </c>
      <c r="I193" s="22">
        <f t="shared" si="17"/>
        <v>19</v>
      </c>
      <c r="J193" s="22">
        <f t="shared" si="18"/>
        <v>231</v>
      </c>
      <c r="K193" s="26">
        <f t="shared" si="19"/>
        <v>0.92400000000000004</v>
      </c>
      <c r="L193" s="22">
        <v>72</v>
      </c>
      <c r="M193" s="22">
        <v>10</v>
      </c>
      <c r="N193" s="22">
        <v>4</v>
      </c>
      <c r="O193" s="22" t="str">
        <f t="shared" si="20"/>
        <v>Normal</v>
      </c>
    </row>
    <row r="194" spans="1:15" x14ac:dyDescent="0.3">
      <c r="A194" s="22" t="s">
        <v>775</v>
      </c>
      <c r="B194" t="str">
        <f t="shared" ref="B194:B257" si="21">INDEX(M_Name,MATCH($A194,M_ID,0))</f>
        <v>Rajesh Kapoor</v>
      </c>
      <c r="C194" t="str">
        <f t="shared" ref="C194:C257" si="22">INDEX(M_Dept,MATCH($A194,M_ID,0))</f>
        <v>Sales</v>
      </c>
      <c r="D194" s="30" t="str">
        <f t="shared" ref="D194:D257" si="23">INDEX(M_Status,MATCH($A194,M_ID,0))</f>
        <v>Exited</v>
      </c>
      <c r="E194" s="22">
        <v>205</v>
      </c>
      <c r="F194" s="22">
        <v>9</v>
      </c>
      <c r="G194" s="22">
        <v>6</v>
      </c>
      <c r="H194" s="22">
        <v>5</v>
      </c>
      <c r="I194" s="22">
        <f t="shared" ref="I194:I257" si="24">SUM(F194:H194)</f>
        <v>20</v>
      </c>
      <c r="J194" s="22">
        <f t="shared" ref="J194:J257" si="25">E194-I194</f>
        <v>185</v>
      </c>
      <c r="K194" s="26">
        <f t="shared" ref="K194:K257" si="26">IFERROR(J194/E194,0)</f>
        <v>0.90243902439024393</v>
      </c>
      <c r="L194" s="22">
        <v>67</v>
      </c>
      <c r="M194" s="22">
        <v>12</v>
      </c>
      <c r="N194" s="22">
        <v>10</v>
      </c>
      <c r="O194" s="22" t="str">
        <f t="shared" ref="O194:O257" si="27">IF(H194&gt;=8,"High Unplanned",IF(K194&lt;0.9,"Low Attendance","Normal"))</f>
        <v>Normal</v>
      </c>
    </row>
    <row r="195" spans="1:15" x14ac:dyDescent="0.3">
      <c r="A195" s="22" t="s">
        <v>201</v>
      </c>
      <c r="B195" t="str">
        <f t="shared" si="21"/>
        <v>Ashish Varghese</v>
      </c>
      <c r="C195" t="str">
        <f t="shared" si="22"/>
        <v>Customer Support</v>
      </c>
      <c r="D195" s="30" t="str">
        <f t="shared" si="23"/>
        <v>Active</v>
      </c>
      <c r="E195" s="22">
        <v>250</v>
      </c>
      <c r="F195" s="22">
        <v>8</v>
      </c>
      <c r="G195" s="22">
        <v>4</v>
      </c>
      <c r="H195" s="22">
        <v>0</v>
      </c>
      <c r="I195" s="22">
        <f t="shared" si="24"/>
        <v>12</v>
      </c>
      <c r="J195" s="22">
        <f t="shared" si="25"/>
        <v>238</v>
      </c>
      <c r="K195" s="26">
        <f t="shared" si="26"/>
        <v>0.95199999999999996</v>
      </c>
      <c r="L195" s="22">
        <v>5</v>
      </c>
      <c r="M195" s="22">
        <v>10</v>
      </c>
      <c r="N195" s="22">
        <v>72</v>
      </c>
      <c r="O195" s="22" t="str">
        <f t="shared" si="27"/>
        <v>Normal</v>
      </c>
    </row>
    <row r="196" spans="1:15" x14ac:dyDescent="0.3">
      <c r="A196" s="22" t="s">
        <v>779</v>
      </c>
      <c r="B196" t="str">
        <f t="shared" si="21"/>
        <v>Pallavi Das</v>
      </c>
      <c r="C196" t="str">
        <f t="shared" si="22"/>
        <v>Finance</v>
      </c>
      <c r="D196" s="30" t="str">
        <f t="shared" si="23"/>
        <v>Active</v>
      </c>
      <c r="E196" s="22">
        <v>250</v>
      </c>
      <c r="F196" s="22">
        <v>16</v>
      </c>
      <c r="G196" s="22">
        <v>0</v>
      </c>
      <c r="H196" s="22">
        <v>0</v>
      </c>
      <c r="I196" s="22">
        <f t="shared" si="24"/>
        <v>16</v>
      </c>
      <c r="J196" s="22">
        <f t="shared" si="25"/>
        <v>234</v>
      </c>
      <c r="K196" s="26">
        <f t="shared" si="26"/>
        <v>0.93600000000000005</v>
      </c>
      <c r="L196" s="22">
        <v>53</v>
      </c>
      <c r="M196" s="22">
        <v>5</v>
      </c>
      <c r="N196" s="22">
        <v>30</v>
      </c>
      <c r="O196" s="22" t="str">
        <f t="shared" si="27"/>
        <v>Normal</v>
      </c>
    </row>
    <row r="197" spans="1:15" x14ac:dyDescent="0.3">
      <c r="A197" s="22" t="s">
        <v>782</v>
      </c>
      <c r="B197" t="str">
        <f t="shared" si="21"/>
        <v>Vikas Bansal</v>
      </c>
      <c r="C197" t="str">
        <f t="shared" si="22"/>
        <v>Engineering</v>
      </c>
      <c r="D197" s="30" t="str">
        <f t="shared" si="23"/>
        <v>Active</v>
      </c>
      <c r="E197" s="22">
        <v>250</v>
      </c>
      <c r="F197" s="22">
        <v>15</v>
      </c>
      <c r="G197" s="22">
        <v>8</v>
      </c>
      <c r="H197" s="22">
        <v>0</v>
      </c>
      <c r="I197" s="22">
        <f t="shared" si="24"/>
        <v>23</v>
      </c>
      <c r="J197" s="22">
        <f t="shared" si="25"/>
        <v>227</v>
      </c>
      <c r="K197" s="26">
        <f t="shared" si="26"/>
        <v>0.90800000000000003</v>
      </c>
      <c r="L197" s="22">
        <v>76</v>
      </c>
      <c r="M197" s="22">
        <v>11</v>
      </c>
      <c r="N197" s="22">
        <v>32</v>
      </c>
      <c r="O197" s="22" t="str">
        <f t="shared" si="27"/>
        <v>Normal</v>
      </c>
    </row>
    <row r="198" spans="1:15" x14ac:dyDescent="0.3">
      <c r="A198" s="22" t="s">
        <v>785</v>
      </c>
      <c r="B198" t="str">
        <f t="shared" si="21"/>
        <v>Mansi Naidu</v>
      </c>
      <c r="C198" t="str">
        <f t="shared" si="22"/>
        <v>Legal &amp; Compliance</v>
      </c>
      <c r="D198" s="30" t="str">
        <f t="shared" si="23"/>
        <v>Active</v>
      </c>
      <c r="E198" s="22">
        <v>250</v>
      </c>
      <c r="F198" s="22">
        <v>20</v>
      </c>
      <c r="G198" s="22">
        <v>1</v>
      </c>
      <c r="H198" s="22">
        <v>2</v>
      </c>
      <c r="I198" s="22">
        <f t="shared" si="24"/>
        <v>23</v>
      </c>
      <c r="J198" s="22">
        <f t="shared" si="25"/>
        <v>227</v>
      </c>
      <c r="K198" s="26">
        <f t="shared" si="26"/>
        <v>0.90800000000000003</v>
      </c>
      <c r="L198" s="22">
        <v>78</v>
      </c>
      <c r="M198" s="22">
        <v>0</v>
      </c>
      <c r="N198" s="22">
        <v>33</v>
      </c>
      <c r="O198" s="22" t="str">
        <f t="shared" si="27"/>
        <v>Normal</v>
      </c>
    </row>
    <row r="199" spans="1:15" x14ac:dyDescent="0.3">
      <c r="A199" s="22" t="s">
        <v>788</v>
      </c>
      <c r="B199" t="str">
        <f t="shared" si="21"/>
        <v>Siddharth Dsouza</v>
      </c>
      <c r="C199" t="str">
        <f t="shared" si="22"/>
        <v>Sales</v>
      </c>
      <c r="D199" s="30" t="str">
        <f t="shared" si="23"/>
        <v>Active</v>
      </c>
      <c r="E199" s="22">
        <v>250</v>
      </c>
      <c r="F199" s="22">
        <v>14</v>
      </c>
      <c r="G199" s="22">
        <v>2</v>
      </c>
      <c r="H199" s="22">
        <v>1</v>
      </c>
      <c r="I199" s="22">
        <f t="shared" si="24"/>
        <v>17</v>
      </c>
      <c r="J199" s="22">
        <f t="shared" si="25"/>
        <v>233</v>
      </c>
      <c r="K199" s="26">
        <f t="shared" si="26"/>
        <v>0.93200000000000005</v>
      </c>
      <c r="L199" s="22">
        <v>56</v>
      </c>
      <c r="M199" s="22">
        <v>1</v>
      </c>
      <c r="N199" s="22">
        <v>13</v>
      </c>
      <c r="O199" s="22" t="str">
        <f t="shared" si="27"/>
        <v>Normal</v>
      </c>
    </row>
    <row r="200" spans="1:15" x14ac:dyDescent="0.3">
      <c r="A200" s="22" t="s">
        <v>791</v>
      </c>
      <c r="B200" t="str">
        <f t="shared" si="21"/>
        <v>Anjali Bansal</v>
      </c>
      <c r="C200" t="str">
        <f t="shared" si="22"/>
        <v>Operations</v>
      </c>
      <c r="D200" s="30" t="str">
        <f t="shared" si="23"/>
        <v>Active</v>
      </c>
      <c r="E200" s="22">
        <v>250</v>
      </c>
      <c r="F200" s="22">
        <v>6</v>
      </c>
      <c r="G200" s="22">
        <v>5</v>
      </c>
      <c r="H200" s="22">
        <v>2</v>
      </c>
      <c r="I200" s="22">
        <f t="shared" si="24"/>
        <v>13</v>
      </c>
      <c r="J200" s="22">
        <f t="shared" si="25"/>
        <v>237</v>
      </c>
      <c r="K200" s="26">
        <f t="shared" si="26"/>
        <v>0.94799999999999995</v>
      </c>
      <c r="L200" s="22">
        <v>23</v>
      </c>
      <c r="M200" s="22">
        <v>11</v>
      </c>
      <c r="N200" s="22">
        <v>120</v>
      </c>
      <c r="O200" s="22" t="str">
        <f t="shared" si="27"/>
        <v>Normal</v>
      </c>
    </row>
    <row r="201" spans="1:15" x14ac:dyDescent="0.3">
      <c r="A201" s="22" t="s">
        <v>794</v>
      </c>
      <c r="B201" t="str">
        <f t="shared" si="21"/>
        <v>Arun Jain</v>
      </c>
      <c r="C201" t="str">
        <f t="shared" si="22"/>
        <v>Operations</v>
      </c>
      <c r="D201" s="30" t="str">
        <f t="shared" si="23"/>
        <v>Active</v>
      </c>
      <c r="E201" s="22">
        <v>250</v>
      </c>
      <c r="F201" s="22">
        <v>8</v>
      </c>
      <c r="G201" s="22">
        <v>4</v>
      </c>
      <c r="H201" s="22">
        <v>4</v>
      </c>
      <c r="I201" s="22">
        <f t="shared" si="24"/>
        <v>16</v>
      </c>
      <c r="J201" s="22">
        <f t="shared" si="25"/>
        <v>234</v>
      </c>
      <c r="K201" s="26">
        <f t="shared" si="26"/>
        <v>0.93600000000000005</v>
      </c>
      <c r="L201" s="22">
        <v>2</v>
      </c>
      <c r="M201" s="22">
        <v>5</v>
      </c>
      <c r="N201" s="22">
        <v>90</v>
      </c>
      <c r="O201" s="22" t="str">
        <f t="shared" si="27"/>
        <v>Normal</v>
      </c>
    </row>
    <row r="202" spans="1:15" x14ac:dyDescent="0.3">
      <c r="A202" s="22" t="s">
        <v>797</v>
      </c>
      <c r="B202" t="str">
        <f t="shared" si="21"/>
        <v>Anjali Shah</v>
      </c>
      <c r="C202" t="str">
        <f t="shared" si="22"/>
        <v>Marketing</v>
      </c>
      <c r="D202" s="30" t="str">
        <f t="shared" si="23"/>
        <v>Active</v>
      </c>
      <c r="E202" s="22">
        <v>250</v>
      </c>
      <c r="F202" s="22">
        <v>14</v>
      </c>
      <c r="G202" s="22">
        <v>4</v>
      </c>
      <c r="H202" s="22">
        <v>2</v>
      </c>
      <c r="I202" s="22">
        <f t="shared" si="24"/>
        <v>20</v>
      </c>
      <c r="J202" s="22">
        <f t="shared" si="25"/>
        <v>230</v>
      </c>
      <c r="K202" s="26">
        <f t="shared" si="26"/>
        <v>0.92</v>
      </c>
      <c r="L202" s="22">
        <v>73</v>
      </c>
      <c r="M202" s="22">
        <v>6</v>
      </c>
      <c r="N202" s="22">
        <v>32</v>
      </c>
      <c r="O202" s="22" t="str">
        <f t="shared" si="27"/>
        <v>Normal</v>
      </c>
    </row>
    <row r="203" spans="1:15" x14ac:dyDescent="0.3">
      <c r="A203" s="22" t="s">
        <v>800</v>
      </c>
      <c r="B203" t="str">
        <f t="shared" si="21"/>
        <v>Ankit Mukherjee</v>
      </c>
      <c r="C203" t="str">
        <f t="shared" si="22"/>
        <v>Data &amp; Analytics</v>
      </c>
      <c r="D203" s="30" t="str">
        <f t="shared" si="23"/>
        <v>Active</v>
      </c>
      <c r="E203" s="22">
        <v>250</v>
      </c>
      <c r="F203" s="22">
        <v>12</v>
      </c>
      <c r="G203" s="22">
        <v>3</v>
      </c>
      <c r="H203" s="22">
        <v>4</v>
      </c>
      <c r="I203" s="22">
        <f t="shared" si="24"/>
        <v>19</v>
      </c>
      <c r="J203" s="22">
        <f t="shared" si="25"/>
        <v>231</v>
      </c>
      <c r="K203" s="26">
        <f t="shared" si="26"/>
        <v>0.92400000000000004</v>
      </c>
      <c r="L203" s="22">
        <v>45</v>
      </c>
      <c r="M203" s="22">
        <v>6</v>
      </c>
      <c r="N203" s="22">
        <v>6</v>
      </c>
      <c r="O203" s="22" t="str">
        <f t="shared" si="27"/>
        <v>Normal</v>
      </c>
    </row>
    <row r="204" spans="1:15" x14ac:dyDescent="0.3">
      <c r="A204" s="22" t="s">
        <v>803</v>
      </c>
      <c r="B204" t="str">
        <f t="shared" si="21"/>
        <v>Anjali Rao</v>
      </c>
      <c r="C204" t="str">
        <f t="shared" si="22"/>
        <v>Customer Support</v>
      </c>
      <c r="D204" s="30" t="str">
        <f t="shared" si="23"/>
        <v>Active</v>
      </c>
      <c r="E204" s="22">
        <v>250</v>
      </c>
      <c r="F204" s="22">
        <v>15</v>
      </c>
      <c r="G204" s="22">
        <v>4</v>
      </c>
      <c r="H204" s="22">
        <v>0</v>
      </c>
      <c r="I204" s="22">
        <f t="shared" si="24"/>
        <v>19</v>
      </c>
      <c r="J204" s="22">
        <f t="shared" si="25"/>
        <v>231</v>
      </c>
      <c r="K204" s="26">
        <f t="shared" si="26"/>
        <v>0.92400000000000004</v>
      </c>
      <c r="L204" s="22">
        <v>6</v>
      </c>
      <c r="M204" s="22">
        <v>11</v>
      </c>
      <c r="N204" s="22">
        <v>62</v>
      </c>
      <c r="O204" s="22" t="str">
        <f t="shared" si="27"/>
        <v>Normal</v>
      </c>
    </row>
    <row r="205" spans="1:15" x14ac:dyDescent="0.3">
      <c r="A205" s="22" t="s">
        <v>806</v>
      </c>
      <c r="B205" t="str">
        <f t="shared" si="21"/>
        <v>Anand Shetty</v>
      </c>
      <c r="C205" t="str">
        <f t="shared" si="22"/>
        <v>Marketing</v>
      </c>
      <c r="D205" s="30" t="str">
        <f t="shared" si="23"/>
        <v>Active</v>
      </c>
      <c r="E205" s="22">
        <v>250</v>
      </c>
      <c r="F205" s="22">
        <v>12</v>
      </c>
      <c r="G205" s="22">
        <v>7</v>
      </c>
      <c r="H205" s="22">
        <v>5</v>
      </c>
      <c r="I205" s="22">
        <f t="shared" si="24"/>
        <v>24</v>
      </c>
      <c r="J205" s="22">
        <f t="shared" si="25"/>
        <v>226</v>
      </c>
      <c r="K205" s="26">
        <f t="shared" si="26"/>
        <v>0.90400000000000003</v>
      </c>
      <c r="L205" s="22">
        <v>50</v>
      </c>
      <c r="M205" s="22">
        <v>9</v>
      </c>
      <c r="N205" s="22">
        <v>6</v>
      </c>
      <c r="O205" s="22" t="str">
        <f t="shared" si="27"/>
        <v>Normal</v>
      </c>
    </row>
    <row r="206" spans="1:15" x14ac:dyDescent="0.3">
      <c r="A206" s="22" t="s">
        <v>195</v>
      </c>
      <c r="B206" t="str">
        <f t="shared" si="21"/>
        <v>Srinivas Shah</v>
      </c>
      <c r="C206" t="str">
        <f t="shared" si="22"/>
        <v>Sales</v>
      </c>
      <c r="D206" s="30" t="str">
        <f t="shared" si="23"/>
        <v>Active</v>
      </c>
      <c r="E206" s="22">
        <v>250</v>
      </c>
      <c r="F206" s="22">
        <v>15</v>
      </c>
      <c r="G206" s="22">
        <v>6</v>
      </c>
      <c r="H206" s="22">
        <v>1</v>
      </c>
      <c r="I206" s="22">
        <f t="shared" si="24"/>
        <v>22</v>
      </c>
      <c r="J206" s="22">
        <f t="shared" si="25"/>
        <v>228</v>
      </c>
      <c r="K206" s="26">
        <f t="shared" si="26"/>
        <v>0.91200000000000003</v>
      </c>
      <c r="L206" s="22">
        <v>82</v>
      </c>
      <c r="M206" s="22">
        <v>5</v>
      </c>
      <c r="N206" s="22">
        <v>23</v>
      </c>
      <c r="O206" s="22" t="str">
        <f t="shared" si="27"/>
        <v>Normal</v>
      </c>
    </row>
    <row r="207" spans="1:15" x14ac:dyDescent="0.3">
      <c r="A207" s="22" t="s">
        <v>810</v>
      </c>
      <c r="B207" t="str">
        <f t="shared" si="21"/>
        <v>Meera Chatterjee</v>
      </c>
      <c r="C207" t="str">
        <f t="shared" si="22"/>
        <v>Engineering</v>
      </c>
      <c r="D207" s="30" t="str">
        <f t="shared" si="23"/>
        <v>Active</v>
      </c>
      <c r="E207" s="22">
        <v>250</v>
      </c>
      <c r="F207" s="22">
        <v>20</v>
      </c>
      <c r="G207" s="22">
        <v>1</v>
      </c>
      <c r="H207" s="22">
        <v>1</v>
      </c>
      <c r="I207" s="22">
        <f t="shared" si="24"/>
        <v>22</v>
      </c>
      <c r="J207" s="22">
        <f t="shared" si="25"/>
        <v>228</v>
      </c>
      <c r="K207" s="26">
        <f t="shared" si="26"/>
        <v>0.91200000000000003</v>
      </c>
      <c r="L207" s="22">
        <v>14</v>
      </c>
      <c r="M207" s="22">
        <v>8</v>
      </c>
      <c r="N207" s="22">
        <v>32</v>
      </c>
      <c r="O207" s="22" t="str">
        <f t="shared" si="27"/>
        <v>Normal</v>
      </c>
    </row>
    <row r="208" spans="1:15" x14ac:dyDescent="0.3">
      <c r="A208" s="22" t="s">
        <v>813</v>
      </c>
      <c r="B208" t="str">
        <f t="shared" si="21"/>
        <v>Tejaswini Nair</v>
      </c>
      <c r="C208" t="str">
        <f t="shared" si="22"/>
        <v>Finance</v>
      </c>
      <c r="D208" s="30" t="str">
        <f t="shared" si="23"/>
        <v>Exited</v>
      </c>
      <c r="E208" s="22">
        <v>130</v>
      </c>
      <c r="F208" s="22">
        <v>13</v>
      </c>
      <c r="G208" s="22">
        <v>6</v>
      </c>
      <c r="H208" s="22">
        <v>1</v>
      </c>
      <c r="I208" s="22">
        <f t="shared" si="24"/>
        <v>20</v>
      </c>
      <c r="J208" s="22">
        <f t="shared" si="25"/>
        <v>110</v>
      </c>
      <c r="K208" s="26">
        <f t="shared" si="26"/>
        <v>0.84615384615384615</v>
      </c>
      <c r="L208" s="22">
        <v>77</v>
      </c>
      <c r="M208" s="22">
        <v>5</v>
      </c>
      <c r="N208" s="22">
        <v>25</v>
      </c>
      <c r="O208" s="22" t="str">
        <f t="shared" si="27"/>
        <v>Low Attendance</v>
      </c>
    </row>
    <row r="209" spans="1:15" x14ac:dyDescent="0.3">
      <c r="A209" s="22" t="s">
        <v>816</v>
      </c>
      <c r="B209" t="str">
        <f t="shared" si="21"/>
        <v>Ashish Fernandes</v>
      </c>
      <c r="C209" t="str">
        <f t="shared" si="22"/>
        <v>Engineering</v>
      </c>
      <c r="D209" s="30" t="str">
        <f t="shared" si="23"/>
        <v>Active</v>
      </c>
      <c r="E209" s="22">
        <v>250</v>
      </c>
      <c r="F209" s="22">
        <v>6</v>
      </c>
      <c r="G209" s="22">
        <v>1</v>
      </c>
      <c r="H209" s="22">
        <v>0</v>
      </c>
      <c r="I209" s="22">
        <f t="shared" si="24"/>
        <v>7</v>
      </c>
      <c r="J209" s="22">
        <f t="shared" si="25"/>
        <v>243</v>
      </c>
      <c r="K209" s="26">
        <f t="shared" si="26"/>
        <v>0.97199999999999998</v>
      </c>
      <c r="L209" s="22">
        <v>51</v>
      </c>
      <c r="M209" s="22">
        <v>6</v>
      </c>
      <c r="N209" s="22">
        <v>101</v>
      </c>
      <c r="O209" s="22" t="str">
        <f t="shared" si="27"/>
        <v>Normal</v>
      </c>
    </row>
    <row r="210" spans="1:15" x14ac:dyDescent="0.3">
      <c r="A210" s="22" t="s">
        <v>819</v>
      </c>
      <c r="B210" t="str">
        <f t="shared" si="21"/>
        <v>Ritu Hegde</v>
      </c>
      <c r="C210" t="str">
        <f t="shared" si="22"/>
        <v>Customer Support</v>
      </c>
      <c r="D210" s="30" t="str">
        <f t="shared" si="23"/>
        <v>Active</v>
      </c>
      <c r="E210" s="22">
        <v>250</v>
      </c>
      <c r="F210" s="22">
        <v>8</v>
      </c>
      <c r="G210" s="22">
        <v>5</v>
      </c>
      <c r="H210" s="22">
        <v>4</v>
      </c>
      <c r="I210" s="22">
        <f t="shared" si="24"/>
        <v>17</v>
      </c>
      <c r="J210" s="22">
        <f t="shared" si="25"/>
        <v>233</v>
      </c>
      <c r="K210" s="26">
        <f t="shared" si="26"/>
        <v>0.93200000000000005</v>
      </c>
      <c r="L210" s="22">
        <v>21</v>
      </c>
      <c r="M210" s="22">
        <v>5</v>
      </c>
      <c r="N210" s="22">
        <v>47</v>
      </c>
      <c r="O210" s="22" t="str">
        <f t="shared" si="27"/>
        <v>Normal</v>
      </c>
    </row>
    <row r="211" spans="1:15" x14ac:dyDescent="0.3">
      <c r="A211" s="22" t="s">
        <v>824</v>
      </c>
      <c r="B211" t="str">
        <f t="shared" si="21"/>
        <v>Srinivas Kumar</v>
      </c>
      <c r="C211" t="str">
        <f t="shared" si="22"/>
        <v>Product</v>
      </c>
      <c r="D211" s="30" t="str">
        <f t="shared" si="23"/>
        <v>Active</v>
      </c>
      <c r="E211" s="22">
        <v>250</v>
      </c>
      <c r="F211" s="22">
        <v>8</v>
      </c>
      <c r="G211" s="22">
        <v>5</v>
      </c>
      <c r="H211" s="22">
        <v>0</v>
      </c>
      <c r="I211" s="22">
        <f t="shared" si="24"/>
        <v>13</v>
      </c>
      <c r="J211" s="22">
        <f t="shared" si="25"/>
        <v>237</v>
      </c>
      <c r="K211" s="26">
        <f t="shared" si="26"/>
        <v>0.94799999999999995</v>
      </c>
      <c r="L211" s="22">
        <v>50</v>
      </c>
      <c r="M211" s="22">
        <v>11</v>
      </c>
      <c r="N211" s="22">
        <v>0</v>
      </c>
      <c r="O211" s="22" t="str">
        <f t="shared" si="27"/>
        <v>Normal</v>
      </c>
    </row>
    <row r="212" spans="1:15" x14ac:dyDescent="0.3">
      <c r="A212" s="22" t="s">
        <v>827</v>
      </c>
      <c r="B212" t="str">
        <f t="shared" si="21"/>
        <v>Tarun Das</v>
      </c>
      <c r="C212" t="str">
        <f t="shared" si="22"/>
        <v>Customer Support</v>
      </c>
      <c r="D212" s="30" t="str">
        <f t="shared" si="23"/>
        <v>Exited</v>
      </c>
      <c r="E212" s="22">
        <v>68</v>
      </c>
      <c r="F212" s="22">
        <v>6</v>
      </c>
      <c r="G212" s="22">
        <v>5</v>
      </c>
      <c r="H212" s="22">
        <v>1</v>
      </c>
      <c r="I212" s="22">
        <f t="shared" si="24"/>
        <v>12</v>
      </c>
      <c r="J212" s="22">
        <f t="shared" si="25"/>
        <v>56</v>
      </c>
      <c r="K212" s="26">
        <f t="shared" si="26"/>
        <v>0.82352941176470584</v>
      </c>
      <c r="L212" s="22">
        <v>18</v>
      </c>
      <c r="M212" s="22">
        <v>12</v>
      </c>
      <c r="N212" s="22">
        <v>41</v>
      </c>
      <c r="O212" s="22" t="str">
        <f t="shared" si="27"/>
        <v>Low Attendance</v>
      </c>
    </row>
    <row r="213" spans="1:15" x14ac:dyDescent="0.3">
      <c r="A213" s="22" t="s">
        <v>830</v>
      </c>
      <c r="B213" t="str">
        <f t="shared" si="21"/>
        <v>Arun Kamath</v>
      </c>
      <c r="C213" t="str">
        <f t="shared" si="22"/>
        <v>Product</v>
      </c>
      <c r="D213" s="30" t="str">
        <f t="shared" si="23"/>
        <v>Active</v>
      </c>
      <c r="E213" s="22">
        <v>250</v>
      </c>
      <c r="F213" s="22">
        <v>20</v>
      </c>
      <c r="G213" s="22">
        <v>3</v>
      </c>
      <c r="H213" s="22">
        <v>2</v>
      </c>
      <c r="I213" s="22">
        <f t="shared" si="24"/>
        <v>25</v>
      </c>
      <c r="J213" s="22">
        <f t="shared" si="25"/>
        <v>225</v>
      </c>
      <c r="K213" s="26">
        <f t="shared" si="26"/>
        <v>0.9</v>
      </c>
      <c r="L213" s="22">
        <v>59</v>
      </c>
      <c r="M213" s="22">
        <v>4</v>
      </c>
      <c r="N213" s="22">
        <v>38</v>
      </c>
      <c r="O213" s="22" t="str">
        <f t="shared" si="27"/>
        <v>Normal</v>
      </c>
    </row>
    <row r="214" spans="1:15" x14ac:dyDescent="0.3">
      <c r="A214" s="22" t="s">
        <v>362</v>
      </c>
      <c r="B214" t="str">
        <f t="shared" si="21"/>
        <v>Vikram Verma</v>
      </c>
      <c r="C214" t="str">
        <f t="shared" si="22"/>
        <v>Engineering</v>
      </c>
      <c r="D214" s="30" t="str">
        <f t="shared" si="23"/>
        <v>Active</v>
      </c>
      <c r="E214" s="22">
        <v>250</v>
      </c>
      <c r="F214" s="22">
        <v>9</v>
      </c>
      <c r="G214" s="22">
        <v>8</v>
      </c>
      <c r="H214" s="22">
        <v>1</v>
      </c>
      <c r="I214" s="22">
        <f t="shared" si="24"/>
        <v>18</v>
      </c>
      <c r="J214" s="22">
        <f t="shared" si="25"/>
        <v>232</v>
      </c>
      <c r="K214" s="26">
        <f t="shared" si="26"/>
        <v>0.92800000000000005</v>
      </c>
      <c r="L214" s="22">
        <v>81</v>
      </c>
      <c r="M214" s="22">
        <v>4</v>
      </c>
      <c r="N214" s="22">
        <v>91</v>
      </c>
      <c r="O214" s="22" t="str">
        <f t="shared" si="27"/>
        <v>Normal</v>
      </c>
    </row>
    <row r="215" spans="1:15" x14ac:dyDescent="0.3">
      <c r="A215" s="22" t="s">
        <v>835</v>
      </c>
      <c r="B215" t="str">
        <f t="shared" si="21"/>
        <v>Kunal Subramanian</v>
      </c>
      <c r="C215" t="str">
        <f t="shared" si="22"/>
        <v>Human Resources</v>
      </c>
      <c r="D215" s="30" t="str">
        <f t="shared" si="23"/>
        <v>Exited</v>
      </c>
      <c r="E215" s="22">
        <v>225</v>
      </c>
      <c r="F215" s="22">
        <v>15</v>
      </c>
      <c r="G215" s="22">
        <v>1</v>
      </c>
      <c r="H215" s="22">
        <v>2</v>
      </c>
      <c r="I215" s="22">
        <f t="shared" si="24"/>
        <v>18</v>
      </c>
      <c r="J215" s="22">
        <f t="shared" si="25"/>
        <v>207</v>
      </c>
      <c r="K215" s="26">
        <f t="shared" si="26"/>
        <v>0.92</v>
      </c>
      <c r="L215" s="22">
        <v>63</v>
      </c>
      <c r="M215" s="22">
        <v>10</v>
      </c>
      <c r="N215" s="22">
        <v>27</v>
      </c>
      <c r="O215" s="22" t="str">
        <f t="shared" si="27"/>
        <v>Normal</v>
      </c>
    </row>
    <row r="216" spans="1:15" x14ac:dyDescent="0.3">
      <c r="A216" s="22" t="s">
        <v>838</v>
      </c>
      <c r="B216" t="str">
        <f t="shared" si="21"/>
        <v>Krishna Siddiqui</v>
      </c>
      <c r="C216" t="str">
        <f t="shared" si="22"/>
        <v>Product</v>
      </c>
      <c r="D216" s="30" t="str">
        <f t="shared" si="23"/>
        <v>Active</v>
      </c>
      <c r="E216" s="22">
        <v>250</v>
      </c>
      <c r="F216" s="22">
        <v>11</v>
      </c>
      <c r="G216" s="22">
        <v>5</v>
      </c>
      <c r="H216" s="22">
        <v>2</v>
      </c>
      <c r="I216" s="22">
        <f t="shared" si="24"/>
        <v>18</v>
      </c>
      <c r="J216" s="22">
        <f t="shared" si="25"/>
        <v>232</v>
      </c>
      <c r="K216" s="26">
        <f t="shared" si="26"/>
        <v>0.92800000000000005</v>
      </c>
      <c r="L216" s="22">
        <v>73</v>
      </c>
      <c r="M216" s="22">
        <v>7</v>
      </c>
      <c r="N216" s="22">
        <v>2</v>
      </c>
      <c r="O216" s="22" t="str">
        <f t="shared" si="27"/>
        <v>Normal</v>
      </c>
    </row>
    <row r="217" spans="1:15" x14ac:dyDescent="0.3">
      <c r="A217" s="22" t="s">
        <v>841</v>
      </c>
      <c r="B217" t="str">
        <f t="shared" si="21"/>
        <v>Bhavana Siddiqui</v>
      </c>
      <c r="C217" t="str">
        <f t="shared" si="22"/>
        <v>Engineering</v>
      </c>
      <c r="D217" s="30" t="str">
        <f t="shared" si="23"/>
        <v>Active</v>
      </c>
      <c r="E217" s="22">
        <v>250</v>
      </c>
      <c r="F217" s="22">
        <v>10</v>
      </c>
      <c r="G217" s="22">
        <v>6</v>
      </c>
      <c r="H217" s="22">
        <v>0</v>
      </c>
      <c r="I217" s="22">
        <f t="shared" si="24"/>
        <v>16</v>
      </c>
      <c r="J217" s="22">
        <f t="shared" si="25"/>
        <v>234</v>
      </c>
      <c r="K217" s="26">
        <f t="shared" si="26"/>
        <v>0.93600000000000005</v>
      </c>
      <c r="L217" s="22">
        <v>67</v>
      </c>
      <c r="M217" s="22">
        <v>2</v>
      </c>
      <c r="N217" s="22">
        <v>76</v>
      </c>
      <c r="O217" s="22" t="str">
        <f t="shared" si="27"/>
        <v>Normal</v>
      </c>
    </row>
    <row r="218" spans="1:15" x14ac:dyDescent="0.3">
      <c r="A218" s="22" t="s">
        <v>844</v>
      </c>
      <c r="B218" t="str">
        <f t="shared" si="21"/>
        <v>Krishna Pillai</v>
      </c>
      <c r="C218" t="str">
        <f t="shared" si="22"/>
        <v>Sales</v>
      </c>
      <c r="D218" s="30" t="str">
        <f t="shared" si="23"/>
        <v>Active</v>
      </c>
      <c r="E218" s="22">
        <v>250</v>
      </c>
      <c r="F218" s="22">
        <v>11</v>
      </c>
      <c r="G218" s="22">
        <v>6</v>
      </c>
      <c r="H218" s="22">
        <v>1</v>
      </c>
      <c r="I218" s="22">
        <f t="shared" si="24"/>
        <v>18</v>
      </c>
      <c r="J218" s="22">
        <f t="shared" si="25"/>
        <v>232</v>
      </c>
      <c r="K218" s="26">
        <f t="shared" si="26"/>
        <v>0.92800000000000005</v>
      </c>
      <c r="L218" s="22">
        <v>12</v>
      </c>
      <c r="M218" s="22">
        <v>4</v>
      </c>
      <c r="N218" s="22">
        <v>1</v>
      </c>
      <c r="O218" s="22" t="str">
        <f t="shared" si="27"/>
        <v>Normal</v>
      </c>
    </row>
    <row r="219" spans="1:15" x14ac:dyDescent="0.3">
      <c r="A219" s="22" t="s">
        <v>847</v>
      </c>
      <c r="B219" t="str">
        <f t="shared" si="21"/>
        <v>Nisha Subramanian</v>
      </c>
      <c r="C219" t="str">
        <f t="shared" si="22"/>
        <v>Customer Support</v>
      </c>
      <c r="D219" s="30" t="str">
        <f t="shared" si="23"/>
        <v>Active</v>
      </c>
      <c r="E219" s="22">
        <v>250</v>
      </c>
      <c r="F219" s="22">
        <v>16</v>
      </c>
      <c r="G219" s="22">
        <v>0</v>
      </c>
      <c r="H219" s="22">
        <v>8</v>
      </c>
      <c r="I219" s="22">
        <f t="shared" si="24"/>
        <v>24</v>
      </c>
      <c r="J219" s="22">
        <f t="shared" si="25"/>
        <v>226</v>
      </c>
      <c r="K219" s="26">
        <f t="shared" si="26"/>
        <v>0.90400000000000003</v>
      </c>
      <c r="L219" s="22">
        <v>9</v>
      </c>
      <c r="M219" s="22">
        <v>2</v>
      </c>
      <c r="N219" s="22">
        <v>107</v>
      </c>
      <c r="O219" s="22" t="str">
        <f t="shared" si="27"/>
        <v>High Unplanned</v>
      </c>
    </row>
    <row r="220" spans="1:15" x14ac:dyDescent="0.3">
      <c r="A220" s="22" t="s">
        <v>850</v>
      </c>
      <c r="B220" t="str">
        <f t="shared" si="21"/>
        <v>Neha Patel</v>
      </c>
      <c r="C220" t="str">
        <f t="shared" si="22"/>
        <v>Customer Support</v>
      </c>
      <c r="D220" s="30" t="str">
        <f t="shared" si="23"/>
        <v>Active</v>
      </c>
      <c r="E220" s="22">
        <v>250</v>
      </c>
      <c r="F220" s="22">
        <v>12</v>
      </c>
      <c r="G220" s="22">
        <v>0</v>
      </c>
      <c r="H220" s="22">
        <v>5</v>
      </c>
      <c r="I220" s="22">
        <f t="shared" si="24"/>
        <v>17</v>
      </c>
      <c r="J220" s="22">
        <f t="shared" si="25"/>
        <v>233</v>
      </c>
      <c r="K220" s="26">
        <f t="shared" si="26"/>
        <v>0.93200000000000005</v>
      </c>
      <c r="L220" s="22">
        <v>16</v>
      </c>
      <c r="M220" s="22">
        <v>0</v>
      </c>
      <c r="N220" s="22">
        <v>43</v>
      </c>
      <c r="O220" s="22" t="str">
        <f t="shared" si="27"/>
        <v>Normal</v>
      </c>
    </row>
    <row r="221" spans="1:15" x14ac:dyDescent="0.3">
      <c r="A221" s="22" t="s">
        <v>853</v>
      </c>
      <c r="B221" t="str">
        <f t="shared" si="21"/>
        <v>Madhuri Choudhary</v>
      </c>
      <c r="C221" t="str">
        <f t="shared" si="22"/>
        <v>Finance</v>
      </c>
      <c r="D221" s="30" t="str">
        <f t="shared" si="23"/>
        <v>Active</v>
      </c>
      <c r="E221" s="22">
        <v>250</v>
      </c>
      <c r="F221" s="22">
        <v>16</v>
      </c>
      <c r="G221" s="22">
        <v>0</v>
      </c>
      <c r="H221" s="22">
        <v>0</v>
      </c>
      <c r="I221" s="22">
        <f t="shared" si="24"/>
        <v>16</v>
      </c>
      <c r="J221" s="22">
        <f t="shared" si="25"/>
        <v>234</v>
      </c>
      <c r="K221" s="26">
        <f t="shared" si="26"/>
        <v>0.93600000000000005</v>
      </c>
      <c r="L221" s="22">
        <v>22</v>
      </c>
      <c r="M221" s="22">
        <v>13</v>
      </c>
      <c r="N221" s="22">
        <v>26</v>
      </c>
      <c r="O221" s="22" t="str">
        <f t="shared" si="27"/>
        <v>Normal</v>
      </c>
    </row>
    <row r="222" spans="1:15" x14ac:dyDescent="0.3">
      <c r="A222" s="22" t="s">
        <v>856</v>
      </c>
      <c r="B222" t="str">
        <f t="shared" si="21"/>
        <v>Sai Khanna</v>
      </c>
      <c r="C222" t="str">
        <f t="shared" si="22"/>
        <v>Engineering</v>
      </c>
      <c r="D222" s="30" t="str">
        <f t="shared" si="23"/>
        <v>Active</v>
      </c>
      <c r="E222" s="22">
        <v>250</v>
      </c>
      <c r="F222" s="22">
        <v>17</v>
      </c>
      <c r="G222" s="22">
        <v>4</v>
      </c>
      <c r="H222" s="22">
        <v>5</v>
      </c>
      <c r="I222" s="22">
        <f t="shared" si="24"/>
        <v>26</v>
      </c>
      <c r="J222" s="22">
        <f t="shared" si="25"/>
        <v>224</v>
      </c>
      <c r="K222" s="26">
        <f t="shared" si="26"/>
        <v>0.89600000000000002</v>
      </c>
      <c r="L222" s="22">
        <v>61</v>
      </c>
      <c r="M222" s="22">
        <v>1</v>
      </c>
      <c r="N222" s="22">
        <v>71</v>
      </c>
      <c r="O222" s="22" t="str">
        <f t="shared" si="27"/>
        <v>Low Attendance</v>
      </c>
    </row>
    <row r="223" spans="1:15" x14ac:dyDescent="0.3">
      <c r="A223" s="22" t="s">
        <v>859</v>
      </c>
      <c r="B223" t="str">
        <f t="shared" si="21"/>
        <v>Karan Varghese</v>
      </c>
      <c r="C223" t="str">
        <f t="shared" si="22"/>
        <v>Operations</v>
      </c>
      <c r="D223" s="30" t="str">
        <f t="shared" si="23"/>
        <v>Active</v>
      </c>
      <c r="E223" s="22">
        <v>250</v>
      </c>
      <c r="F223" s="22">
        <v>18</v>
      </c>
      <c r="G223" s="22">
        <v>5</v>
      </c>
      <c r="H223" s="22">
        <v>2</v>
      </c>
      <c r="I223" s="22">
        <f t="shared" si="24"/>
        <v>25</v>
      </c>
      <c r="J223" s="22">
        <f t="shared" si="25"/>
        <v>225</v>
      </c>
      <c r="K223" s="26">
        <f t="shared" si="26"/>
        <v>0.9</v>
      </c>
      <c r="L223" s="22">
        <v>1</v>
      </c>
      <c r="M223" s="22">
        <v>6</v>
      </c>
      <c r="N223" s="22">
        <v>38</v>
      </c>
      <c r="O223" s="22" t="str">
        <f t="shared" si="27"/>
        <v>Normal</v>
      </c>
    </row>
    <row r="224" spans="1:15" x14ac:dyDescent="0.3">
      <c r="A224" s="22" t="s">
        <v>862</v>
      </c>
      <c r="B224" t="str">
        <f t="shared" si="21"/>
        <v>Meera Kumar</v>
      </c>
      <c r="C224" t="str">
        <f t="shared" si="22"/>
        <v>Marketing</v>
      </c>
      <c r="D224" s="30" t="str">
        <f t="shared" si="23"/>
        <v>Active</v>
      </c>
      <c r="E224" s="22">
        <v>250</v>
      </c>
      <c r="F224" s="22">
        <v>17</v>
      </c>
      <c r="G224" s="22">
        <v>7</v>
      </c>
      <c r="H224" s="22">
        <v>2</v>
      </c>
      <c r="I224" s="22">
        <f t="shared" si="24"/>
        <v>26</v>
      </c>
      <c r="J224" s="22">
        <f t="shared" si="25"/>
        <v>224</v>
      </c>
      <c r="K224" s="26">
        <f t="shared" si="26"/>
        <v>0.89600000000000002</v>
      </c>
      <c r="L224" s="22">
        <v>25</v>
      </c>
      <c r="M224" s="22">
        <v>13</v>
      </c>
      <c r="N224" s="22">
        <v>23</v>
      </c>
      <c r="O224" s="22" t="str">
        <f t="shared" si="27"/>
        <v>Low Attendance</v>
      </c>
    </row>
    <row r="225" spans="1:15" x14ac:dyDescent="0.3">
      <c r="A225" s="22" t="s">
        <v>865</v>
      </c>
      <c r="B225" t="str">
        <f t="shared" si="21"/>
        <v>Aditya Bose</v>
      </c>
      <c r="C225" t="str">
        <f t="shared" si="22"/>
        <v>Data &amp; Analytics</v>
      </c>
      <c r="D225" s="30" t="str">
        <f t="shared" si="23"/>
        <v>Active</v>
      </c>
      <c r="E225" s="22">
        <v>250</v>
      </c>
      <c r="F225" s="22">
        <v>15</v>
      </c>
      <c r="G225" s="22">
        <v>1</v>
      </c>
      <c r="H225" s="22">
        <v>0</v>
      </c>
      <c r="I225" s="22">
        <f t="shared" si="24"/>
        <v>16</v>
      </c>
      <c r="J225" s="22">
        <f t="shared" si="25"/>
        <v>234</v>
      </c>
      <c r="K225" s="26">
        <f t="shared" si="26"/>
        <v>0.93600000000000005</v>
      </c>
      <c r="L225" s="22">
        <v>16</v>
      </c>
      <c r="M225" s="22">
        <v>13</v>
      </c>
      <c r="N225" s="22">
        <v>0</v>
      </c>
      <c r="O225" s="22" t="str">
        <f t="shared" si="27"/>
        <v>Normal</v>
      </c>
    </row>
    <row r="226" spans="1:15" x14ac:dyDescent="0.3">
      <c r="A226" s="22" t="s">
        <v>384</v>
      </c>
      <c r="B226" t="str">
        <f t="shared" si="21"/>
        <v>Nandini Fernandes</v>
      </c>
      <c r="C226" t="str">
        <f t="shared" si="22"/>
        <v>Operations</v>
      </c>
      <c r="D226" s="30" t="str">
        <f t="shared" si="23"/>
        <v>Active</v>
      </c>
      <c r="E226" s="22">
        <v>250</v>
      </c>
      <c r="F226" s="22">
        <v>8</v>
      </c>
      <c r="G226" s="22">
        <v>1</v>
      </c>
      <c r="H226" s="22">
        <v>12</v>
      </c>
      <c r="I226" s="22">
        <f t="shared" si="24"/>
        <v>21</v>
      </c>
      <c r="J226" s="22">
        <f t="shared" si="25"/>
        <v>229</v>
      </c>
      <c r="K226" s="26">
        <f t="shared" si="26"/>
        <v>0.91600000000000004</v>
      </c>
      <c r="L226" s="22">
        <v>22</v>
      </c>
      <c r="M226" s="22">
        <v>11</v>
      </c>
      <c r="N226" s="22">
        <v>55</v>
      </c>
      <c r="O226" s="22" t="str">
        <f t="shared" si="27"/>
        <v>High Unplanned</v>
      </c>
    </row>
    <row r="227" spans="1:15" x14ac:dyDescent="0.3">
      <c r="A227" s="22" t="s">
        <v>869</v>
      </c>
      <c r="B227" t="str">
        <f t="shared" si="21"/>
        <v>Revathi Thomas</v>
      </c>
      <c r="C227" t="str">
        <f t="shared" si="22"/>
        <v>Operations</v>
      </c>
      <c r="D227" s="30" t="str">
        <f t="shared" si="23"/>
        <v>Active</v>
      </c>
      <c r="E227" s="22">
        <v>250</v>
      </c>
      <c r="F227" s="22">
        <v>9</v>
      </c>
      <c r="G227" s="22">
        <v>2</v>
      </c>
      <c r="H227" s="22">
        <v>0</v>
      </c>
      <c r="I227" s="22">
        <f t="shared" si="24"/>
        <v>11</v>
      </c>
      <c r="J227" s="22">
        <f t="shared" si="25"/>
        <v>239</v>
      </c>
      <c r="K227" s="26">
        <f t="shared" si="26"/>
        <v>0.95599999999999996</v>
      </c>
      <c r="L227" s="22">
        <v>23</v>
      </c>
      <c r="M227" s="22">
        <v>14</v>
      </c>
      <c r="N227" s="22">
        <v>103</v>
      </c>
      <c r="O227" s="22" t="str">
        <f t="shared" si="27"/>
        <v>Normal</v>
      </c>
    </row>
    <row r="228" spans="1:15" x14ac:dyDescent="0.3">
      <c r="A228" s="22" t="s">
        <v>872</v>
      </c>
      <c r="B228" t="str">
        <f t="shared" si="21"/>
        <v>Akash Bose</v>
      </c>
      <c r="C228" t="str">
        <f t="shared" si="22"/>
        <v>Engineering</v>
      </c>
      <c r="D228" s="30" t="str">
        <f t="shared" si="23"/>
        <v>Active</v>
      </c>
      <c r="E228" s="22">
        <v>250</v>
      </c>
      <c r="F228" s="22">
        <v>11</v>
      </c>
      <c r="G228" s="22">
        <v>8</v>
      </c>
      <c r="H228" s="22">
        <v>12</v>
      </c>
      <c r="I228" s="22">
        <f t="shared" si="24"/>
        <v>31</v>
      </c>
      <c r="J228" s="22">
        <f t="shared" si="25"/>
        <v>219</v>
      </c>
      <c r="K228" s="26">
        <f t="shared" si="26"/>
        <v>0.876</v>
      </c>
      <c r="L228" s="22">
        <v>16</v>
      </c>
      <c r="M228" s="22">
        <v>4</v>
      </c>
      <c r="N228" s="22">
        <v>113</v>
      </c>
      <c r="O228" s="22" t="str">
        <f t="shared" si="27"/>
        <v>High Unplanned</v>
      </c>
    </row>
    <row r="229" spans="1:15" x14ac:dyDescent="0.3">
      <c r="A229" s="22" t="s">
        <v>875</v>
      </c>
      <c r="B229" t="str">
        <f t="shared" si="21"/>
        <v>Venkat Menon</v>
      </c>
      <c r="C229" t="str">
        <f t="shared" si="22"/>
        <v>Operations</v>
      </c>
      <c r="D229" s="30" t="str">
        <f t="shared" si="23"/>
        <v>Active</v>
      </c>
      <c r="E229" s="22">
        <v>250</v>
      </c>
      <c r="F229" s="22">
        <v>18</v>
      </c>
      <c r="G229" s="22">
        <v>0</v>
      </c>
      <c r="H229" s="22">
        <v>0</v>
      </c>
      <c r="I229" s="22">
        <f t="shared" si="24"/>
        <v>18</v>
      </c>
      <c r="J229" s="22">
        <f t="shared" si="25"/>
        <v>232</v>
      </c>
      <c r="K229" s="26">
        <f t="shared" si="26"/>
        <v>0.92800000000000005</v>
      </c>
      <c r="L229" s="22">
        <v>9</v>
      </c>
      <c r="M229" s="22">
        <v>1</v>
      </c>
      <c r="N229" s="22">
        <v>33</v>
      </c>
      <c r="O229" s="22" t="str">
        <f t="shared" si="27"/>
        <v>Normal</v>
      </c>
    </row>
    <row r="230" spans="1:15" x14ac:dyDescent="0.3">
      <c r="A230" s="22" t="s">
        <v>878</v>
      </c>
      <c r="B230" t="str">
        <f t="shared" si="21"/>
        <v>Vikram Shah</v>
      </c>
      <c r="C230" t="str">
        <f t="shared" si="22"/>
        <v>Customer Support</v>
      </c>
      <c r="D230" s="30" t="str">
        <f t="shared" si="23"/>
        <v>Active</v>
      </c>
      <c r="E230" s="22">
        <v>250</v>
      </c>
      <c r="F230" s="22">
        <v>11</v>
      </c>
      <c r="G230" s="22">
        <v>6</v>
      </c>
      <c r="H230" s="22">
        <v>1</v>
      </c>
      <c r="I230" s="22">
        <f t="shared" si="24"/>
        <v>18</v>
      </c>
      <c r="J230" s="22">
        <f t="shared" si="25"/>
        <v>232</v>
      </c>
      <c r="K230" s="26">
        <f t="shared" si="26"/>
        <v>0.92800000000000005</v>
      </c>
      <c r="L230" s="22">
        <v>5</v>
      </c>
      <c r="M230" s="22">
        <v>14</v>
      </c>
      <c r="N230" s="22">
        <v>17</v>
      </c>
      <c r="O230" s="22" t="str">
        <f t="shared" si="27"/>
        <v>Normal</v>
      </c>
    </row>
    <row r="231" spans="1:15" x14ac:dyDescent="0.3">
      <c r="A231" s="22" t="s">
        <v>881</v>
      </c>
      <c r="B231" t="str">
        <f t="shared" si="21"/>
        <v>Sneha Chatterjee</v>
      </c>
      <c r="C231" t="str">
        <f t="shared" si="22"/>
        <v>Sales</v>
      </c>
      <c r="D231" s="30" t="str">
        <f t="shared" si="23"/>
        <v>Active</v>
      </c>
      <c r="E231" s="22">
        <v>250</v>
      </c>
      <c r="F231" s="22">
        <v>15</v>
      </c>
      <c r="G231" s="22">
        <v>7</v>
      </c>
      <c r="H231" s="22">
        <v>0</v>
      </c>
      <c r="I231" s="22">
        <f t="shared" si="24"/>
        <v>22</v>
      </c>
      <c r="J231" s="22">
        <f t="shared" si="25"/>
        <v>228</v>
      </c>
      <c r="K231" s="26">
        <f t="shared" si="26"/>
        <v>0.91200000000000003</v>
      </c>
      <c r="L231" s="22">
        <v>50</v>
      </c>
      <c r="M231" s="22">
        <v>13</v>
      </c>
      <c r="N231" s="22">
        <v>9</v>
      </c>
      <c r="O231" s="22" t="str">
        <f t="shared" si="27"/>
        <v>Normal</v>
      </c>
    </row>
    <row r="232" spans="1:15" x14ac:dyDescent="0.3">
      <c r="A232" s="22" t="s">
        <v>884</v>
      </c>
      <c r="B232" t="str">
        <f t="shared" si="21"/>
        <v>Lakshmi Raghavan</v>
      </c>
      <c r="C232" t="str">
        <f t="shared" si="22"/>
        <v>Engineering</v>
      </c>
      <c r="D232" s="30" t="str">
        <f t="shared" si="23"/>
        <v>Active</v>
      </c>
      <c r="E232" s="22">
        <v>250</v>
      </c>
      <c r="F232" s="22">
        <v>18</v>
      </c>
      <c r="G232" s="22">
        <v>6</v>
      </c>
      <c r="H232" s="22">
        <v>2</v>
      </c>
      <c r="I232" s="22">
        <f t="shared" si="24"/>
        <v>26</v>
      </c>
      <c r="J232" s="22">
        <f t="shared" si="25"/>
        <v>224</v>
      </c>
      <c r="K232" s="26">
        <f t="shared" si="26"/>
        <v>0.89600000000000002</v>
      </c>
      <c r="L232" s="22">
        <v>25</v>
      </c>
      <c r="M232" s="22">
        <v>8</v>
      </c>
      <c r="N232" s="22">
        <v>67</v>
      </c>
      <c r="O232" s="22" t="str">
        <f t="shared" si="27"/>
        <v>Low Attendance</v>
      </c>
    </row>
    <row r="233" spans="1:15" x14ac:dyDescent="0.3">
      <c r="A233" s="22" t="s">
        <v>887</v>
      </c>
      <c r="B233" t="str">
        <f t="shared" si="21"/>
        <v>Nisha Reddy</v>
      </c>
      <c r="C233" t="str">
        <f t="shared" si="22"/>
        <v>Customer Support</v>
      </c>
      <c r="D233" s="30" t="str">
        <f t="shared" si="23"/>
        <v>Active</v>
      </c>
      <c r="E233" s="22">
        <v>250</v>
      </c>
      <c r="F233" s="22">
        <v>9</v>
      </c>
      <c r="G233" s="22">
        <v>7</v>
      </c>
      <c r="H233" s="22">
        <v>7</v>
      </c>
      <c r="I233" s="22">
        <f t="shared" si="24"/>
        <v>23</v>
      </c>
      <c r="J233" s="22">
        <f t="shared" si="25"/>
        <v>227</v>
      </c>
      <c r="K233" s="26">
        <f t="shared" si="26"/>
        <v>0.90800000000000003</v>
      </c>
      <c r="L233" s="22">
        <v>10</v>
      </c>
      <c r="M233" s="22">
        <v>12</v>
      </c>
      <c r="N233" s="22">
        <v>93</v>
      </c>
      <c r="O233" s="22" t="str">
        <f t="shared" si="27"/>
        <v>Normal</v>
      </c>
    </row>
    <row r="234" spans="1:15" x14ac:dyDescent="0.3">
      <c r="A234" s="22" t="s">
        <v>891</v>
      </c>
      <c r="B234" t="str">
        <f t="shared" si="21"/>
        <v>Anand Yadav</v>
      </c>
      <c r="C234" t="str">
        <f t="shared" si="22"/>
        <v>Product</v>
      </c>
      <c r="D234" s="30" t="str">
        <f t="shared" si="23"/>
        <v>Active</v>
      </c>
      <c r="E234" s="22">
        <v>250</v>
      </c>
      <c r="F234" s="22">
        <v>13</v>
      </c>
      <c r="G234" s="22">
        <v>3</v>
      </c>
      <c r="H234" s="22">
        <v>4</v>
      </c>
      <c r="I234" s="22">
        <f t="shared" si="24"/>
        <v>20</v>
      </c>
      <c r="J234" s="22">
        <f t="shared" si="25"/>
        <v>230</v>
      </c>
      <c r="K234" s="26">
        <f t="shared" si="26"/>
        <v>0.92</v>
      </c>
      <c r="L234" s="22">
        <v>20</v>
      </c>
      <c r="M234" s="22">
        <v>5</v>
      </c>
      <c r="N234" s="22">
        <v>35</v>
      </c>
      <c r="O234" s="22" t="str">
        <f t="shared" si="27"/>
        <v>Normal</v>
      </c>
    </row>
    <row r="235" spans="1:15" x14ac:dyDescent="0.3">
      <c r="A235" s="22" t="s">
        <v>895</v>
      </c>
      <c r="B235" t="str">
        <f t="shared" si="21"/>
        <v>Arun Gupta</v>
      </c>
      <c r="C235" t="str">
        <f t="shared" si="22"/>
        <v>Marketing</v>
      </c>
      <c r="D235" s="30" t="str">
        <f t="shared" si="23"/>
        <v>Exited</v>
      </c>
      <c r="E235" s="22">
        <v>80</v>
      </c>
      <c r="F235" s="22">
        <v>8</v>
      </c>
      <c r="G235" s="22">
        <v>3</v>
      </c>
      <c r="H235" s="22">
        <v>3</v>
      </c>
      <c r="I235" s="22">
        <f t="shared" si="24"/>
        <v>14</v>
      </c>
      <c r="J235" s="22">
        <f t="shared" si="25"/>
        <v>66</v>
      </c>
      <c r="K235" s="26">
        <f t="shared" si="26"/>
        <v>0.82499999999999996</v>
      </c>
      <c r="L235" s="22">
        <v>36</v>
      </c>
      <c r="M235" s="22">
        <v>11</v>
      </c>
      <c r="N235" s="22">
        <v>4</v>
      </c>
      <c r="O235" s="22" t="str">
        <f t="shared" si="27"/>
        <v>Low Attendance</v>
      </c>
    </row>
    <row r="236" spans="1:15" x14ac:dyDescent="0.3">
      <c r="A236" s="22" t="s">
        <v>899</v>
      </c>
      <c r="B236" t="str">
        <f t="shared" si="21"/>
        <v>Sanjay Chatterjee</v>
      </c>
      <c r="C236" t="str">
        <f t="shared" si="22"/>
        <v>Operations</v>
      </c>
      <c r="D236" s="30" t="str">
        <f t="shared" si="23"/>
        <v>Active</v>
      </c>
      <c r="E236" s="22">
        <v>250</v>
      </c>
      <c r="F236" s="22">
        <v>7</v>
      </c>
      <c r="G236" s="22">
        <v>7</v>
      </c>
      <c r="H236" s="22">
        <v>2</v>
      </c>
      <c r="I236" s="22">
        <f t="shared" si="24"/>
        <v>16</v>
      </c>
      <c r="J236" s="22">
        <f t="shared" si="25"/>
        <v>234</v>
      </c>
      <c r="K236" s="26">
        <f t="shared" si="26"/>
        <v>0.93600000000000005</v>
      </c>
      <c r="L236" s="22">
        <v>21</v>
      </c>
      <c r="M236" s="22">
        <v>3</v>
      </c>
      <c r="N236" s="22">
        <v>59</v>
      </c>
      <c r="O236" s="22" t="str">
        <f t="shared" si="27"/>
        <v>Normal</v>
      </c>
    </row>
    <row r="237" spans="1:15" x14ac:dyDescent="0.3">
      <c r="A237" s="22" t="s">
        <v>514</v>
      </c>
      <c r="B237" t="str">
        <f t="shared" si="21"/>
        <v>Sachin Shetty</v>
      </c>
      <c r="C237" t="str">
        <f t="shared" si="22"/>
        <v>Product</v>
      </c>
      <c r="D237" s="30" t="str">
        <f t="shared" si="23"/>
        <v>Active</v>
      </c>
      <c r="E237" s="22">
        <v>250</v>
      </c>
      <c r="F237" s="22">
        <v>19</v>
      </c>
      <c r="G237" s="22">
        <v>6</v>
      </c>
      <c r="H237" s="22">
        <v>0</v>
      </c>
      <c r="I237" s="22">
        <f t="shared" si="24"/>
        <v>25</v>
      </c>
      <c r="J237" s="22">
        <f t="shared" si="25"/>
        <v>225</v>
      </c>
      <c r="K237" s="26">
        <f t="shared" si="26"/>
        <v>0.9</v>
      </c>
      <c r="L237" s="22">
        <v>23</v>
      </c>
      <c r="M237" s="22">
        <v>5</v>
      </c>
      <c r="N237" s="22">
        <v>13</v>
      </c>
      <c r="O237" s="22" t="str">
        <f t="shared" si="27"/>
        <v>Normal</v>
      </c>
    </row>
    <row r="238" spans="1:15" x14ac:dyDescent="0.3">
      <c r="A238" s="22" t="s">
        <v>904</v>
      </c>
      <c r="B238" t="str">
        <f t="shared" si="21"/>
        <v>Sanjana Mukherjee</v>
      </c>
      <c r="C238" t="str">
        <f t="shared" si="22"/>
        <v>Engineering</v>
      </c>
      <c r="D238" s="30" t="str">
        <f t="shared" si="23"/>
        <v>Active</v>
      </c>
      <c r="E238" s="22">
        <v>250</v>
      </c>
      <c r="F238" s="22">
        <v>19</v>
      </c>
      <c r="G238" s="22">
        <v>8</v>
      </c>
      <c r="H238" s="22">
        <v>2</v>
      </c>
      <c r="I238" s="22">
        <f t="shared" si="24"/>
        <v>29</v>
      </c>
      <c r="J238" s="22">
        <f t="shared" si="25"/>
        <v>221</v>
      </c>
      <c r="K238" s="26">
        <f t="shared" si="26"/>
        <v>0.88400000000000001</v>
      </c>
      <c r="L238" s="22">
        <v>50</v>
      </c>
      <c r="M238" s="22">
        <v>12</v>
      </c>
      <c r="N238" s="22">
        <v>120</v>
      </c>
      <c r="O238" s="22" t="str">
        <f t="shared" si="27"/>
        <v>Low Attendance</v>
      </c>
    </row>
    <row r="239" spans="1:15" x14ac:dyDescent="0.3">
      <c r="A239" s="22" t="s">
        <v>129</v>
      </c>
      <c r="B239" t="str">
        <f t="shared" si="21"/>
        <v>Nandini Iyer</v>
      </c>
      <c r="C239" t="str">
        <f t="shared" si="22"/>
        <v>Marketing</v>
      </c>
      <c r="D239" s="30" t="str">
        <f t="shared" si="23"/>
        <v>Active</v>
      </c>
      <c r="E239" s="22">
        <v>250</v>
      </c>
      <c r="F239" s="22">
        <v>10</v>
      </c>
      <c r="G239" s="22">
        <v>7</v>
      </c>
      <c r="H239" s="22">
        <v>9</v>
      </c>
      <c r="I239" s="22">
        <f t="shared" si="24"/>
        <v>26</v>
      </c>
      <c r="J239" s="22">
        <f t="shared" si="25"/>
        <v>224</v>
      </c>
      <c r="K239" s="26">
        <f t="shared" si="26"/>
        <v>0.89600000000000002</v>
      </c>
      <c r="L239" s="22">
        <v>23</v>
      </c>
      <c r="M239" s="22">
        <v>14</v>
      </c>
      <c r="N239" s="22">
        <v>8</v>
      </c>
      <c r="O239" s="22" t="str">
        <f t="shared" si="27"/>
        <v>High Unplanned</v>
      </c>
    </row>
    <row r="240" spans="1:15" x14ac:dyDescent="0.3">
      <c r="A240" s="22" t="s">
        <v>908</v>
      </c>
      <c r="B240" t="str">
        <f t="shared" si="21"/>
        <v>Sakshi Mukherjee</v>
      </c>
      <c r="C240" t="str">
        <f t="shared" si="22"/>
        <v>Engineering</v>
      </c>
      <c r="D240" s="30" t="str">
        <f t="shared" si="23"/>
        <v>Exited</v>
      </c>
      <c r="E240" s="22">
        <v>139</v>
      </c>
      <c r="F240" s="22">
        <v>9</v>
      </c>
      <c r="G240" s="22">
        <v>5</v>
      </c>
      <c r="H240" s="22">
        <v>1</v>
      </c>
      <c r="I240" s="22">
        <f t="shared" si="24"/>
        <v>15</v>
      </c>
      <c r="J240" s="22">
        <f t="shared" si="25"/>
        <v>124</v>
      </c>
      <c r="K240" s="26">
        <f t="shared" si="26"/>
        <v>0.8920863309352518</v>
      </c>
      <c r="L240" s="22">
        <v>67</v>
      </c>
      <c r="M240" s="22">
        <v>13</v>
      </c>
      <c r="N240" s="22">
        <v>79</v>
      </c>
      <c r="O240" s="22" t="str">
        <f t="shared" si="27"/>
        <v>Low Attendance</v>
      </c>
    </row>
    <row r="241" spans="1:15" x14ac:dyDescent="0.3">
      <c r="A241" s="22" t="s">
        <v>912</v>
      </c>
      <c r="B241" t="str">
        <f t="shared" si="21"/>
        <v>Ramya Khan</v>
      </c>
      <c r="C241" t="str">
        <f t="shared" si="22"/>
        <v>Legal &amp; Compliance</v>
      </c>
      <c r="D241" s="30" t="str">
        <f t="shared" si="23"/>
        <v>Active</v>
      </c>
      <c r="E241" s="22">
        <v>250</v>
      </c>
      <c r="F241" s="22">
        <v>14</v>
      </c>
      <c r="G241" s="22">
        <v>3</v>
      </c>
      <c r="H241" s="22">
        <v>3</v>
      </c>
      <c r="I241" s="22">
        <f t="shared" si="24"/>
        <v>20</v>
      </c>
      <c r="J241" s="22">
        <f t="shared" si="25"/>
        <v>230</v>
      </c>
      <c r="K241" s="26">
        <f t="shared" si="26"/>
        <v>0.92</v>
      </c>
      <c r="L241" s="22">
        <v>34</v>
      </c>
      <c r="M241" s="22">
        <v>1</v>
      </c>
      <c r="N241" s="22">
        <v>17</v>
      </c>
      <c r="O241" s="22" t="str">
        <f t="shared" si="27"/>
        <v>Normal</v>
      </c>
    </row>
    <row r="242" spans="1:15" x14ac:dyDescent="0.3">
      <c r="A242" s="22" t="s">
        <v>727</v>
      </c>
      <c r="B242" t="str">
        <f t="shared" si="21"/>
        <v>Imran Joshi</v>
      </c>
      <c r="C242" t="str">
        <f t="shared" si="22"/>
        <v>Customer Support</v>
      </c>
      <c r="D242" s="30" t="str">
        <f t="shared" si="23"/>
        <v>Active</v>
      </c>
      <c r="E242" s="22">
        <v>250</v>
      </c>
      <c r="F242" s="22">
        <v>12</v>
      </c>
      <c r="G242" s="22">
        <v>2</v>
      </c>
      <c r="H242" s="22">
        <v>3</v>
      </c>
      <c r="I242" s="22">
        <f t="shared" si="24"/>
        <v>17</v>
      </c>
      <c r="J242" s="22">
        <f t="shared" si="25"/>
        <v>233</v>
      </c>
      <c r="K242" s="26">
        <f t="shared" si="26"/>
        <v>0.93200000000000005</v>
      </c>
      <c r="L242" s="22">
        <v>18</v>
      </c>
      <c r="M242" s="22">
        <v>10</v>
      </c>
      <c r="N242" s="22">
        <v>13</v>
      </c>
      <c r="O242" s="22" t="str">
        <f t="shared" si="27"/>
        <v>Normal</v>
      </c>
    </row>
    <row r="243" spans="1:15" x14ac:dyDescent="0.3">
      <c r="A243" s="22" t="s">
        <v>917</v>
      </c>
      <c r="B243" t="str">
        <f t="shared" si="21"/>
        <v>Aarav Das</v>
      </c>
      <c r="C243" t="str">
        <f t="shared" si="22"/>
        <v>Engineering</v>
      </c>
      <c r="D243" s="30" t="str">
        <f t="shared" si="23"/>
        <v>Active</v>
      </c>
      <c r="E243" s="22">
        <v>250</v>
      </c>
      <c r="F243" s="22">
        <v>8</v>
      </c>
      <c r="G243" s="22">
        <v>7</v>
      </c>
      <c r="H243" s="22">
        <v>5</v>
      </c>
      <c r="I243" s="22">
        <f t="shared" si="24"/>
        <v>20</v>
      </c>
      <c r="J243" s="22">
        <f t="shared" si="25"/>
        <v>230</v>
      </c>
      <c r="K243" s="26">
        <f t="shared" si="26"/>
        <v>0.92</v>
      </c>
      <c r="L243" s="22">
        <v>24</v>
      </c>
      <c r="M243" s="22">
        <v>3</v>
      </c>
      <c r="N243" s="22">
        <v>2</v>
      </c>
      <c r="O243" s="22" t="str">
        <f t="shared" si="27"/>
        <v>Normal</v>
      </c>
    </row>
    <row r="244" spans="1:15" x14ac:dyDescent="0.3">
      <c r="A244" s="22" t="s">
        <v>920</v>
      </c>
      <c r="B244" t="str">
        <f t="shared" si="21"/>
        <v>Tanvi Yadav</v>
      </c>
      <c r="C244" t="str">
        <f t="shared" si="22"/>
        <v>Customer Support</v>
      </c>
      <c r="D244" s="30" t="str">
        <f t="shared" si="23"/>
        <v>Active</v>
      </c>
      <c r="E244" s="22">
        <v>250</v>
      </c>
      <c r="F244" s="22">
        <v>20</v>
      </c>
      <c r="G244" s="22">
        <v>7</v>
      </c>
      <c r="H244" s="22">
        <v>0</v>
      </c>
      <c r="I244" s="22">
        <f t="shared" si="24"/>
        <v>27</v>
      </c>
      <c r="J244" s="22">
        <f t="shared" si="25"/>
        <v>223</v>
      </c>
      <c r="K244" s="26">
        <f t="shared" si="26"/>
        <v>0.89200000000000002</v>
      </c>
      <c r="L244" s="22">
        <v>0</v>
      </c>
      <c r="M244" s="22">
        <v>7</v>
      </c>
      <c r="N244" s="22">
        <v>84</v>
      </c>
      <c r="O244" s="22" t="str">
        <f t="shared" si="27"/>
        <v>Low Attendance</v>
      </c>
    </row>
    <row r="245" spans="1:15" x14ac:dyDescent="0.3">
      <c r="A245" s="22" t="s">
        <v>923</v>
      </c>
      <c r="B245" t="str">
        <f t="shared" si="21"/>
        <v>Yash Joshi</v>
      </c>
      <c r="C245" t="str">
        <f t="shared" si="22"/>
        <v>Operations</v>
      </c>
      <c r="D245" s="30" t="str">
        <f t="shared" si="23"/>
        <v>Active</v>
      </c>
      <c r="E245" s="22">
        <v>250</v>
      </c>
      <c r="F245" s="22">
        <v>14</v>
      </c>
      <c r="G245" s="22">
        <v>7</v>
      </c>
      <c r="H245" s="22">
        <v>1</v>
      </c>
      <c r="I245" s="22">
        <f t="shared" si="24"/>
        <v>22</v>
      </c>
      <c r="J245" s="22">
        <f t="shared" si="25"/>
        <v>228</v>
      </c>
      <c r="K245" s="26">
        <f t="shared" si="26"/>
        <v>0.91200000000000003</v>
      </c>
      <c r="L245" s="22">
        <v>3</v>
      </c>
      <c r="M245" s="22">
        <v>14</v>
      </c>
      <c r="N245" s="22">
        <v>70</v>
      </c>
      <c r="O245" s="22" t="str">
        <f t="shared" si="27"/>
        <v>Normal</v>
      </c>
    </row>
    <row r="246" spans="1:15" x14ac:dyDescent="0.3">
      <c r="A246" s="22" t="s">
        <v>926</v>
      </c>
      <c r="B246" t="str">
        <f t="shared" si="21"/>
        <v>Rajesh Raghavan</v>
      </c>
      <c r="C246" t="str">
        <f t="shared" si="22"/>
        <v>Legal &amp; Compliance</v>
      </c>
      <c r="D246" s="30" t="str">
        <f t="shared" si="23"/>
        <v>Exited</v>
      </c>
      <c r="E246" s="22">
        <v>37</v>
      </c>
      <c r="F246" s="22">
        <v>3</v>
      </c>
      <c r="G246" s="22">
        <v>5</v>
      </c>
      <c r="H246" s="22">
        <v>1</v>
      </c>
      <c r="I246" s="22">
        <f t="shared" si="24"/>
        <v>9</v>
      </c>
      <c r="J246" s="22">
        <f t="shared" si="25"/>
        <v>28</v>
      </c>
      <c r="K246" s="26">
        <f t="shared" si="26"/>
        <v>0.7567567567567568</v>
      </c>
      <c r="L246" s="22">
        <v>29</v>
      </c>
      <c r="M246" s="22">
        <v>6</v>
      </c>
      <c r="N246" s="22">
        <v>32</v>
      </c>
      <c r="O246" s="22" t="str">
        <f t="shared" si="27"/>
        <v>Low Attendance</v>
      </c>
    </row>
    <row r="247" spans="1:15" x14ac:dyDescent="0.3">
      <c r="A247" s="22" t="s">
        <v>929</v>
      </c>
      <c r="B247" t="str">
        <f t="shared" si="21"/>
        <v>Pranav Gupta</v>
      </c>
      <c r="C247" t="str">
        <f t="shared" si="22"/>
        <v>Marketing</v>
      </c>
      <c r="D247" s="30" t="str">
        <f t="shared" si="23"/>
        <v>Active</v>
      </c>
      <c r="E247" s="22">
        <v>250</v>
      </c>
      <c r="F247" s="22">
        <v>12</v>
      </c>
      <c r="G247" s="22">
        <v>8</v>
      </c>
      <c r="H247" s="22">
        <v>1</v>
      </c>
      <c r="I247" s="22">
        <f t="shared" si="24"/>
        <v>21</v>
      </c>
      <c r="J247" s="22">
        <f t="shared" si="25"/>
        <v>229</v>
      </c>
      <c r="K247" s="26">
        <f t="shared" si="26"/>
        <v>0.91600000000000004</v>
      </c>
      <c r="L247" s="22">
        <v>66</v>
      </c>
      <c r="M247" s="22">
        <v>4</v>
      </c>
      <c r="N247" s="22">
        <v>23</v>
      </c>
      <c r="O247" s="22" t="str">
        <f t="shared" si="27"/>
        <v>Normal</v>
      </c>
    </row>
    <row r="248" spans="1:15" x14ac:dyDescent="0.3">
      <c r="A248" s="22" t="s">
        <v>104</v>
      </c>
      <c r="B248" t="str">
        <f t="shared" si="21"/>
        <v>Yamini Nair</v>
      </c>
      <c r="C248" t="str">
        <f t="shared" si="22"/>
        <v>Engineering</v>
      </c>
      <c r="D248" s="30" t="str">
        <f t="shared" si="23"/>
        <v>Active</v>
      </c>
      <c r="E248" s="22">
        <v>250</v>
      </c>
      <c r="F248" s="22">
        <v>7</v>
      </c>
      <c r="G248" s="22">
        <v>0</v>
      </c>
      <c r="H248" s="22">
        <v>2</v>
      </c>
      <c r="I248" s="22">
        <f t="shared" si="24"/>
        <v>9</v>
      </c>
      <c r="J248" s="22">
        <f t="shared" si="25"/>
        <v>241</v>
      </c>
      <c r="K248" s="26">
        <f t="shared" si="26"/>
        <v>0.96399999999999997</v>
      </c>
      <c r="L248" s="22">
        <v>64</v>
      </c>
      <c r="M248" s="22">
        <v>3</v>
      </c>
      <c r="N248" s="22">
        <v>37</v>
      </c>
      <c r="O248" s="22" t="str">
        <f t="shared" si="27"/>
        <v>Normal</v>
      </c>
    </row>
    <row r="249" spans="1:15" x14ac:dyDescent="0.3">
      <c r="A249" s="22" t="s">
        <v>933</v>
      </c>
      <c r="B249" t="str">
        <f t="shared" si="21"/>
        <v>Ravi Khanna</v>
      </c>
      <c r="C249" t="str">
        <f t="shared" si="22"/>
        <v>Human Resources</v>
      </c>
      <c r="D249" s="30" t="str">
        <f t="shared" si="23"/>
        <v>Active</v>
      </c>
      <c r="E249" s="22">
        <v>250</v>
      </c>
      <c r="F249" s="22">
        <v>9</v>
      </c>
      <c r="G249" s="22">
        <v>6</v>
      </c>
      <c r="H249" s="22">
        <v>0</v>
      </c>
      <c r="I249" s="22">
        <f t="shared" si="24"/>
        <v>15</v>
      </c>
      <c r="J249" s="22">
        <f t="shared" si="25"/>
        <v>235</v>
      </c>
      <c r="K249" s="26">
        <f t="shared" si="26"/>
        <v>0.94</v>
      </c>
      <c r="L249" s="22">
        <v>45</v>
      </c>
      <c r="M249" s="22">
        <v>8</v>
      </c>
      <c r="N249" s="22">
        <v>38</v>
      </c>
      <c r="O249" s="22" t="str">
        <f t="shared" si="27"/>
        <v>Normal</v>
      </c>
    </row>
    <row r="250" spans="1:15" x14ac:dyDescent="0.3">
      <c r="A250" s="22" t="s">
        <v>937</v>
      </c>
      <c r="B250" t="str">
        <f t="shared" si="21"/>
        <v>Vishal Kamath</v>
      </c>
      <c r="C250" t="str">
        <f t="shared" si="22"/>
        <v>Operations</v>
      </c>
      <c r="D250" s="30" t="str">
        <f t="shared" si="23"/>
        <v>Active</v>
      </c>
      <c r="E250" s="22">
        <v>250</v>
      </c>
      <c r="F250" s="22">
        <v>13</v>
      </c>
      <c r="G250" s="22">
        <v>8</v>
      </c>
      <c r="H250" s="22">
        <v>1</v>
      </c>
      <c r="I250" s="22">
        <f t="shared" si="24"/>
        <v>22</v>
      </c>
      <c r="J250" s="22">
        <f t="shared" si="25"/>
        <v>228</v>
      </c>
      <c r="K250" s="26">
        <f t="shared" si="26"/>
        <v>0.91200000000000003</v>
      </c>
      <c r="L250" s="22">
        <v>21</v>
      </c>
      <c r="M250" s="22">
        <v>0</v>
      </c>
      <c r="N250" s="22">
        <v>82</v>
      </c>
      <c r="O250" s="22" t="str">
        <f t="shared" si="27"/>
        <v>Normal</v>
      </c>
    </row>
    <row r="251" spans="1:15" x14ac:dyDescent="0.3">
      <c r="A251" s="22" t="s">
        <v>940</v>
      </c>
      <c r="B251" t="str">
        <f t="shared" si="21"/>
        <v>Arjun Mishra</v>
      </c>
      <c r="C251" t="str">
        <f t="shared" si="22"/>
        <v>Finance</v>
      </c>
      <c r="D251" s="30" t="str">
        <f t="shared" si="23"/>
        <v>Active</v>
      </c>
      <c r="E251" s="22">
        <v>250</v>
      </c>
      <c r="F251" s="22">
        <v>9</v>
      </c>
      <c r="G251" s="22">
        <v>1</v>
      </c>
      <c r="H251" s="22">
        <v>1</v>
      </c>
      <c r="I251" s="22">
        <f t="shared" si="24"/>
        <v>11</v>
      </c>
      <c r="J251" s="22">
        <f t="shared" si="25"/>
        <v>239</v>
      </c>
      <c r="K251" s="26">
        <f t="shared" si="26"/>
        <v>0.95599999999999996</v>
      </c>
      <c r="L251" s="22">
        <v>16</v>
      </c>
      <c r="M251" s="22">
        <v>14</v>
      </c>
      <c r="N251" s="22">
        <v>2</v>
      </c>
      <c r="O251" s="22" t="str">
        <f t="shared" si="27"/>
        <v>Normal</v>
      </c>
    </row>
    <row r="252" spans="1:15" x14ac:dyDescent="0.3">
      <c r="A252" s="22" t="s">
        <v>944</v>
      </c>
      <c r="B252" t="str">
        <f t="shared" si="21"/>
        <v>Manish Shetty</v>
      </c>
      <c r="C252" t="str">
        <f t="shared" si="22"/>
        <v>Data &amp; Analytics</v>
      </c>
      <c r="D252" s="30" t="str">
        <f t="shared" si="23"/>
        <v>Active</v>
      </c>
      <c r="E252" s="22">
        <v>250</v>
      </c>
      <c r="F252" s="22">
        <v>15</v>
      </c>
      <c r="G252" s="22">
        <v>4</v>
      </c>
      <c r="H252" s="22">
        <v>1</v>
      </c>
      <c r="I252" s="22">
        <f t="shared" si="24"/>
        <v>20</v>
      </c>
      <c r="J252" s="22">
        <f t="shared" si="25"/>
        <v>230</v>
      </c>
      <c r="K252" s="26">
        <f t="shared" si="26"/>
        <v>0.92</v>
      </c>
      <c r="L252" s="22">
        <v>78</v>
      </c>
      <c r="M252" s="22">
        <v>1</v>
      </c>
      <c r="N252" s="22">
        <v>17</v>
      </c>
      <c r="O252" s="22" t="str">
        <f t="shared" si="27"/>
        <v>Normal</v>
      </c>
    </row>
    <row r="253" spans="1:15" x14ac:dyDescent="0.3">
      <c r="A253" s="22" t="s">
        <v>948</v>
      </c>
      <c r="B253" t="str">
        <f t="shared" si="21"/>
        <v>Anusha Verma</v>
      </c>
      <c r="C253" t="str">
        <f t="shared" si="22"/>
        <v>Marketing</v>
      </c>
      <c r="D253" s="30" t="str">
        <f t="shared" si="23"/>
        <v>Active</v>
      </c>
      <c r="E253" s="22">
        <v>250</v>
      </c>
      <c r="F253" s="22">
        <v>9</v>
      </c>
      <c r="G253" s="22">
        <v>6</v>
      </c>
      <c r="H253" s="22">
        <v>1</v>
      </c>
      <c r="I253" s="22">
        <f t="shared" si="24"/>
        <v>16</v>
      </c>
      <c r="J253" s="22">
        <f t="shared" si="25"/>
        <v>234</v>
      </c>
      <c r="K253" s="26">
        <f t="shared" si="26"/>
        <v>0.93600000000000005</v>
      </c>
      <c r="L253" s="22">
        <v>22</v>
      </c>
      <c r="M253" s="22">
        <v>3</v>
      </c>
      <c r="N253" s="22">
        <v>17</v>
      </c>
      <c r="O253" s="22" t="str">
        <f t="shared" si="27"/>
        <v>Normal</v>
      </c>
    </row>
    <row r="254" spans="1:15" x14ac:dyDescent="0.3">
      <c r="A254" s="22" t="s">
        <v>951</v>
      </c>
      <c r="B254" t="str">
        <f t="shared" si="21"/>
        <v>Swathi Banerjee</v>
      </c>
      <c r="C254" t="str">
        <f t="shared" si="22"/>
        <v>Engineering</v>
      </c>
      <c r="D254" s="30" t="str">
        <f t="shared" si="23"/>
        <v>Exited</v>
      </c>
      <c r="E254" s="22">
        <v>188</v>
      </c>
      <c r="F254" s="22">
        <v>13</v>
      </c>
      <c r="G254" s="22">
        <v>3</v>
      </c>
      <c r="H254" s="22">
        <v>3</v>
      </c>
      <c r="I254" s="22">
        <f t="shared" si="24"/>
        <v>19</v>
      </c>
      <c r="J254" s="22">
        <f t="shared" si="25"/>
        <v>169</v>
      </c>
      <c r="K254" s="26">
        <f t="shared" si="26"/>
        <v>0.89893617021276595</v>
      </c>
      <c r="L254" s="22">
        <v>54</v>
      </c>
      <c r="M254" s="22">
        <v>10</v>
      </c>
      <c r="N254" s="22">
        <v>36</v>
      </c>
      <c r="O254" s="22" t="str">
        <f t="shared" si="27"/>
        <v>Low Attendance</v>
      </c>
    </row>
    <row r="255" spans="1:15" x14ac:dyDescent="0.3">
      <c r="A255" s="22" t="s">
        <v>954</v>
      </c>
      <c r="B255" t="str">
        <f t="shared" si="21"/>
        <v>Aniket Bansal</v>
      </c>
      <c r="C255" t="str">
        <f t="shared" si="22"/>
        <v>Operations</v>
      </c>
      <c r="D255" s="30" t="str">
        <f t="shared" si="23"/>
        <v>Active</v>
      </c>
      <c r="E255" s="22">
        <v>250</v>
      </c>
      <c r="F255" s="22">
        <v>17</v>
      </c>
      <c r="G255" s="22">
        <v>4</v>
      </c>
      <c r="H255" s="22">
        <v>5</v>
      </c>
      <c r="I255" s="22">
        <f t="shared" si="24"/>
        <v>26</v>
      </c>
      <c r="J255" s="22">
        <f t="shared" si="25"/>
        <v>224</v>
      </c>
      <c r="K255" s="26">
        <f t="shared" si="26"/>
        <v>0.89600000000000002</v>
      </c>
      <c r="L255" s="22">
        <v>5</v>
      </c>
      <c r="M255" s="22">
        <v>8</v>
      </c>
      <c r="N255" s="22">
        <v>116</v>
      </c>
      <c r="O255" s="22" t="str">
        <f t="shared" si="27"/>
        <v>Low Attendance</v>
      </c>
    </row>
    <row r="256" spans="1:15" x14ac:dyDescent="0.3">
      <c r="A256" s="22" t="s">
        <v>957</v>
      </c>
      <c r="B256" t="str">
        <f t="shared" si="21"/>
        <v>Sneha Desai</v>
      </c>
      <c r="C256" t="str">
        <f t="shared" si="22"/>
        <v>Product</v>
      </c>
      <c r="D256" s="30" t="str">
        <f t="shared" si="23"/>
        <v>Active</v>
      </c>
      <c r="E256" s="22">
        <v>250</v>
      </c>
      <c r="F256" s="22">
        <v>17</v>
      </c>
      <c r="G256" s="22">
        <v>7</v>
      </c>
      <c r="H256" s="22">
        <v>3</v>
      </c>
      <c r="I256" s="22">
        <f t="shared" si="24"/>
        <v>27</v>
      </c>
      <c r="J256" s="22">
        <f t="shared" si="25"/>
        <v>223</v>
      </c>
      <c r="K256" s="26">
        <f t="shared" si="26"/>
        <v>0.89200000000000002</v>
      </c>
      <c r="L256" s="22">
        <v>40</v>
      </c>
      <c r="M256" s="22">
        <v>2</v>
      </c>
      <c r="N256" s="22">
        <v>20</v>
      </c>
      <c r="O256" s="22" t="str">
        <f t="shared" si="27"/>
        <v>Low Attendance</v>
      </c>
    </row>
    <row r="257" spans="1:15" x14ac:dyDescent="0.3">
      <c r="A257" s="22" t="s">
        <v>960</v>
      </c>
      <c r="B257" t="str">
        <f t="shared" si="21"/>
        <v>Deepak Chatterjee</v>
      </c>
      <c r="C257" t="str">
        <f t="shared" si="22"/>
        <v>Operations</v>
      </c>
      <c r="D257" s="30" t="str">
        <f t="shared" si="23"/>
        <v>Active</v>
      </c>
      <c r="E257" s="22">
        <v>250</v>
      </c>
      <c r="F257" s="22">
        <v>16</v>
      </c>
      <c r="G257" s="22">
        <v>1</v>
      </c>
      <c r="H257" s="22">
        <v>0</v>
      </c>
      <c r="I257" s="22">
        <f t="shared" si="24"/>
        <v>17</v>
      </c>
      <c r="J257" s="22">
        <f t="shared" si="25"/>
        <v>233</v>
      </c>
      <c r="K257" s="26">
        <f t="shared" si="26"/>
        <v>0.93200000000000005</v>
      </c>
      <c r="L257" s="22">
        <v>10</v>
      </c>
      <c r="M257" s="22">
        <v>14</v>
      </c>
      <c r="N257" s="22">
        <v>58</v>
      </c>
      <c r="O257" s="22" t="str">
        <f t="shared" si="27"/>
        <v>Normal</v>
      </c>
    </row>
    <row r="258" spans="1:15" x14ac:dyDescent="0.3">
      <c r="A258" s="22" t="s">
        <v>963</v>
      </c>
      <c r="B258" t="str">
        <f t="shared" ref="B258:B321" si="28">INDEX(M_Name,MATCH($A258,M_ID,0))</f>
        <v>Ankit Menon</v>
      </c>
      <c r="C258" t="str">
        <f t="shared" ref="C258:C321" si="29">INDEX(M_Dept,MATCH($A258,M_ID,0))</f>
        <v>Product</v>
      </c>
      <c r="D258" s="30" t="str">
        <f t="shared" ref="D258:D321" si="30">INDEX(M_Status,MATCH($A258,M_ID,0))</f>
        <v>Active</v>
      </c>
      <c r="E258" s="22">
        <v>250</v>
      </c>
      <c r="F258" s="22">
        <v>8</v>
      </c>
      <c r="G258" s="22">
        <v>0</v>
      </c>
      <c r="H258" s="22">
        <v>3</v>
      </c>
      <c r="I258" s="22">
        <f t="shared" ref="I258:I321" si="31">SUM(F258:H258)</f>
        <v>11</v>
      </c>
      <c r="J258" s="22">
        <f t="shared" ref="J258:J321" si="32">E258-I258</f>
        <v>239</v>
      </c>
      <c r="K258" s="26">
        <f t="shared" ref="K258:K321" si="33">IFERROR(J258/E258,0)</f>
        <v>0.95599999999999996</v>
      </c>
      <c r="L258" s="22">
        <v>64</v>
      </c>
      <c r="M258" s="22">
        <v>5</v>
      </c>
      <c r="N258" s="22">
        <v>1</v>
      </c>
      <c r="O258" s="22" t="str">
        <f t="shared" ref="O258:O321" si="34">IF(H258&gt;=8,"High Unplanned",IF(K258&lt;0.9,"Low Attendance","Normal"))</f>
        <v>Normal</v>
      </c>
    </row>
    <row r="259" spans="1:15" x14ac:dyDescent="0.3">
      <c r="A259" s="22" t="s">
        <v>966</v>
      </c>
      <c r="B259" t="str">
        <f t="shared" si="28"/>
        <v>Abhishek Choudhary</v>
      </c>
      <c r="C259" t="str">
        <f t="shared" si="29"/>
        <v>Data &amp; Analytics</v>
      </c>
      <c r="D259" s="30" t="str">
        <f t="shared" si="30"/>
        <v>Active</v>
      </c>
      <c r="E259" s="22">
        <v>250</v>
      </c>
      <c r="F259" s="22">
        <v>8</v>
      </c>
      <c r="G259" s="22">
        <v>4</v>
      </c>
      <c r="H259" s="22">
        <v>5</v>
      </c>
      <c r="I259" s="22">
        <f t="shared" si="31"/>
        <v>17</v>
      </c>
      <c r="J259" s="22">
        <f t="shared" si="32"/>
        <v>233</v>
      </c>
      <c r="K259" s="26">
        <f t="shared" si="33"/>
        <v>0.93200000000000005</v>
      </c>
      <c r="L259" s="22">
        <v>31</v>
      </c>
      <c r="M259" s="22">
        <v>10</v>
      </c>
      <c r="N259" s="22">
        <v>0</v>
      </c>
      <c r="O259" s="22" t="str">
        <f t="shared" si="34"/>
        <v>Normal</v>
      </c>
    </row>
    <row r="260" spans="1:15" x14ac:dyDescent="0.3">
      <c r="A260" s="22" t="s">
        <v>969</v>
      </c>
      <c r="B260" t="str">
        <f t="shared" si="28"/>
        <v>Priyanka Gowda</v>
      </c>
      <c r="C260" t="str">
        <f t="shared" si="29"/>
        <v>Engineering</v>
      </c>
      <c r="D260" s="30" t="str">
        <f t="shared" si="30"/>
        <v>Active</v>
      </c>
      <c r="E260" s="22">
        <v>250</v>
      </c>
      <c r="F260" s="22">
        <v>15</v>
      </c>
      <c r="G260" s="22">
        <v>5</v>
      </c>
      <c r="H260" s="22">
        <v>12</v>
      </c>
      <c r="I260" s="22">
        <f t="shared" si="31"/>
        <v>32</v>
      </c>
      <c r="J260" s="22">
        <f t="shared" si="32"/>
        <v>218</v>
      </c>
      <c r="K260" s="26">
        <f t="shared" si="33"/>
        <v>0.872</v>
      </c>
      <c r="L260" s="22">
        <v>84</v>
      </c>
      <c r="M260" s="22">
        <v>0</v>
      </c>
      <c r="N260" s="22">
        <v>62</v>
      </c>
      <c r="O260" s="22" t="str">
        <f t="shared" si="34"/>
        <v>High Unplanned</v>
      </c>
    </row>
    <row r="261" spans="1:15" x14ac:dyDescent="0.3">
      <c r="A261" s="22" t="s">
        <v>643</v>
      </c>
      <c r="B261" t="str">
        <f t="shared" si="28"/>
        <v>Pooja Khanna</v>
      </c>
      <c r="C261" t="str">
        <f t="shared" si="29"/>
        <v>Customer Support</v>
      </c>
      <c r="D261" s="30" t="str">
        <f t="shared" si="30"/>
        <v>Active</v>
      </c>
      <c r="E261" s="22">
        <v>250</v>
      </c>
      <c r="F261" s="22">
        <v>19</v>
      </c>
      <c r="G261" s="22">
        <v>3</v>
      </c>
      <c r="H261" s="22">
        <v>2</v>
      </c>
      <c r="I261" s="22">
        <f t="shared" si="31"/>
        <v>24</v>
      </c>
      <c r="J261" s="22">
        <f t="shared" si="32"/>
        <v>226</v>
      </c>
      <c r="K261" s="26">
        <f t="shared" si="33"/>
        <v>0.90400000000000003</v>
      </c>
      <c r="L261" s="22">
        <v>1</v>
      </c>
      <c r="M261" s="22">
        <v>13</v>
      </c>
      <c r="N261" s="22">
        <v>2</v>
      </c>
      <c r="O261" s="22" t="str">
        <f t="shared" si="34"/>
        <v>Normal</v>
      </c>
    </row>
    <row r="262" spans="1:15" x14ac:dyDescent="0.3">
      <c r="A262" s="22" t="s">
        <v>973</v>
      </c>
      <c r="B262" t="str">
        <f t="shared" si="28"/>
        <v>Priya Krishnan</v>
      </c>
      <c r="C262" t="str">
        <f t="shared" si="29"/>
        <v>Operations</v>
      </c>
      <c r="D262" s="30" t="str">
        <f t="shared" si="30"/>
        <v>Active</v>
      </c>
      <c r="E262" s="22">
        <v>250</v>
      </c>
      <c r="F262" s="22">
        <v>15</v>
      </c>
      <c r="G262" s="22">
        <v>4</v>
      </c>
      <c r="H262" s="22">
        <v>5</v>
      </c>
      <c r="I262" s="22">
        <f t="shared" si="31"/>
        <v>24</v>
      </c>
      <c r="J262" s="22">
        <f t="shared" si="32"/>
        <v>226</v>
      </c>
      <c r="K262" s="26">
        <f t="shared" si="33"/>
        <v>0.90400000000000003</v>
      </c>
      <c r="L262" s="22">
        <v>16</v>
      </c>
      <c r="M262" s="22">
        <v>8</v>
      </c>
      <c r="N262" s="22">
        <v>21</v>
      </c>
      <c r="O262" s="22" t="str">
        <f t="shared" si="34"/>
        <v>Normal</v>
      </c>
    </row>
    <row r="263" spans="1:15" x14ac:dyDescent="0.3">
      <c r="A263" s="22" t="s">
        <v>976</v>
      </c>
      <c r="B263" t="str">
        <f t="shared" si="28"/>
        <v>Kritika Bose</v>
      </c>
      <c r="C263" t="str">
        <f t="shared" si="29"/>
        <v>Marketing</v>
      </c>
      <c r="D263" s="30" t="str">
        <f t="shared" si="30"/>
        <v>Active</v>
      </c>
      <c r="E263" s="22">
        <v>250</v>
      </c>
      <c r="F263" s="22">
        <v>18</v>
      </c>
      <c r="G263" s="22">
        <v>2</v>
      </c>
      <c r="H263" s="22">
        <v>5</v>
      </c>
      <c r="I263" s="22">
        <f t="shared" si="31"/>
        <v>25</v>
      </c>
      <c r="J263" s="22">
        <f t="shared" si="32"/>
        <v>225</v>
      </c>
      <c r="K263" s="26">
        <f t="shared" si="33"/>
        <v>0.9</v>
      </c>
      <c r="L263" s="22">
        <v>48</v>
      </c>
      <c r="M263" s="22">
        <v>12</v>
      </c>
      <c r="N263" s="22">
        <v>21</v>
      </c>
      <c r="O263" s="22" t="str">
        <f t="shared" si="34"/>
        <v>Normal</v>
      </c>
    </row>
    <row r="264" spans="1:15" x14ac:dyDescent="0.3">
      <c r="A264" s="22" t="s">
        <v>979</v>
      </c>
      <c r="B264" t="str">
        <f t="shared" si="28"/>
        <v>Trisha Hegde</v>
      </c>
      <c r="C264" t="str">
        <f t="shared" si="29"/>
        <v>Sales</v>
      </c>
      <c r="D264" s="30" t="str">
        <f t="shared" si="30"/>
        <v>Active</v>
      </c>
      <c r="E264" s="22">
        <v>250</v>
      </c>
      <c r="F264" s="22">
        <v>13</v>
      </c>
      <c r="G264" s="22">
        <v>7</v>
      </c>
      <c r="H264" s="22">
        <v>3</v>
      </c>
      <c r="I264" s="22">
        <f t="shared" si="31"/>
        <v>23</v>
      </c>
      <c r="J264" s="22">
        <f t="shared" si="32"/>
        <v>227</v>
      </c>
      <c r="K264" s="26">
        <f t="shared" si="33"/>
        <v>0.90800000000000003</v>
      </c>
      <c r="L264" s="22">
        <v>79</v>
      </c>
      <c r="M264" s="22">
        <v>4</v>
      </c>
      <c r="N264" s="22">
        <v>31</v>
      </c>
      <c r="O264" s="22" t="str">
        <f t="shared" si="34"/>
        <v>Normal</v>
      </c>
    </row>
    <row r="265" spans="1:15" x14ac:dyDescent="0.3">
      <c r="A265" s="22" t="s">
        <v>982</v>
      </c>
      <c r="B265" t="str">
        <f t="shared" si="28"/>
        <v>Manish Mukherjee</v>
      </c>
      <c r="C265" t="str">
        <f t="shared" si="29"/>
        <v>Engineering</v>
      </c>
      <c r="D265" s="30" t="str">
        <f t="shared" si="30"/>
        <v>Active</v>
      </c>
      <c r="E265" s="22">
        <v>250</v>
      </c>
      <c r="F265" s="22">
        <v>10</v>
      </c>
      <c r="G265" s="22">
        <v>5</v>
      </c>
      <c r="H265" s="22">
        <v>2</v>
      </c>
      <c r="I265" s="22">
        <f t="shared" si="31"/>
        <v>17</v>
      </c>
      <c r="J265" s="22">
        <f t="shared" si="32"/>
        <v>233</v>
      </c>
      <c r="K265" s="26">
        <f t="shared" si="33"/>
        <v>0.93200000000000005</v>
      </c>
      <c r="L265" s="22">
        <v>55</v>
      </c>
      <c r="M265" s="22">
        <v>4</v>
      </c>
      <c r="N265" s="22">
        <v>90</v>
      </c>
      <c r="O265" s="22" t="str">
        <f t="shared" si="34"/>
        <v>Normal</v>
      </c>
    </row>
    <row r="266" spans="1:15" x14ac:dyDescent="0.3">
      <c r="A266" s="22" t="s">
        <v>502</v>
      </c>
      <c r="B266" t="str">
        <f t="shared" si="28"/>
        <v>Kritika Pandey</v>
      </c>
      <c r="C266" t="str">
        <f t="shared" si="29"/>
        <v>Finance</v>
      </c>
      <c r="D266" s="30" t="str">
        <f t="shared" si="30"/>
        <v>Active</v>
      </c>
      <c r="E266" s="22">
        <v>250</v>
      </c>
      <c r="F266" s="22">
        <v>11</v>
      </c>
      <c r="G266" s="22">
        <v>8</v>
      </c>
      <c r="H266" s="22">
        <v>3</v>
      </c>
      <c r="I266" s="22">
        <f t="shared" si="31"/>
        <v>22</v>
      </c>
      <c r="J266" s="22">
        <f t="shared" si="32"/>
        <v>228</v>
      </c>
      <c r="K266" s="26">
        <f t="shared" si="33"/>
        <v>0.91200000000000003</v>
      </c>
      <c r="L266" s="22">
        <v>86</v>
      </c>
      <c r="M266" s="22">
        <v>7</v>
      </c>
      <c r="N266" s="22">
        <v>7</v>
      </c>
      <c r="O266" s="22" t="str">
        <f t="shared" si="34"/>
        <v>Normal</v>
      </c>
    </row>
    <row r="267" spans="1:15" x14ac:dyDescent="0.3">
      <c r="A267" s="22" t="s">
        <v>987</v>
      </c>
      <c r="B267" t="str">
        <f t="shared" si="28"/>
        <v>Manish Krishnan</v>
      </c>
      <c r="C267" t="str">
        <f t="shared" si="29"/>
        <v>Finance</v>
      </c>
      <c r="D267" s="30" t="str">
        <f t="shared" si="30"/>
        <v>Active</v>
      </c>
      <c r="E267" s="22">
        <v>250</v>
      </c>
      <c r="F267" s="22">
        <v>10</v>
      </c>
      <c r="G267" s="22">
        <v>8</v>
      </c>
      <c r="H267" s="22">
        <v>3</v>
      </c>
      <c r="I267" s="22">
        <f t="shared" si="31"/>
        <v>21</v>
      </c>
      <c r="J267" s="22">
        <f t="shared" si="32"/>
        <v>229</v>
      </c>
      <c r="K267" s="26">
        <f t="shared" si="33"/>
        <v>0.91600000000000004</v>
      </c>
      <c r="L267" s="22">
        <v>12</v>
      </c>
      <c r="M267" s="22">
        <v>2</v>
      </c>
      <c r="N267" s="22">
        <v>26</v>
      </c>
      <c r="O267" s="22" t="str">
        <f t="shared" si="34"/>
        <v>Normal</v>
      </c>
    </row>
    <row r="268" spans="1:15" x14ac:dyDescent="0.3">
      <c r="A268" s="22" t="s">
        <v>990</v>
      </c>
      <c r="B268" t="str">
        <f t="shared" si="28"/>
        <v>Abhishek Malhotra</v>
      </c>
      <c r="C268" t="str">
        <f t="shared" si="29"/>
        <v>Engineering</v>
      </c>
      <c r="D268" s="30" t="str">
        <f t="shared" si="30"/>
        <v>Active</v>
      </c>
      <c r="E268" s="22">
        <v>250</v>
      </c>
      <c r="F268" s="22">
        <v>19</v>
      </c>
      <c r="G268" s="22">
        <v>3</v>
      </c>
      <c r="H268" s="22">
        <v>3</v>
      </c>
      <c r="I268" s="22">
        <f t="shared" si="31"/>
        <v>25</v>
      </c>
      <c r="J268" s="22">
        <f t="shared" si="32"/>
        <v>225</v>
      </c>
      <c r="K268" s="26">
        <f t="shared" si="33"/>
        <v>0.9</v>
      </c>
      <c r="L268" s="22">
        <v>28</v>
      </c>
      <c r="M268" s="22">
        <v>5</v>
      </c>
      <c r="N268" s="22">
        <v>63</v>
      </c>
      <c r="O268" s="22" t="str">
        <f t="shared" si="34"/>
        <v>Normal</v>
      </c>
    </row>
    <row r="269" spans="1:15" x14ac:dyDescent="0.3">
      <c r="A269" s="22" t="s">
        <v>993</v>
      </c>
      <c r="B269" t="str">
        <f t="shared" si="28"/>
        <v>Kunal Agarwal</v>
      </c>
      <c r="C269" t="str">
        <f t="shared" si="29"/>
        <v>Engineering</v>
      </c>
      <c r="D269" s="30" t="str">
        <f t="shared" si="30"/>
        <v>Exited</v>
      </c>
      <c r="E269" s="22">
        <v>142</v>
      </c>
      <c r="F269" s="22">
        <v>6</v>
      </c>
      <c r="G269" s="22">
        <v>3</v>
      </c>
      <c r="H269" s="22">
        <v>2</v>
      </c>
      <c r="I269" s="22">
        <f t="shared" si="31"/>
        <v>11</v>
      </c>
      <c r="J269" s="22">
        <f t="shared" si="32"/>
        <v>131</v>
      </c>
      <c r="K269" s="26">
        <f t="shared" si="33"/>
        <v>0.92253521126760563</v>
      </c>
      <c r="L269" s="22">
        <v>65</v>
      </c>
      <c r="M269" s="22">
        <v>5</v>
      </c>
      <c r="N269" s="22">
        <v>26</v>
      </c>
      <c r="O269" s="22" t="str">
        <f t="shared" si="34"/>
        <v>Normal</v>
      </c>
    </row>
    <row r="270" spans="1:15" x14ac:dyDescent="0.3">
      <c r="A270" s="22" t="s">
        <v>996</v>
      </c>
      <c r="B270" t="str">
        <f t="shared" si="28"/>
        <v>Kunal Pillai</v>
      </c>
      <c r="C270" t="str">
        <f t="shared" si="29"/>
        <v>Engineering</v>
      </c>
      <c r="D270" s="30" t="str">
        <f t="shared" si="30"/>
        <v>Active</v>
      </c>
      <c r="E270" s="22">
        <v>250</v>
      </c>
      <c r="F270" s="22">
        <v>17</v>
      </c>
      <c r="G270" s="22">
        <v>1</v>
      </c>
      <c r="H270" s="22">
        <v>0</v>
      </c>
      <c r="I270" s="22">
        <f t="shared" si="31"/>
        <v>18</v>
      </c>
      <c r="J270" s="22">
        <f t="shared" si="32"/>
        <v>232</v>
      </c>
      <c r="K270" s="26">
        <f t="shared" si="33"/>
        <v>0.92800000000000005</v>
      </c>
      <c r="L270" s="22">
        <v>58</v>
      </c>
      <c r="M270" s="22">
        <v>10</v>
      </c>
      <c r="N270" s="22">
        <v>13</v>
      </c>
      <c r="O270" s="22" t="str">
        <f t="shared" si="34"/>
        <v>Normal</v>
      </c>
    </row>
    <row r="271" spans="1:15" x14ac:dyDescent="0.3">
      <c r="A271" s="22" t="s">
        <v>999</v>
      </c>
      <c r="B271" t="str">
        <f t="shared" si="28"/>
        <v>Varsha Patel</v>
      </c>
      <c r="C271" t="str">
        <f t="shared" si="29"/>
        <v>Customer Support</v>
      </c>
      <c r="D271" s="30" t="str">
        <f t="shared" si="30"/>
        <v>Active</v>
      </c>
      <c r="E271" s="22">
        <v>250</v>
      </c>
      <c r="F271" s="22">
        <v>10</v>
      </c>
      <c r="G271" s="22">
        <v>8</v>
      </c>
      <c r="H271" s="22">
        <v>5</v>
      </c>
      <c r="I271" s="22">
        <f t="shared" si="31"/>
        <v>23</v>
      </c>
      <c r="J271" s="22">
        <f t="shared" si="32"/>
        <v>227</v>
      </c>
      <c r="K271" s="26">
        <f t="shared" si="33"/>
        <v>0.90800000000000003</v>
      </c>
      <c r="L271" s="22">
        <v>14</v>
      </c>
      <c r="M271" s="22">
        <v>14</v>
      </c>
      <c r="N271" s="22">
        <v>67</v>
      </c>
      <c r="O271" s="22" t="str">
        <f t="shared" si="34"/>
        <v>Normal</v>
      </c>
    </row>
    <row r="272" spans="1:15" x14ac:dyDescent="0.3">
      <c r="A272" s="22" t="s">
        <v>1002</v>
      </c>
      <c r="B272" t="str">
        <f t="shared" si="28"/>
        <v>Ananya Desai</v>
      </c>
      <c r="C272" t="str">
        <f t="shared" si="29"/>
        <v>Marketing</v>
      </c>
      <c r="D272" s="30" t="str">
        <f t="shared" si="30"/>
        <v>Active</v>
      </c>
      <c r="E272" s="22">
        <v>250</v>
      </c>
      <c r="F272" s="22">
        <v>8</v>
      </c>
      <c r="G272" s="22">
        <v>4</v>
      </c>
      <c r="H272" s="22">
        <v>12</v>
      </c>
      <c r="I272" s="22">
        <f t="shared" si="31"/>
        <v>24</v>
      </c>
      <c r="J272" s="22">
        <f t="shared" si="32"/>
        <v>226</v>
      </c>
      <c r="K272" s="26">
        <f t="shared" si="33"/>
        <v>0.90400000000000003</v>
      </c>
      <c r="L272" s="22">
        <v>52</v>
      </c>
      <c r="M272" s="22">
        <v>6</v>
      </c>
      <c r="N272" s="22">
        <v>37</v>
      </c>
      <c r="O272" s="22" t="str">
        <f t="shared" si="34"/>
        <v>High Unplanned</v>
      </c>
    </row>
    <row r="273" spans="1:15" x14ac:dyDescent="0.3">
      <c r="A273" s="22" t="s">
        <v>1005</v>
      </c>
      <c r="B273" t="str">
        <f t="shared" si="28"/>
        <v>Vinay Agarwal</v>
      </c>
      <c r="C273" t="str">
        <f t="shared" si="29"/>
        <v>Sales</v>
      </c>
      <c r="D273" s="30" t="str">
        <f t="shared" si="30"/>
        <v>Active</v>
      </c>
      <c r="E273" s="22">
        <v>250</v>
      </c>
      <c r="F273" s="22">
        <v>12</v>
      </c>
      <c r="G273" s="22">
        <v>4</v>
      </c>
      <c r="H273" s="22">
        <v>1</v>
      </c>
      <c r="I273" s="22">
        <f t="shared" si="31"/>
        <v>17</v>
      </c>
      <c r="J273" s="22">
        <f t="shared" si="32"/>
        <v>233</v>
      </c>
      <c r="K273" s="26">
        <f t="shared" si="33"/>
        <v>0.93200000000000005</v>
      </c>
      <c r="L273" s="22">
        <v>15</v>
      </c>
      <c r="M273" s="22">
        <v>9</v>
      </c>
      <c r="N273" s="22">
        <v>33</v>
      </c>
      <c r="O273" s="22" t="str">
        <f t="shared" si="34"/>
        <v>Normal</v>
      </c>
    </row>
    <row r="274" spans="1:15" x14ac:dyDescent="0.3">
      <c r="A274" s="22" t="s">
        <v>308</v>
      </c>
      <c r="B274" t="str">
        <f t="shared" si="28"/>
        <v>Aishwarya Fernandes</v>
      </c>
      <c r="C274" t="str">
        <f t="shared" si="29"/>
        <v>Data &amp; Analytics</v>
      </c>
      <c r="D274" s="30" t="str">
        <f t="shared" si="30"/>
        <v>Active</v>
      </c>
      <c r="E274" s="22">
        <v>250</v>
      </c>
      <c r="F274" s="22">
        <v>17</v>
      </c>
      <c r="G274" s="22">
        <v>5</v>
      </c>
      <c r="H274" s="22">
        <v>5</v>
      </c>
      <c r="I274" s="22">
        <f t="shared" si="31"/>
        <v>27</v>
      </c>
      <c r="J274" s="22">
        <f t="shared" si="32"/>
        <v>223</v>
      </c>
      <c r="K274" s="26">
        <f t="shared" si="33"/>
        <v>0.89200000000000002</v>
      </c>
      <c r="L274" s="22">
        <v>25</v>
      </c>
      <c r="M274" s="22">
        <v>6</v>
      </c>
      <c r="N274" s="22">
        <v>29</v>
      </c>
      <c r="O274" s="22" t="str">
        <f t="shared" si="34"/>
        <v>Low Attendance</v>
      </c>
    </row>
    <row r="275" spans="1:15" x14ac:dyDescent="0.3">
      <c r="A275" s="22" t="s">
        <v>1010</v>
      </c>
      <c r="B275" t="str">
        <f t="shared" si="28"/>
        <v>Joseph Gowda</v>
      </c>
      <c r="C275" t="str">
        <f t="shared" si="29"/>
        <v>Operations</v>
      </c>
      <c r="D275" s="30" t="str">
        <f t="shared" si="30"/>
        <v>Active</v>
      </c>
      <c r="E275" s="22">
        <v>250</v>
      </c>
      <c r="F275" s="22">
        <v>15</v>
      </c>
      <c r="G275" s="22">
        <v>5</v>
      </c>
      <c r="H275" s="22">
        <v>1</v>
      </c>
      <c r="I275" s="22">
        <f t="shared" si="31"/>
        <v>21</v>
      </c>
      <c r="J275" s="22">
        <f t="shared" si="32"/>
        <v>229</v>
      </c>
      <c r="K275" s="26">
        <f t="shared" si="33"/>
        <v>0.91600000000000004</v>
      </c>
      <c r="L275" s="22">
        <v>0</v>
      </c>
      <c r="M275" s="22">
        <v>7</v>
      </c>
      <c r="N275" s="22">
        <v>118</v>
      </c>
      <c r="O275" s="22" t="str">
        <f t="shared" si="34"/>
        <v>Normal</v>
      </c>
    </row>
    <row r="276" spans="1:15" x14ac:dyDescent="0.3">
      <c r="A276" s="22" t="s">
        <v>1013</v>
      </c>
      <c r="B276" t="str">
        <f t="shared" si="28"/>
        <v>Akash Patel</v>
      </c>
      <c r="C276" t="str">
        <f t="shared" si="29"/>
        <v>Customer Support</v>
      </c>
      <c r="D276" s="30" t="str">
        <f t="shared" si="30"/>
        <v>Active</v>
      </c>
      <c r="E276" s="22">
        <v>250</v>
      </c>
      <c r="F276" s="22">
        <v>16</v>
      </c>
      <c r="G276" s="22">
        <v>2</v>
      </c>
      <c r="H276" s="22">
        <v>2</v>
      </c>
      <c r="I276" s="22">
        <f t="shared" si="31"/>
        <v>20</v>
      </c>
      <c r="J276" s="22">
        <f t="shared" si="32"/>
        <v>230</v>
      </c>
      <c r="K276" s="26">
        <f t="shared" si="33"/>
        <v>0.92</v>
      </c>
      <c r="L276" s="22">
        <v>4</v>
      </c>
      <c r="M276" s="22">
        <v>8</v>
      </c>
      <c r="N276" s="22">
        <v>37</v>
      </c>
      <c r="O276" s="22" t="str">
        <f t="shared" si="34"/>
        <v>Normal</v>
      </c>
    </row>
    <row r="277" spans="1:15" x14ac:dyDescent="0.3">
      <c r="A277" s="22" t="s">
        <v>1016</v>
      </c>
      <c r="B277" t="str">
        <f t="shared" si="28"/>
        <v>Pooja Kamath</v>
      </c>
      <c r="C277" t="str">
        <f t="shared" si="29"/>
        <v>Customer Support</v>
      </c>
      <c r="D277" s="30" t="str">
        <f t="shared" si="30"/>
        <v>Active</v>
      </c>
      <c r="E277" s="22">
        <v>250</v>
      </c>
      <c r="F277" s="22">
        <v>15</v>
      </c>
      <c r="G277" s="22">
        <v>8</v>
      </c>
      <c r="H277" s="22">
        <v>3</v>
      </c>
      <c r="I277" s="22">
        <f t="shared" si="31"/>
        <v>26</v>
      </c>
      <c r="J277" s="22">
        <f t="shared" si="32"/>
        <v>224</v>
      </c>
      <c r="K277" s="26">
        <f t="shared" si="33"/>
        <v>0.89600000000000002</v>
      </c>
      <c r="L277" s="22">
        <v>9</v>
      </c>
      <c r="M277" s="22">
        <v>7</v>
      </c>
      <c r="N277" s="22">
        <v>36</v>
      </c>
      <c r="O277" s="22" t="str">
        <f t="shared" si="34"/>
        <v>Low Attendance</v>
      </c>
    </row>
    <row r="278" spans="1:15" x14ac:dyDescent="0.3">
      <c r="A278" s="22" t="s">
        <v>1019</v>
      </c>
      <c r="B278" t="str">
        <f t="shared" si="28"/>
        <v>Ankit Joshi</v>
      </c>
      <c r="C278" t="str">
        <f t="shared" si="29"/>
        <v>Customer Support</v>
      </c>
      <c r="D278" s="30" t="str">
        <f t="shared" si="30"/>
        <v>Active</v>
      </c>
      <c r="E278" s="22">
        <v>250</v>
      </c>
      <c r="F278" s="22">
        <v>7</v>
      </c>
      <c r="G278" s="22">
        <v>4</v>
      </c>
      <c r="H278" s="22">
        <v>0</v>
      </c>
      <c r="I278" s="22">
        <f t="shared" si="31"/>
        <v>11</v>
      </c>
      <c r="J278" s="22">
        <f t="shared" si="32"/>
        <v>239</v>
      </c>
      <c r="K278" s="26">
        <f t="shared" si="33"/>
        <v>0.95599999999999996</v>
      </c>
      <c r="L278" s="22">
        <v>1</v>
      </c>
      <c r="M278" s="22">
        <v>3</v>
      </c>
      <c r="N278" s="22">
        <v>36</v>
      </c>
      <c r="O278" s="22" t="str">
        <f t="shared" si="34"/>
        <v>Normal</v>
      </c>
    </row>
    <row r="279" spans="1:15" x14ac:dyDescent="0.3">
      <c r="A279" s="22" t="s">
        <v>1022</v>
      </c>
      <c r="B279" t="str">
        <f t="shared" si="28"/>
        <v>Vikas Raghavan</v>
      </c>
      <c r="C279" t="str">
        <f t="shared" si="29"/>
        <v>Operations</v>
      </c>
      <c r="D279" s="30" t="str">
        <f t="shared" si="30"/>
        <v>Active</v>
      </c>
      <c r="E279" s="22">
        <v>250</v>
      </c>
      <c r="F279" s="22">
        <v>19</v>
      </c>
      <c r="G279" s="22">
        <v>1</v>
      </c>
      <c r="H279" s="22">
        <v>0</v>
      </c>
      <c r="I279" s="22">
        <f t="shared" si="31"/>
        <v>20</v>
      </c>
      <c r="J279" s="22">
        <f t="shared" si="32"/>
        <v>230</v>
      </c>
      <c r="K279" s="26">
        <f t="shared" si="33"/>
        <v>0.92</v>
      </c>
      <c r="L279" s="22">
        <v>9</v>
      </c>
      <c r="M279" s="22">
        <v>0</v>
      </c>
      <c r="N279" s="22">
        <v>55</v>
      </c>
      <c r="O279" s="22" t="str">
        <f t="shared" si="34"/>
        <v>Normal</v>
      </c>
    </row>
    <row r="280" spans="1:15" x14ac:dyDescent="0.3">
      <c r="A280" s="22" t="s">
        <v>434</v>
      </c>
      <c r="B280" t="str">
        <f t="shared" si="28"/>
        <v>Karan Verma</v>
      </c>
      <c r="C280" t="str">
        <f t="shared" si="29"/>
        <v>Data &amp; Analytics</v>
      </c>
      <c r="D280" s="30" t="str">
        <f t="shared" si="30"/>
        <v>Active</v>
      </c>
      <c r="E280" s="22">
        <v>250</v>
      </c>
      <c r="F280" s="22">
        <v>11</v>
      </c>
      <c r="G280" s="22">
        <v>0</v>
      </c>
      <c r="H280" s="22">
        <v>0</v>
      </c>
      <c r="I280" s="22">
        <f t="shared" si="31"/>
        <v>11</v>
      </c>
      <c r="J280" s="22">
        <f t="shared" si="32"/>
        <v>239</v>
      </c>
      <c r="K280" s="26">
        <f t="shared" si="33"/>
        <v>0.95599999999999996</v>
      </c>
      <c r="L280" s="22">
        <v>27</v>
      </c>
      <c r="M280" s="22">
        <v>5</v>
      </c>
      <c r="N280" s="22">
        <v>18</v>
      </c>
      <c r="O280" s="22" t="str">
        <f t="shared" si="34"/>
        <v>Normal</v>
      </c>
    </row>
    <row r="281" spans="1:15" x14ac:dyDescent="0.3">
      <c r="A281" s="22" t="s">
        <v>1026</v>
      </c>
      <c r="B281" t="str">
        <f t="shared" si="28"/>
        <v>Tanvi Kamath</v>
      </c>
      <c r="C281" t="str">
        <f t="shared" si="29"/>
        <v>Finance</v>
      </c>
      <c r="D281" s="30" t="str">
        <f t="shared" si="30"/>
        <v>Exited</v>
      </c>
      <c r="E281" s="22">
        <v>206</v>
      </c>
      <c r="F281" s="22">
        <v>18</v>
      </c>
      <c r="G281" s="22">
        <v>8</v>
      </c>
      <c r="H281" s="22">
        <v>3</v>
      </c>
      <c r="I281" s="22">
        <f t="shared" si="31"/>
        <v>29</v>
      </c>
      <c r="J281" s="22">
        <f t="shared" si="32"/>
        <v>177</v>
      </c>
      <c r="K281" s="26">
        <f t="shared" si="33"/>
        <v>0.85922330097087374</v>
      </c>
      <c r="L281" s="22">
        <v>81</v>
      </c>
      <c r="M281" s="22">
        <v>2</v>
      </c>
      <c r="N281" s="22">
        <v>5</v>
      </c>
      <c r="O281" s="22" t="str">
        <f t="shared" si="34"/>
        <v>Low Attendance</v>
      </c>
    </row>
    <row r="282" spans="1:15" x14ac:dyDescent="0.3">
      <c r="A282" s="22" t="s">
        <v>1029</v>
      </c>
      <c r="B282" t="str">
        <f t="shared" si="28"/>
        <v>Srinivas Nair</v>
      </c>
      <c r="C282" t="str">
        <f t="shared" si="29"/>
        <v>Customer Support</v>
      </c>
      <c r="D282" s="30" t="str">
        <f t="shared" si="30"/>
        <v>Active</v>
      </c>
      <c r="E282" s="22">
        <v>250</v>
      </c>
      <c r="F282" s="22">
        <v>17</v>
      </c>
      <c r="G282" s="22">
        <v>4</v>
      </c>
      <c r="H282" s="22">
        <v>3</v>
      </c>
      <c r="I282" s="22">
        <f t="shared" si="31"/>
        <v>24</v>
      </c>
      <c r="J282" s="22">
        <f t="shared" si="32"/>
        <v>226</v>
      </c>
      <c r="K282" s="26">
        <f t="shared" si="33"/>
        <v>0.90400000000000003</v>
      </c>
      <c r="L282" s="22">
        <v>13</v>
      </c>
      <c r="M282" s="22">
        <v>9</v>
      </c>
      <c r="N282" s="22">
        <v>117</v>
      </c>
      <c r="O282" s="22" t="str">
        <f t="shared" si="34"/>
        <v>Normal</v>
      </c>
    </row>
    <row r="283" spans="1:15" x14ac:dyDescent="0.3">
      <c r="A283" s="22" t="s">
        <v>1032</v>
      </c>
      <c r="B283" t="str">
        <f t="shared" si="28"/>
        <v>Priya Mishra</v>
      </c>
      <c r="C283" t="str">
        <f t="shared" si="29"/>
        <v>Customer Support</v>
      </c>
      <c r="D283" s="30" t="str">
        <f t="shared" si="30"/>
        <v>Active</v>
      </c>
      <c r="E283" s="22">
        <v>250</v>
      </c>
      <c r="F283" s="22">
        <v>7</v>
      </c>
      <c r="G283" s="22">
        <v>4</v>
      </c>
      <c r="H283" s="22">
        <v>6</v>
      </c>
      <c r="I283" s="22">
        <f t="shared" si="31"/>
        <v>17</v>
      </c>
      <c r="J283" s="22">
        <f t="shared" si="32"/>
        <v>233</v>
      </c>
      <c r="K283" s="26">
        <f t="shared" si="33"/>
        <v>0.93200000000000005</v>
      </c>
      <c r="L283" s="22">
        <v>11</v>
      </c>
      <c r="M283" s="22">
        <v>3</v>
      </c>
      <c r="N283" s="22">
        <v>103</v>
      </c>
      <c r="O283" s="22" t="str">
        <f t="shared" si="34"/>
        <v>Normal</v>
      </c>
    </row>
    <row r="284" spans="1:15" x14ac:dyDescent="0.3">
      <c r="A284" s="22" t="s">
        <v>1035</v>
      </c>
      <c r="B284" t="str">
        <f t="shared" si="28"/>
        <v>Isha Khanna</v>
      </c>
      <c r="C284" t="str">
        <f t="shared" si="29"/>
        <v>Product</v>
      </c>
      <c r="D284" s="30" t="str">
        <f t="shared" si="30"/>
        <v>Exited</v>
      </c>
      <c r="E284" s="22">
        <v>20</v>
      </c>
      <c r="F284" s="22">
        <v>2</v>
      </c>
      <c r="G284" s="22">
        <v>6</v>
      </c>
      <c r="H284" s="22">
        <v>1</v>
      </c>
      <c r="I284" s="22">
        <f t="shared" si="31"/>
        <v>9</v>
      </c>
      <c r="J284" s="22">
        <f t="shared" si="32"/>
        <v>11</v>
      </c>
      <c r="K284" s="26">
        <f t="shared" si="33"/>
        <v>0.55000000000000004</v>
      </c>
      <c r="L284" s="22">
        <v>22</v>
      </c>
      <c r="M284" s="22">
        <v>14</v>
      </c>
      <c r="N284" s="22">
        <v>16</v>
      </c>
      <c r="O284" s="22" t="str">
        <f t="shared" si="34"/>
        <v>Low Attendance</v>
      </c>
    </row>
    <row r="285" spans="1:15" x14ac:dyDescent="0.3">
      <c r="A285" s="22" t="s">
        <v>1038</v>
      </c>
      <c r="B285" t="str">
        <f t="shared" si="28"/>
        <v>Kunal Fernandes</v>
      </c>
      <c r="C285" t="str">
        <f t="shared" si="29"/>
        <v>Customer Support</v>
      </c>
      <c r="D285" s="30" t="str">
        <f t="shared" si="30"/>
        <v>Exited</v>
      </c>
      <c r="E285" s="22">
        <v>32</v>
      </c>
      <c r="F285" s="22">
        <v>3</v>
      </c>
      <c r="G285" s="22">
        <v>4</v>
      </c>
      <c r="H285" s="22">
        <v>2</v>
      </c>
      <c r="I285" s="22">
        <f t="shared" si="31"/>
        <v>9</v>
      </c>
      <c r="J285" s="22">
        <f t="shared" si="32"/>
        <v>23</v>
      </c>
      <c r="K285" s="26">
        <f t="shared" si="33"/>
        <v>0.71875</v>
      </c>
      <c r="L285" s="22">
        <v>5</v>
      </c>
      <c r="M285" s="22">
        <v>9</v>
      </c>
      <c r="N285" s="22">
        <v>55</v>
      </c>
      <c r="O285" s="22" t="str">
        <f t="shared" si="34"/>
        <v>Low Attendance</v>
      </c>
    </row>
    <row r="286" spans="1:15" x14ac:dyDescent="0.3">
      <c r="A286" s="22" t="s">
        <v>1041</v>
      </c>
      <c r="B286" t="str">
        <f t="shared" si="28"/>
        <v>Tarun Siddiqui</v>
      </c>
      <c r="C286" t="str">
        <f t="shared" si="29"/>
        <v>Finance</v>
      </c>
      <c r="D286" s="30" t="str">
        <f t="shared" si="30"/>
        <v>Active</v>
      </c>
      <c r="E286" s="22">
        <v>250</v>
      </c>
      <c r="F286" s="22">
        <v>16</v>
      </c>
      <c r="G286" s="22">
        <v>5</v>
      </c>
      <c r="H286" s="22">
        <v>5</v>
      </c>
      <c r="I286" s="22">
        <f t="shared" si="31"/>
        <v>26</v>
      </c>
      <c r="J286" s="22">
        <f t="shared" si="32"/>
        <v>224</v>
      </c>
      <c r="K286" s="26">
        <f t="shared" si="33"/>
        <v>0.89600000000000002</v>
      </c>
      <c r="L286" s="22">
        <v>27</v>
      </c>
      <c r="M286" s="22">
        <v>10</v>
      </c>
      <c r="N286" s="22">
        <v>12</v>
      </c>
      <c r="O286" s="22" t="str">
        <f t="shared" si="34"/>
        <v>Low Attendance</v>
      </c>
    </row>
    <row r="287" spans="1:15" x14ac:dyDescent="0.3">
      <c r="A287" s="22" t="s">
        <v>1044</v>
      </c>
      <c r="B287" t="str">
        <f t="shared" si="28"/>
        <v>Farhan Thomas</v>
      </c>
      <c r="C287" t="str">
        <f t="shared" si="29"/>
        <v>Engineering</v>
      </c>
      <c r="D287" s="30" t="str">
        <f t="shared" si="30"/>
        <v>Active</v>
      </c>
      <c r="E287" s="22">
        <v>250</v>
      </c>
      <c r="F287" s="22">
        <v>10</v>
      </c>
      <c r="G287" s="22">
        <v>2</v>
      </c>
      <c r="H287" s="22">
        <v>1</v>
      </c>
      <c r="I287" s="22">
        <f t="shared" si="31"/>
        <v>13</v>
      </c>
      <c r="J287" s="22">
        <f t="shared" si="32"/>
        <v>237</v>
      </c>
      <c r="K287" s="26">
        <f t="shared" si="33"/>
        <v>0.94799999999999995</v>
      </c>
      <c r="L287" s="22">
        <v>35</v>
      </c>
      <c r="M287" s="22">
        <v>4</v>
      </c>
      <c r="N287" s="22">
        <v>39</v>
      </c>
      <c r="O287" s="22" t="str">
        <f t="shared" si="34"/>
        <v>Normal</v>
      </c>
    </row>
    <row r="288" spans="1:15" x14ac:dyDescent="0.3">
      <c r="A288" s="22" t="s">
        <v>1047</v>
      </c>
      <c r="B288" t="str">
        <f t="shared" si="28"/>
        <v>Sai Iyer</v>
      </c>
      <c r="C288" t="str">
        <f t="shared" si="29"/>
        <v>Sales</v>
      </c>
      <c r="D288" s="30" t="str">
        <f t="shared" si="30"/>
        <v>Active</v>
      </c>
      <c r="E288" s="22">
        <v>250</v>
      </c>
      <c r="F288" s="22">
        <v>7</v>
      </c>
      <c r="G288" s="22">
        <v>4</v>
      </c>
      <c r="H288" s="22">
        <v>7</v>
      </c>
      <c r="I288" s="22">
        <f t="shared" si="31"/>
        <v>18</v>
      </c>
      <c r="J288" s="22">
        <f t="shared" si="32"/>
        <v>232</v>
      </c>
      <c r="K288" s="26">
        <f t="shared" si="33"/>
        <v>0.92800000000000005</v>
      </c>
      <c r="L288" s="22">
        <v>79</v>
      </c>
      <c r="M288" s="22">
        <v>2</v>
      </c>
      <c r="N288" s="22">
        <v>24</v>
      </c>
      <c r="O288" s="22" t="str">
        <f t="shared" si="34"/>
        <v>Normal</v>
      </c>
    </row>
    <row r="289" spans="1:15" x14ac:dyDescent="0.3">
      <c r="A289" s="22" t="s">
        <v>1050</v>
      </c>
      <c r="B289" t="str">
        <f t="shared" si="28"/>
        <v>Joseph Pandey</v>
      </c>
      <c r="C289" t="str">
        <f t="shared" si="29"/>
        <v>Operations</v>
      </c>
      <c r="D289" s="30" t="str">
        <f t="shared" si="30"/>
        <v>Active</v>
      </c>
      <c r="E289" s="22">
        <v>250</v>
      </c>
      <c r="F289" s="22">
        <v>18</v>
      </c>
      <c r="G289" s="22">
        <v>6</v>
      </c>
      <c r="H289" s="22">
        <v>0</v>
      </c>
      <c r="I289" s="22">
        <f t="shared" si="31"/>
        <v>24</v>
      </c>
      <c r="J289" s="22">
        <f t="shared" si="32"/>
        <v>226</v>
      </c>
      <c r="K289" s="26">
        <f t="shared" si="33"/>
        <v>0.90400000000000003</v>
      </c>
      <c r="L289" s="22">
        <v>16</v>
      </c>
      <c r="M289" s="22">
        <v>7</v>
      </c>
      <c r="N289" s="22">
        <v>88</v>
      </c>
      <c r="O289" s="22" t="str">
        <f t="shared" si="34"/>
        <v>Normal</v>
      </c>
    </row>
    <row r="290" spans="1:15" x14ac:dyDescent="0.3">
      <c r="A290" s="22" t="s">
        <v>1053</v>
      </c>
      <c r="B290" t="str">
        <f t="shared" si="28"/>
        <v>Tanvi Verma</v>
      </c>
      <c r="C290" t="str">
        <f t="shared" si="29"/>
        <v>Customer Support</v>
      </c>
      <c r="D290" s="30" t="str">
        <f t="shared" si="30"/>
        <v>Active</v>
      </c>
      <c r="E290" s="22">
        <v>250</v>
      </c>
      <c r="F290" s="22">
        <v>11</v>
      </c>
      <c r="G290" s="22">
        <v>8</v>
      </c>
      <c r="H290" s="22">
        <v>8</v>
      </c>
      <c r="I290" s="22">
        <f t="shared" si="31"/>
        <v>27</v>
      </c>
      <c r="J290" s="22">
        <f t="shared" si="32"/>
        <v>223</v>
      </c>
      <c r="K290" s="26">
        <f t="shared" si="33"/>
        <v>0.89200000000000002</v>
      </c>
      <c r="L290" s="22">
        <v>22</v>
      </c>
      <c r="M290" s="22">
        <v>5</v>
      </c>
      <c r="N290" s="22">
        <v>59</v>
      </c>
      <c r="O290" s="22" t="str">
        <f t="shared" si="34"/>
        <v>High Unplanned</v>
      </c>
    </row>
    <row r="291" spans="1:15" x14ac:dyDescent="0.3">
      <c r="A291" s="22" t="s">
        <v>1056</v>
      </c>
      <c r="B291" t="str">
        <f t="shared" si="28"/>
        <v>Revathi Das</v>
      </c>
      <c r="C291" t="str">
        <f t="shared" si="29"/>
        <v>Product</v>
      </c>
      <c r="D291" s="30" t="str">
        <f t="shared" si="30"/>
        <v>Active</v>
      </c>
      <c r="E291" s="22">
        <v>250</v>
      </c>
      <c r="F291" s="22">
        <v>11</v>
      </c>
      <c r="G291" s="22">
        <v>6</v>
      </c>
      <c r="H291" s="22">
        <v>2</v>
      </c>
      <c r="I291" s="22">
        <f t="shared" si="31"/>
        <v>19</v>
      </c>
      <c r="J291" s="22">
        <f t="shared" si="32"/>
        <v>231</v>
      </c>
      <c r="K291" s="26">
        <f t="shared" si="33"/>
        <v>0.92400000000000004</v>
      </c>
      <c r="L291" s="22">
        <v>62</v>
      </c>
      <c r="M291" s="22">
        <v>7</v>
      </c>
      <c r="N291" s="22">
        <v>1</v>
      </c>
      <c r="O291" s="22" t="str">
        <f t="shared" si="34"/>
        <v>Normal</v>
      </c>
    </row>
    <row r="292" spans="1:15" x14ac:dyDescent="0.3">
      <c r="A292" s="22" t="s">
        <v>1059</v>
      </c>
      <c r="B292" t="str">
        <f t="shared" si="28"/>
        <v>Swathi Fernandes</v>
      </c>
      <c r="C292" t="str">
        <f t="shared" si="29"/>
        <v>Sales</v>
      </c>
      <c r="D292" s="30" t="str">
        <f t="shared" si="30"/>
        <v>Active</v>
      </c>
      <c r="E292" s="22">
        <v>250</v>
      </c>
      <c r="F292" s="22">
        <v>20</v>
      </c>
      <c r="G292" s="22">
        <v>8</v>
      </c>
      <c r="H292" s="22">
        <v>0</v>
      </c>
      <c r="I292" s="22">
        <f t="shared" si="31"/>
        <v>28</v>
      </c>
      <c r="J292" s="22">
        <f t="shared" si="32"/>
        <v>222</v>
      </c>
      <c r="K292" s="26">
        <f t="shared" si="33"/>
        <v>0.88800000000000001</v>
      </c>
      <c r="L292" s="22">
        <v>63</v>
      </c>
      <c r="M292" s="22">
        <v>1</v>
      </c>
      <c r="N292" s="22">
        <v>8</v>
      </c>
      <c r="O292" s="22" t="str">
        <f t="shared" si="34"/>
        <v>Low Attendance</v>
      </c>
    </row>
    <row r="293" spans="1:15" x14ac:dyDescent="0.3">
      <c r="A293" s="22" t="s">
        <v>1063</v>
      </c>
      <c r="B293" t="str">
        <f t="shared" si="28"/>
        <v>Arjun Shetty</v>
      </c>
      <c r="C293" t="str">
        <f t="shared" si="29"/>
        <v>Engineering</v>
      </c>
      <c r="D293" s="30" t="str">
        <f t="shared" si="30"/>
        <v>Active</v>
      </c>
      <c r="E293" s="22">
        <v>250</v>
      </c>
      <c r="F293" s="22">
        <v>15</v>
      </c>
      <c r="G293" s="22">
        <v>4</v>
      </c>
      <c r="H293" s="22">
        <v>3</v>
      </c>
      <c r="I293" s="22">
        <f t="shared" si="31"/>
        <v>22</v>
      </c>
      <c r="J293" s="22">
        <f t="shared" si="32"/>
        <v>228</v>
      </c>
      <c r="K293" s="26">
        <f t="shared" si="33"/>
        <v>0.91200000000000003</v>
      </c>
      <c r="L293" s="22">
        <v>84</v>
      </c>
      <c r="M293" s="22">
        <v>8</v>
      </c>
      <c r="N293" s="22">
        <v>47</v>
      </c>
      <c r="O293" s="22" t="str">
        <f t="shared" si="34"/>
        <v>Normal</v>
      </c>
    </row>
    <row r="294" spans="1:15" x14ac:dyDescent="0.3">
      <c r="A294" s="22" t="s">
        <v>1066</v>
      </c>
      <c r="B294" t="str">
        <f t="shared" si="28"/>
        <v>Ajay Jain</v>
      </c>
      <c r="C294" t="str">
        <f t="shared" si="29"/>
        <v>Customer Support</v>
      </c>
      <c r="D294" s="30" t="str">
        <f t="shared" si="30"/>
        <v>Exited</v>
      </c>
      <c r="E294" s="22">
        <v>62</v>
      </c>
      <c r="F294" s="22">
        <v>6</v>
      </c>
      <c r="G294" s="22">
        <v>8</v>
      </c>
      <c r="H294" s="22">
        <v>9</v>
      </c>
      <c r="I294" s="22">
        <f t="shared" si="31"/>
        <v>23</v>
      </c>
      <c r="J294" s="22">
        <f t="shared" si="32"/>
        <v>39</v>
      </c>
      <c r="K294" s="26">
        <f t="shared" si="33"/>
        <v>0.62903225806451613</v>
      </c>
      <c r="L294" s="22">
        <v>1</v>
      </c>
      <c r="M294" s="22">
        <v>12</v>
      </c>
      <c r="N294" s="22">
        <v>108</v>
      </c>
      <c r="O294" s="22" t="str">
        <f t="shared" si="34"/>
        <v>High Unplanned</v>
      </c>
    </row>
    <row r="295" spans="1:15" x14ac:dyDescent="0.3">
      <c r="A295" s="22" t="s">
        <v>1069</v>
      </c>
      <c r="B295" t="str">
        <f t="shared" si="28"/>
        <v>Rakesh Desai</v>
      </c>
      <c r="C295" t="str">
        <f t="shared" si="29"/>
        <v>Legal &amp; Compliance</v>
      </c>
      <c r="D295" s="30" t="str">
        <f t="shared" si="30"/>
        <v>Active</v>
      </c>
      <c r="E295" s="22">
        <v>250</v>
      </c>
      <c r="F295" s="22">
        <v>12</v>
      </c>
      <c r="G295" s="22">
        <v>2</v>
      </c>
      <c r="H295" s="22">
        <v>1</v>
      </c>
      <c r="I295" s="22">
        <f t="shared" si="31"/>
        <v>15</v>
      </c>
      <c r="J295" s="22">
        <f t="shared" si="32"/>
        <v>235</v>
      </c>
      <c r="K295" s="26">
        <f t="shared" si="33"/>
        <v>0.94</v>
      </c>
      <c r="L295" s="22">
        <v>10</v>
      </c>
      <c r="M295" s="22">
        <v>7</v>
      </c>
      <c r="N295" s="22">
        <v>33</v>
      </c>
      <c r="O295" s="22" t="str">
        <f t="shared" si="34"/>
        <v>Normal</v>
      </c>
    </row>
    <row r="296" spans="1:15" x14ac:dyDescent="0.3">
      <c r="A296" s="22" t="s">
        <v>1072</v>
      </c>
      <c r="B296" t="str">
        <f t="shared" si="28"/>
        <v>Sindhu Gowda</v>
      </c>
      <c r="C296" t="str">
        <f t="shared" si="29"/>
        <v>Customer Support</v>
      </c>
      <c r="D296" s="30" t="str">
        <f t="shared" si="30"/>
        <v>Exited</v>
      </c>
      <c r="E296" s="22">
        <v>38</v>
      </c>
      <c r="F296" s="22">
        <v>3</v>
      </c>
      <c r="G296" s="22">
        <v>0</v>
      </c>
      <c r="H296" s="22">
        <v>0</v>
      </c>
      <c r="I296" s="22">
        <f t="shared" si="31"/>
        <v>3</v>
      </c>
      <c r="J296" s="22">
        <f t="shared" si="32"/>
        <v>35</v>
      </c>
      <c r="K296" s="26">
        <f t="shared" si="33"/>
        <v>0.92105263157894735</v>
      </c>
      <c r="L296" s="22">
        <v>8</v>
      </c>
      <c r="M296" s="22">
        <v>13</v>
      </c>
      <c r="N296" s="22">
        <v>83</v>
      </c>
      <c r="O296" s="22" t="str">
        <f t="shared" si="34"/>
        <v>Normal</v>
      </c>
    </row>
    <row r="297" spans="1:15" x14ac:dyDescent="0.3">
      <c r="A297" s="22" t="s">
        <v>1075</v>
      </c>
      <c r="B297" t="str">
        <f t="shared" si="28"/>
        <v>Farhan Shetty</v>
      </c>
      <c r="C297" t="str">
        <f t="shared" si="29"/>
        <v>Engineering</v>
      </c>
      <c r="D297" s="30" t="str">
        <f t="shared" si="30"/>
        <v>Exited</v>
      </c>
      <c r="E297" s="22">
        <v>49</v>
      </c>
      <c r="F297" s="22">
        <v>4</v>
      </c>
      <c r="G297" s="22">
        <v>5</v>
      </c>
      <c r="H297" s="22">
        <v>2</v>
      </c>
      <c r="I297" s="22">
        <f t="shared" si="31"/>
        <v>11</v>
      </c>
      <c r="J297" s="22">
        <f t="shared" si="32"/>
        <v>38</v>
      </c>
      <c r="K297" s="26">
        <f t="shared" si="33"/>
        <v>0.77551020408163263</v>
      </c>
      <c r="L297" s="22">
        <v>47</v>
      </c>
      <c r="M297" s="22">
        <v>9</v>
      </c>
      <c r="N297" s="22">
        <v>61</v>
      </c>
      <c r="O297" s="22" t="str">
        <f t="shared" si="34"/>
        <v>Low Attendance</v>
      </c>
    </row>
    <row r="298" spans="1:15" x14ac:dyDescent="0.3">
      <c r="A298" s="22" t="s">
        <v>1078</v>
      </c>
      <c r="B298" t="str">
        <f t="shared" si="28"/>
        <v>Rakesh Patel</v>
      </c>
      <c r="C298" t="str">
        <f t="shared" si="29"/>
        <v>Customer Support</v>
      </c>
      <c r="D298" s="30" t="str">
        <f t="shared" si="30"/>
        <v>Active</v>
      </c>
      <c r="E298" s="22">
        <v>250</v>
      </c>
      <c r="F298" s="22">
        <v>17</v>
      </c>
      <c r="G298" s="22">
        <v>5</v>
      </c>
      <c r="H298" s="22">
        <v>5</v>
      </c>
      <c r="I298" s="22">
        <f t="shared" si="31"/>
        <v>27</v>
      </c>
      <c r="J298" s="22">
        <f t="shared" si="32"/>
        <v>223</v>
      </c>
      <c r="K298" s="26">
        <f t="shared" si="33"/>
        <v>0.89200000000000002</v>
      </c>
      <c r="L298" s="22">
        <v>3</v>
      </c>
      <c r="M298" s="22">
        <v>11</v>
      </c>
      <c r="N298" s="22">
        <v>74</v>
      </c>
      <c r="O298" s="22" t="str">
        <f t="shared" si="34"/>
        <v>Low Attendance</v>
      </c>
    </row>
    <row r="299" spans="1:15" x14ac:dyDescent="0.3">
      <c r="A299" s="22" t="s">
        <v>1081</v>
      </c>
      <c r="B299" t="str">
        <f t="shared" si="28"/>
        <v>Vikram Bose</v>
      </c>
      <c r="C299" t="str">
        <f t="shared" si="29"/>
        <v>Sales</v>
      </c>
      <c r="D299" s="30" t="str">
        <f t="shared" si="30"/>
        <v>Active</v>
      </c>
      <c r="E299" s="22">
        <v>250</v>
      </c>
      <c r="F299" s="22">
        <v>16</v>
      </c>
      <c r="G299" s="22">
        <v>8</v>
      </c>
      <c r="H299" s="22">
        <v>3</v>
      </c>
      <c r="I299" s="22">
        <f t="shared" si="31"/>
        <v>27</v>
      </c>
      <c r="J299" s="22">
        <f t="shared" si="32"/>
        <v>223</v>
      </c>
      <c r="K299" s="26">
        <f t="shared" si="33"/>
        <v>0.89200000000000002</v>
      </c>
      <c r="L299" s="22">
        <v>16</v>
      </c>
      <c r="M299" s="22">
        <v>11</v>
      </c>
      <c r="N299" s="22">
        <v>13</v>
      </c>
      <c r="O299" s="22" t="str">
        <f t="shared" si="34"/>
        <v>Low Attendance</v>
      </c>
    </row>
    <row r="300" spans="1:15" x14ac:dyDescent="0.3">
      <c r="A300" s="22" t="s">
        <v>1084</v>
      </c>
      <c r="B300" t="str">
        <f t="shared" si="28"/>
        <v>Sachin Singh</v>
      </c>
      <c r="C300" t="str">
        <f t="shared" si="29"/>
        <v>Human Resources</v>
      </c>
      <c r="D300" s="30" t="str">
        <f t="shared" si="30"/>
        <v>Active</v>
      </c>
      <c r="E300" s="22">
        <v>250</v>
      </c>
      <c r="F300" s="22">
        <v>14</v>
      </c>
      <c r="G300" s="22">
        <v>2</v>
      </c>
      <c r="H300" s="22">
        <v>2</v>
      </c>
      <c r="I300" s="22">
        <f t="shared" si="31"/>
        <v>18</v>
      </c>
      <c r="J300" s="22">
        <f t="shared" si="32"/>
        <v>232</v>
      </c>
      <c r="K300" s="26">
        <f t="shared" si="33"/>
        <v>0.92800000000000005</v>
      </c>
      <c r="L300" s="22">
        <v>73</v>
      </c>
      <c r="M300" s="22">
        <v>2</v>
      </c>
      <c r="N300" s="22">
        <v>14</v>
      </c>
      <c r="O300" s="22" t="str">
        <f t="shared" si="34"/>
        <v>Normal</v>
      </c>
    </row>
    <row r="301" spans="1:15" x14ac:dyDescent="0.3">
      <c r="A301" s="22" t="s">
        <v>1087</v>
      </c>
      <c r="B301" t="str">
        <f t="shared" si="28"/>
        <v>Rajesh Krishnan</v>
      </c>
      <c r="C301" t="str">
        <f t="shared" si="29"/>
        <v>Operations</v>
      </c>
      <c r="D301" s="30" t="str">
        <f t="shared" si="30"/>
        <v>Active</v>
      </c>
      <c r="E301" s="22">
        <v>250</v>
      </c>
      <c r="F301" s="22">
        <v>20</v>
      </c>
      <c r="G301" s="22">
        <v>2</v>
      </c>
      <c r="H301" s="22">
        <v>1</v>
      </c>
      <c r="I301" s="22">
        <f t="shared" si="31"/>
        <v>23</v>
      </c>
      <c r="J301" s="22">
        <f t="shared" si="32"/>
        <v>227</v>
      </c>
      <c r="K301" s="26">
        <f t="shared" si="33"/>
        <v>0.90800000000000003</v>
      </c>
      <c r="L301" s="22">
        <v>9</v>
      </c>
      <c r="M301" s="22">
        <v>11</v>
      </c>
      <c r="N301" s="22">
        <v>119</v>
      </c>
      <c r="O301" s="22" t="str">
        <f t="shared" si="34"/>
        <v>Normal</v>
      </c>
    </row>
    <row r="302" spans="1:15" x14ac:dyDescent="0.3">
      <c r="A302" s="22" t="s">
        <v>1090</v>
      </c>
      <c r="B302" t="str">
        <f t="shared" si="28"/>
        <v>Gaurav Nair</v>
      </c>
      <c r="C302" t="str">
        <f t="shared" si="29"/>
        <v>Engineering</v>
      </c>
      <c r="D302" s="30" t="str">
        <f t="shared" si="30"/>
        <v>Active</v>
      </c>
      <c r="E302" s="22">
        <v>250</v>
      </c>
      <c r="F302" s="22">
        <v>6</v>
      </c>
      <c r="G302" s="22">
        <v>7</v>
      </c>
      <c r="H302" s="22">
        <v>2</v>
      </c>
      <c r="I302" s="22">
        <f t="shared" si="31"/>
        <v>15</v>
      </c>
      <c r="J302" s="22">
        <f t="shared" si="32"/>
        <v>235</v>
      </c>
      <c r="K302" s="26">
        <f t="shared" si="33"/>
        <v>0.94</v>
      </c>
      <c r="L302" s="22">
        <v>35</v>
      </c>
      <c r="M302" s="22">
        <v>1</v>
      </c>
      <c r="N302" s="22">
        <v>8</v>
      </c>
      <c r="O302" s="22" t="str">
        <f t="shared" si="34"/>
        <v>Normal</v>
      </c>
    </row>
    <row r="303" spans="1:15" x14ac:dyDescent="0.3">
      <c r="A303" s="22" t="s">
        <v>1093</v>
      </c>
      <c r="B303" t="str">
        <f t="shared" si="28"/>
        <v>Shreya Thomas</v>
      </c>
      <c r="C303" t="str">
        <f t="shared" si="29"/>
        <v>Marketing</v>
      </c>
      <c r="D303" s="30" t="str">
        <f t="shared" si="30"/>
        <v>Active</v>
      </c>
      <c r="E303" s="22">
        <v>250</v>
      </c>
      <c r="F303" s="22">
        <v>6</v>
      </c>
      <c r="G303" s="22">
        <v>2</v>
      </c>
      <c r="H303" s="22">
        <v>2</v>
      </c>
      <c r="I303" s="22">
        <f t="shared" si="31"/>
        <v>10</v>
      </c>
      <c r="J303" s="22">
        <f t="shared" si="32"/>
        <v>240</v>
      </c>
      <c r="K303" s="26">
        <f t="shared" si="33"/>
        <v>0.96</v>
      </c>
      <c r="L303" s="22">
        <v>25</v>
      </c>
      <c r="M303" s="22">
        <v>8</v>
      </c>
      <c r="N303" s="22">
        <v>6</v>
      </c>
      <c r="O303" s="22" t="str">
        <f t="shared" si="34"/>
        <v>Normal</v>
      </c>
    </row>
    <row r="304" spans="1:15" x14ac:dyDescent="0.3">
      <c r="A304" s="22" t="s">
        <v>1096</v>
      </c>
      <c r="B304" t="str">
        <f t="shared" si="28"/>
        <v>Rakesh Thomas</v>
      </c>
      <c r="C304" t="str">
        <f t="shared" si="29"/>
        <v>Engineering</v>
      </c>
      <c r="D304" s="30" t="str">
        <f t="shared" si="30"/>
        <v>Active</v>
      </c>
      <c r="E304" s="22">
        <v>250</v>
      </c>
      <c r="F304" s="22">
        <v>9</v>
      </c>
      <c r="G304" s="22">
        <v>3</v>
      </c>
      <c r="H304" s="22">
        <v>0</v>
      </c>
      <c r="I304" s="22">
        <f t="shared" si="31"/>
        <v>12</v>
      </c>
      <c r="J304" s="22">
        <f t="shared" si="32"/>
        <v>238</v>
      </c>
      <c r="K304" s="26">
        <f t="shared" si="33"/>
        <v>0.95199999999999996</v>
      </c>
      <c r="L304" s="22">
        <v>13</v>
      </c>
      <c r="M304" s="22">
        <v>13</v>
      </c>
      <c r="N304" s="22">
        <v>64</v>
      </c>
      <c r="O304" s="22" t="str">
        <f t="shared" si="34"/>
        <v>Normal</v>
      </c>
    </row>
    <row r="305" spans="1:15" x14ac:dyDescent="0.3">
      <c r="A305" s="22" t="s">
        <v>1099</v>
      </c>
      <c r="B305" t="str">
        <f t="shared" si="28"/>
        <v>Harini Khan</v>
      </c>
      <c r="C305" t="str">
        <f t="shared" si="29"/>
        <v>Sales</v>
      </c>
      <c r="D305" s="30" t="str">
        <f t="shared" si="30"/>
        <v>Active</v>
      </c>
      <c r="E305" s="22">
        <v>250</v>
      </c>
      <c r="F305" s="22">
        <v>13</v>
      </c>
      <c r="G305" s="22">
        <v>6</v>
      </c>
      <c r="H305" s="22">
        <v>0</v>
      </c>
      <c r="I305" s="22">
        <f t="shared" si="31"/>
        <v>19</v>
      </c>
      <c r="J305" s="22">
        <f t="shared" si="32"/>
        <v>231</v>
      </c>
      <c r="K305" s="26">
        <f t="shared" si="33"/>
        <v>0.92400000000000004</v>
      </c>
      <c r="L305" s="22">
        <v>25</v>
      </c>
      <c r="M305" s="22">
        <v>4</v>
      </c>
      <c r="N305" s="22">
        <v>25</v>
      </c>
      <c r="O305" s="22" t="str">
        <f t="shared" si="34"/>
        <v>Normal</v>
      </c>
    </row>
    <row r="306" spans="1:15" x14ac:dyDescent="0.3">
      <c r="A306" s="22" t="s">
        <v>1102</v>
      </c>
      <c r="B306" t="str">
        <f t="shared" si="28"/>
        <v>Abhishek Sharma</v>
      </c>
      <c r="C306" t="str">
        <f t="shared" si="29"/>
        <v>Operations</v>
      </c>
      <c r="D306" s="30" t="str">
        <f t="shared" si="30"/>
        <v>Active</v>
      </c>
      <c r="E306" s="22">
        <v>250</v>
      </c>
      <c r="F306" s="22">
        <v>13</v>
      </c>
      <c r="G306" s="22">
        <v>2</v>
      </c>
      <c r="H306" s="22">
        <v>5</v>
      </c>
      <c r="I306" s="22">
        <f t="shared" si="31"/>
        <v>20</v>
      </c>
      <c r="J306" s="22">
        <f t="shared" si="32"/>
        <v>230</v>
      </c>
      <c r="K306" s="26">
        <f t="shared" si="33"/>
        <v>0.92</v>
      </c>
      <c r="L306" s="22">
        <v>17</v>
      </c>
      <c r="M306" s="22">
        <v>4</v>
      </c>
      <c r="N306" s="22">
        <v>105</v>
      </c>
      <c r="O306" s="22" t="str">
        <f t="shared" si="34"/>
        <v>Normal</v>
      </c>
    </row>
    <row r="307" spans="1:15" x14ac:dyDescent="0.3">
      <c r="A307" s="22" t="s">
        <v>1105</v>
      </c>
      <c r="B307" t="str">
        <f t="shared" si="28"/>
        <v>Ravi Pandey</v>
      </c>
      <c r="C307" t="str">
        <f t="shared" si="29"/>
        <v>Data &amp; Analytics</v>
      </c>
      <c r="D307" s="30" t="str">
        <f t="shared" si="30"/>
        <v>Active</v>
      </c>
      <c r="E307" s="22">
        <v>250</v>
      </c>
      <c r="F307" s="22">
        <v>15</v>
      </c>
      <c r="G307" s="22">
        <v>7</v>
      </c>
      <c r="H307" s="22">
        <v>5</v>
      </c>
      <c r="I307" s="22">
        <f t="shared" si="31"/>
        <v>27</v>
      </c>
      <c r="J307" s="22">
        <f t="shared" si="32"/>
        <v>223</v>
      </c>
      <c r="K307" s="26">
        <f t="shared" si="33"/>
        <v>0.89200000000000002</v>
      </c>
      <c r="L307" s="22">
        <v>88</v>
      </c>
      <c r="M307" s="22">
        <v>1</v>
      </c>
      <c r="N307" s="22">
        <v>27</v>
      </c>
      <c r="O307" s="22" t="str">
        <f t="shared" si="34"/>
        <v>Low Attendance</v>
      </c>
    </row>
    <row r="308" spans="1:15" x14ac:dyDescent="0.3">
      <c r="A308" s="22" t="s">
        <v>1108</v>
      </c>
      <c r="B308" t="str">
        <f t="shared" si="28"/>
        <v>Anjali Mehta</v>
      </c>
      <c r="C308" t="str">
        <f t="shared" si="29"/>
        <v>Engineering</v>
      </c>
      <c r="D308" s="30" t="str">
        <f t="shared" si="30"/>
        <v>Active</v>
      </c>
      <c r="E308" s="22">
        <v>250</v>
      </c>
      <c r="F308" s="22">
        <v>8</v>
      </c>
      <c r="G308" s="22">
        <v>0</v>
      </c>
      <c r="H308" s="22">
        <v>0</v>
      </c>
      <c r="I308" s="22">
        <f t="shared" si="31"/>
        <v>8</v>
      </c>
      <c r="J308" s="22">
        <f t="shared" si="32"/>
        <v>242</v>
      </c>
      <c r="K308" s="26">
        <f t="shared" si="33"/>
        <v>0.96799999999999997</v>
      </c>
      <c r="L308" s="22">
        <v>40</v>
      </c>
      <c r="M308" s="22">
        <v>2</v>
      </c>
      <c r="N308" s="22">
        <v>65</v>
      </c>
      <c r="O308" s="22" t="str">
        <f t="shared" si="34"/>
        <v>Normal</v>
      </c>
    </row>
    <row r="309" spans="1:15" x14ac:dyDescent="0.3">
      <c r="A309" s="22" t="s">
        <v>1111</v>
      </c>
      <c r="B309" t="str">
        <f t="shared" si="28"/>
        <v>Sanjay Saxena</v>
      </c>
      <c r="C309" t="str">
        <f t="shared" si="29"/>
        <v>Customer Support</v>
      </c>
      <c r="D309" s="30" t="str">
        <f t="shared" si="30"/>
        <v>Active</v>
      </c>
      <c r="E309" s="22">
        <v>250</v>
      </c>
      <c r="F309" s="22">
        <v>17</v>
      </c>
      <c r="G309" s="22">
        <v>8</v>
      </c>
      <c r="H309" s="22">
        <v>1</v>
      </c>
      <c r="I309" s="22">
        <f t="shared" si="31"/>
        <v>26</v>
      </c>
      <c r="J309" s="22">
        <f t="shared" si="32"/>
        <v>224</v>
      </c>
      <c r="K309" s="26">
        <f t="shared" si="33"/>
        <v>0.89600000000000002</v>
      </c>
      <c r="L309" s="22">
        <v>15</v>
      </c>
      <c r="M309" s="22">
        <v>4</v>
      </c>
      <c r="N309" s="22">
        <v>37</v>
      </c>
      <c r="O309" s="22" t="str">
        <f t="shared" si="34"/>
        <v>Low Attendance</v>
      </c>
    </row>
    <row r="310" spans="1:15" x14ac:dyDescent="0.3">
      <c r="A310" s="22" t="s">
        <v>1114</v>
      </c>
      <c r="B310" t="str">
        <f t="shared" si="28"/>
        <v>Kunal Mukherjee</v>
      </c>
      <c r="C310" t="str">
        <f t="shared" si="29"/>
        <v>Engineering</v>
      </c>
      <c r="D310" s="30" t="str">
        <f t="shared" si="30"/>
        <v>Active</v>
      </c>
      <c r="E310" s="22">
        <v>250</v>
      </c>
      <c r="F310" s="22">
        <v>16</v>
      </c>
      <c r="G310" s="22">
        <v>1</v>
      </c>
      <c r="H310" s="22">
        <v>8</v>
      </c>
      <c r="I310" s="22">
        <f t="shared" si="31"/>
        <v>25</v>
      </c>
      <c r="J310" s="22">
        <f t="shared" si="32"/>
        <v>225</v>
      </c>
      <c r="K310" s="26">
        <f t="shared" si="33"/>
        <v>0.9</v>
      </c>
      <c r="L310" s="22">
        <v>73</v>
      </c>
      <c r="M310" s="22">
        <v>5</v>
      </c>
      <c r="N310" s="22">
        <v>85</v>
      </c>
      <c r="O310" s="22" t="str">
        <f t="shared" si="34"/>
        <v>High Unplanned</v>
      </c>
    </row>
    <row r="311" spans="1:15" x14ac:dyDescent="0.3">
      <c r="A311" s="22" t="s">
        <v>685</v>
      </c>
      <c r="B311" t="str">
        <f t="shared" si="28"/>
        <v>Swathi Mukherjee</v>
      </c>
      <c r="C311" t="str">
        <f t="shared" si="29"/>
        <v>Legal &amp; Compliance</v>
      </c>
      <c r="D311" s="30" t="str">
        <f t="shared" si="30"/>
        <v>Active</v>
      </c>
      <c r="E311" s="22">
        <v>250</v>
      </c>
      <c r="F311" s="22">
        <v>10</v>
      </c>
      <c r="G311" s="22">
        <v>6</v>
      </c>
      <c r="H311" s="22">
        <v>1</v>
      </c>
      <c r="I311" s="22">
        <f t="shared" si="31"/>
        <v>17</v>
      </c>
      <c r="J311" s="22">
        <f t="shared" si="32"/>
        <v>233</v>
      </c>
      <c r="K311" s="26">
        <f t="shared" si="33"/>
        <v>0.93200000000000005</v>
      </c>
      <c r="L311" s="22">
        <v>23</v>
      </c>
      <c r="M311" s="22">
        <v>7</v>
      </c>
      <c r="N311" s="22">
        <v>26</v>
      </c>
      <c r="O311" s="22" t="str">
        <f t="shared" si="34"/>
        <v>Normal</v>
      </c>
    </row>
    <row r="312" spans="1:15" x14ac:dyDescent="0.3">
      <c r="A312" s="22" t="s">
        <v>1118</v>
      </c>
      <c r="B312" t="str">
        <f t="shared" si="28"/>
        <v>Tarun Tiwari</v>
      </c>
      <c r="C312" t="str">
        <f t="shared" si="29"/>
        <v>Sales</v>
      </c>
      <c r="D312" s="30" t="str">
        <f t="shared" si="30"/>
        <v>Active</v>
      </c>
      <c r="E312" s="22">
        <v>250</v>
      </c>
      <c r="F312" s="22">
        <v>19</v>
      </c>
      <c r="G312" s="22">
        <v>6</v>
      </c>
      <c r="H312" s="22">
        <v>0</v>
      </c>
      <c r="I312" s="22">
        <f t="shared" si="31"/>
        <v>25</v>
      </c>
      <c r="J312" s="22">
        <f t="shared" si="32"/>
        <v>225</v>
      </c>
      <c r="K312" s="26">
        <f t="shared" si="33"/>
        <v>0.9</v>
      </c>
      <c r="L312" s="22">
        <v>46</v>
      </c>
      <c r="M312" s="22">
        <v>7</v>
      </c>
      <c r="N312" s="22">
        <v>7</v>
      </c>
      <c r="O312" s="22" t="str">
        <f t="shared" si="34"/>
        <v>Normal</v>
      </c>
    </row>
    <row r="313" spans="1:15" x14ac:dyDescent="0.3">
      <c r="A313" s="22" t="s">
        <v>1121</v>
      </c>
      <c r="B313" t="str">
        <f t="shared" si="28"/>
        <v>Ritu Chatterjee</v>
      </c>
      <c r="C313" t="str">
        <f t="shared" si="29"/>
        <v>Operations</v>
      </c>
      <c r="D313" s="30" t="str">
        <f t="shared" si="30"/>
        <v>Active</v>
      </c>
      <c r="E313" s="22">
        <v>250</v>
      </c>
      <c r="F313" s="22">
        <v>15</v>
      </c>
      <c r="G313" s="22">
        <v>6</v>
      </c>
      <c r="H313" s="22">
        <v>4</v>
      </c>
      <c r="I313" s="22">
        <f t="shared" si="31"/>
        <v>25</v>
      </c>
      <c r="J313" s="22">
        <f t="shared" si="32"/>
        <v>225</v>
      </c>
      <c r="K313" s="26">
        <f t="shared" si="33"/>
        <v>0.9</v>
      </c>
      <c r="L313" s="22">
        <v>1</v>
      </c>
      <c r="M313" s="22">
        <v>10</v>
      </c>
      <c r="N313" s="22">
        <v>83</v>
      </c>
      <c r="O313" s="22" t="str">
        <f t="shared" si="34"/>
        <v>Normal</v>
      </c>
    </row>
    <row r="314" spans="1:15" x14ac:dyDescent="0.3">
      <c r="A314" s="22" t="s">
        <v>1124</v>
      </c>
      <c r="B314" t="str">
        <f t="shared" si="28"/>
        <v>Mohit Bose</v>
      </c>
      <c r="C314" t="str">
        <f t="shared" si="29"/>
        <v>Customer Support</v>
      </c>
      <c r="D314" s="30" t="str">
        <f t="shared" si="30"/>
        <v>Active</v>
      </c>
      <c r="E314" s="22">
        <v>250</v>
      </c>
      <c r="F314" s="22">
        <v>20</v>
      </c>
      <c r="G314" s="22">
        <v>7</v>
      </c>
      <c r="H314" s="22">
        <v>0</v>
      </c>
      <c r="I314" s="22">
        <f t="shared" si="31"/>
        <v>27</v>
      </c>
      <c r="J314" s="22">
        <f t="shared" si="32"/>
        <v>223</v>
      </c>
      <c r="K314" s="26">
        <f t="shared" si="33"/>
        <v>0.89200000000000002</v>
      </c>
      <c r="L314" s="22">
        <v>11</v>
      </c>
      <c r="M314" s="22">
        <v>2</v>
      </c>
      <c r="N314" s="22">
        <v>59</v>
      </c>
      <c r="O314" s="22" t="str">
        <f t="shared" si="34"/>
        <v>Low Attendance</v>
      </c>
    </row>
    <row r="315" spans="1:15" x14ac:dyDescent="0.3">
      <c r="A315" s="22" t="s">
        <v>1127</v>
      </c>
      <c r="B315" t="str">
        <f t="shared" si="28"/>
        <v>Sanjay Thomas</v>
      </c>
      <c r="C315" t="str">
        <f t="shared" si="29"/>
        <v>Legal &amp; Compliance</v>
      </c>
      <c r="D315" s="30" t="str">
        <f t="shared" si="30"/>
        <v>Active</v>
      </c>
      <c r="E315" s="22">
        <v>250</v>
      </c>
      <c r="F315" s="22">
        <v>20</v>
      </c>
      <c r="G315" s="22">
        <v>7</v>
      </c>
      <c r="H315" s="22">
        <v>1</v>
      </c>
      <c r="I315" s="22">
        <f t="shared" si="31"/>
        <v>28</v>
      </c>
      <c r="J315" s="22">
        <f t="shared" si="32"/>
        <v>222</v>
      </c>
      <c r="K315" s="26">
        <f t="shared" si="33"/>
        <v>0.88800000000000001</v>
      </c>
      <c r="L315" s="22">
        <v>30</v>
      </c>
      <c r="M315" s="22">
        <v>5</v>
      </c>
      <c r="N315" s="22">
        <v>32</v>
      </c>
      <c r="O315" s="22" t="str">
        <f t="shared" si="34"/>
        <v>Low Attendance</v>
      </c>
    </row>
    <row r="316" spans="1:15" x14ac:dyDescent="0.3">
      <c r="A316" s="22" t="s">
        <v>1131</v>
      </c>
      <c r="B316" t="str">
        <f t="shared" si="28"/>
        <v>Revathi Fernandes</v>
      </c>
      <c r="C316" t="str">
        <f t="shared" si="29"/>
        <v>Legal &amp; Compliance</v>
      </c>
      <c r="D316" s="30" t="str">
        <f t="shared" si="30"/>
        <v>Active</v>
      </c>
      <c r="E316" s="22">
        <v>250</v>
      </c>
      <c r="F316" s="22">
        <v>19</v>
      </c>
      <c r="G316" s="22">
        <v>8</v>
      </c>
      <c r="H316" s="22">
        <v>1</v>
      </c>
      <c r="I316" s="22">
        <f t="shared" si="31"/>
        <v>28</v>
      </c>
      <c r="J316" s="22">
        <f t="shared" si="32"/>
        <v>222</v>
      </c>
      <c r="K316" s="26">
        <f t="shared" si="33"/>
        <v>0.88800000000000001</v>
      </c>
      <c r="L316" s="22">
        <v>77</v>
      </c>
      <c r="M316" s="22">
        <v>6</v>
      </c>
      <c r="N316" s="22">
        <v>32</v>
      </c>
      <c r="O316" s="22" t="str">
        <f t="shared" si="34"/>
        <v>Low Attendance</v>
      </c>
    </row>
    <row r="317" spans="1:15" x14ac:dyDescent="0.3">
      <c r="A317" s="22" t="s">
        <v>1134</v>
      </c>
      <c r="B317" t="str">
        <f t="shared" si="28"/>
        <v>Fatima Patel</v>
      </c>
      <c r="C317" t="str">
        <f t="shared" si="29"/>
        <v>Sales</v>
      </c>
      <c r="D317" s="30" t="str">
        <f t="shared" si="30"/>
        <v>Active</v>
      </c>
      <c r="E317" s="22">
        <v>250</v>
      </c>
      <c r="F317" s="22">
        <v>7</v>
      </c>
      <c r="G317" s="22">
        <v>2</v>
      </c>
      <c r="H317" s="22">
        <v>3</v>
      </c>
      <c r="I317" s="22">
        <f t="shared" si="31"/>
        <v>12</v>
      </c>
      <c r="J317" s="22">
        <f t="shared" si="32"/>
        <v>238</v>
      </c>
      <c r="K317" s="26">
        <f t="shared" si="33"/>
        <v>0.95199999999999996</v>
      </c>
      <c r="L317" s="22">
        <v>55</v>
      </c>
      <c r="M317" s="22">
        <v>10</v>
      </c>
      <c r="N317" s="22">
        <v>36</v>
      </c>
      <c r="O317" s="22" t="str">
        <f t="shared" si="34"/>
        <v>Normal</v>
      </c>
    </row>
    <row r="318" spans="1:15" x14ac:dyDescent="0.3">
      <c r="A318" s="22" t="s">
        <v>1137</v>
      </c>
      <c r="B318" t="str">
        <f t="shared" si="28"/>
        <v>Nisha Choudhary</v>
      </c>
      <c r="C318" t="str">
        <f t="shared" si="29"/>
        <v>Finance</v>
      </c>
      <c r="D318" s="30" t="str">
        <f t="shared" si="30"/>
        <v>Active</v>
      </c>
      <c r="E318" s="22">
        <v>250</v>
      </c>
      <c r="F318" s="22">
        <v>11</v>
      </c>
      <c r="G318" s="22">
        <v>7</v>
      </c>
      <c r="H318" s="22">
        <v>3</v>
      </c>
      <c r="I318" s="22">
        <f t="shared" si="31"/>
        <v>21</v>
      </c>
      <c r="J318" s="22">
        <f t="shared" si="32"/>
        <v>229</v>
      </c>
      <c r="K318" s="26">
        <f t="shared" si="33"/>
        <v>0.91600000000000004</v>
      </c>
      <c r="L318" s="22">
        <v>27</v>
      </c>
      <c r="M318" s="22">
        <v>4</v>
      </c>
      <c r="N318" s="22">
        <v>19</v>
      </c>
      <c r="O318" s="22" t="str">
        <f t="shared" si="34"/>
        <v>Normal</v>
      </c>
    </row>
    <row r="319" spans="1:15" x14ac:dyDescent="0.3">
      <c r="A319" s="22" t="s">
        <v>1140</v>
      </c>
      <c r="B319" t="str">
        <f t="shared" si="28"/>
        <v>Amit Desai</v>
      </c>
      <c r="C319" t="str">
        <f t="shared" si="29"/>
        <v>Engineering</v>
      </c>
      <c r="D319" s="30" t="str">
        <f t="shared" si="30"/>
        <v>Active</v>
      </c>
      <c r="E319" s="22">
        <v>250</v>
      </c>
      <c r="F319" s="22">
        <v>20</v>
      </c>
      <c r="G319" s="22">
        <v>6</v>
      </c>
      <c r="H319" s="22">
        <v>0</v>
      </c>
      <c r="I319" s="22">
        <f t="shared" si="31"/>
        <v>26</v>
      </c>
      <c r="J319" s="22">
        <f t="shared" si="32"/>
        <v>224</v>
      </c>
      <c r="K319" s="26">
        <f t="shared" si="33"/>
        <v>0.89600000000000002</v>
      </c>
      <c r="L319" s="22">
        <v>71</v>
      </c>
      <c r="M319" s="22">
        <v>6</v>
      </c>
      <c r="N319" s="22">
        <v>60</v>
      </c>
      <c r="O319" s="22" t="str">
        <f t="shared" si="34"/>
        <v>Low Attendance</v>
      </c>
    </row>
    <row r="320" spans="1:15" x14ac:dyDescent="0.3">
      <c r="A320" s="22" t="s">
        <v>1143</v>
      </c>
      <c r="B320" t="str">
        <f t="shared" si="28"/>
        <v>Neha Siddiqui</v>
      </c>
      <c r="C320" t="str">
        <f t="shared" si="29"/>
        <v>Engineering</v>
      </c>
      <c r="D320" s="30" t="str">
        <f t="shared" si="30"/>
        <v>Active</v>
      </c>
      <c r="E320" s="22">
        <v>250</v>
      </c>
      <c r="F320" s="22">
        <v>15</v>
      </c>
      <c r="G320" s="22">
        <v>2</v>
      </c>
      <c r="H320" s="22">
        <v>2</v>
      </c>
      <c r="I320" s="22">
        <f t="shared" si="31"/>
        <v>19</v>
      </c>
      <c r="J320" s="22">
        <f t="shared" si="32"/>
        <v>231</v>
      </c>
      <c r="K320" s="26">
        <f t="shared" si="33"/>
        <v>0.92400000000000004</v>
      </c>
      <c r="L320" s="22">
        <v>74</v>
      </c>
      <c r="M320" s="22">
        <v>12</v>
      </c>
      <c r="N320" s="22">
        <v>84</v>
      </c>
      <c r="O320" s="22" t="str">
        <f t="shared" si="34"/>
        <v>Normal</v>
      </c>
    </row>
    <row r="321" spans="1:15" x14ac:dyDescent="0.3">
      <c r="A321" s="22" t="s">
        <v>1146</v>
      </c>
      <c r="B321" t="str">
        <f t="shared" si="28"/>
        <v>Prakash Raghavan</v>
      </c>
      <c r="C321" t="str">
        <f t="shared" si="29"/>
        <v>Operations</v>
      </c>
      <c r="D321" s="30" t="str">
        <f t="shared" si="30"/>
        <v>Active</v>
      </c>
      <c r="E321" s="22">
        <v>250</v>
      </c>
      <c r="F321" s="22">
        <v>14</v>
      </c>
      <c r="G321" s="22">
        <v>4</v>
      </c>
      <c r="H321" s="22">
        <v>0</v>
      </c>
      <c r="I321" s="22">
        <f t="shared" si="31"/>
        <v>18</v>
      </c>
      <c r="J321" s="22">
        <f t="shared" si="32"/>
        <v>232</v>
      </c>
      <c r="K321" s="26">
        <f t="shared" si="33"/>
        <v>0.92800000000000005</v>
      </c>
      <c r="L321" s="22">
        <v>10</v>
      </c>
      <c r="M321" s="22">
        <v>9</v>
      </c>
      <c r="N321" s="22">
        <v>74</v>
      </c>
      <c r="O321" s="22" t="str">
        <f t="shared" si="34"/>
        <v>Normal</v>
      </c>
    </row>
    <row r="322" spans="1:15" x14ac:dyDescent="0.3">
      <c r="A322" s="22" t="s">
        <v>1149</v>
      </c>
      <c r="B322" t="str">
        <f t="shared" ref="B322:B385" si="35">INDEX(M_Name,MATCH($A322,M_ID,0))</f>
        <v>Imran Gupta</v>
      </c>
      <c r="C322" t="str">
        <f t="shared" ref="C322:C385" si="36">INDEX(M_Dept,MATCH($A322,M_ID,0))</f>
        <v>Sales</v>
      </c>
      <c r="D322" s="30" t="str">
        <f t="shared" ref="D322:D385" si="37">INDEX(M_Status,MATCH($A322,M_ID,0))</f>
        <v>Active</v>
      </c>
      <c r="E322" s="22">
        <v>250</v>
      </c>
      <c r="F322" s="22">
        <v>11</v>
      </c>
      <c r="G322" s="22">
        <v>6</v>
      </c>
      <c r="H322" s="22">
        <v>0</v>
      </c>
      <c r="I322" s="22">
        <f t="shared" ref="I322:I385" si="38">SUM(F322:H322)</f>
        <v>17</v>
      </c>
      <c r="J322" s="22">
        <f t="shared" ref="J322:J385" si="39">E322-I322</f>
        <v>233</v>
      </c>
      <c r="K322" s="26">
        <f t="shared" ref="K322:K385" si="40">IFERROR(J322/E322,0)</f>
        <v>0.93200000000000005</v>
      </c>
      <c r="L322" s="22">
        <v>13</v>
      </c>
      <c r="M322" s="22">
        <v>13</v>
      </c>
      <c r="N322" s="22">
        <v>10</v>
      </c>
      <c r="O322" s="22" t="str">
        <f t="shared" ref="O322:O385" si="41">IF(H322&gt;=8,"High Unplanned",IF(K322&lt;0.9,"Low Attendance","Normal"))</f>
        <v>Normal</v>
      </c>
    </row>
    <row r="323" spans="1:15" x14ac:dyDescent="0.3">
      <c r="A323" s="22" t="s">
        <v>1152</v>
      </c>
      <c r="B323" t="str">
        <f t="shared" si="35"/>
        <v>Radhika Kapoor</v>
      </c>
      <c r="C323" t="str">
        <f t="shared" si="36"/>
        <v>Product</v>
      </c>
      <c r="D323" s="30" t="str">
        <f t="shared" si="37"/>
        <v>Active</v>
      </c>
      <c r="E323" s="22">
        <v>250</v>
      </c>
      <c r="F323" s="22">
        <v>9</v>
      </c>
      <c r="G323" s="22">
        <v>1</v>
      </c>
      <c r="H323" s="22">
        <v>3</v>
      </c>
      <c r="I323" s="22">
        <f t="shared" si="38"/>
        <v>13</v>
      </c>
      <c r="J323" s="22">
        <f t="shared" si="39"/>
        <v>237</v>
      </c>
      <c r="K323" s="26">
        <f t="shared" si="40"/>
        <v>0.94799999999999995</v>
      </c>
      <c r="L323" s="22">
        <v>73</v>
      </c>
      <c r="M323" s="22">
        <v>14</v>
      </c>
      <c r="N323" s="22">
        <v>30</v>
      </c>
      <c r="O323" s="22" t="str">
        <f t="shared" si="41"/>
        <v>Normal</v>
      </c>
    </row>
    <row r="324" spans="1:15" x14ac:dyDescent="0.3">
      <c r="A324" s="22" t="s">
        <v>1155</v>
      </c>
      <c r="B324" t="str">
        <f t="shared" si="35"/>
        <v>Dev Bansal</v>
      </c>
      <c r="C324" t="str">
        <f t="shared" si="36"/>
        <v>Sales</v>
      </c>
      <c r="D324" s="30" t="str">
        <f t="shared" si="37"/>
        <v>Active</v>
      </c>
      <c r="E324" s="22">
        <v>250</v>
      </c>
      <c r="F324" s="22">
        <v>11</v>
      </c>
      <c r="G324" s="22">
        <v>3</v>
      </c>
      <c r="H324" s="22">
        <v>12</v>
      </c>
      <c r="I324" s="22">
        <f t="shared" si="38"/>
        <v>26</v>
      </c>
      <c r="J324" s="22">
        <f t="shared" si="39"/>
        <v>224</v>
      </c>
      <c r="K324" s="26">
        <f t="shared" si="40"/>
        <v>0.89600000000000002</v>
      </c>
      <c r="L324" s="22">
        <v>40</v>
      </c>
      <c r="M324" s="22">
        <v>1</v>
      </c>
      <c r="N324" s="22">
        <v>11</v>
      </c>
      <c r="O324" s="22" t="str">
        <f t="shared" si="41"/>
        <v>High Unplanned</v>
      </c>
    </row>
    <row r="325" spans="1:15" x14ac:dyDescent="0.3">
      <c r="A325" s="22" t="s">
        <v>1158</v>
      </c>
      <c r="B325" t="str">
        <f t="shared" si="35"/>
        <v>Divya Banerjee</v>
      </c>
      <c r="C325" t="str">
        <f t="shared" si="36"/>
        <v>Operations</v>
      </c>
      <c r="D325" s="30" t="str">
        <f t="shared" si="37"/>
        <v>Active</v>
      </c>
      <c r="E325" s="22">
        <v>250</v>
      </c>
      <c r="F325" s="22">
        <v>17</v>
      </c>
      <c r="G325" s="22">
        <v>6</v>
      </c>
      <c r="H325" s="22">
        <v>3</v>
      </c>
      <c r="I325" s="22">
        <f t="shared" si="38"/>
        <v>26</v>
      </c>
      <c r="J325" s="22">
        <f t="shared" si="39"/>
        <v>224</v>
      </c>
      <c r="K325" s="26">
        <f t="shared" si="40"/>
        <v>0.89600000000000002</v>
      </c>
      <c r="L325" s="22">
        <v>13</v>
      </c>
      <c r="M325" s="22">
        <v>14</v>
      </c>
      <c r="N325" s="22">
        <v>8</v>
      </c>
      <c r="O325" s="22" t="str">
        <f t="shared" si="41"/>
        <v>Low Attendance</v>
      </c>
    </row>
    <row r="326" spans="1:15" x14ac:dyDescent="0.3">
      <c r="A326" s="22" t="s">
        <v>1161</v>
      </c>
      <c r="B326" t="str">
        <f t="shared" si="35"/>
        <v>Aditya Nair</v>
      </c>
      <c r="C326" t="str">
        <f t="shared" si="36"/>
        <v>Customer Support</v>
      </c>
      <c r="D326" s="30" t="str">
        <f t="shared" si="37"/>
        <v>Active</v>
      </c>
      <c r="E326" s="22">
        <v>250</v>
      </c>
      <c r="F326" s="22">
        <v>6</v>
      </c>
      <c r="G326" s="22">
        <v>4</v>
      </c>
      <c r="H326" s="22">
        <v>0</v>
      </c>
      <c r="I326" s="22">
        <f t="shared" si="38"/>
        <v>10</v>
      </c>
      <c r="J326" s="22">
        <f t="shared" si="39"/>
        <v>240</v>
      </c>
      <c r="K326" s="26">
        <f t="shared" si="40"/>
        <v>0.96</v>
      </c>
      <c r="L326" s="22">
        <v>23</v>
      </c>
      <c r="M326" s="22">
        <v>1</v>
      </c>
      <c r="N326" s="22">
        <v>56</v>
      </c>
      <c r="O326" s="22" t="str">
        <f t="shared" si="41"/>
        <v>Normal</v>
      </c>
    </row>
    <row r="327" spans="1:15" x14ac:dyDescent="0.3">
      <c r="A327" s="22" t="s">
        <v>1164</v>
      </c>
      <c r="B327" t="str">
        <f t="shared" si="35"/>
        <v>Ramya Verma</v>
      </c>
      <c r="C327" t="str">
        <f t="shared" si="36"/>
        <v>Data &amp; Analytics</v>
      </c>
      <c r="D327" s="30" t="str">
        <f t="shared" si="37"/>
        <v>Active</v>
      </c>
      <c r="E327" s="22">
        <v>250</v>
      </c>
      <c r="F327" s="22">
        <v>18</v>
      </c>
      <c r="G327" s="22">
        <v>5</v>
      </c>
      <c r="H327" s="22">
        <v>2</v>
      </c>
      <c r="I327" s="22">
        <f t="shared" si="38"/>
        <v>25</v>
      </c>
      <c r="J327" s="22">
        <f t="shared" si="39"/>
        <v>225</v>
      </c>
      <c r="K327" s="26">
        <f t="shared" si="40"/>
        <v>0.9</v>
      </c>
      <c r="L327" s="22">
        <v>13</v>
      </c>
      <c r="M327" s="22">
        <v>14</v>
      </c>
      <c r="N327" s="22">
        <v>11</v>
      </c>
      <c r="O327" s="22" t="str">
        <f t="shared" si="41"/>
        <v>Normal</v>
      </c>
    </row>
    <row r="328" spans="1:15" x14ac:dyDescent="0.3">
      <c r="A328" s="22" t="s">
        <v>1167</v>
      </c>
      <c r="B328" t="str">
        <f t="shared" si="35"/>
        <v>Keerthi Agarwal</v>
      </c>
      <c r="C328" t="str">
        <f t="shared" si="36"/>
        <v>Operations</v>
      </c>
      <c r="D328" s="30" t="str">
        <f t="shared" si="37"/>
        <v>Active</v>
      </c>
      <c r="E328" s="22">
        <v>250</v>
      </c>
      <c r="F328" s="22">
        <v>11</v>
      </c>
      <c r="G328" s="22">
        <v>1</v>
      </c>
      <c r="H328" s="22">
        <v>3</v>
      </c>
      <c r="I328" s="22">
        <f t="shared" si="38"/>
        <v>15</v>
      </c>
      <c r="J328" s="22">
        <f t="shared" si="39"/>
        <v>235</v>
      </c>
      <c r="K328" s="26">
        <f t="shared" si="40"/>
        <v>0.94</v>
      </c>
      <c r="L328" s="22">
        <v>12</v>
      </c>
      <c r="M328" s="22">
        <v>2</v>
      </c>
      <c r="N328" s="22">
        <v>81</v>
      </c>
      <c r="O328" s="22" t="str">
        <f t="shared" si="41"/>
        <v>Normal</v>
      </c>
    </row>
    <row r="329" spans="1:15" x14ac:dyDescent="0.3">
      <c r="A329" s="22" t="s">
        <v>1170</v>
      </c>
      <c r="B329" t="str">
        <f t="shared" si="35"/>
        <v>Vishal Subramanian</v>
      </c>
      <c r="C329" t="str">
        <f t="shared" si="36"/>
        <v>Operations</v>
      </c>
      <c r="D329" s="30" t="str">
        <f t="shared" si="37"/>
        <v>Active</v>
      </c>
      <c r="E329" s="22">
        <v>250</v>
      </c>
      <c r="F329" s="22">
        <v>15</v>
      </c>
      <c r="G329" s="22">
        <v>8</v>
      </c>
      <c r="H329" s="22">
        <v>0</v>
      </c>
      <c r="I329" s="22">
        <f t="shared" si="38"/>
        <v>23</v>
      </c>
      <c r="J329" s="22">
        <f t="shared" si="39"/>
        <v>227</v>
      </c>
      <c r="K329" s="26">
        <f t="shared" si="40"/>
        <v>0.90800000000000003</v>
      </c>
      <c r="L329" s="22">
        <v>8</v>
      </c>
      <c r="M329" s="22">
        <v>7</v>
      </c>
      <c r="N329" s="22">
        <v>56</v>
      </c>
      <c r="O329" s="22" t="str">
        <f t="shared" si="41"/>
        <v>Normal</v>
      </c>
    </row>
    <row r="330" spans="1:15" x14ac:dyDescent="0.3">
      <c r="A330" s="22" t="s">
        <v>1173</v>
      </c>
      <c r="B330" t="str">
        <f t="shared" si="35"/>
        <v>Akash Fernandes</v>
      </c>
      <c r="C330" t="str">
        <f t="shared" si="36"/>
        <v>Engineering</v>
      </c>
      <c r="D330" s="30" t="str">
        <f t="shared" si="37"/>
        <v>Active</v>
      </c>
      <c r="E330" s="22">
        <v>250</v>
      </c>
      <c r="F330" s="22">
        <v>16</v>
      </c>
      <c r="G330" s="22">
        <v>4</v>
      </c>
      <c r="H330" s="22">
        <v>4</v>
      </c>
      <c r="I330" s="22">
        <f t="shared" si="38"/>
        <v>24</v>
      </c>
      <c r="J330" s="22">
        <f t="shared" si="39"/>
        <v>226</v>
      </c>
      <c r="K330" s="26">
        <f t="shared" si="40"/>
        <v>0.90400000000000003</v>
      </c>
      <c r="L330" s="22">
        <v>65</v>
      </c>
      <c r="M330" s="22">
        <v>13</v>
      </c>
      <c r="N330" s="22">
        <v>67</v>
      </c>
      <c r="O330" s="22" t="str">
        <f t="shared" si="41"/>
        <v>Normal</v>
      </c>
    </row>
    <row r="331" spans="1:15" x14ac:dyDescent="0.3">
      <c r="A331" s="22" t="s">
        <v>1176</v>
      </c>
      <c r="B331" t="str">
        <f t="shared" si="35"/>
        <v>Prakash Singh</v>
      </c>
      <c r="C331" t="str">
        <f t="shared" si="36"/>
        <v>Sales</v>
      </c>
      <c r="D331" s="30" t="str">
        <f t="shared" si="37"/>
        <v>Active</v>
      </c>
      <c r="E331" s="22">
        <v>250</v>
      </c>
      <c r="F331" s="22">
        <v>18</v>
      </c>
      <c r="G331" s="22">
        <v>3</v>
      </c>
      <c r="H331" s="22">
        <v>0</v>
      </c>
      <c r="I331" s="22">
        <f t="shared" si="38"/>
        <v>21</v>
      </c>
      <c r="J331" s="22">
        <f t="shared" si="39"/>
        <v>229</v>
      </c>
      <c r="K331" s="26">
        <f t="shared" si="40"/>
        <v>0.91600000000000004</v>
      </c>
      <c r="L331" s="22">
        <v>13</v>
      </c>
      <c r="M331" s="22">
        <v>10</v>
      </c>
      <c r="N331" s="22">
        <v>6</v>
      </c>
      <c r="O331" s="22" t="str">
        <f t="shared" si="41"/>
        <v>Normal</v>
      </c>
    </row>
    <row r="332" spans="1:15" x14ac:dyDescent="0.3">
      <c r="A332" s="22" t="s">
        <v>1179</v>
      </c>
      <c r="B332" t="str">
        <f t="shared" si="35"/>
        <v>Sindhu Kapoor</v>
      </c>
      <c r="C332" t="str">
        <f t="shared" si="36"/>
        <v>Data &amp; Analytics</v>
      </c>
      <c r="D332" s="30" t="str">
        <f t="shared" si="37"/>
        <v>Active</v>
      </c>
      <c r="E332" s="22">
        <v>250</v>
      </c>
      <c r="F332" s="22">
        <v>9</v>
      </c>
      <c r="G332" s="22">
        <v>0</v>
      </c>
      <c r="H332" s="22">
        <v>5</v>
      </c>
      <c r="I332" s="22">
        <f t="shared" si="38"/>
        <v>14</v>
      </c>
      <c r="J332" s="22">
        <f t="shared" si="39"/>
        <v>236</v>
      </c>
      <c r="K332" s="26">
        <f t="shared" si="40"/>
        <v>0.94399999999999995</v>
      </c>
      <c r="L332" s="22">
        <v>10</v>
      </c>
      <c r="M332" s="22">
        <v>5</v>
      </c>
      <c r="N332" s="22">
        <v>26</v>
      </c>
      <c r="O332" s="22" t="str">
        <f t="shared" si="41"/>
        <v>Normal</v>
      </c>
    </row>
    <row r="333" spans="1:15" x14ac:dyDescent="0.3">
      <c r="A333" s="22" t="s">
        <v>1182</v>
      </c>
      <c r="B333" t="str">
        <f t="shared" si="35"/>
        <v>Swathi Khanna</v>
      </c>
      <c r="C333" t="str">
        <f t="shared" si="36"/>
        <v>Engineering</v>
      </c>
      <c r="D333" s="30" t="str">
        <f t="shared" si="37"/>
        <v>Active</v>
      </c>
      <c r="E333" s="22">
        <v>250</v>
      </c>
      <c r="F333" s="22">
        <v>15</v>
      </c>
      <c r="G333" s="22">
        <v>8</v>
      </c>
      <c r="H333" s="22">
        <v>5</v>
      </c>
      <c r="I333" s="22">
        <f t="shared" si="38"/>
        <v>28</v>
      </c>
      <c r="J333" s="22">
        <f t="shared" si="39"/>
        <v>222</v>
      </c>
      <c r="K333" s="26">
        <f t="shared" si="40"/>
        <v>0.88800000000000001</v>
      </c>
      <c r="L333" s="22">
        <v>53</v>
      </c>
      <c r="M333" s="22">
        <v>2</v>
      </c>
      <c r="N333" s="22">
        <v>87</v>
      </c>
      <c r="O333" s="22" t="str">
        <f t="shared" si="41"/>
        <v>Low Attendance</v>
      </c>
    </row>
    <row r="334" spans="1:15" x14ac:dyDescent="0.3">
      <c r="A334" s="22" t="s">
        <v>1185</v>
      </c>
      <c r="B334" t="str">
        <f t="shared" si="35"/>
        <v>Siddharth Reddy</v>
      </c>
      <c r="C334" t="str">
        <f t="shared" si="36"/>
        <v>Marketing</v>
      </c>
      <c r="D334" s="30" t="str">
        <f t="shared" si="37"/>
        <v>Active</v>
      </c>
      <c r="E334" s="22">
        <v>250</v>
      </c>
      <c r="F334" s="22">
        <v>17</v>
      </c>
      <c r="G334" s="22">
        <v>8</v>
      </c>
      <c r="H334" s="22">
        <v>2</v>
      </c>
      <c r="I334" s="22">
        <f t="shared" si="38"/>
        <v>27</v>
      </c>
      <c r="J334" s="22">
        <f t="shared" si="39"/>
        <v>223</v>
      </c>
      <c r="K334" s="26">
        <f t="shared" si="40"/>
        <v>0.89200000000000002</v>
      </c>
      <c r="L334" s="22">
        <v>36</v>
      </c>
      <c r="M334" s="22">
        <v>9</v>
      </c>
      <c r="N334" s="22">
        <v>30</v>
      </c>
      <c r="O334" s="22" t="str">
        <f t="shared" si="41"/>
        <v>Low Attendance</v>
      </c>
    </row>
    <row r="335" spans="1:15" x14ac:dyDescent="0.3">
      <c r="A335" s="22" t="s">
        <v>1188</v>
      </c>
      <c r="B335" t="str">
        <f t="shared" si="35"/>
        <v>Megha Subramanian</v>
      </c>
      <c r="C335" t="str">
        <f t="shared" si="36"/>
        <v>Customer Support</v>
      </c>
      <c r="D335" s="30" t="str">
        <f t="shared" si="37"/>
        <v>Exited</v>
      </c>
      <c r="E335" s="22">
        <v>195</v>
      </c>
      <c r="F335" s="22">
        <v>14</v>
      </c>
      <c r="G335" s="22">
        <v>5</v>
      </c>
      <c r="H335" s="22">
        <v>7</v>
      </c>
      <c r="I335" s="22">
        <f t="shared" si="38"/>
        <v>26</v>
      </c>
      <c r="J335" s="22">
        <f t="shared" si="39"/>
        <v>169</v>
      </c>
      <c r="K335" s="26">
        <f t="shared" si="40"/>
        <v>0.8666666666666667</v>
      </c>
      <c r="L335" s="22">
        <v>4</v>
      </c>
      <c r="M335" s="22">
        <v>12</v>
      </c>
      <c r="N335" s="22">
        <v>8</v>
      </c>
      <c r="O335" s="22" t="str">
        <f t="shared" si="41"/>
        <v>Low Attendance</v>
      </c>
    </row>
    <row r="336" spans="1:15" x14ac:dyDescent="0.3">
      <c r="A336" s="22" t="s">
        <v>1191</v>
      </c>
      <c r="B336" t="str">
        <f t="shared" si="35"/>
        <v>Farhan Kamath</v>
      </c>
      <c r="C336" t="str">
        <f t="shared" si="36"/>
        <v>Operations</v>
      </c>
      <c r="D336" s="30" t="str">
        <f t="shared" si="37"/>
        <v>Active</v>
      </c>
      <c r="E336" s="22">
        <v>250</v>
      </c>
      <c r="F336" s="22">
        <v>13</v>
      </c>
      <c r="G336" s="22">
        <v>6</v>
      </c>
      <c r="H336" s="22">
        <v>2</v>
      </c>
      <c r="I336" s="22">
        <f t="shared" si="38"/>
        <v>21</v>
      </c>
      <c r="J336" s="22">
        <f t="shared" si="39"/>
        <v>229</v>
      </c>
      <c r="K336" s="26">
        <f t="shared" si="40"/>
        <v>0.91600000000000004</v>
      </c>
      <c r="L336" s="22">
        <v>2</v>
      </c>
      <c r="M336" s="22">
        <v>9</v>
      </c>
      <c r="N336" s="22">
        <v>10</v>
      </c>
      <c r="O336" s="22" t="str">
        <f t="shared" si="41"/>
        <v>Normal</v>
      </c>
    </row>
    <row r="337" spans="1:15" x14ac:dyDescent="0.3">
      <c r="A337" s="22" t="s">
        <v>1194</v>
      </c>
      <c r="B337" t="str">
        <f t="shared" si="35"/>
        <v>Rahul Siddiqui</v>
      </c>
      <c r="C337" t="str">
        <f t="shared" si="36"/>
        <v>Customer Support</v>
      </c>
      <c r="D337" s="30" t="str">
        <f t="shared" si="37"/>
        <v>Active</v>
      </c>
      <c r="E337" s="22">
        <v>250</v>
      </c>
      <c r="F337" s="22">
        <v>8</v>
      </c>
      <c r="G337" s="22">
        <v>8</v>
      </c>
      <c r="H337" s="22">
        <v>1</v>
      </c>
      <c r="I337" s="22">
        <f t="shared" si="38"/>
        <v>17</v>
      </c>
      <c r="J337" s="22">
        <f t="shared" si="39"/>
        <v>233</v>
      </c>
      <c r="K337" s="26">
        <f t="shared" si="40"/>
        <v>0.93200000000000005</v>
      </c>
      <c r="L337" s="22">
        <v>3</v>
      </c>
      <c r="M337" s="22">
        <v>7</v>
      </c>
      <c r="N337" s="22">
        <v>29</v>
      </c>
      <c r="O337" s="22" t="str">
        <f t="shared" si="41"/>
        <v>Normal</v>
      </c>
    </row>
    <row r="338" spans="1:15" x14ac:dyDescent="0.3">
      <c r="A338" s="22" t="s">
        <v>1197</v>
      </c>
      <c r="B338" t="str">
        <f t="shared" si="35"/>
        <v>Ajay Naidu</v>
      </c>
      <c r="C338" t="str">
        <f t="shared" si="36"/>
        <v>Engineering</v>
      </c>
      <c r="D338" s="30" t="str">
        <f t="shared" si="37"/>
        <v>Active</v>
      </c>
      <c r="E338" s="22">
        <v>250</v>
      </c>
      <c r="F338" s="22">
        <v>6</v>
      </c>
      <c r="G338" s="22">
        <v>8</v>
      </c>
      <c r="H338" s="22">
        <v>1</v>
      </c>
      <c r="I338" s="22">
        <f t="shared" si="38"/>
        <v>15</v>
      </c>
      <c r="J338" s="22">
        <f t="shared" si="39"/>
        <v>235</v>
      </c>
      <c r="K338" s="26">
        <f t="shared" si="40"/>
        <v>0.94</v>
      </c>
      <c r="L338" s="22">
        <v>38</v>
      </c>
      <c r="M338" s="22">
        <v>13</v>
      </c>
      <c r="N338" s="22">
        <v>120</v>
      </c>
      <c r="O338" s="22" t="str">
        <f t="shared" si="41"/>
        <v>Normal</v>
      </c>
    </row>
    <row r="339" spans="1:15" x14ac:dyDescent="0.3">
      <c r="A339" s="22" t="s">
        <v>1200</v>
      </c>
      <c r="B339" t="str">
        <f t="shared" si="35"/>
        <v>Sai Kulkarni</v>
      </c>
      <c r="C339" t="str">
        <f t="shared" si="36"/>
        <v>Operations</v>
      </c>
      <c r="D339" s="30" t="str">
        <f t="shared" si="37"/>
        <v>Exited</v>
      </c>
      <c r="E339" s="22">
        <v>138</v>
      </c>
      <c r="F339" s="22">
        <v>10</v>
      </c>
      <c r="G339" s="22">
        <v>4</v>
      </c>
      <c r="H339" s="22">
        <v>1</v>
      </c>
      <c r="I339" s="22">
        <f t="shared" si="38"/>
        <v>15</v>
      </c>
      <c r="J339" s="22">
        <f t="shared" si="39"/>
        <v>123</v>
      </c>
      <c r="K339" s="26">
        <f t="shared" si="40"/>
        <v>0.89130434782608692</v>
      </c>
      <c r="L339" s="22">
        <v>11</v>
      </c>
      <c r="M339" s="22">
        <v>1</v>
      </c>
      <c r="N339" s="22">
        <v>111</v>
      </c>
      <c r="O339" s="22" t="str">
        <f t="shared" si="41"/>
        <v>Low Attendance</v>
      </c>
    </row>
    <row r="340" spans="1:15" x14ac:dyDescent="0.3">
      <c r="A340" s="22" t="s">
        <v>161</v>
      </c>
      <c r="B340" t="str">
        <f t="shared" si="35"/>
        <v>Lakshmi Subramanian</v>
      </c>
      <c r="C340" t="str">
        <f t="shared" si="36"/>
        <v>Legal &amp; Compliance</v>
      </c>
      <c r="D340" s="30" t="str">
        <f t="shared" si="37"/>
        <v>Active</v>
      </c>
      <c r="E340" s="22">
        <v>250</v>
      </c>
      <c r="F340" s="22">
        <v>19</v>
      </c>
      <c r="G340" s="22">
        <v>2</v>
      </c>
      <c r="H340" s="22">
        <v>14</v>
      </c>
      <c r="I340" s="22">
        <f t="shared" si="38"/>
        <v>35</v>
      </c>
      <c r="J340" s="22">
        <f t="shared" si="39"/>
        <v>215</v>
      </c>
      <c r="K340" s="26">
        <f t="shared" si="40"/>
        <v>0.86</v>
      </c>
      <c r="L340" s="22">
        <v>78</v>
      </c>
      <c r="M340" s="22">
        <v>9</v>
      </c>
      <c r="N340" s="22">
        <v>15</v>
      </c>
      <c r="O340" s="22" t="str">
        <f t="shared" si="41"/>
        <v>High Unplanned</v>
      </c>
    </row>
    <row r="341" spans="1:15" x14ac:dyDescent="0.3">
      <c r="A341" s="22" t="s">
        <v>1207</v>
      </c>
      <c r="B341" t="str">
        <f t="shared" si="35"/>
        <v>Rohan Raghavan</v>
      </c>
      <c r="C341" t="str">
        <f t="shared" si="36"/>
        <v>Engineering</v>
      </c>
      <c r="D341" s="30" t="str">
        <f t="shared" si="37"/>
        <v>Active</v>
      </c>
      <c r="E341" s="22">
        <v>250</v>
      </c>
      <c r="F341" s="22">
        <v>19</v>
      </c>
      <c r="G341" s="22">
        <v>8</v>
      </c>
      <c r="H341" s="22">
        <v>8</v>
      </c>
      <c r="I341" s="22">
        <f t="shared" si="38"/>
        <v>35</v>
      </c>
      <c r="J341" s="22">
        <f t="shared" si="39"/>
        <v>215</v>
      </c>
      <c r="K341" s="26">
        <f t="shared" si="40"/>
        <v>0.86</v>
      </c>
      <c r="L341" s="22">
        <v>74</v>
      </c>
      <c r="M341" s="22">
        <v>4</v>
      </c>
      <c r="N341" s="22">
        <v>51</v>
      </c>
      <c r="O341" s="22" t="str">
        <f t="shared" si="41"/>
        <v>High Unplanned</v>
      </c>
    </row>
    <row r="342" spans="1:15" x14ac:dyDescent="0.3">
      <c r="A342" s="22" t="s">
        <v>1210</v>
      </c>
      <c r="B342" t="str">
        <f t="shared" si="35"/>
        <v>Gayatri Naidu</v>
      </c>
      <c r="C342" t="str">
        <f t="shared" si="36"/>
        <v>Customer Support</v>
      </c>
      <c r="D342" s="30" t="str">
        <f t="shared" si="37"/>
        <v>Exited</v>
      </c>
      <c r="E342" s="22">
        <v>20</v>
      </c>
      <c r="F342" s="22">
        <v>2</v>
      </c>
      <c r="G342" s="22">
        <v>0</v>
      </c>
      <c r="H342" s="22">
        <v>2</v>
      </c>
      <c r="I342" s="22">
        <f t="shared" si="38"/>
        <v>4</v>
      </c>
      <c r="J342" s="22">
        <f t="shared" si="39"/>
        <v>16</v>
      </c>
      <c r="K342" s="26">
        <f t="shared" si="40"/>
        <v>0.8</v>
      </c>
      <c r="L342" s="22">
        <v>3</v>
      </c>
      <c r="M342" s="22">
        <v>9</v>
      </c>
      <c r="N342" s="22">
        <v>60</v>
      </c>
      <c r="O342" s="22" t="str">
        <f t="shared" si="41"/>
        <v>Low Attendance</v>
      </c>
    </row>
    <row r="343" spans="1:15" x14ac:dyDescent="0.3">
      <c r="A343" s="22" t="s">
        <v>1213</v>
      </c>
      <c r="B343" t="str">
        <f t="shared" si="35"/>
        <v>Kiran Bose</v>
      </c>
      <c r="C343" t="str">
        <f t="shared" si="36"/>
        <v>Sales</v>
      </c>
      <c r="D343" s="30" t="str">
        <f t="shared" si="37"/>
        <v>Active</v>
      </c>
      <c r="E343" s="22">
        <v>250</v>
      </c>
      <c r="F343" s="22">
        <v>20</v>
      </c>
      <c r="G343" s="22">
        <v>4</v>
      </c>
      <c r="H343" s="22">
        <v>5</v>
      </c>
      <c r="I343" s="22">
        <f t="shared" si="38"/>
        <v>29</v>
      </c>
      <c r="J343" s="22">
        <f t="shared" si="39"/>
        <v>221</v>
      </c>
      <c r="K343" s="26">
        <f t="shared" si="40"/>
        <v>0.88400000000000001</v>
      </c>
      <c r="L343" s="22">
        <v>53</v>
      </c>
      <c r="M343" s="22">
        <v>6</v>
      </c>
      <c r="N343" s="22">
        <v>16</v>
      </c>
      <c r="O343" s="22" t="str">
        <f t="shared" si="41"/>
        <v>Low Attendance</v>
      </c>
    </row>
    <row r="344" spans="1:15" x14ac:dyDescent="0.3">
      <c r="A344" s="22" t="s">
        <v>1216</v>
      </c>
      <c r="B344" t="str">
        <f t="shared" si="35"/>
        <v>Trisha Gowda</v>
      </c>
      <c r="C344" t="str">
        <f t="shared" si="36"/>
        <v>Operations</v>
      </c>
      <c r="D344" s="30" t="str">
        <f t="shared" si="37"/>
        <v>Exited</v>
      </c>
      <c r="E344" s="22">
        <v>127</v>
      </c>
      <c r="F344" s="22">
        <v>9</v>
      </c>
      <c r="G344" s="22">
        <v>5</v>
      </c>
      <c r="H344" s="22">
        <v>5</v>
      </c>
      <c r="I344" s="22">
        <f t="shared" si="38"/>
        <v>19</v>
      </c>
      <c r="J344" s="22">
        <f t="shared" si="39"/>
        <v>108</v>
      </c>
      <c r="K344" s="26">
        <f t="shared" si="40"/>
        <v>0.85039370078740162</v>
      </c>
      <c r="L344" s="22">
        <v>1</v>
      </c>
      <c r="M344" s="22">
        <v>2</v>
      </c>
      <c r="N344" s="22">
        <v>26</v>
      </c>
      <c r="O344" s="22" t="str">
        <f t="shared" si="41"/>
        <v>Low Attendance</v>
      </c>
    </row>
    <row r="345" spans="1:15" x14ac:dyDescent="0.3">
      <c r="A345" s="22" t="s">
        <v>1219</v>
      </c>
      <c r="B345" t="str">
        <f t="shared" si="35"/>
        <v>Pooja Subramanian</v>
      </c>
      <c r="C345" t="str">
        <f t="shared" si="36"/>
        <v>Operations</v>
      </c>
      <c r="D345" s="30" t="str">
        <f t="shared" si="37"/>
        <v>Active</v>
      </c>
      <c r="E345" s="22">
        <v>250</v>
      </c>
      <c r="F345" s="22">
        <v>14</v>
      </c>
      <c r="G345" s="22">
        <v>5</v>
      </c>
      <c r="H345" s="22">
        <v>8</v>
      </c>
      <c r="I345" s="22">
        <f t="shared" si="38"/>
        <v>27</v>
      </c>
      <c r="J345" s="22">
        <f t="shared" si="39"/>
        <v>223</v>
      </c>
      <c r="K345" s="26">
        <f t="shared" si="40"/>
        <v>0.89200000000000002</v>
      </c>
      <c r="L345" s="22">
        <v>21</v>
      </c>
      <c r="M345" s="22">
        <v>14</v>
      </c>
      <c r="N345" s="22">
        <v>112</v>
      </c>
      <c r="O345" s="22" t="str">
        <f t="shared" si="41"/>
        <v>High Unplanned</v>
      </c>
    </row>
    <row r="346" spans="1:15" x14ac:dyDescent="0.3">
      <c r="A346" s="22" t="s">
        <v>1222</v>
      </c>
      <c r="B346" t="str">
        <f t="shared" si="35"/>
        <v>Nikhil Nair</v>
      </c>
      <c r="C346" t="str">
        <f t="shared" si="36"/>
        <v>Data &amp; Analytics</v>
      </c>
      <c r="D346" s="30" t="str">
        <f t="shared" si="37"/>
        <v>Active</v>
      </c>
      <c r="E346" s="22">
        <v>250</v>
      </c>
      <c r="F346" s="22">
        <v>6</v>
      </c>
      <c r="G346" s="22">
        <v>3</v>
      </c>
      <c r="H346" s="22">
        <v>8</v>
      </c>
      <c r="I346" s="22">
        <f t="shared" si="38"/>
        <v>17</v>
      </c>
      <c r="J346" s="22">
        <f t="shared" si="39"/>
        <v>233</v>
      </c>
      <c r="K346" s="26">
        <f t="shared" si="40"/>
        <v>0.93200000000000005</v>
      </c>
      <c r="L346" s="22">
        <v>88</v>
      </c>
      <c r="M346" s="22">
        <v>11</v>
      </c>
      <c r="N346" s="22">
        <v>2</v>
      </c>
      <c r="O346" s="22" t="str">
        <f t="shared" si="41"/>
        <v>High Unplanned</v>
      </c>
    </row>
    <row r="347" spans="1:15" x14ac:dyDescent="0.3">
      <c r="A347" s="22" t="s">
        <v>1225</v>
      </c>
      <c r="B347" t="str">
        <f t="shared" si="35"/>
        <v>Imran Mukherjee</v>
      </c>
      <c r="C347" t="str">
        <f t="shared" si="36"/>
        <v>Engineering</v>
      </c>
      <c r="D347" s="30" t="str">
        <f t="shared" si="37"/>
        <v>Active</v>
      </c>
      <c r="E347" s="22">
        <v>250</v>
      </c>
      <c r="F347" s="22">
        <v>11</v>
      </c>
      <c r="G347" s="22">
        <v>1</v>
      </c>
      <c r="H347" s="22">
        <v>8</v>
      </c>
      <c r="I347" s="22">
        <f t="shared" si="38"/>
        <v>20</v>
      </c>
      <c r="J347" s="22">
        <f t="shared" si="39"/>
        <v>230</v>
      </c>
      <c r="K347" s="26">
        <f t="shared" si="40"/>
        <v>0.92</v>
      </c>
      <c r="L347" s="22">
        <v>86</v>
      </c>
      <c r="M347" s="22">
        <v>11</v>
      </c>
      <c r="N347" s="22">
        <v>78</v>
      </c>
      <c r="O347" s="22" t="str">
        <f t="shared" si="41"/>
        <v>High Unplanned</v>
      </c>
    </row>
    <row r="348" spans="1:15" x14ac:dyDescent="0.3">
      <c r="A348" s="22" t="s">
        <v>1228</v>
      </c>
      <c r="B348" t="str">
        <f t="shared" si="35"/>
        <v>Vinay Krishnan</v>
      </c>
      <c r="C348" t="str">
        <f t="shared" si="36"/>
        <v>Customer Support</v>
      </c>
      <c r="D348" s="30" t="str">
        <f t="shared" si="37"/>
        <v>Active</v>
      </c>
      <c r="E348" s="22">
        <v>250</v>
      </c>
      <c r="F348" s="22">
        <v>20</v>
      </c>
      <c r="G348" s="22">
        <v>1</v>
      </c>
      <c r="H348" s="22">
        <v>5</v>
      </c>
      <c r="I348" s="22">
        <f t="shared" si="38"/>
        <v>26</v>
      </c>
      <c r="J348" s="22">
        <f t="shared" si="39"/>
        <v>224</v>
      </c>
      <c r="K348" s="26">
        <f t="shared" si="40"/>
        <v>0.89600000000000002</v>
      </c>
      <c r="L348" s="22">
        <v>15</v>
      </c>
      <c r="M348" s="22">
        <v>2</v>
      </c>
      <c r="N348" s="22">
        <v>34</v>
      </c>
      <c r="O348" s="22" t="str">
        <f t="shared" si="41"/>
        <v>Low Attendance</v>
      </c>
    </row>
    <row r="349" spans="1:15" x14ac:dyDescent="0.3">
      <c r="A349" s="22" t="s">
        <v>1231</v>
      </c>
      <c r="B349" t="str">
        <f t="shared" si="35"/>
        <v>Tarun Mehta</v>
      </c>
      <c r="C349" t="str">
        <f t="shared" si="36"/>
        <v>Customer Support</v>
      </c>
      <c r="D349" s="30" t="str">
        <f t="shared" si="37"/>
        <v>Active</v>
      </c>
      <c r="E349" s="22">
        <v>250</v>
      </c>
      <c r="F349" s="22">
        <v>17</v>
      </c>
      <c r="G349" s="22">
        <v>0</v>
      </c>
      <c r="H349" s="22">
        <v>0</v>
      </c>
      <c r="I349" s="22">
        <f t="shared" si="38"/>
        <v>17</v>
      </c>
      <c r="J349" s="22">
        <f t="shared" si="39"/>
        <v>233</v>
      </c>
      <c r="K349" s="26">
        <f t="shared" si="40"/>
        <v>0.93200000000000005</v>
      </c>
      <c r="L349" s="22">
        <v>15</v>
      </c>
      <c r="M349" s="22">
        <v>8</v>
      </c>
      <c r="N349" s="22">
        <v>28</v>
      </c>
      <c r="O349" s="22" t="str">
        <f t="shared" si="41"/>
        <v>Normal</v>
      </c>
    </row>
    <row r="350" spans="1:15" x14ac:dyDescent="0.3">
      <c r="A350" s="22" t="s">
        <v>1234</v>
      </c>
      <c r="B350" t="str">
        <f t="shared" si="35"/>
        <v>Mohit Nair</v>
      </c>
      <c r="C350" t="str">
        <f t="shared" si="36"/>
        <v>Data &amp; Analytics</v>
      </c>
      <c r="D350" s="30" t="str">
        <f t="shared" si="37"/>
        <v>Exited</v>
      </c>
      <c r="E350" s="22">
        <v>191</v>
      </c>
      <c r="F350" s="22">
        <v>16</v>
      </c>
      <c r="G350" s="22">
        <v>5</v>
      </c>
      <c r="H350" s="22">
        <v>1</v>
      </c>
      <c r="I350" s="22">
        <f t="shared" si="38"/>
        <v>22</v>
      </c>
      <c r="J350" s="22">
        <f t="shared" si="39"/>
        <v>169</v>
      </c>
      <c r="K350" s="26">
        <f t="shared" si="40"/>
        <v>0.88481675392670156</v>
      </c>
      <c r="L350" s="22">
        <v>48</v>
      </c>
      <c r="M350" s="22">
        <v>12</v>
      </c>
      <c r="N350" s="22">
        <v>14</v>
      </c>
      <c r="O350" s="22" t="str">
        <f t="shared" si="41"/>
        <v>Low Attendance</v>
      </c>
    </row>
    <row r="351" spans="1:15" x14ac:dyDescent="0.3">
      <c r="A351" s="22" t="s">
        <v>1237</v>
      </c>
      <c r="B351" t="str">
        <f t="shared" si="35"/>
        <v>Akash Naidu</v>
      </c>
      <c r="C351" t="str">
        <f t="shared" si="36"/>
        <v>Engineering</v>
      </c>
      <c r="D351" s="30" t="str">
        <f t="shared" si="37"/>
        <v>Active</v>
      </c>
      <c r="E351" s="22">
        <v>250</v>
      </c>
      <c r="F351" s="22">
        <v>6</v>
      </c>
      <c r="G351" s="22">
        <v>0</v>
      </c>
      <c r="H351" s="22">
        <v>0</v>
      </c>
      <c r="I351" s="22">
        <f t="shared" si="38"/>
        <v>6</v>
      </c>
      <c r="J351" s="22">
        <f t="shared" si="39"/>
        <v>244</v>
      </c>
      <c r="K351" s="26">
        <f t="shared" si="40"/>
        <v>0.97599999999999998</v>
      </c>
      <c r="L351" s="22">
        <v>35</v>
      </c>
      <c r="M351" s="22">
        <v>8</v>
      </c>
      <c r="N351" s="22">
        <v>77</v>
      </c>
      <c r="O351" s="22" t="str">
        <f t="shared" si="41"/>
        <v>Normal</v>
      </c>
    </row>
    <row r="352" spans="1:15" x14ac:dyDescent="0.3">
      <c r="A352" s="22" t="s">
        <v>1240</v>
      </c>
      <c r="B352" t="str">
        <f t="shared" si="35"/>
        <v>Pallavi Desai</v>
      </c>
      <c r="C352" t="str">
        <f t="shared" si="36"/>
        <v>Customer Support</v>
      </c>
      <c r="D352" s="30" t="str">
        <f t="shared" si="37"/>
        <v>Active</v>
      </c>
      <c r="E352" s="22">
        <v>250</v>
      </c>
      <c r="F352" s="22">
        <v>19</v>
      </c>
      <c r="G352" s="22">
        <v>6</v>
      </c>
      <c r="H352" s="22">
        <v>3</v>
      </c>
      <c r="I352" s="22">
        <f t="shared" si="38"/>
        <v>28</v>
      </c>
      <c r="J352" s="22">
        <f t="shared" si="39"/>
        <v>222</v>
      </c>
      <c r="K352" s="26">
        <f t="shared" si="40"/>
        <v>0.88800000000000001</v>
      </c>
      <c r="L352" s="22">
        <v>23</v>
      </c>
      <c r="M352" s="22">
        <v>0</v>
      </c>
      <c r="N352" s="22">
        <v>70</v>
      </c>
      <c r="O352" s="22" t="str">
        <f t="shared" si="41"/>
        <v>Low Attendance</v>
      </c>
    </row>
    <row r="353" spans="1:15" x14ac:dyDescent="0.3">
      <c r="A353" s="22" t="s">
        <v>1243</v>
      </c>
      <c r="B353" t="str">
        <f t="shared" si="35"/>
        <v>Imran Das</v>
      </c>
      <c r="C353" t="str">
        <f t="shared" si="36"/>
        <v>Finance</v>
      </c>
      <c r="D353" s="30" t="str">
        <f t="shared" si="37"/>
        <v>Exited</v>
      </c>
      <c r="E353" s="22">
        <v>196</v>
      </c>
      <c r="F353" s="22">
        <v>13</v>
      </c>
      <c r="G353" s="22">
        <v>0</v>
      </c>
      <c r="H353" s="22">
        <v>1</v>
      </c>
      <c r="I353" s="22">
        <f t="shared" si="38"/>
        <v>14</v>
      </c>
      <c r="J353" s="22">
        <f t="shared" si="39"/>
        <v>182</v>
      </c>
      <c r="K353" s="26">
        <f t="shared" si="40"/>
        <v>0.9285714285714286</v>
      </c>
      <c r="L353" s="22">
        <v>58</v>
      </c>
      <c r="M353" s="22">
        <v>11</v>
      </c>
      <c r="N353" s="22">
        <v>8</v>
      </c>
      <c r="O353" s="22" t="str">
        <f t="shared" si="41"/>
        <v>Normal</v>
      </c>
    </row>
    <row r="354" spans="1:15" x14ac:dyDescent="0.3">
      <c r="A354" s="22" t="s">
        <v>1246</v>
      </c>
      <c r="B354" t="str">
        <f t="shared" si="35"/>
        <v>Anusha Das</v>
      </c>
      <c r="C354" t="str">
        <f t="shared" si="36"/>
        <v>Finance</v>
      </c>
      <c r="D354" s="30" t="str">
        <f t="shared" si="37"/>
        <v>Active</v>
      </c>
      <c r="E354" s="22">
        <v>250</v>
      </c>
      <c r="F354" s="22">
        <v>12</v>
      </c>
      <c r="G354" s="22">
        <v>6</v>
      </c>
      <c r="H354" s="22">
        <v>4</v>
      </c>
      <c r="I354" s="22">
        <f t="shared" si="38"/>
        <v>22</v>
      </c>
      <c r="J354" s="22">
        <f t="shared" si="39"/>
        <v>228</v>
      </c>
      <c r="K354" s="26">
        <f t="shared" si="40"/>
        <v>0.91200000000000003</v>
      </c>
      <c r="L354" s="22">
        <v>66</v>
      </c>
      <c r="M354" s="22">
        <v>1</v>
      </c>
      <c r="N354" s="22">
        <v>39</v>
      </c>
      <c r="O354" s="22" t="str">
        <f t="shared" si="41"/>
        <v>Normal</v>
      </c>
    </row>
    <row r="355" spans="1:15" x14ac:dyDescent="0.3">
      <c r="A355" s="22" t="s">
        <v>1249</v>
      </c>
      <c r="B355" t="str">
        <f t="shared" si="35"/>
        <v>Imran Thomas</v>
      </c>
      <c r="C355" t="str">
        <f t="shared" si="36"/>
        <v>Operations</v>
      </c>
      <c r="D355" s="30" t="str">
        <f t="shared" si="37"/>
        <v>Exited</v>
      </c>
      <c r="E355" s="22">
        <v>169</v>
      </c>
      <c r="F355" s="22">
        <v>16</v>
      </c>
      <c r="G355" s="22">
        <v>5</v>
      </c>
      <c r="H355" s="22">
        <v>1</v>
      </c>
      <c r="I355" s="22">
        <f t="shared" si="38"/>
        <v>22</v>
      </c>
      <c r="J355" s="22">
        <f t="shared" si="39"/>
        <v>147</v>
      </c>
      <c r="K355" s="26">
        <f t="shared" si="40"/>
        <v>0.86982248520710059</v>
      </c>
      <c r="L355" s="22">
        <v>10</v>
      </c>
      <c r="M355" s="22">
        <v>6</v>
      </c>
      <c r="N355" s="22">
        <v>117</v>
      </c>
      <c r="O355" s="22" t="str">
        <f t="shared" si="41"/>
        <v>Low Attendance</v>
      </c>
    </row>
    <row r="356" spans="1:15" x14ac:dyDescent="0.3">
      <c r="A356" s="22" t="s">
        <v>1252</v>
      </c>
      <c r="B356" t="str">
        <f t="shared" si="35"/>
        <v>Vinay Nair</v>
      </c>
      <c r="C356" t="str">
        <f t="shared" si="36"/>
        <v>Engineering</v>
      </c>
      <c r="D356" s="30" t="str">
        <f t="shared" si="37"/>
        <v>Active</v>
      </c>
      <c r="E356" s="22">
        <v>250</v>
      </c>
      <c r="F356" s="22">
        <v>6</v>
      </c>
      <c r="G356" s="22">
        <v>3</v>
      </c>
      <c r="H356" s="22">
        <v>1</v>
      </c>
      <c r="I356" s="22">
        <f t="shared" si="38"/>
        <v>10</v>
      </c>
      <c r="J356" s="22">
        <f t="shared" si="39"/>
        <v>240</v>
      </c>
      <c r="K356" s="26">
        <f t="shared" si="40"/>
        <v>0.96</v>
      </c>
      <c r="L356" s="22">
        <v>85</v>
      </c>
      <c r="M356" s="22">
        <v>0</v>
      </c>
      <c r="N356" s="22">
        <v>29</v>
      </c>
      <c r="O356" s="22" t="str">
        <f t="shared" si="41"/>
        <v>Normal</v>
      </c>
    </row>
    <row r="357" spans="1:15" x14ac:dyDescent="0.3">
      <c r="A357" s="22" t="s">
        <v>1255</v>
      </c>
      <c r="B357" t="str">
        <f t="shared" si="35"/>
        <v>Trisha Menon</v>
      </c>
      <c r="C357" t="str">
        <f t="shared" si="36"/>
        <v>Engineering</v>
      </c>
      <c r="D357" s="30" t="str">
        <f t="shared" si="37"/>
        <v>Active</v>
      </c>
      <c r="E357" s="22">
        <v>250</v>
      </c>
      <c r="F357" s="22">
        <v>12</v>
      </c>
      <c r="G357" s="22">
        <v>8</v>
      </c>
      <c r="H357" s="22">
        <v>2</v>
      </c>
      <c r="I357" s="22">
        <f t="shared" si="38"/>
        <v>22</v>
      </c>
      <c r="J357" s="22">
        <f t="shared" si="39"/>
        <v>228</v>
      </c>
      <c r="K357" s="26">
        <f t="shared" si="40"/>
        <v>0.91200000000000003</v>
      </c>
      <c r="L357" s="22">
        <v>11</v>
      </c>
      <c r="M357" s="22">
        <v>13</v>
      </c>
      <c r="N357" s="22">
        <v>92</v>
      </c>
      <c r="O357" s="22" t="str">
        <f t="shared" si="41"/>
        <v>Normal</v>
      </c>
    </row>
    <row r="358" spans="1:15" x14ac:dyDescent="0.3">
      <c r="A358" s="22" t="s">
        <v>1258</v>
      </c>
      <c r="B358" t="str">
        <f t="shared" si="35"/>
        <v>Abhishek Kapoor</v>
      </c>
      <c r="C358" t="str">
        <f t="shared" si="36"/>
        <v>Operations</v>
      </c>
      <c r="D358" s="30" t="str">
        <f t="shared" si="37"/>
        <v>Active</v>
      </c>
      <c r="E358" s="22">
        <v>250</v>
      </c>
      <c r="F358" s="22">
        <v>9</v>
      </c>
      <c r="G358" s="22">
        <v>0</v>
      </c>
      <c r="H358" s="22">
        <v>0</v>
      </c>
      <c r="I358" s="22">
        <f t="shared" si="38"/>
        <v>9</v>
      </c>
      <c r="J358" s="22">
        <f t="shared" si="39"/>
        <v>241</v>
      </c>
      <c r="K358" s="26">
        <f t="shared" si="40"/>
        <v>0.96399999999999997</v>
      </c>
      <c r="L358" s="22">
        <v>4</v>
      </c>
      <c r="M358" s="22">
        <v>7</v>
      </c>
      <c r="N358" s="22">
        <v>23</v>
      </c>
      <c r="O358" s="22" t="str">
        <f t="shared" si="41"/>
        <v>Normal</v>
      </c>
    </row>
    <row r="359" spans="1:15" x14ac:dyDescent="0.3">
      <c r="A359" s="22" t="s">
        <v>1261</v>
      </c>
      <c r="B359" t="str">
        <f t="shared" si="35"/>
        <v>Rohit Patel</v>
      </c>
      <c r="C359" t="str">
        <f t="shared" si="36"/>
        <v>Engineering</v>
      </c>
      <c r="D359" s="30" t="str">
        <f t="shared" si="37"/>
        <v>Active</v>
      </c>
      <c r="E359" s="22">
        <v>250</v>
      </c>
      <c r="F359" s="22">
        <v>10</v>
      </c>
      <c r="G359" s="22">
        <v>0</v>
      </c>
      <c r="H359" s="22">
        <v>1</v>
      </c>
      <c r="I359" s="22">
        <f t="shared" si="38"/>
        <v>11</v>
      </c>
      <c r="J359" s="22">
        <f t="shared" si="39"/>
        <v>239</v>
      </c>
      <c r="K359" s="26">
        <f t="shared" si="40"/>
        <v>0.95599999999999996</v>
      </c>
      <c r="L359" s="22">
        <v>87</v>
      </c>
      <c r="M359" s="22">
        <v>10</v>
      </c>
      <c r="N359" s="22">
        <v>113</v>
      </c>
      <c r="O359" s="22" t="str">
        <f t="shared" si="41"/>
        <v>Normal</v>
      </c>
    </row>
    <row r="360" spans="1:15" x14ac:dyDescent="0.3">
      <c r="A360" s="22" t="s">
        <v>1264</v>
      </c>
      <c r="B360" t="str">
        <f t="shared" si="35"/>
        <v>Rohan Banerjee</v>
      </c>
      <c r="C360" t="str">
        <f t="shared" si="36"/>
        <v>Engineering</v>
      </c>
      <c r="D360" s="30" t="str">
        <f t="shared" si="37"/>
        <v>Active</v>
      </c>
      <c r="E360" s="22">
        <v>250</v>
      </c>
      <c r="F360" s="22">
        <v>9</v>
      </c>
      <c r="G360" s="22">
        <v>4</v>
      </c>
      <c r="H360" s="22">
        <v>0</v>
      </c>
      <c r="I360" s="22">
        <f t="shared" si="38"/>
        <v>13</v>
      </c>
      <c r="J360" s="22">
        <f t="shared" si="39"/>
        <v>237</v>
      </c>
      <c r="K360" s="26">
        <f t="shared" si="40"/>
        <v>0.94799999999999995</v>
      </c>
      <c r="L360" s="22">
        <v>60</v>
      </c>
      <c r="M360" s="22">
        <v>7</v>
      </c>
      <c r="N360" s="22">
        <v>84</v>
      </c>
      <c r="O360" s="22" t="str">
        <f t="shared" si="41"/>
        <v>Normal</v>
      </c>
    </row>
    <row r="361" spans="1:15" x14ac:dyDescent="0.3">
      <c r="A361" s="22" t="s">
        <v>1267</v>
      </c>
      <c r="B361" t="str">
        <f t="shared" si="35"/>
        <v>Amit Nair</v>
      </c>
      <c r="C361" t="str">
        <f t="shared" si="36"/>
        <v>Engineering</v>
      </c>
      <c r="D361" s="30" t="str">
        <f t="shared" si="37"/>
        <v>Active</v>
      </c>
      <c r="E361" s="22">
        <v>250</v>
      </c>
      <c r="F361" s="22">
        <v>7</v>
      </c>
      <c r="G361" s="22">
        <v>1</v>
      </c>
      <c r="H361" s="22">
        <v>0</v>
      </c>
      <c r="I361" s="22">
        <f t="shared" si="38"/>
        <v>8</v>
      </c>
      <c r="J361" s="22">
        <f t="shared" si="39"/>
        <v>242</v>
      </c>
      <c r="K361" s="26">
        <f t="shared" si="40"/>
        <v>0.96799999999999997</v>
      </c>
      <c r="L361" s="22">
        <v>79</v>
      </c>
      <c r="M361" s="22">
        <v>3</v>
      </c>
      <c r="N361" s="22">
        <v>63</v>
      </c>
      <c r="O361" s="22" t="str">
        <f t="shared" si="41"/>
        <v>Normal</v>
      </c>
    </row>
    <row r="362" spans="1:15" x14ac:dyDescent="0.3">
      <c r="A362" s="22" t="s">
        <v>1270</v>
      </c>
      <c r="B362" t="str">
        <f t="shared" si="35"/>
        <v>Ritu Joshi</v>
      </c>
      <c r="C362" t="str">
        <f t="shared" si="36"/>
        <v>Data &amp; Analytics</v>
      </c>
      <c r="D362" s="30" t="str">
        <f t="shared" si="37"/>
        <v>Active</v>
      </c>
      <c r="E362" s="22">
        <v>250</v>
      </c>
      <c r="F362" s="22">
        <v>17</v>
      </c>
      <c r="G362" s="22">
        <v>5</v>
      </c>
      <c r="H362" s="22">
        <v>5</v>
      </c>
      <c r="I362" s="22">
        <f t="shared" si="38"/>
        <v>27</v>
      </c>
      <c r="J362" s="22">
        <f t="shared" si="39"/>
        <v>223</v>
      </c>
      <c r="K362" s="26">
        <f t="shared" si="40"/>
        <v>0.89200000000000002</v>
      </c>
      <c r="L362" s="22">
        <v>38</v>
      </c>
      <c r="M362" s="22">
        <v>7</v>
      </c>
      <c r="N362" s="22">
        <v>19</v>
      </c>
      <c r="O362" s="22" t="str">
        <f t="shared" si="41"/>
        <v>Low Attendance</v>
      </c>
    </row>
    <row r="363" spans="1:15" x14ac:dyDescent="0.3">
      <c r="A363" s="22" t="s">
        <v>1273</v>
      </c>
      <c r="B363" t="str">
        <f t="shared" si="35"/>
        <v>Ashish Rao</v>
      </c>
      <c r="C363" t="str">
        <f t="shared" si="36"/>
        <v>Operations</v>
      </c>
      <c r="D363" s="30" t="str">
        <f t="shared" si="37"/>
        <v>Active</v>
      </c>
      <c r="E363" s="22">
        <v>250</v>
      </c>
      <c r="F363" s="22">
        <v>11</v>
      </c>
      <c r="G363" s="22">
        <v>8</v>
      </c>
      <c r="H363" s="22">
        <v>1</v>
      </c>
      <c r="I363" s="22">
        <f t="shared" si="38"/>
        <v>20</v>
      </c>
      <c r="J363" s="22">
        <f t="shared" si="39"/>
        <v>230</v>
      </c>
      <c r="K363" s="26">
        <f t="shared" si="40"/>
        <v>0.92</v>
      </c>
      <c r="L363" s="22">
        <v>20</v>
      </c>
      <c r="M363" s="22">
        <v>3</v>
      </c>
      <c r="N363" s="22">
        <v>67</v>
      </c>
      <c r="O363" s="22" t="str">
        <f t="shared" si="41"/>
        <v>Normal</v>
      </c>
    </row>
    <row r="364" spans="1:15" x14ac:dyDescent="0.3">
      <c r="A364" s="22" t="s">
        <v>1276</v>
      </c>
      <c r="B364" t="str">
        <f t="shared" si="35"/>
        <v>Nikhil Singh</v>
      </c>
      <c r="C364" t="str">
        <f t="shared" si="36"/>
        <v>Sales</v>
      </c>
      <c r="D364" s="30" t="str">
        <f t="shared" si="37"/>
        <v>Exited</v>
      </c>
      <c r="E364" s="22">
        <v>144</v>
      </c>
      <c r="F364" s="22">
        <v>14</v>
      </c>
      <c r="G364" s="22">
        <v>4</v>
      </c>
      <c r="H364" s="22">
        <v>1</v>
      </c>
      <c r="I364" s="22">
        <f t="shared" si="38"/>
        <v>19</v>
      </c>
      <c r="J364" s="22">
        <f t="shared" si="39"/>
        <v>125</v>
      </c>
      <c r="K364" s="26">
        <f t="shared" si="40"/>
        <v>0.86805555555555558</v>
      </c>
      <c r="L364" s="22">
        <v>79</v>
      </c>
      <c r="M364" s="22">
        <v>8</v>
      </c>
      <c r="N364" s="22">
        <v>6</v>
      </c>
      <c r="O364" s="22" t="str">
        <f t="shared" si="41"/>
        <v>Low Attendance</v>
      </c>
    </row>
    <row r="365" spans="1:15" x14ac:dyDescent="0.3">
      <c r="A365" s="22" t="s">
        <v>523</v>
      </c>
      <c r="B365" t="str">
        <f t="shared" si="35"/>
        <v>Arun Khan</v>
      </c>
      <c r="C365" t="str">
        <f t="shared" si="36"/>
        <v>Marketing</v>
      </c>
      <c r="D365" s="30" t="str">
        <f t="shared" si="37"/>
        <v>Active</v>
      </c>
      <c r="E365" s="22">
        <v>250</v>
      </c>
      <c r="F365" s="22">
        <v>6</v>
      </c>
      <c r="G365" s="22">
        <v>5</v>
      </c>
      <c r="H365" s="22">
        <v>8</v>
      </c>
      <c r="I365" s="22">
        <f t="shared" si="38"/>
        <v>19</v>
      </c>
      <c r="J365" s="22">
        <f t="shared" si="39"/>
        <v>231</v>
      </c>
      <c r="K365" s="26">
        <f t="shared" si="40"/>
        <v>0.92400000000000004</v>
      </c>
      <c r="L365" s="22">
        <v>89</v>
      </c>
      <c r="M365" s="22">
        <v>7</v>
      </c>
      <c r="N365" s="22">
        <v>17</v>
      </c>
      <c r="O365" s="22" t="str">
        <f t="shared" si="41"/>
        <v>High Unplanned</v>
      </c>
    </row>
    <row r="366" spans="1:15" x14ac:dyDescent="0.3">
      <c r="A366" s="22" t="s">
        <v>1281</v>
      </c>
      <c r="B366" t="str">
        <f t="shared" si="35"/>
        <v>Rashmi Mishra</v>
      </c>
      <c r="C366" t="str">
        <f t="shared" si="36"/>
        <v>Engineering</v>
      </c>
      <c r="D366" s="30" t="str">
        <f t="shared" si="37"/>
        <v>Exited</v>
      </c>
      <c r="E366" s="22">
        <v>20</v>
      </c>
      <c r="F366" s="22">
        <v>2</v>
      </c>
      <c r="G366" s="22">
        <v>3</v>
      </c>
      <c r="H366" s="22">
        <v>8</v>
      </c>
      <c r="I366" s="22">
        <f t="shared" si="38"/>
        <v>13</v>
      </c>
      <c r="J366" s="22">
        <f t="shared" si="39"/>
        <v>7</v>
      </c>
      <c r="K366" s="26">
        <f t="shared" si="40"/>
        <v>0.35</v>
      </c>
      <c r="L366" s="22">
        <v>76</v>
      </c>
      <c r="M366" s="22">
        <v>3</v>
      </c>
      <c r="N366" s="22">
        <v>39</v>
      </c>
      <c r="O366" s="22" t="str">
        <f t="shared" si="41"/>
        <v>High Unplanned</v>
      </c>
    </row>
    <row r="367" spans="1:15" x14ac:dyDescent="0.3">
      <c r="A367" s="22" t="s">
        <v>1284</v>
      </c>
      <c r="B367" t="str">
        <f t="shared" si="35"/>
        <v>Anjali Gupta</v>
      </c>
      <c r="C367" t="str">
        <f t="shared" si="36"/>
        <v>Customer Support</v>
      </c>
      <c r="D367" s="30" t="str">
        <f t="shared" si="37"/>
        <v>Active</v>
      </c>
      <c r="E367" s="22">
        <v>250</v>
      </c>
      <c r="F367" s="22">
        <v>17</v>
      </c>
      <c r="G367" s="22">
        <v>8</v>
      </c>
      <c r="H367" s="22">
        <v>1</v>
      </c>
      <c r="I367" s="22">
        <f t="shared" si="38"/>
        <v>26</v>
      </c>
      <c r="J367" s="22">
        <f t="shared" si="39"/>
        <v>224</v>
      </c>
      <c r="K367" s="26">
        <f t="shared" si="40"/>
        <v>0.89600000000000002</v>
      </c>
      <c r="L367" s="22">
        <v>11</v>
      </c>
      <c r="M367" s="22">
        <v>11</v>
      </c>
      <c r="N367" s="22">
        <v>104</v>
      </c>
      <c r="O367" s="22" t="str">
        <f t="shared" si="41"/>
        <v>Low Attendance</v>
      </c>
    </row>
    <row r="368" spans="1:15" x14ac:dyDescent="0.3">
      <c r="A368" s="22" t="s">
        <v>1287</v>
      </c>
      <c r="B368" t="str">
        <f t="shared" si="35"/>
        <v>Mary Dsouza</v>
      </c>
      <c r="C368" t="str">
        <f t="shared" si="36"/>
        <v>Engineering</v>
      </c>
      <c r="D368" s="30" t="str">
        <f t="shared" si="37"/>
        <v>Active</v>
      </c>
      <c r="E368" s="22">
        <v>250</v>
      </c>
      <c r="F368" s="22">
        <v>18</v>
      </c>
      <c r="G368" s="22">
        <v>2</v>
      </c>
      <c r="H368" s="22">
        <v>0</v>
      </c>
      <c r="I368" s="22">
        <f t="shared" si="38"/>
        <v>20</v>
      </c>
      <c r="J368" s="22">
        <f t="shared" si="39"/>
        <v>230</v>
      </c>
      <c r="K368" s="26">
        <f t="shared" si="40"/>
        <v>0.92</v>
      </c>
      <c r="L368" s="22">
        <v>40</v>
      </c>
      <c r="M368" s="22">
        <v>11</v>
      </c>
      <c r="N368" s="22">
        <v>56</v>
      </c>
      <c r="O368" s="22" t="str">
        <f t="shared" si="41"/>
        <v>Normal</v>
      </c>
    </row>
    <row r="369" spans="1:15" x14ac:dyDescent="0.3">
      <c r="A369" s="22" t="s">
        <v>1290</v>
      </c>
      <c r="B369" t="str">
        <f t="shared" si="35"/>
        <v>Ravi Kamath</v>
      </c>
      <c r="C369" t="str">
        <f t="shared" si="36"/>
        <v>Human Resources</v>
      </c>
      <c r="D369" s="30" t="str">
        <f t="shared" si="37"/>
        <v>Active</v>
      </c>
      <c r="E369" s="22">
        <v>250</v>
      </c>
      <c r="F369" s="22">
        <v>16</v>
      </c>
      <c r="G369" s="22">
        <v>7</v>
      </c>
      <c r="H369" s="22">
        <v>10</v>
      </c>
      <c r="I369" s="22">
        <f t="shared" si="38"/>
        <v>33</v>
      </c>
      <c r="J369" s="22">
        <f t="shared" si="39"/>
        <v>217</v>
      </c>
      <c r="K369" s="26">
        <f t="shared" si="40"/>
        <v>0.86799999999999999</v>
      </c>
      <c r="L369" s="22">
        <v>73</v>
      </c>
      <c r="M369" s="22">
        <v>13</v>
      </c>
      <c r="N369" s="22">
        <v>2</v>
      </c>
      <c r="O369" s="22" t="str">
        <f t="shared" si="41"/>
        <v>High Unplanned</v>
      </c>
    </row>
    <row r="370" spans="1:15" x14ac:dyDescent="0.3">
      <c r="A370" s="22" t="s">
        <v>1205</v>
      </c>
      <c r="B370" t="str">
        <f t="shared" si="35"/>
        <v>Aditi Nair</v>
      </c>
      <c r="C370" t="str">
        <f t="shared" si="36"/>
        <v>Legal &amp; Compliance</v>
      </c>
      <c r="D370" s="30" t="str">
        <f t="shared" si="37"/>
        <v>Active</v>
      </c>
      <c r="E370" s="22">
        <v>250</v>
      </c>
      <c r="F370" s="22">
        <v>10</v>
      </c>
      <c r="G370" s="22">
        <v>4</v>
      </c>
      <c r="H370" s="22">
        <v>2</v>
      </c>
      <c r="I370" s="22">
        <f t="shared" si="38"/>
        <v>16</v>
      </c>
      <c r="J370" s="22">
        <f t="shared" si="39"/>
        <v>234</v>
      </c>
      <c r="K370" s="26">
        <f t="shared" si="40"/>
        <v>0.93600000000000005</v>
      </c>
      <c r="L370" s="22">
        <v>48</v>
      </c>
      <c r="M370" s="22">
        <v>13</v>
      </c>
      <c r="N370" s="22">
        <v>5</v>
      </c>
      <c r="O370" s="22" t="str">
        <f t="shared" si="41"/>
        <v>Normal</v>
      </c>
    </row>
    <row r="371" spans="1:15" x14ac:dyDescent="0.3">
      <c r="A371" s="22" t="s">
        <v>1295</v>
      </c>
      <c r="B371" t="str">
        <f t="shared" si="35"/>
        <v>Venkat Bansal</v>
      </c>
      <c r="C371" t="str">
        <f t="shared" si="36"/>
        <v>Marketing</v>
      </c>
      <c r="D371" s="30" t="str">
        <f t="shared" si="37"/>
        <v>Active</v>
      </c>
      <c r="E371" s="22">
        <v>250</v>
      </c>
      <c r="F371" s="22">
        <v>6</v>
      </c>
      <c r="G371" s="22">
        <v>4</v>
      </c>
      <c r="H371" s="22">
        <v>10</v>
      </c>
      <c r="I371" s="22">
        <f t="shared" si="38"/>
        <v>20</v>
      </c>
      <c r="J371" s="22">
        <f t="shared" si="39"/>
        <v>230</v>
      </c>
      <c r="K371" s="26">
        <f t="shared" si="40"/>
        <v>0.92</v>
      </c>
      <c r="L371" s="22">
        <v>73</v>
      </c>
      <c r="M371" s="22">
        <v>0</v>
      </c>
      <c r="N371" s="22">
        <v>24</v>
      </c>
      <c r="O371" s="22" t="str">
        <f t="shared" si="41"/>
        <v>High Unplanned</v>
      </c>
    </row>
    <row r="372" spans="1:15" x14ac:dyDescent="0.3">
      <c r="A372" s="22" t="s">
        <v>1298</v>
      </c>
      <c r="B372" t="str">
        <f t="shared" si="35"/>
        <v>Shreya Varghese</v>
      </c>
      <c r="C372" t="str">
        <f t="shared" si="36"/>
        <v>Sales</v>
      </c>
      <c r="D372" s="30" t="str">
        <f t="shared" si="37"/>
        <v>Active</v>
      </c>
      <c r="E372" s="22">
        <v>250</v>
      </c>
      <c r="F372" s="22">
        <v>12</v>
      </c>
      <c r="G372" s="22">
        <v>7</v>
      </c>
      <c r="H372" s="22">
        <v>3</v>
      </c>
      <c r="I372" s="22">
        <f t="shared" si="38"/>
        <v>22</v>
      </c>
      <c r="J372" s="22">
        <f t="shared" si="39"/>
        <v>228</v>
      </c>
      <c r="K372" s="26">
        <f t="shared" si="40"/>
        <v>0.91200000000000003</v>
      </c>
      <c r="L372" s="22">
        <v>58</v>
      </c>
      <c r="M372" s="22">
        <v>2</v>
      </c>
      <c r="N372" s="22">
        <v>27</v>
      </c>
      <c r="O372" s="22" t="str">
        <f t="shared" si="41"/>
        <v>Normal</v>
      </c>
    </row>
    <row r="373" spans="1:15" x14ac:dyDescent="0.3">
      <c r="A373" s="22" t="s">
        <v>1301</v>
      </c>
      <c r="B373" t="str">
        <f t="shared" si="35"/>
        <v>Joseph Gupta</v>
      </c>
      <c r="C373" t="str">
        <f t="shared" si="36"/>
        <v>Data &amp; Analytics</v>
      </c>
      <c r="D373" s="30" t="str">
        <f t="shared" si="37"/>
        <v>Exited</v>
      </c>
      <c r="E373" s="22">
        <v>230</v>
      </c>
      <c r="F373" s="22">
        <v>14</v>
      </c>
      <c r="G373" s="22">
        <v>0</v>
      </c>
      <c r="H373" s="22">
        <v>3</v>
      </c>
      <c r="I373" s="22">
        <f t="shared" si="38"/>
        <v>17</v>
      </c>
      <c r="J373" s="22">
        <f t="shared" si="39"/>
        <v>213</v>
      </c>
      <c r="K373" s="26">
        <f t="shared" si="40"/>
        <v>0.92608695652173911</v>
      </c>
      <c r="L373" s="22">
        <v>14</v>
      </c>
      <c r="M373" s="22">
        <v>8</v>
      </c>
      <c r="N373" s="22">
        <v>22</v>
      </c>
      <c r="O373" s="22" t="str">
        <f t="shared" si="41"/>
        <v>Normal</v>
      </c>
    </row>
    <row r="374" spans="1:15" x14ac:dyDescent="0.3">
      <c r="A374" s="22" t="s">
        <v>139</v>
      </c>
      <c r="B374" t="str">
        <f t="shared" si="35"/>
        <v>Imran Mishra</v>
      </c>
      <c r="C374" t="str">
        <f t="shared" si="36"/>
        <v>Operations</v>
      </c>
      <c r="D374" s="30" t="str">
        <f t="shared" si="37"/>
        <v>Active</v>
      </c>
      <c r="E374" s="22">
        <v>250</v>
      </c>
      <c r="F374" s="22">
        <v>20</v>
      </c>
      <c r="G374" s="22">
        <v>0</v>
      </c>
      <c r="H374" s="22">
        <v>8</v>
      </c>
      <c r="I374" s="22">
        <f t="shared" si="38"/>
        <v>28</v>
      </c>
      <c r="J374" s="22">
        <f t="shared" si="39"/>
        <v>222</v>
      </c>
      <c r="K374" s="26">
        <f t="shared" si="40"/>
        <v>0.88800000000000001</v>
      </c>
      <c r="L374" s="22">
        <v>24</v>
      </c>
      <c r="M374" s="22">
        <v>14</v>
      </c>
      <c r="N374" s="22">
        <v>43</v>
      </c>
      <c r="O374" s="22" t="str">
        <f t="shared" si="41"/>
        <v>High Unplanned</v>
      </c>
    </row>
    <row r="375" spans="1:15" x14ac:dyDescent="0.3">
      <c r="A375" s="22" t="s">
        <v>1305</v>
      </c>
      <c r="B375" t="str">
        <f t="shared" si="35"/>
        <v>Isha Choudhary</v>
      </c>
      <c r="C375" t="str">
        <f t="shared" si="36"/>
        <v>Engineering</v>
      </c>
      <c r="D375" s="30" t="str">
        <f t="shared" si="37"/>
        <v>Exited</v>
      </c>
      <c r="E375" s="22">
        <v>149</v>
      </c>
      <c r="F375" s="22">
        <v>14</v>
      </c>
      <c r="G375" s="22">
        <v>4</v>
      </c>
      <c r="H375" s="22">
        <v>5</v>
      </c>
      <c r="I375" s="22">
        <f t="shared" si="38"/>
        <v>23</v>
      </c>
      <c r="J375" s="22">
        <f t="shared" si="39"/>
        <v>126</v>
      </c>
      <c r="K375" s="26">
        <f t="shared" si="40"/>
        <v>0.84563758389261745</v>
      </c>
      <c r="L375" s="22">
        <v>85</v>
      </c>
      <c r="M375" s="22">
        <v>3</v>
      </c>
      <c r="N375" s="22">
        <v>96</v>
      </c>
      <c r="O375" s="22" t="str">
        <f t="shared" si="41"/>
        <v>Low Attendance</v>
      </c>
    </row>
    <row r="376" spans="1:15" x14ac:dyDescent="0.3">
      <c r="A376" s="22" t="s">
        <v>1308</v>
      </c>
      <c r="B376" t="str">
        <f t="shared" si="35"/>
        <v>Rakesh Jain</v>
      </c>
      <c r="C376" t="str">
        <f t="shared" si="36"/>
        <v>Sales</v>
      </c>
      <c r="D376" s="30" t="str">
        <f t="shared" si="37"/>
        <v>Exited</v>
      </c>
      <c r="E376" s="22">
        <v>202</v>
      </c>
      <c r="F376" s="22">
        <v>6</v>
      </c>
      <c r="G376" s="22">
        <v>5</v>
      </c>
      <c r="H376" s="22">
        <v>3</v>
      </c>
      <c r="I376" s="22">
        <f t="shared" si="38"/>
        <v>14</v>
      </c>
      <c r="J376" s="22">
        <f t="shared" si="39"/>
        <v>188</v>
      </c>
      <c r="K376" s="26">
        <f t="shared" si="40"/>
        <v>0.93069306930693074</v>
      </c>
      <c r="L376" s="22">
        <v>89</v>
      </c>
      <c r="M376" s="22">
        <v>6</v>
      </c>
      <c r="N376" s="22">
        <v>27</v>
      </c>
      <c r="O376" s="22" t="str">
        <f t="shared" si="41"/>
        <v>Normal</v>
      </c>
    </row>
    <row r="377" spans="1:15" x14ac:dyDescent="0.3">
      <c r="A377" s="22" t="s">
        <v>1311</v>
      </c>
      <c r="B377" t="str">
        <f t="shared" si="35"/>
        <v>Mary Prabhu</v>
      </c>
      <c r="C377" t="str">
        <f t="shared" si="36"/>
        <v>Operations</v>
      </c>
      <c r="D377" s="30" t="str">
        <f t="shared" si="37"/>
        <v>Active</v>
      </c>
      <c r="E377" s="22">
        <v>250</v>
      </c>
      <c r="F377" s="22">
        <v>18</v>
      </c>
      <c r="G377" s="22">
        <v>0</v>
      </c>
      <c r="H377" s="22">
        <v>5</v>
      </c>
      <c r="I377" s="22">
        <f t="shared" si="38"/>
        <v>23</v>
      </c>
      <c r="J377" s="22">
        <f t="shared" si="39"/>
        <v>227</v>
      </c>
      <c r="K377" s="26">
        <f t="shared" si="40"/>
        <v>0.90800000000000003</v>
      </c>
      <c r="L377" s="22">
        <v>17</v>
      </c>
      <c r="M377" s="22">
        <v>6</v>
      </c>
      <c r="N377" s="22">
        <v>92</v>
      </c>
      <c r="O377" s="22" t="str">
        <f t="shared" si="41"/>
        <v>Normal</v>
      </c>
    </row>
    <row r="378" spans="1:15" x14ac:dyDescent="0.3">
      <c r="A378" s="22" t="s">
        <v>1314</v>
      </c>
      <c r="B378" t="str">
        <f t="shared" si="35"/>
        <v>Anand Siddiqui</v>
      </c>
      <c r="C378" t="str">
        <f t="shared" si="36"/>
        <v>Engineering</v>
      </c>
      <c r="D378" s="30" t="str">
        <f t="shared" si="37"/>
        <v>Active</v>
      </c>
      <c r="E378" s="22">
        <v>250</v>
      </c>
      <c r="F378" s="22">
        <v>20</v>
      </c>
      <c r="G378" s="22">
        <v>4</v>
      </c>
      <c r="H378" s="22">
        <v>5</v>
      </c>
      <c r="I378" s="22">
        <f t="shared" si="38"/>
        <v>29</v>
      </c>
      <c r="J378" s="22">
        <f t="shared" si="39"/>
        <v>221</v>
      </c>
      <c r="K378" s="26">
        <f t="shared" si="40"/>
        <v>0.88400000000000001</v>
      </c>
      <c r="L378" s="22">
        <v>78</v>
      </c>
      <c r="M378" s="22">
        <v>7</v>
      </c>
      <c r="N378" s="22">
        <v>54</v>
      </c>
      <c r="O378" s="22" t="str">
        <f t="shared" si="41"/>
        <v>Low Attendance</v>
      </c>
    </row>
    <row r="379" spans="1:15" x14ac:dyDescent="0.3">
      <c r="A379" s="22" t="s">
        <v>1317</v>
      </c>
      <c r="B379" t="str">
        <f t="shared" si="35"/>
        <v>Sachin Raghavan</v>
      </c>
      <c r="C379" t="str">
        <f t="shared" si="36"/>
        <v>Engineering</v>
      </c>
      <c r="D379" s="30" t="str">
        <f t="shared" si="37"/>
        <v>Active</v>
      </c>
      <c r="E379" s="22">
        <v>250</v>
      </c>
      <c r="F379" s="22">
        <v>15</v>
      </c>
      <c r="G379" s="22">
        <v>8</v>
      </c>
      <c r="H379" s="22">
        <v>1</v>
      </c>
      <c r="I379" s="22">
        <f t="shared" si="38"/>
        <v>24</v>
      </c>
      <c r="J379" s="22">
        <f t="shared" si="39"/>
        <v>226</v>
      </c>
      <c r="K379" s="26">
        <f t="shared" si="40"/>
        <v>0.90400000000000003</v>
      </c>
      <c r="L379" s="22">
        <v>58</v>
      </c>
      <c r="M379" s="22">
        <v>7</v>
      </c>
      <c r="N379" s="22">
        <v>95</v>
      </c>
      <c r="O379" s="22" t="str">
        <f t="shared" si="41"/>
        <v>Normal</v>
      </c>
    </row>
    <row r="380" spans="1:15" x14ac:dyDescent="0.3">
      <c r="A380" s="22" t="s">
        <v>1320</v>
      </c>
      <c r="B380" t="str">
        <f t="shared" si="35"/>
        <v>Dev Saxena</v>
      </c>
      <c r="C380" t="str">
        <f t="shared" si="36"/>
        <v>Customer Support</v>
      </c>
      <c r="D380" s="30" t="str">
        <f t="shared" si="37"/>
        <v>Active</v>
      </c>
      <c r="E380" s="22">
        <v>250</v>
      </c>
      <c r="F380" s="22">
        <v>20</v>
      </c>
      <c r="G380" s="22">
        <v>3</v>
      </c>
      <c r="H380" s="22">
        <v>0</v>
      </c>
      <c r="I380" s="22">
        <f t="shared" si="38"/>
        <v>23</v>
      </c>
      <c r="J380" s="22">
        <f t="shared" si="39"/>
        <v>227</v>
      </c>
      <c r="K380" s="26">
        <f t="shared" si="40"/>
        <v>0.90800000000000003</v>
      </c>
      <c r="L380" s="22">
        <v>0</v>
      </c>
      <c r="M380" s="22">
        <v>4</v>
      </c>
      <c r="N380" s="22">
        <v>102</v>
      </c>
      <c r="O380" s="22" t="str">
        <f t="shared" si="41"/>
        <v>Normal</v>
      </c>
    </row>
    <row r="381" spans="1:15" x14ac:dyDescent="0.3">
      <c r="A381" s="22" t="s">
        <v>1323</v>
      </c>
      <c r="B381" t="str">
        <f t="shared" si="35"/>
        <v>Siddharth Malhotra</v>
      </c>
      <c r="C381" t="str">
        <f t="shared" si="36"/>
        <v>Data &amp; Analytics</v>
      </c>
      <c r="D381" s="30" t="str">
        <f t="shared" si="37"/>
        <v>Active</v>
      </c>
      <c r="E381" s="22">
        <v>249</v>
      </c>
      <c r="F381" s="22">
        <v>16</v>
      </c>
      <c r="G381" s="22">
        <v>4</v>
      </c>
      <c r="H381" s="22">
        <v>3</v>
      </c>
      <c r="I381" s="22">
        <f t="shared" si="38"/>
        <v>23</v>
      </c>
      <c r="J381" s="22">
        <f t="shared" si="39"/>
        <v>226</v>
      </c>
      <c r="K381" s="26">
        <f t="shared" si="40"/>
        <v>0.90763052208835338</v>
      </c>
      <c r="L381" s="22">
        <v>79</v>
      </c>
      <c r="M381" s="22">
        <v>4</v>
      </c>
      <c r="N381" s="22">
        <v>21</v>
      </c>
      <c r="O381" s="22" t="str">
        <f t="shared" si="41"/>
        <v>Normal</v>
      </c>
    </row>
    <row r="382" spans="1:15" x14ac:dyDescent="0.3">
      <c r="A382" s="22" t="s">
        <v>1326</v>
      </c>
      <c r="B382" t="str">
        <f t="shared" si="35"/>
        <v>Ravi Gupta</v>
      </c>
      <c r="C382" t="str">
        <f t="shared" si="36"/>
        <v>Marketing</v>
      </c>
      <c r="D382" s="30" t="str">
        <f t="shared" si="37"/>
        <v>Active</v>
      </c>
      <c r="E382" s="22">
        <v>248</v>
      </c>
      <c r="F382" s="22">
        <v>15</v>
      </c>
      <c r="G382" s="22">
        <v>6</v>
      </c>
      <c r="H382" s="22">
        <v>4</v>
      </c>
      <c r="I382" s="22">
        <f t="shared" si="38"/>
        <v>25</v>
      </c>
      <c r="J382" s="22">
        <f t="shared" si="39"/>
        <v>223</v>
      </c>
      <c r="K382" s="26">
        <f t="shared" si="40"/>
        <v>0.89919354838709675</v>
      </c>
      <c r="L382" s="22">
        <v>56</v>
      </c>
      <c r="M382" s="22">
        <v>4</v>
      </c>
      <c r="N382" s="22">
        <v>16</v>
      </c>
      <c r="O382" s="22" t="str">
        <f t="shared" si="41"/>
        <v>Low Attendance</v>
      </c>
    </row>
    <row r="383" spans="1:15" x14ac:dyDescent="0.3">
      <c r="A383" s="22" t="s">
        <v>1329</v>
      </c>
      <c r="B383" t="str">
        <f t="shared" si="35"/>
        <v>Ritu Nair</v>
      </c>
      <c r="C383" t="str">
        <f t="shared" si="36"/>
        <v>Sales</v>
      </c>
      <c r="D383" s="30" t="str">
        <f t="shared" si="37"/>
        <v>Active</v>
      </c>
      <c r="E383" s="22">
        <v>247</v>
      </c>
      <c r="F383" s="22">
        <v>18</v>
      </c>
      <c r="G383" s="22">
        <v>0</v>
      </c>
      <c r="H383" s="22">
        <v>6</v>
      </c>
      <c r="I383" s="22">
        <f t="shared" si="38"/>
        <v>24</v>
      </c>
      <c r="J383" s="22">
        <f t="shared" si="39"/>
        <v>223</v>
      </c>
      <c r="K383" s="26">
        <f t="shared" si="40"/>
        <v>0.90283400809716596</v>
      </c>
      <c r="L383" s="22">
        <v>51</v>
      </c>
      <c r="M383" s="22">
        <v>13</v>
      </c>
      <c r="N383" s="22">
        <v>16</v>
      </c>
      <c r="O383" s="22" t="str">
        <f t="shared" si="41"/>
        <v>Normal</v>
      </c>
    </row>
    <row r="384" spans="1:15" x14ac:dyDescent="0.3">
      <c r="A384" s="22" t="s">
        <v>1332</v>
      </c>
      <c r="B384" t="str">
        <f t="shared" si="35"/>
        <v>Keerthi Kamath</v>
      </c>
      <c r="C384" t="str">
        <f t="shared" si="36"/>
        <v>Sales</v>
      </c>
      <c r="D384" s="30" t="str">
        <f t="shared" si="37"/>
        <v>Exited</v>
      </c>
      <c r="E384" s="22">
        <v>242</v>
      </c>
      <c r="F384" s="22">
        <v>19</v>
      </c>
      <c r="G384" s="22">
        <v>2</v>
      </c>
      <c r="H384" s="22">
        <v>1</v>
      </c>
      <c r="I384" s="22">
        <f t="shared" si="38"/>
        <v>22</v>
      </c>
      <c r="J384" s="22">
        <f t="shared" si="39"/>
        <v>220</v>
      </c>
      <c r="K384" s="26">
        <f t="shared" si="40"/>
        <v>0.90909090909090906</v>
      </c>
      <c r="L384" s="22">
        <v>12</v>
      </c>
      <c r="M384" s="22">
        <v>7</v>
      </c>
      <c r="N384" s="22">
        <v>0</v>
      </c>
      <c r="O384" s="22" t="str">
        <f t="shared" si="41"/>
        <v>Normal</v>
      </c>
    </row>
    <row r="385" spans="1:15" x14ac:dyDescent="0.3">
      <c r="A385" s="22" t="s">
        <v>1335</v>
      </c>
      <c r="B385" t="str">
        <f t="shared" si="35"/>
        <v>Sakshi Varghese</v>
      </c>
      <c r="C385" t="str">
        <f t="shared" si="36"/>
        <v>Sales</v>
      </c>
      <c r="D385" s="30" t="str">
        <f t="shared" si="37"/>
        <v>Active</v>
      </c>
      <c r="E385" s="22">
        <v>241</v>
      </c>
      <c r="F385" s="22">
        <v>13</v>
      </c>
      <c r="G385" s="22">
        <v>0</v>
      </c>
      <c r="H385" s="22">
        <v>12</v>
      </c>
      <c r="I385" s="22">
        <f t="shared" si="38"/>
        <v>25</v>
      </c>
      <c r="J385" s="22">
        <f t="shared" si="39"/>
        <v>216</v>
      </c>
      <c r="K385" s="26">
        <f t="shared" si="40"/>
        <v>0.89626556016597514</v>
      </c>
      <c r="L385" s="22">
        <v>71</v>
      </c>
      <c r="M385" s="22">
        <v>10</v>
      </c>
      <c r="N385" s="22">
        <v>35</v>
      </c>
      <c r="O385" s="22" t="str">
        <f t="shared" si="41"/>
        <v>High Unplanned</v>
      </c>
    </row>
    <row r="386" spans="1:15" x14ac:dyDescent="0.3">
      <c r="A386" s="22" t="s">
        <v>1338</v>
      </c>
      <c r="B386" t="str">
        <f t="shared" ref="B386:B449" si="42">INDEX(M_Name,MATCH($A386,M_ID,0))</f>
        <v>Mohit Desai</v>
      </c>
      <c r="C386" t="str">
        <f t="shared" ref="C386:C449" si="43">INDEX(M_Dept,MATCH($A386,M_ID,0))</f>
        <v>Legal &amp; Compliance</v>
      </c>
      <c r="D386" s="30" t="str">
        <f t="shared" ref="D386:D449" si="44">INDEX(M_Status,MATCH($A386,M_ID,0))</f>
        <v>Active</v>
      </c>
      <c r="E386" s="22">
        <v>241</v>
      </c>
      <c r="F386" s="22">
        <v>9</v>
      </c>
      <c r="G386" s="22">
        <v>6</v>
      </c>
      <c r="H386" s="22">
        <v>0</v>
      </c>
      <c r="I386" s="22">
        <f t="shared" ref="I386:I449" si="45">SUM(F386:H386)</f>
        <v>15</v>
      </c>
      <c r="J386" s="22">
        <f t="shared" ref="J386:J449" si="46">E386-I386</f>
        <v>226</v>
      </c>
      <c r="K386" s="26">
        <f t="shared" ref="K386:K449" si="47">IFERROR(J386/E386,0)</f>
        <v>0.93775933609958506</v>
      </c>
      <c r="L386" s="22">
        <v>20</v>
      </c>
      <c r="M386" s="22">
        <v>4</v>
      </c>
      <c r="N386" s="22">
        <v>39</v>
      </c>
      <c r="O386" s="22" t="str">
        <f t="shared" ref="O386:O449" si="48">IF(H386&gt;=8,"High Unplanned",IF(K386&lt;0.9,"Low Attendance","Normal"))</f>
        <v>Normal</v>
      </c>
    </row>
    <row r="387" spans="1:15" x14ac:dyDescent="0.3">
      <c r="A387" s="22" t="s">
        <v>1341</v>
      </c>
      <c r="B387" t="str">
        <f t="shared" si="42"/>
        <v>Ajay Bose</v>
      </c>
      <c r="C387" t="str">
        <f t="shared" si="43"/>
        <v>Legal &amp; Compliance</v>
      </c>
      <c r="D387" s="30" t="str">
        <f t="shared" si="44"/>
        <v>Active</v>
      </c>
      <c r="E387" s="22">
        <v>237</v>
      </c>
      <c r="F387" s="22">
        <v>14</v>
      </c>
      <c r="G387" s="22">
        <v>5</v>
      </c>
      <c r="H387" s="22">
        <v>8</v>
      </c>
      <c r="I387" s="22">
        <f t="shared" si="45"/>
        <v>27</v>
      </c>
      <c r="J387" s="22">
        <f t="shared" si="46"/>
        <v>210</v>
      </c>
      <c r="K387" s="26">
        <f t="shared" si="47"/>
        <v>0.88607594936708856</v>
      </c>
      <c r="L387" s="22">
        <v>66</v>
      </c>
      <c r="M387" s="22">
        <v>2</v>
      </c>
      <c r="N387" s="22">
        <v>16</v>
      </c>
      <c r="O387" s="22" t="str">
        <f t="shared" si="48"/>
        <v>High Unplanned</v>
      </c>
    </row>
    <row r="388" spans="1:15" x14ac:dyDescent="0.3">
      <c r="A388" s="22" t="s">
        <v>1344</v>
      </c>
      <c r="B388" t="str">
        <f t="shared" si="42"/>
        <v>Rakesh Khanna</v>
      </c>
      <c r="C388" t="str">
        <f t="shared" si="43"/>
        <v>Marketing</v>
      </c>
      <c r="D388" s="30" t="str">
        <f t="shared" si="44"/>
        <v>Active</v>
      </c>
      <c r="E388" s="22">
        <v>234</v>
      </c>
      <c r="F388" s="22">
        <v>18</v>
      </c>
      <c r="G388" s="22">
        <v>4</v>
      </c>
      <c r="H388" s="22">
        <v>1</v>
      </c>
      <c r="I388" s="22">
        <f t="shared" si="45"/>
        <v>23</v>
      </c>
      <c r="J388" s="22">
        <f t="shared" si="46"/>
        <v>211</v>
      </c>
      <c r="K388" s="26">
        <f t="shared" si="47"/>
        <v>0.90170940170940173</v>
      </c>
      <c r="L388" s="22">
        <v>73</v>
      </c>
      <c r="M388" s="22">
        <v>2</v>
      </c>
      <c r="N388" s="22">
        <v>14</v>
      </c>
      <c r="O388" s="22" t="str">
        <f t="shared" si="48"/>
        <v>Normal</v>
      </c>
    </row>
    <row r="389" spans="1:15" x14ac:dyDescent="0.3">
      <c r="A389" s="22" t="s">
        <v>1347</v>
      </c>
      <c r="B389" t="str">
        <f t="shared" si="42"/>
        <v>Shreya Jain</v>
      </c>
      <c r="C389" t="str">
        <f t="shared" si="43"/>
        <v>Engineering</v>
      </c>
      <c r="D389" s="30" t="str">
        <f t="shared" si="44"/>
        <v>Active</v>
      </c>
      <c r="E389" s="22">
        <v>234</v>
      </c>
      <c r="F389" s="22">
        <v>16</v>
      </c>
      <c r="G389" s="22">
        <v>2</v>
      </c>
      <c r="H389" s="22">
        <v>0</v>
      </c>
      <c r="I389" s="22">
        <f t="shared" si="45"/>
        <v>18</v>
      </c>
      <c r="J389" s="22">
        <f t="shared" si="46"/>
        <v>216</v>
      </c>
      <c r="K389" s="26">
        <f t="shared" si="47"/>
        <v>0.92307692307692313</v>
      </c>
      <c r="L389" s="22">
        <v>89</v>
      </c>
      <c r="M389" s="22">
        <v>10</v>
      </c>
      <c r="N389" s="22">
        <v>6</v>
      </c>
      <c r="O389" s="22" t="str">
        <f t="shared" si="48"/>
        <v>Normal</v>
      </c>
    </row>
    <row r="390" spans="1:15" x14ac:dyDescent="0.3">
      <c r="A390" s="22" t="s">
        <v>1350</v>
      </c>
      <c r="B390" t="str">
        <f t="shared" si="42"/>
        <v>Sneha Yadav</v>
      </c>
      <c r="C390" t="str">
        <f t="shared" si="43"/>
        <v>Engineering</v>
      </c>
      <c r="D390" s="30" t="str">
        <f t="shared" si="44"/>
        <v>Active</v>
      </c>
      <c r="E390" s="22">
        <v>233</v>
      </c>
      <c r="F390" s="22">
        <v>9</v>
      </c>
      <c r="G390" s="22">
        <v>1</v>
      </c>
      <c r="H390" s="22">
        <v>3</v>
      </c>
      <c r="I390" s="22">
        <f t="shared" si="45"/>
        <v>13</v>
      </c>
      <c r="J390" s="22">
        <f t="shared" si="46"/>
        <v>220</v>
      </c>
      <c r="K390" s="26">
        <f t="shared" si="47"/>
        <v>0.94420600858369097</v>
      </c>
      <c r="L390" s="22">
        <v>33</v>
      </c>
      <c r="M390" s="22">
        <v>10</v>
      </c>
      <c r="N390" s="22">
        <v>64</v>
      </c>
      <c r="O390" s="22" t="str">
        <f t="shared" si="48"/>
        <v>Normal</v>
      </c>
    </row>
    <row r="391" spans="1:15" x14ac:dyDescent="0.3">
      <c r="A391" s="22" t="s">
        <v>1353</v>
      </c>
      <c r="B391" t="str">
        <f t="shared" si="42"/>
        <v>Harsh Kapoor</v>
      </c>
      <c r="C391" t="str">
        <f t="shared" si="43"/>
        <v>Operations</v>
      </c>
      <c r="D391" s="30" t="str">
        <f t="shared" si="44"/>
        <v>Active</v>
      </c>
      <c r="E391" s="22">
        <v>233</v>
      </c>
      <c r="F391" s="22">
        <v>19</v>
      </c>
      <c r="G391" s="22">
        <v>7</v>
      </c>
      <c r="H391" s="22">
        <v>2</v>
      </c>
      <c r="I391" s="22">
        <f t="shared" si="45"/>
        <v>28</v>
      </c>
      <c r="J391" s="22">
        <f t="shared" si="46"/>
        <v>205</v>
      </c>
      <c r="K391" s="26">
        <f t="shared" si="47"/>
        <v>0.87982832618025753</v>
      </c>
      <c r="L391" s="22">
        <v>1</v>
      </c>
      <c r="M391" s="22">
        <v>8</v>
      </c>
      <c r="N391" s="22">
        <v>91</v>
      </c>
      <c r="O391" s="22" t="str">
        <f t="shared" si="48"/>
        <v>Low Attendance</v>
      </c>
    </row>
    <row r="392" spans="1:15" x14ac:dyDescent="0.3">
      <c r="A392" s="22" t="s">
        <v>1356</v>
      </c>
      <c r="B392" t="str">
        <f t="shared" si="42"/>
        <v>Venkat Iyer</v>
      </c>
      <c r="C392" t="str">
        <f t="shared" si="43"/>
        <v>Data &amp; Analytics</v>
      </c>
      <c r="D392" s="30" t="str">
        <f t="shared" si="44"/>
        <v>Exited</v>
      </c>
      <c r="E392" s="22">
        <v>148</v>
      </c>
      <c r="F392" s="22">
        <v>9</v>
      </c>
      <c r="G392" s="22">
        <v>0</v>
      </c>
      <c r="H392" s="22">
        <v>8</v>
      </c>
      <c r="I392" s="22">
        <f t="shared" si="45"/>
        <v>17</v>
      </c>
      <c r="J392" s="22">
        <f t="shared" si="46"/>
        <v>131</v>
      </c>
      <c r="K392" s="26">
        <f t="shared" si="47"/>
        <v>0.88513513513513509</v>
      </c>
      <c r="L392" s="22">
        <v>43</v>
      </c>
      <c r="M392" s="22">
        <v>4</v>
      </c>
      <c r="N392" s="22">
        <v>1</v>
      </c>
      <c r="O392" s="22" t="str">
        <f t="shared" si="48"/>
        <v>High Unplanned</v>
      </c>
    </row>
    <row r="393" spans="1:15" x14ac:dyDescent="0.3">
      <c r="A393" s="22" t="s">
        <v>1359</v>
      </c>
      <c r="B393" t="str">
        <f t="shared" si="42"/>
        <v>Sowmya Khan</v>
      </c>
      <c r="C393" t="str">
        <f t="shared" si="43"/>
        <v>Legal &amp; Compliance</v>
      </c>
      <c r="D393" s="30" t="str">
        <f t="shared" si="44"/>
        <v>Active</v>
      </c>
      <c r="E393" s="22">
        <v>230</v>
      </c>
      <c r="F393" s="22">
        <v>16</v>
      </c>
      <c r="G393" s="22">
        <v>5</v>
      </c>
      <c r="H393" s="22">
        <v>4</v>
      </c>
      <c r="I393" s="22">
        <f t="shared" si="45"/>
        <v>25</v>
      </c>
      <c r="J393" s="22">
        <f t="shared" si="46"/>
        <v>205</v>
      </c>
      <c r="K393" s="26">
        <f t="shared" si="47"/>
        <v>0.89130434782608692</v>
      </c>
      <c r="L393" s="22">
        <v>86</v>
      </c>
      <c r="M393" s="22">
        <v>3</v>
      </c>
      <c r="N393" s="22">
        <v>22</v>
      </c>
      <c r="O393" s="22" t="str">
        <f t="shared" si="48"/>
        <v>Low Attendance</v>
      </c>
    </row>
    <row r="394" spans="1:15" x14ac:dyDescent="0.3">
      <c r="A394" s="22" t="s">
        <v>1362</v>
      </c>
      <c r="B394" t="str">
        <f t="shared" si="42"/>
        <v>Suresh Chatterjee</v>
      </c>
      <c r="C394" t="str">
        <f t="shared" si="43"/>
        <v>Product</v>
      </c>
      <c r="D394" s="30" t="str">
        <f t="shared" si="44"/>
        <v>Active</v>
      </c>
      <c r="E394" s="22">
        <v>229</v>
      </c>
      <c r="F394" s="22">
        <v>7</v>
      </c>
      <c r="G394" s="22">
        <v>1</v>
      </c>
      <c r="H394" s="22">
        <v>2</v>
      </c>
      <c r="I394" s="22">
        <f t="shared" si="45"/>
        <v>10</v>
      </c>
      <c r="J394" s="22">
        <f t="shared" si="46"/>
        <v>219</v>
      </c>
      <c r="K394" s="26">
        <f t="shared" si="47"/>
        <v>0.95633187772925765</v>
      </c>
      <c r="L394" s="22">
        <v>24</v>
      </c>
      <c r="M394" s="22">
        <v>8</v>
      </c>
      <c r="N394" s="22">
        <v>4</v>
      </c>
      <c r="O394" s="22" t="str">
        <f t="shared" si="48"/>
        <v>Normal</v>
      </c>
    </row>
    <row r="395" spans="1:15" x14ac:dyDescent="0.3">
      <c r="A395" s="22" t="s">
        <v>1365</v>
      </c>
      <c r="B395" t="str">
        <f t="shared" si="42"/>
        <v>Aditya Das</v>
      </c>
      <c r="C395" t="str">
        <f t="shared" si="43"/>
        <v>Engineering</v>
      </c>
      <c r="D395" s="30" t="str">
        <f t="shared" si="44"/>
        <v>Exited</v>
      </c>
      <c r="E395" s="22">
        <v>221</v>
      </c>
      <c r="F395" s="22">
        <v>9</v>
      </c>
      <c r="G395" s="22">
        <v>3</v>
      </c>
      <c r="H395" s="22">
        <v>1</v>
      </c>
      <c r="I395" s="22">
        <f t="shared" si="45"/>
        <v>13</v>
      </c>
      <c r="J395" s="22">
        <f t="shared" si="46"/>
        <v>208</v>
      </c>
      <c r="K395" s="26">
        <f t="shared" si="47"/>
        <v>0.94117647058823528</v>
      </c>
      <c r="L395" s="22">
        <v>57</v>
      </c>
      <c r="M395" s="22">
        <v>13</v>
      </c>
      <c r="N395" s="22">
        <v>105</v>
      </c>
      <c r="O395" s="22" t="str">
        <f t="shared" si="48"/>
        <v>Normal</v>
      </c>
    </row>
    <row r="396" spans="1:15" x14ac:dyDescent="0.3">
      <c r="A396" s="22" t="s">
        <v>1368</v>
      </c>
      <c r="B396" t="str">
        <f t="shared" si="42"/>
        <v>Ankit Banerjee</v>
      </c>
      <c r="C396" t="str">
        <f t="shared" si="43"/>
        <v>Operations</v>
      </c>
      <c r="D396" s="30" t="str">
        <f t="shared" si="44"/>
        <v>Active</v>
      </c>
      <c r="E396" s="22">
        <v>219</v>
      </c>
      <c r="F396" s="22">
        <v>16</v>
      </c>
      <c r="G396" s="22">
        <v>6</v>
      </c>
      <c r="H396" s="22">
        <v>0</v>
      </c>
      <c r="I396" s="22">
        <f t="shared" si="45"/>
        <v>22</v>
      </c>
      <c r="J396" s="22">
        <f t="shared" si="46"/>
        <v>197</v>
      </c>
      <c r="K396" s="26">
        <f t="shared" si="47"/>
        <v>0.8995433789954338</v>
      </c>
      <c r="L396" s="22">
        <v>13</v>
      </c>
      <c r="M396" s="22">
        <v>14</v>
      </c>
      <c r="N396" s="22">
        <v>36</v>
      </c>
      <c r="O396" s="22" t="str">
        <f t="shared" si="48"/>
        <v>Low Attendance</v>
      </c>
    </row>
    <row r="397" spans="1:15" x14ac:dyDescent="0.3">
      <c r="A397" s="22" t="s">
        <v>1371</v>
      </c>
      <c r="B397" t="str">
        <f t="shared" si="42"/>
        <v>Aniket Hegde</v>
      </c>
      <c r="C397" t="str">
        <f t="shared" si="43"/>
        <v>Marketing</v>
      </c>
      <c r="D397" s="30" t="str">
        <f t="shared" si="44"/>
        <v>Active</v>
      </c>
      <c r="E397" s="22">
        <v>219</v>
      </c>
      <c r="F397" s="22">
        <v>8</v>
      </c>
      <c r="G397" s="22">
        <v>0</v>
      </c>
      <c r="H397" s="22">
        <v>1</v>
      </c>
      <c r="I397" s="22">
        <f t="shared" si="45"/>
        <v>9</v>
      </c>
      <c r="J397" s="22">
        <f t="shared" si="46"/>
        <v>210</v>
      </c>
      <c r="K397" s="26">
        <f t="shared" si="47"/>
        <v>0.95890410958904104</v>
      </c>
      <c r="L397" s="22">
        <v>56</v>
      </c>
      <c r="M397" s="22">
        <v>5</v>
      </c>
      <c r="N397" s="22">
        <v>26</v>
      </c>
      <c r="O397" s="22" t="str">
        <f t="shared" si="48"/>
        <v>Normal</v>
      </c>
    </row>
    <row r="398" spans="1:15" x14ac:dyDescent="0.3">
      <c r="A398" s="22" t="s">
        <v>1374</v>
      </c>
      <c r="B398" t="str">
        <f t="shared" si="42"/>
        <v>Bhavana Dsouza</v>
      </c>
      <c r="C398" t="str">
        <f t="shared" si="43"/>
        <v>Product</v>
      </c>
      <c r="D398" s="30" t="str">
        <f t="shared" si="44"/>
        <v>Active</v>
      </c>
      <c r="E398" s="22">
        <v>214</v>
      </c>
      <c r="F398" s="22">
        <v>20</v>
      </c>
      <c r="G398" s="22">
        <v>5</v>
      </c>
      <c r="H398" s="22">
        <v>6</v>
      </c>
      <c r="I398" s="22">
        <f t="shared" si="45"/>
        <v>31</v>
      </c>
      <c r="J398" s="22">
        <f t="shared" si="46"/>
        <v>183</v>
      </c>
      <c r="K398" s="26">
        <f t="shared" si="47"/>
        <v>0.85514018691588789</v>
      </c>
      <c r="L398" s="22">
        <v>89</v>
      </c>
      <c r="M398" s="22">
        <v>0</v>
      </c>
      <c r="N398" s="22">
        <v>10</v>
      </c>
      <c r="O398" s="22" t="str">
        <f t="shared" si="48"/>
        <v>Low Attendance</v>
      </c>
    </row>
    <row r="399" spans="1:15" x14ac:dyDescent="0.3">
      <c r="A399" s="22" t="s">
        <v>1377</v>
      </c>
      <c r="B399" t="str">
        <f t="shared" si="42"/>
        <v>Vidya Desai</v>
      </c>
      <c r="C399" t="str">
        <f t="shared" si="43"/>
        <v>Customer Support</v>
      </c>
      <c r="D399" s="30" t="str">
        <f t="shared" si="44"/>
        <v>Active</v>
      </c>
      <c r="E399" s="22">
        <v>213</v>
      </c>
      <c r="F399" s="22">
        <v>11</v>
      </c>
      <c r="G399" s="22">
        <v>0</v>
      </c>
      <c r="H399" s="22">
        <v>4</v>
      </c>
      <c r="I399" s="22">
        <f t="shared" si="45"/>
        <v>15</v>
      </c>
      <c r="J399" s="22">
        <f t="shared" si="46"/>
        <v>198</v>
      </c>
      <c r="K399" s="26">
        <f t="shared" si="47"/>
        <v>0.92957746478873238</v>
      </c>
      <c r="L399" s="22">
        <v>18</v>
      </c>
      <c r="M399" s="22">
        <v>0</v>
      </c>
      <c r="N399" s="22">
        <v>13</v>
      </c>
      <c r="O399" s="22" t="str">
        <f t="shared" si="48"/>
        <v>Normal</v>
      </c>
    </row>
    <row r="400" spans="1:15" x14ac:dyDescent="0.3">
      <c r="A400" s="22" t="s">
        <v>1380</v>
      </c>
      <c r="B400" t="str">
        <f t="shared" si="42"/>
        <v>Vishal Kumar</v>
      </c>
      <c r="C400" t="str">
        <f t="shared" si="43"/>
        <v>Legal &amp; Compliance</v>
      </c>
      <c r="D400" s="30" t="str">
        <f t="shared" si="44"/>
        <v>Active</v>
      </c>
      <c r="E400" s="22">
        <v>213</v>
      </c>
      <c r="F400" s="22">
        <v>15</v>
      </c>
      <c r="G400" s="22">
        <v>3</v>
      </c>
      <c r="H400" s="22">
        <v>5</v>
      </c>
      <c r="I400" s="22">
        <f t="shared" si="45"/>
        <v>23</v>
      </c>
      <c r="J400" s="22">
        <f t="shared" si="46"/>
        <v>190</v>
      </c>
      <c r="K400" s="26">
        <f t="shared" si="47"/>
        <v>0.892018779342723</v>
      </c>
      <c r="L400" s="22">
        <v>75</v>
      </c>
      <c r="M400" s="22">
        <v>11</v>
      </c>
      <c r="N400" s="22">
        <v>32</v>
      </c>
      <c r="O400" s="22" t="str">
        <f t="shared" si="48"/>
        <v>Low Attendance</v>
      </c>
    </row>
    <row r="401" spans="1:15" x14ac:dyDescent="0.3">
      <c r="A401" s="22" t="s">
        <v>1383</v>
      </c>
      <c r="B401" t="str">
        <f t="shared" si="42"/>
        <v>Suresh Singh</v>
      </c>
      <c r="C401" t="str">
        <f t="shared" si="43"/>
        <v>Customer Support</v>
      </c>
      <c r="D401" s="30" t="str">
        <f t="shared" si="44"/>
        <v>Active</v>
      </c>
      <c r="E401" s="22">
        <v>211</v>
      </c>
      <c r="F401" s="22">
        <v>18</v>
      </c>
      <c r="G401" s="22">
        <v>5</v>
      </c>
      <c r="H401" s="22">
        <v>13</v>
      </c>
      <c r="I401" s="22">
        <f t="shared" si="45"/>
        <v>36</v>
      </c>
      <c r="J401" s="22">
        <f t="shared" si="46"/>
        <v>175</v>
      </c>
      <c r="K401" s="26">
        <f t="shared" si="47"/>
        <v>0.82938388625592419</v>
      </c>
      <c r="L401" s="22">
        <v>18</v>
      </c>
      <c r="M401" s="22">
        <v>0</v>
      </c>
      <c r="N401" s="22">
        <v>84</v>
      </c>
      <c r="O401" s="22" t="str">
        <f t="shared" si="48"/>
        <v>High Unplanned</v>
      </c>
    </row>
    <row r="402" spans="1:15" x14ac:dyDescent="0.3">
      <c r="A402" s="22" t="s">
        <v>1386</v>
      </c>
      <c r="B402" t="str">
        <f t="shared" si="42"/>
        <v>Mansi Yadav</v>
      </c>
      <c r="C402" t="str">
        <f t="shared" si="43"/>
        <v>Engineering</v>
      </c>
      <c r="D402" s="30" t="str">
        <f t="shared" si="44"/>
        <v>Active</v>
      </c>
      <c r="E402" s="22">
        <v>206</v>
      </c>
      <c r="F402" s="22">
        <v>17</v>
      </c>
      <c r="G402" s="22">
        <v>2</v>
      </c>
      <c r="H402" s="22">
        <v>3</v>
      </c>
      <c r="I402" s="22">
        <f t="shared" si="45"/>
        <v>22</v>
      </c>
      <c r="J402" s="22">
        <f t="shared" si="46"/>
        <v>184</v>
      </c>
      <c r="K402" s="26">
        <f t="shared" si="47"/>
        <v>0.89320388349514568</v>
      </c>
      <c r="L402" s="22">
        <v>19</v>
      </c>
      <c r="M402" s="22">
        <v>14</v>
      </c>
      <c r="N402" s="22">
        <v>28</v>
      </c>
      <c r="O402" s="22" t="str">
        <f t="shared" si="48"/>
        <v>Low Attendance</v>
      </c>
    </row>
    <row r="403" spans="1:15" x14ac:dyDescent="0.3">
      <c r="A403" s="22" t="s">
        <v>1389</v>
      </c>
      <c r="B403" t="str">
        <f t="shared" si="42"/>
        <v>Tarun Prabhu</v>
      </c>
      <c r="C403" t="str">
        <f t="shared" si="43"/>
        <v>Product</v>
      </c>
      <c r="D403" s="30" t="str">
        <f t="shared" si="44"/>
        <v>Active</v>
      </c>
      <c r="E403" s="22">
        <v>204</v>
      </c>
      <c r="F403" s="22">
        <v>15</v>
      </c>
      <c r="G403" s="22">
        <v>8</v>
      </c>
      <c r="H403" s="22">
        <v>12</v>
      </c>
      <c r="I403" s="22">
        <f t="shared" si="45"/>
        <v>35</v>
      </c>
      <c r="J403" s="22">
        <f t="shared" si="46"/>
        <v>169</v>
      </c>
      <c r="K403" s="26">
        <f t="shared" si="47"/>
        <v>0.82843137254901966</v>
      </c>
      <c r="L403" s="22">
        <v>90</v>
      </c>
      <c r="M403" s="22">
        <v>8</v>
      </c>
      <c r="N403" s="22">
        <v>26</v>
      </c>
      <c r="O403" s="22" t="str">
        <f t="shared" si="48"/>
        <v>High Unplanned</v>
      </c>
    </row>
    <row r="404" spans="1:15" x14ac:dyDescent="0.3">
      <c r="A404" s="22" t="s">
        <v>1392</v>
      </c>
      <c r="B404" t="str">
        <f t="shared" si="42"/>
        <v>Tarun Naidu</v>
      </c>
      <c r="C404" t="str">
        <f t="shared" si="43"/>
        <v>Sales</v>
      </c>
      <c r="D404" s="30" t="str">
        <f t="shared" si="44"/>
        <v>Exited</v>
      </c>
      <c r="E404" s="22">
        <v>141</v>
      </c>
      <c r="F404" s="22">
        <v>14</v>
      </c>
      <c r="G404" s="22">
        <v>1</v>
      </c>
      <c r="H404" s="22">
        <v>11</v>
      </c>
      <c r="I404" s="22">
        <f t="shared" si="45"/>
        <v>26</v>
      </c>
      <c r="J404" s="22">
        <f t="shared" si="46"/>
        <v>115</v>
      </c>
      <c r="K404" s="26">
        <f t="shared" si="47"/>
        <v>0.81560283687943258</v>
      </c>
      <c r="L404" s="22">
        <v>16</v>
      </c>
      <c r="M404" s="22">
        <v>9</v>
      </c>
      <c r="N404" s="22">
        <v>30</v>
      </c>
      <c r="O404" s="22" t="str">
        <f t="shared" si="48"/>
        <v>High Unplanned</v>
      </c>
    </row>
    <row r="405" spans="1:15" x14ac:dyDescent="0.3">
      <c r="A405" s="22" t="s">
        <v>1395</v>
      </c>
      <c r="B405" t="str">
        <f t="shared" si="42"/>
        <v>Meera Khanna</v>
      </c>
      <c r="C405" t="str">
        <f t="shared" si="43"/>
        <v>Operations</v>
      </c>
      <c r="D405" s="30" t="str">
        <f t="shared" si="44"/>
        <v>Active</v>
      </c>
      <c r="E405" s="22">
        <v>196</v>
      </c>
      <c r="F405" s="22">
        <v>16</v>
      </c>
      <c r="G405" s="22">
        <v>8</v>
      </c>
      <c r="H405" s="22">
        <v>2</v>
      </c>
      <c r="I405" s="22">
        <f t="shared" si="45"/>
        <v>26</v>
      </c>
      <c r="J405" s="22">
        <f t="shared" si="46"/>
        <v>170</v>
      </c>
      <c r="K405" s="26">
        <f t="shared" si="47"/>
        <v>0.86734693877551017</v>
      </c>
      <c r="L405" s="22">
        <v>10</v>
      </c>
      <c r="M405" s="22">
        <v>4</v>
      </c>
      <c r="N405" s="22">
        <v>24</v>
      </c>
      <c r="O405" s="22" t="str">
        <f t="shared" si="48"/>
        <v>Low Attendance</v>
      </c>
    </row>
    <row r="406" spans="1:15" x14ac:dyDescent="0.3">
      <c r="A406" s="22" t="s">
        <v>1398</v>
      </c>
      <c r="B406" t="str">
        <f t="shared" si="42"/>
        <v>Rashmi Banerjee</v>
      </c>
      <c r="C406" t="str">
        <f t="shared" si="43"/>
        <v>Human Resources</v>
      </c>
      <c r="D406" s="30" t="str">
        <f t="shared" si="44"/>
        <v>Active</v>
      </c>
      <c r="E406" s="22">
        <v>195</v>
      </c>
      <c r="F406" s="22">
        <v>19</v>
      </c>
      <c r="G406" s="22">
        <v>4</v>
      </c>
      <c r="H406" s="22">
        <v>8</v>
      </c>
      <c r="I406" s="22">
        <f t="shared" si="45"/>
        <v>31</v>
      </c>
      <c r="J406" s="22">
        <f t="shared" si="46"/>
        <v>164</v>
      </c>
      <c r="K406" s="26">
        <f t="shared" si="47"/>
        <v>0.84102564102564104</v>
      </c>
      <c r="L406" s="22">
        <v>52</v>
      </c>
      <c r="M406" s="22">
        <v>3</v>
      </c>
      <c r="N406" s="22">
        <v>23</v>
      </c>
      <c r="O406" s="22" t="str">
        <f t="shared" si="48"/>
        <v>High Unplanned</v>
      </c>
    </row>
    <row r="407" spans="1:15" x14ac:dyDescent="0.3">
      <c r="A407" s="22" t="s">
        <v>1401</v>
      </c>
      <c r="B407" t="str">
        <f t="shared" si="42"/>
        <v>Anand Bose</v>
      </c>
      <c r="C407" t="str">
        <f t="shared" si="43"/>
        <v>Operations</v>
      </c>
      <c r="D407" s="30" t="str">
        <f t="shared" si="44"/>
        <v>Exited</v>
      </c>
      <c r="E407" s="22">
        <v>192</v>
      </c>
      <c r="F407" s="22">
        <v>9</v>
      </c>
      <c r="G407" s="22">
        <v>7</v>
      </c>
      <c r="H407" s="22">
        <v>1</v>
      </c>
      <c r="I407" s="22">
        <f t="shared" si="45"/>
        <v>17</v>
      </c>
      <c r="J407" s="22">
        <f t="shared" si="46"/>
        <v>175</v>
      </c>
      <c r="K407" s="26">
        <f t="shared" si="47"/>
        <v>0.91145833333333337</v>
      </c>
      <c r="L407" s="22">
        <v>3</v>
      </c>
      <c r="M407" s="22">
        <v>11</v>
      </c>
      <c r="N407" s="22">
        <v>30</v>
      </c>
      <c r="O407" s="22" t="str">
        <f t="shared" si="48"/>
        <v>Normal</v>
      </c>
    </row>
    <row r="408" spans="1:15" x14ac:dyDescent="0.3">
      <c r="A408" s="22" t="s">
        <v>823</v>
      </c>
      <c r="B408" t="str">
        <f t="shared" si="42"/>
        <v>Anand Naidu</v>
      </c>
      <c r="C408" t="str">
        <f t="shared" si="43"/>
        <v>Customer Support</v>
      </c>
      <c r="D408" s="30" t="str">
        <f t="shared" si="44"/>
        <v>Active</v>
      </c>
      <c r="E408" s="22">
        <v>190</v>
      </c>
      <c r="F408" s="22">
        <v>13</v>
      </c>
      <c r="G408" s="22">
        <v>6</v>
      </c>
      <c r="H408" s="22">
        <v>1</v>
      </c>
      <c r="I408" s="22">
        <f t="shared" si="45"/>
        <v>20</v>
      </c>
      <c r="J408" s="22">
        <f t="shared" si="46"/>
        <v>170</v>
      </c>
      <c r="K408" s="26">
        <f t="shared" si="47"/>
        <v>0.89473684210526316</v>
      </c>
      <c r="L408" s="22">
        <v>11</v>
      </c>
      <c r="M408" s="22">
        <v>8</v>
      </c>
      <c r="N408" s="22">
        <v>64</v>
      </c>
      <c r="O408" s="22" t="str">
        <f t="shared" si="48"/>
        <v>Low Attendance</v>
      </c>
    </row>
    <row r="409" spans="1:15" x14ac:dyDescent="0.3">
      <c r="A409" s="22" t="s">
        <v>1405</v>
      </c>
      <c r="B409" t="str">
        <f t="shared" si="42"/>
        <v>Rashmi Kamath</v>
      </c>
      <c r="C409" t="str">
        <f t="shared" si="43"/>
        <v>Customer Support</v>
      </c>
      <c r="D409" s="30" t="str">
        <f t="shared" si="44"/>
        <v>Active</v>
      </c>
      <c r="E409" s="22">
        <v>190</v>
      </c>
      <c r="F409" s="22">
        <v>7</v>
      </c>
      <c r="G409" s="22">
        <v>5</v>
      </c>
      <c r="H409" s="22">
        <v>9</v>
      </c>
      <c r="I409" s="22">
        <f t="shared" si="45"/>
        <v>21</v>
      </c>
      <c r="J409" s="22">
        <f t="shared" si="46"/>
        <v>169</v>
      </c>
      <c r="K409" s="26">
        <f t="shared" si="47"/>
        <v>0.88947368421052631</v>
      </c>
      <c r="L409" s="22">
        <v>7</v>
      </c>
      <c r="M409" s="22">
        <v>7</v>
      </c>
      <c r="N409" s="22">
        <v>100</v>
      </c>
      <c r="O409" s="22" t="str">
        <f t="shared" si="48"/>
        <v>High Unplanned</v>
      </c>
    </row>
    <row r="410" spans="1:15" x14ac:dyDescent="0.3">
      <c r="A410" s="22" t="s">
        <v>1408</v>
      </c>
      <c r="B410" t="str">
        <f t="shared" si="42"/>
        <v>Radhika Menon</v>
      </c>
      <c r="C410" t="str">
        <f t="shared" si="43"/>
        <v>Operations</v>
      </c>
      <c r="D410" s="30" t="str">
        <f t="shared" si="44"/>
        <v>Active</v>
      </c>
      <c r="E410" s="22">
        <v>189</v>
      </c>
      <c r="F410" s="22">
        <v>12</v>
      </c>
      <c r="G410" s="22">
        <v>3</v>
      </c>
      <c r="H410" s="22">
        <v>2</v>
      </c>
      <c r="I410" s="22">
        <f t="shared" si="45"/>
        <v>17</v>
      </c>
      <c r="J410" s="22">
        <f t="shared" si="46"/>
        <v>172</v>
      </c>
      <c r="K410" s="26">
        <f t="shared" si="47"/>
        <v>0.91005291005291</v>
      </c>
      <c r="L410" s="22">
        <v>4</v>
      </c>
      <c r="M410" s="22">
        <v>14</v>
      </c>
      <c r="N410" s="22">
        <v>68</v>
      </c>
      <c r="O410" s="22" t="str">
        <f t="shared" si="48"/>
        <v>Normal</v>
      </c>
    </row>
    <row r="411" spans="1:15" x14ac:dyDescent="0.3">
      <c r="A411" s="22" t="s">
        <v>258</v>
      </c>
      <c r="B411" t="str">
        <f t="shared" si="42"/>
        <v>Ravi Prabhu</v>
      </c>
      <c r="C411" t="str">
        <f t="shared" si="43"/>
        <v>Finance</v>
      </c>
      <c r="D411" s="30" t="str">
        <f t="shared" si="44"/>
        <v>Active</v>
      </c>
      <c r="E411" s="22">
        <v>189</v>
      </c>
      <c r="F411" s="22">
        <v>9</v>
      </c>
      <c r="G411" s="22">
        <v>6</v>
      </c>
      <c r="H411" s="22">
        <v>3</v>
      </c>
      <c r="I411" s="22">
        <f t="shared" si="45"/>
        <v>18</v>
      </c>
      <c r="J411" s="22">
        <f t="shared" si="46"/>
        <v>171</v>
      </c>
      <c r="K411" s="26">
        <f t="shared" si="47"/>
        <v>0.90476190476190477</v>
      </c>
      <c r="L411" s="22">
        <v>27</v>
      </c>
      <c r="M411" s="22">
        <v>9</v>
      </c>
      <c r="N411" s="22">
        <v>16</v>
      </c>
      <c r="O411" s="22" t="str">
        <f t="shared" si="48"/>
        <v>Normal</v>
      </c>
    </row>
    <row r="412" spans="1:15" x14ac:dyDescent="0.3">
      <c r="A412" s="22" t="s">
        <v>1412</v>
      </c>
      <c r="B412" t="str">
        <f t="shared" si="42"/>
        <v>Kunal Joshi</v>
      </c>
      <c r="C412" t="str">
        <f t="shared" si="43"/>
        <v>Engineering</v>
      </c>
      <c r="D412" s="30" t="str">
        <f t="shared" si="44"/>
        <v>Active</v>
      </c>
      <c r="E412" s="22">
        <v>185</v>
      </c>
      <c r="F412" s="22">
        <v>18</v>
      </c>
      <c r="G412" s="22">
        <v>4</v>
      </c>
      <c r="H412" s="22">
        <v>1</v>
      </c>
      <c r="I412" s="22">
        <f t="shared" si="45"/>
        <v>23</v>
      </c>
      <c r="J412" s="22">
        <f t="shared" si="46"/>
        <v>162</v>
      </c>
      <c r="K412" s="26">
        <f t="shared" si="47"/>
        <v>0.87567567567567572</v>
      </c>
      <c r="L412" s="22">
        <v>25</v>
      </c>
      <c r="M412" s="22">
        <v>1</v>
      </c>
      <c r="N412" s="22">
        <v>52</v>
      </c>
      <c r="O412" s="22" t="str">
        <f t="shared" si="48"/>
        <v>Low Attendance</v>
      </c>
    </row>
    <row r="413" spans="1:15" x14ac:dyDescent="0.3">
      <c r="A413" s="22" t="s">
        <v>1415</v>
      </c>
      <c r="B413" t="str">
        <f t="shared" si="42"/>
        <v>Ritu Varghese</v>
      </c>
      <c r="C413" t="str">
        <f t="shared" si="43"/>
        <v>Marketing</v>
      </c>
      <c r="D413" s="30" t="str">
        <f t="shared" si="44"/>
        <v>Active</v>
      </c>
      <c r="E413" s="22">
        <v>182</v>
      </c>
      <c r="F413" s="22">
        <v>12</v>
      </c>
      <c r="G413" s="22">
        <v>8</v>
      </c>
      <c r="H413" s="22">
        <v>12</v>
      </c>
      <c r="I413" s="22">
        <f t="shared" si="45"/>
        <v>32</v>
      </c>
      <c r="J413" s="22">
        <f t="shared" si="46"/>
        <v>150</v>
      </c>
      <c r="K413" s="26">
        <f t="shared" si="47"/>
        <v>0.82417582417582413</v>
      </c>
      <c r="L413" s="22">
        <v>83</v>
      </c>
      <c r="M413" s="22">
        <v>7</v>
      </c>
      <c r="N413" s="22">
        <v>40</v>
      </c>
      <c r="O413" s="22" t="str">
        <f t="shared" si="48"/>
        <v>High Unplanned</v>
      </c>
    </row>
    <row r="414" spans="1:15" x14ac:dyDescent="0.3">
      <c r="A414" s="22" t="s">
        <v>1418</v>
      </c>
      <c r="B414" t="str">
        <f t="shared" si="42"/>
        <v>Joseph Ansari</v>
      </c>
      <c r="C414" t="str">
        <f t="shared" si="43"/>
        <v>Marketing</v>
      </c>
      <c r="D414" s="30" t="str">
        <f t="shared" si="44"/>
        <v>Active</v>
      </c>
      <c r="E414" s="22">
        <v>180</v>
      </c>
      <c r="F414" s="22">
        <v>18</v>
      </c>
      <c r="G414" s="22">
        <v>3</v>
      </c>
      <c r="H414" s="22">
        <v>5</v>
      </c>
      <c r="I414" s="22">
        <f t="shared" si="45"/>
        <v>26</v>
      </c>
      <c r="J414" s="22">
        <f t="shared" si="46"/>
        <v>154</v>
      </c>
      <c r="K414" s="26">
        <f t="shared" si="47"/>
        <v>0.85555555555555551</v>
      </c>
      <c r="L414" s="22">
        <v>68</v>
      </c>
      <c r="M414" s="22">
        <v>0</v>
      </c>
      <c r="N414" s="22">
        <v>10</v>
      </c>
      <c r="O414" s="22" t="str">
        <f t="shared" si="48"/>
        <v>Low Attendance</v>
      </c>
    </row>
    <row r="415" spans="1:15" x14ac:dyDescent="0.3">
      <c r="A415" s="22" t="s">
        <v>1421</v>
      </c>
      <c r="B415" t="str">
        <f t="shared" si="42"/>
        <v>Nisha Saxena</v>
      </c>
      <c r="C415" t="str">
        <f t="shared" si="43"/>
        <v>Customer Support</v>
      </c>
      <c r="D415" s="30" t="str">
        <f t="shared" si="44"/>
        <v>Active</v>
      </c>
      <c r="E415" s="22">
        <v>175</v>
      </c>
      <c r="F415" s="22">
        <v>7</v>
      </c>
      <c r="G415" s="22">
        <v>6</v>
      </c>
      <c r="H415" s="22">
        <v>1</v>
      </c>
      <c r="I415" s="22">
        <f t="shared" si="45"/>
        <v>14</v>
      </c>
      <c r="J415" s="22">
        <f t="shared" si="46"/>
        <v>161</v>
      </c>
      <c r="K415" s="26">
        <f t="shared" si="47"/>
        <v>0.92</v>
      </c>
      <c r="L415" s="22">
        <v>17</v>
      </c>
      <c r="M415" s="22">
        <v>11</v>
      </c>
      <c r="N415" s="22">
        <v>119</v>
      </c>
      <c r="O415" s="22" t="str">
        <f t="shared" si="48"/>
        <v>Normal</v>
      </c>
    </row>
    <row r="416" spans="1:15" x14ac:dyDescent="0.3">
      <c r="A416" s="22" t="s">
        <v>1424</v>
      </c>
      <c r="B416" t="str">
        <f t="shared" si="42"/>
        <v>Arun Dsouza</v>
      </c>
      <c r="C416" t="str">
        <f t="shared" si="43"/>
        <v>Engineering</v>
      </c>
      <c r="D416" s="30" t="str">
        <f t="shared" si="44"/>
        <v>Active</v>
      </c>
      <c r="E416" s="22">
        <v>173</v>
      </c>
      <c r="F416" s="22">
        <v>13</v>
      </c>
      <c r="G416" s="22">
        <v>1</v>
      </c>
      <c r="H416" s="22">
        <v>0</v>
      </c>
      <c r="I416" s="22">
        <f t="shared" si="45"/>
        <v>14</v>
      </c>
      <c r="J416" s="22">
        <f t="shared" si="46"/>
        <v>159</v>
      </c>
      <c r="K416" s="26">
        <f t="shared" si="47"/>
        <v>0.91907514450867056</v>
      </c>
      <c r="L416" s="22">
        <v>14</v>
      </c>
      <c r="M416" s="22">
        <v>13</v>
      </c>
      <c r="N416" s="22">
        <v>55</v>
      </c>
      <c r="O416" s="22" t="str">
        <f t="shared" si="48"/>
        <v>Normal</v>
      </c>
    </row>
    <row r="417" spans="1:15" x14ac:dyDescent="0.3">
      <c r="A417" s="22" t="s">
        <v>1427</v>
      </c>
      <c r="B417" t="str">
        <f t="shared" si="42"/>
        <v>Yash Varghese</v>
      </c>
      <c r="C417" t="str">
        <f t="shared" si="43"/>
        <v>Sales</v>
      </c>
      <c r="D417" s="30" t="str">
        <f t="shared" si="44"/>
        <v>Active</v>
      </c>
      <c r="E417" s="22">
        <v>171</v>
      </c>
      <c r="F417" s="22">
        <v>6</v>
      </c>
      <c r="G417" s="22">
        <v>2</v>
      </c>
      <c r="H417" s="22">
        <v>12</v>
      </c>
      <c r="I417" s="22">
        <f t="shared" si="45"/>
        <v>20</v>
      </c>
      <c r="J417" s="22">
        <f t="shared" si="46"/>
        <v>151</v>
      </c>
      <c r="K417" s="26">
        <f t="shared" si="47"/>
        <v>0.88304093567251463</v>
      </c>
      <c r="L417" s="22">
        <v>26</v>
      </c>
      <c r="M417" s="22">
        <v>8</v>
      </c>
      <c r="N417" s="22">
        <v>33</v>
      </c>
      <c r="O417" s="22" t="str">
        <f t="shared" si="48"/>
        <v>High Unplanned</v>
      </c>
    </row>
    <row r="418" spans="1:15" x14ac:dyDescent="0.3">
      <c r="A418" s="22" t="s">
        <v>1430</v>
      </c>
      <c r="B418" t="str">
        <f t="shared" si="42"/>
        <v>Prakash Pillai</v>
      </c>
      <c r="C418" t="str">
        <f t="shared" si="43"/>
        <v>Engineering</v>
      </c>
      <c r="D418" s="30" t="str">
        <f t="shared" si="44"/>
        <v>Active</v>
      </c>
      <c r="E418" s="22">
        <v>169</v>
      </c>
      <c r="F418" s="22">
        <v>16</v>
      </c>
      <c r="G418" s="22">
        <v>6</v>
      </c>
      <c r="H418" s="22">
        <v>8</v>
      </c>
      <c r="I418" s="22">
        <f t="shared" si="45"/>
        <v>30</v>
      </c>
      <c r="J418" s="22">
        <f t="shared" si="46"/>
        <v>139</v>
      </c>
      <c r="K418" s="26">
        <f t="shared" si="47"/>
        <v>0.8224852071005917</v>
      </c>
      <c r="L418" s="22">
        <v>55</v>
      </c>
      <c r="M418" s="22">
        <v>2</v>
      </c>
      <c r="N418" s="22">
        <v>51</v>
      </c>
      <c r="O418" s="22" t="str">
        <f t="shared" si="48"/>
        <v>High Unplanned</v>
      </c>
    </row>
    <row r="419" spans="1:15" x14ac:dyDescent="0.3">
      <c r="A419" s="22" t="s">
        <v>1433</v>
      </c>
      <c r="B419" t="str">
        <f t="shared" si="42"/>
        <v>Imran Iyer</v>
      </c>
      <c r="C419" t="str">
        <f t="shared" si="43"/>
        <v>Operations</v>
      </c>
      <c r="D419" s="30" t="str">
        <f t="shared" si="44"/>
        <v>Exited</v>
      </c>
      <c r="E419" s="22">
        <v>164</v>
      </c>
      <c r="F419" s="22">
        <v>16</v>
      </c>
      <c r="G419" s="22">
        <v>8</v>
      </c>
      <c r="H419" s="22">
        <v>1</v>
      </c>
      <c r="I419" s="22">
        <f t="shared" si="45"/>
        <v>25</v>
      </c>
      <c r="J419" s="22">
        <f t="shared" si="46"/>
        <v>139</v>
      </c>
      <c r="K419" s="26">
        <f t="shared" si="47"/>
        <v>0.84756097560975607</v>
      </c>
      <c r="L419" s="22">
        <v>9</v>
      </c>
      <c r="M419" s="22">
        <v>1</v>
      </c>
      <c r="N419" s="22">
        <v>43</v>
      </c>
      <c r="O419" s="22" t="str">
        <f t="shared" si="48"/>
        <v>Low Attendance</v>
      </c>
    </row>
    <row r="420" spans="1:15" x14ac:dyDescent="0.3">
      <c r="A420" s="22" t="s">
        <v>1436</v>
      </c>
      <c r="B420" t="str">
        <f t="shared" si="42"/>
        <v>Kiran Raghavan</v>
      </c>
      <c r="C420" t="str">
        <f t="shared" si="43"/>
        <v>Sales</v>
      </c>
      <c r="D420" s="30" t="str">
        <f t="shared" si="44"/>
        <v>Exited</v>
      </c>
      <c r="E420" s="22">
        <v>158</v>
      </c>
      <c r="F420" s="22">
        <v>15</v>
      </c>
      <c r="G420" s="22">
        <v>5</v>
      </c>
      <c r="H420" s="22">
        <v>2</v>
      </c>
      <c r="I420" s="22">
        <f t="shared" si="45"/>
        <v>22</v>
      </c>
      <c r="J420" s="22">
        <f t="shared" si="46"/>
        <v>136</v>
      </c>
      <c r="K420" s="26">
        <f t="shared" si="47"/>
        <v>0.86075949367088611</v>
      </c>
      <c r="L420" s="22">
        <v>88</v>
      </c>
      <c r="M420" s="22">
        <v>1</v>
      </c>
      <c r="N420" s="22">
        <v>2</v>
      </c>
      <c r="O420" s="22" t="str">
        <f t="shared" si="48"/>
        <v>Low Attendance</v>
      </c>
    </row>
    <row r="421" spans="1:15" x14ac:dyDescent="0.3">
      <c r="A421" s="22" t="s">
        <v>1439</v>
      </c>
      <c r="B421" t="str">
        <f t="shared" si="42"/>
        <v>Abhishek Krishnan</v>
      </c>
      <c r="C421" t="str">
        <f t="shared" si="43"/>
        <v>Data &amp; Analytics</v>
      </c>
      <c r="D421" s="30" t="str">
        <f t="shared" si="44"/>
        <v>Exited</v>
      </c>
      <c r="E421" s="22">
        <v>158</v>
      </c>
      <c r="F421" s="22">
        <v>7</v>
      </c>
      <c r="G421" s="22">
        <v>5</v>
      </c>
      <c r="H421" s="22">
        <v>8</v>
      </c>
      <c r="I421" s="22">
        <f t="shared" si="45"/>
        <v>20</v>
      </c>
      <c r="J421" s="22">
        <f t="shared" si="46"/>
        <v>138</v>
      </c>
      <c r="K421" s="26">
        <f t="shared" si="47"/>
        <v>0.87341772151898733</v>
      </c>
      <c r="L421" s="22">
        <v>62</v>
      </c>
      <c r="M421" s="22">
        <v>10</v>
      </c>
      <c r="N421" s="22">
        <v>28</v>
      </c>
      <c r="O421" s="22" t="str">
        <f t="shared" si="48"/>
        <v>High Unplanned</v>
      </c>
    </row>
    <row r="422" spans="1:15" x14ac:dyDescent="0.3">
      <c r="A422" s="22" t="s">
        <v>1442</v>
      </c>
      <c r="B422" t="str">
        <f t="shared" si="42"/>
        <v>Aditya Rao</v>
      </c>
      <c r="C422" t="str">
        <f t="shared" si="43"/>
        <v>Operations</v>
      </c>
      <c r="D422" s="30" t="str">
        <f t="shared" si="44"/>
        <v>Active</v>
      </c>
      <c r="E422" s="22">
        <v>156</v>
      </c>
      <c r="F422" s="22">
        <v>15</v>
      </c>
      <c r="G422" s="22">
        <v>6</v>
      </c>
      <c r="H422" s="22">
        <v>1</v>
      </c>
      <c r="I422" s="22">
        <f t="shared" si="45"/>
        <v>22</v>
      </c>
      <c r="J422" s="22">
        <f t="shared" si="46"/>
        <v>134</v>
      </c>
      <c r="K422" s="26">
        <f t="shared" si="47"/>
        <v>0.85897435897435892</v>
      </c>
      <c r="L422" s="22">
        <v>15</v>
      </c>
      <c r="M422" s="22">
        <v>11</v>
      </c>
      <c r="N422" s="22">
        <v>17</v>
      </c>
      <c r="O422" s="22" t="str">
        <f t="shared" si="48"/>
        <v>Low Attendance</v>
      </c>
    </row>
    <row r="423" spans="1:15" x14ac:dyDescent="0.3">
      <c r="A423" s="22" t="s">
        <v>1445</v>
      </c>
      <c r="B423" t="str">
        <f t="shared" si="42"/>
        <v>Anand Mukherjee</v>
      </c>
      <c r="C423" t="str">
        <f t="shared" si="43"/>
        <v>Sales</v>
      </c>
      <c r="D423" s="30" t="str">
        <f t="shared" si="44"/>
        <v>Active</v>
      </c>
      <c r="E423" s="22">
        <v>151</v>
      </c>
      <c r="F423" s="22">
        <v>15</v>
      </c>
      <c r="G423" s="22">
        <v>2</v>
      </c>
      <c r="H423" s="22">
        <v>3</v>
      </c>
      <c r="I423" s="22">
        <f t="shared" si="45"/>
        <v>20</v>
      </c>
      <c r="J423" s="22">
        <f t="shared" si="46"/>
        <v>131</v>
      </c>
      <c r="K423" s="26">
        <f t="shared" si="47"/>
        <v>0.86754966887417218</v>
      </c>
      <c r="L423" s="22">
        <v>85</v>
      </c>
      <c r="M423" s="22">
        <v>14</v>
      </c>
      <c r="N423" s="22">
        <v>32</v>
      </c>
      <c r="O423" s="22" t="str">
        <f t="shared" si="48"/>
        <v>Low Attendance</v>
      </c>
    </row>
    <row r="424" spans="1:15" x14ac:dyDescent="0.3">
      <c r="A424" s="22" t="s">
        <v>1448</v>
      </c>
      <c r="B424" t="str">
        <f t="shared" si="42"/>
        <v>Lakshmi Rao</v>
      </c>
      <c r="C424" t="str">
        <f t="shared" si="43"/>
        <v>Product</v>
      </c>
      <c r="D424" s="30" t="str">
        <f t="shared" si="44"/>
        <v>Active</v>
      </c>
      <c r="E424" s="22">
        <v>150</v>
      </c>
      <c r="F424" s="22">
        <v>7</v>
      </c>
      <c r="G424" s="22">
        <v>2</v>
      </c>
      <c r="H424" s="22">
        <v>5</v>
      </c>
      <c r="I424" s="22">
        <f t="shared" si="45"/>
        <v>14</v>
      </c>
      <c r="J424" s="22">
        <f t="shared" si="46"/>
        <v>136</v>
      </c>
      <c r="K424" s="26">
        <f t="shared" si="47"/>
        <v>0.90666666666666662</v>
      </c>
      <c r="L424" s="22">
        <v>85</v>
      </c>
      <c r="M424" s="22">
        <v>9</v>
      </c>
      <c r="N424" s="22">
        <v>23</v>
      </c>
      <c r="O424" s="22" t="str">
        <f t="shared" si="48"/>
        <v>Normal</v>
      </c>
    </row>
    <row r="425" spans="1:15" x14ac:dyDescent="0.3">
      <c r="A425" s="22" t="s">
        <v>1451</v>
      </c>
      <c r="B425" t="str">
        <f t="shared" si="42"/>
        <v>Naveen Kapoor</v>
      </c>
      <c r="C425" t="str">
        <f t="shared" si="43"/>
        <v>Engineering</v>
      </c>
      <c r="D425" s="30" t="str">
        <f t="shared" si="44"/>
        <v>Active</v>
      </c>
      <c r="E425" s="22">
        <v>150</v>
      </c>
      <c r="F425" s="22">
        <v>15</v>
      </c>
      <c r="G425" s="22">
        <v>7</v>
      </c>
      <c r="H425" s="22">
        <v>1</v>
      </c>
      <c r="I425" s="22">
        <f t="shared" si="45"/>
        <v>23</v>
      </c>
      <c r="J425" s="22">
        <f t="shared" si="46"/>
        <v>127</v>
      </c>
      <c r="K425" s="26">
        <f t="shared" si="47"/>
        <v>0.84666666666666668</v>
      </c>
      <c r="L425" s="22">
        <v>66</v>
      </c>
      <c r="M425" s="22">
        <v>2</v>
      </c>
      <c r="N425" s="22">
        <v>65</v>
      </c>
      <c r="O425" s="22" t="str">
        <f t="shared" si="48"/>
        <v>Low Attendance</v>
      </c>
    </row>
    <row r="426" spans="1:15" x14ac:dyDescent="0.3">
      <c r="A426" s="22" t="s">
        <v>1454</v>
      </c>
      <c r="B426" t="str">
        <f t="shared" si="42"/>
        <v>Pallavi Prabhu</v>
      </c>
      <c r="C426" t="str">
        <f t="shared" si="43"/>
        <v>Finance</v>
      </c>
      <c r="D426" s="30" t="str">
        <f t="shared" si="44"/>
        <v>Active</v>
      </c>
      <c r="E426" s="22">
        <v>145</v>
      </c>
      <c r="F426" s="22">
        <v>14</v>
      </c>
      <c r="G426" s="22">
        <v>4</v>
      </c>
      <c r="H426" s="22">
        <v>8</v>
      </c>
      <c r="I426" s="22">
        <f t="shared" si="45"/>
        <v>26</v>
      </c>
      <c r="J426" s="22">
        <f t="shared" si="46"/>
        <v>119</v>
      </c>
      <c r="K426" s="26">
        <f t="shared" si="47"/>
        <v>0.82068965517241377</v>
      </c>
      <c r="L426" s="22">
        <v>22</v>
      </c>
      <c r="M426" s="22">
        <v>3</v>
      </c>
      <c r="N426" s="22">
        <v>19</v>
      </c>
      <c r="O426" s="22" t="str">
        <f t="shared" si="48"/>
        <v>High Unplanned</v>
      </c>
    </row>
    <row r="427" spans="1:15" x14ac:dyDescent="0.3">
      <c r="A427" s="22" t="s">
        <v>1457</v>
      </c>
      <c r="B427" t="str">
        <f t="shared" si="42"/>
        <v>Deepak Bansal</v>
      </c>
      <c r="C427" t="str">
        <f t="shared" si="43"/>
        <v>Customer Support</v>
      </c>
      <c r="D427" s="30" t="str">
        <f t="shared" si="44"/>
        <v>Active</v>
      </c>
      <c r="E427" s="22">
        <v>143</v>
      </c>
      <c r="F427" s="22">
        <v>13</v>
      </c>
      <c r="G427" s="22">
        <v>5</v>
      </c>
      <c r="H427" s="22">
        <v>6</v>
      </c>
      <c r="I427" s="22">
        <f t="shared" si="45"/>
        <v>24</v>
      </c>
      <c r="J427" s="22">
        <f t="shared" si="46"/>
        <v>119</v>
      </c>
      <c r="K427" s="26">
        <f t="shared" si="47"/>
        <v>0.83216783216783219</v>
      </c>
      <c r="L427" s="22">
        <v>16</v>
      </c>
      <c r="M427" s="22">
        <v>9</v>
      </c>
      <c r="N427" s="22">
        <v>65</v>
      </c>
      <c r="O427" s="22" t="str">
        <f t="shared" si="48"/>
        <v>Low Attendance</v>
      </c>
    </row>
    <row r="428" spans="1:15" x14ac:dyDescent="0.3">
      <c r="A428" s="22" t="s">
        <v>1460</v>
      </c>
      <c r="B428" t="str">
        <f t="shared" si="42"/>
        <v>Shreya Tiwari</v>
      </c>
      <c r="C428" t="str">
        <f t="shared" si="43"/>
        <v>Customer Support</v>
      </c>
      <c r="D428" s="30" t="str">
        <f t="shared" si="44"/>
        <v>Active</v>
      </c>
      <c r="E428" s="22">
        <v>142</v>
      </c>
      <c r="F428" s="22">
        <v>14</v>
      </c>
      <c r="G428" s="22">
        <v>6</v>
      </c>
      <c r="H428" s="22">
        <v>1</v>
      </c>
      <c r="I428" s="22">
        <f t="shared" si="45"/>
        <v>21</v>
      </c>
      <c r="J428" s="22">
        <f t="shared" si="46"/>
        <v>121</v>
      </c>
      <c r="K428" s="26">
        <f t="shared" si="47"/>
        <v>0.852112676056338</v>
      </c>
      <c r="L428" s="22">
        <v>12</v>
      </c>
      <c r="M428" s="22">
        <v>5</v>
      </c>
      <c r="N428" s="22">
        <v>96</v>
      </c>
      <c r="O428" s="22" t="str">
        <f t="shared" si="48"/>
        <v>Low Attendance</v>
      </c>
    </row>
    <row r="429" spans="1:15" x14ac:dyDescent="0.3">
      <c r="A429" s="22" t="s">
        <v>1463</v>
      </c>
      <c r="B429" t="str">
        <f t="shared" si="42"/>
        <v>Anusha Kamath</v>
      </c>
      <c r="C429" t="str">
        <f t="shared" si="43"/>
        <v>Engineering</v>
      </c>
      <c r="D429" s="30" t="str">
        <f t="shared" si="44"/>
        <v>Active</v>
      </c>
      <c r="E429" s="22">
        <v>140</v>
      </c>
      <c r="F429" s="22">
        <v>8</v>
      </c>
      <c r="G429" s="22">
        <v>2</v>
      </c>
      <c r="H429" s="22">
        <v>3</v>
      </c>
      <c r="I429" s="22">
        <f t="shared" si="45"/>
        <v>13</v>
      </c>
      <c r="J429" s="22">
        <f t="shared" si="46"/>
        <v>127</v>
      </c>
      <c r="K429" s="26">
        <f t="shared" si="47"/>
        <v>0.90714285714285714</v>
      </c>
      <c r="L429" s="22">
        <v>65</v>
      </c>
      <c r="M429" s="22">
        <v>8</v>
      </c>
      <c r="N429" s="22">
        <v>35</v>
      </c>
      <c r="O429" s="22" t="str">
        <f t="shared" si="48"/>
        <v>Normal</v>
      </c>
    </row>
    <row r="430" spans="1:15" x14ac:dyDescent="0.3">
      <c r="A430" s="22" t="s">
        <v>148</v>
      </c>
      <c r="B430" t="str">
        <f t="shared" si="42"/>
        <v>Dev Bose</v>
      </c>
      <c r="C430" t="str">
        <f t="shared" si="43"/>
        <v>Product</v>
      </c>
      <c r="D430" s="30" t="str">
        <f t="shared" si="44"/>
        <v>Active</v>
      </c>
      <c r="E430" s="22">
        <v>138</v>
      </c>
      <c r="F430" s="22">
        <v>13</v>
      </c>
      <c r="G430" s="22">
        <v>5</v>
      </c>
      <c r="H430" s="22">
        <v>0</v>
      </c>
      <c r="I430" s="22">
        <f t="shared" si="45"/>
        <v>18</v>
      </c>
      <c r="J430" s="22">
        <f t="shared" si="46"/>
        <v>120</v>
      </c>
      <c r="K430" s="26">
        <f t="shared" si="47"/>
        <v>0.86956521739130432</v>
      </c>
      <c r="L430" s="22">
        <v>46</v>
      </c>
      <c r="M430" s="22">
        <v>2</v>
      </c>
      <c r="N430" s="22">
        <v>7</v>
      </c>
      <c r="O430" s="22" t="str">
        <f t="shared" si="48"/>
        <v>Low Attendance</v>
      </c>
    </row>
    <row r="431" spans="1:15" x14ac:dyDescent="0.3">
      <c r="A431" s="22" t="s">
        <v>1468</v>
      </c>
      <c r="B431" t="str">
        <f t="shared" si="42"/>
        <v>Divya Patel</v>
      </c>
      <c r="C431" t="str">
        <f t="shared" si="43"/>
        <v>Human Resources</v>
      </c>
      <c r="D431" s="30" t="str">
        <f t="shared" si="44"/>
        <v>Active</v>
      </c>
      <c r="E431" s="22">
        <v>136</v>
      </c>
      <c r="F431" s="22">
        <v>10</v>
      </c>
      <c r="G431" s="22">
        <v>4</v>
      </c>
      <c r="H431" s="22">
        <v>5</v>
      </c>
      <c r="I431" s="22">
        <f t="shared" si="45"/>
        <v>19</v>
      </c>
      <c r="J431" s="22">
        <f t="shared" si="46"/>
        <v>117</v>
      </c>
      <c r="K431" s="26">
        <f t="shared" si="47"/>
        <v>0.86029411764705888</v>
      </c>
      <c r="L431" s="22">
        <v>31</v>
      </c>
      <c r="M431" s="22">
        <v>4</v>
      </c>
      <c r="N431" s="22">
        <v>16</v>
      </c>
      <c r="O431" s="22" t="str">
        <f t="shared" si="48"/>
        <v>Low Attendance</v>
      </c>
    </row>
    <row r="432" spans="1:15" x14ac:dyDescent="0.3">
      <c r="A432" s="22" t="s">
        <v>1471</v>
      </c>
      <c r="B432" t="str">
        <f t="shared" si="42"/>
        <v>Nisha Kapoor</v>
      </c>
      <c r="C432" t="str">
        <f t="shared" si="43"/>
        <v>Engineering</v>
      </c>
      <c r="D432" s="30" t="str">
        <f t="shared" si="44"/>
        <v>Active</v>
      </c>
      <c r="E432" s="22">
        <v>134</v>
      </c>
      <c r="F432" s="22">
        <v>13</v>
      </c>
      <c r="G432" s="22">
        <v>1</v>
      </c>
      <c r="H432" s="22">
        <v>12</v>
      </c>
      <c r="I432" s="22">
        <f t="shared" si="45"/>
        <v>26</v>
      </c>
      <c r="J432" s="22">
        <f t="shared" si="46"/>
        <v>108</v>
      </c>
      <c r="K432" s="26">
        <f t="shared" si="47"/>
        <v>0.80597014925373134</v>
      </c>
      <c r="L432" s="22">
        <v>28</v>
      </c>
      <c r="M432" s="22">
        <v>1</v>
      </c>
      <c r="N432" s="22">
        <v>26</v>
      </c>
      <c r="O432" s="22" t="str">
        <f t="shared" si="48"/>
        <v>High Unplanned</v>
      </c>
    </row>
    <row r="433" spans="1:15" x14ac:dyDescent="0.3">
      <c r="A433" s="22" t="s">
        <v>1474</v>
      </c>
      <c r="B433" t="str">
        <f t="shared" si="42"/>
        <v>Gayatri Raghavan</v>
      </c>
      <c r="C433" t="str">
        <f t="shared" si="43"/>
        <v>Operations</v>
      </c>
      <c r="D433" s="30" t="str">
        <f t="shared" si="44"/>
        <v>Exited</v>
      </c>
      <c r="E433" s="22">
        <v>132</v>
      </c>
      <c r="F433" s="22">
        <v>13</v>
      </c>
      <c r="G433" s="22">
        <v>8</v>
      </c>
      <c r="H433" s="22">
        <v>3</v>
      </c>
      <c r="I433" s="22">
        <f t="shared" si="45"/>
        <v>24</v>
      </c>
      <c r="J433" s="22">
        <f t="shared" si="46"/>
        <v>108</v>
      </c>
      <c r="K433" s="26">
        <f t="shared" si="47"/>
        <v>0.81818181818181823</v>
      </c>
      <c r="L433" s="22">
        <v>0</v>
      </c>
      <c r="M433" s="22">
        <v>9</v>
      </c>
      <c r="N433" s="22">
        <v>115</v>
      </c>
      <c r="O433" s="22" t="str">
        <f t="shared" si="48"/>
        <v>Low Attendance</v>
      </c>
    </row>
    <row r="434" spans="1:15" x14ac:dyDescent="0.3">
      <c r="A434" s="22" t="s">
        <v>1477</v>
      </c>
      <c r="B434" t="str">
        <f t="shared" si="42"/>
        <v>Mary Mishra</v>
      </c>
      <c r="C434" t="str">
        <f t="shared" si="43"/>
        <v>Sales</v>
      </c>
      <c r="D434" s="30" t="str">
        <f t="shared" si="44"/>
        <v>Active</v>
      </c>
      <c r="E434" s="22">
        <v>131</v>
      </c>
      <c r="F434" s="22">
        <v>6</v>
      </c>
      <c r="G434" s="22">
        <v>8</v>
      </c>
      <c r="H434" s="22">
        <v>2</v>
      </c>
      <c r="I434" s="22">
        <f t="shared" si="45"/>
        <v>16</v>
      </c>
      <c r="J434" s="22">
        <f t="shared" si="46"/>
        <v>115</v>
      </c>
      <c r="K434" s="26">
        <f t="shared" si="47"/>
        <v>0.87786259541984735</v>
      </c>
      <c r="L434" s="22">
        <v>34</v>
      </c>
      <c r="M434" s="22">
        <v>0</v>
      </c>
      <c r="N434" s="22">
        <v>31</v>
      </c>
      <c r="O434" s="22" t="str">
        <f t="shared" si="48"/>
        <v>Low Attendance</v>
      </c>
    </row>
    <row r="435" spans="1:15" x14ac:dyDescent="0.3">
      <c r="A435" s="22" t="s">
        <v>1480</v>
      </c>
      <c r="B435" t="str">
        <f t="shared" si="42"/>
        <v>Ritu Saxena</v>
      </c>
      <c r="C435" t="str">
        <f t="shared" si="43"/>
        <v>Product</v>
      </c>
      <c r="D435" s="30" t="str">
        <f t="shared" si="44"/>
        <v>Active</v>
      </c>
      <c r="E435" s="22">
        <v>130</v>
      </c>
      <c r="F435" s="22">
        <v>13</v>
      </c>
      <c r="G435" s="22">
        <v>0</v>
      </c>
      <c r="H435" s="22">
        <v>1</v>
      </c>
      <c r="I435" s="22">
        <f t="shared" si="45"/>
        <v>14</v>
      </c>
      <c r="J435" s="22">
        <f t="shared" si="46"/>
        <v>116</v>
      </c>
      <c r="K435" s="26">
        <f t="shared" si="47"/>
        <v>0.89230769230769236</v>
      </c>
      <c r="L435" s="22">
        <v>46</v>
      </c>
      <c r="M435" s="22">
        <v>9</v>
      </c>
      <c r="N435" s="22">
        <v>27</v>
      </c>
      <c r="O435" s="22" t="str">
        <f t="shared" si="48"/>
        <v>Low Attendance</v>
      </c>
    </row>
    <row r="436" spans="1:15" x14ac:dyDescent="0.3">
      <c r="A436" s="22" t="s">
        <v>1483</v>
      </c>
      <c r="B436" t="str">
        <f t="shared" si="42"/>
        <v>Rohan Hegde</v>
      </c>
      <c r="C436" t="str">
        <f t="shared" si="43"/>
        <v>Operations</v>
      </c>
      <c r="D436" s="30" t="str">
        <f t="shared" si="44"/>
        <v>Active</v>
      </c>
      <c r="E436" s="22">
        <v>128</v>
      </c>
      <c r="F436" s="22">
        <v>12</v>
      </c>
      <c r="G436" s="22">
        <v>7</v>
      </c>
      <c r="H436" s="22">
        <v>2</v>
      </c>
      <c r="I436" s="22">
        <f t="shared" si="45"/>
        <v>21</v>
      </c>
      <c r="J436" s="22">
        <f t="shared" si="46"/>
        <v>107</v>
      </c>
      <c r="K436" s="26">
        <f t="shared" si="47"/>
        <v>0.8359375</v>
      </c>
      <c r="L436" s="22">
        <v>14</v>
      </c>
      <c r="M436" s="22">
        <v>4</v>
      </c>
      <c r="N436" s="22">
        <v>117</v>
      </c>
      <c r="O436" s="22" t="str">
        <f t="shared" si="48"/>
        <v>Low Attendance</v>
      </c>
    </row>
    <row r="437" spans="1:15" x14ac:dyDescent="0.3">
      <c r="A437" s="22" t="s">
        <v>1486</v>
      </c>
      <c r="B437" t="str">
        <f t="shared" si="42"/>
        <v>Gayatri Prabhu</v>
      </c>
      <c r="C437" t="str">
        <f t="shared" si="43"/>
        <v>Operations</v>
      </c>
      <c r="D437" s="30" t="str">
        <f t="shared" si="44"/>
        <v>Exited</v>
      </c>
      <c r="E437" s="22">
        <v>128</v>
      </c>
      <c r="F437" s="22">
        <v>7</v>
      </c>
      <c r="G437" s="22">
        <v>1</v>
      </c>
      <c r="H437" s="22">
        <v>6</v>
      </c>
      <c r="I437" s="22">
        <f t="shared" si="45"/>
        <v>14</v>
      </c>
      <c r="J437" s="22">
        <f t="shared" si="46"/>
        <v>114</v>
      </c>
      <c r="K437" s="26">
        <f t="shared" si="47"/>
        <v>0.890625</v>
      </c>
      <c r="L437" s="22">
        <v>15</v>
      </c>
      <c r="M437" s="22">
        <v>4</v>
      </c>
      <c r="N437" s="22">
        <v>11</v>
      </c>
      <c r="O437" s="22" t="str">
        <f t="shared" si="48"/>
        <v>Low Attendance</v>
      </c>
    </row>
    <row r="438" spans="1:15" x14ac:dyDescent="0.3">
      <c r="A438" s="22" t="s">
        <v>1489</v>
      </c>
      <c r="B438" t="str">
        <f t="shared" si="42"/>
        <v>Ajay Bansal</v>
      </c>
      <c r="C438" t="str">
        <f t="shared" si="43"/>
        <v>Product</v>
      </c>
      <c r="D438" s="30" t="str">
        <f t="shared" si="44"/>
        <v>Active</v>
      </c>
      <c r="E438" s="22">
        <v>127</v>
      </c>
      <c r="F438" s="22">
        <v>12</v>
      </c>
      <c r="G438" s="22">
        <v>2</v>
      </c>
      <c r="H438" s="22">
        <v>12</v>
      </c>
      <c r="I438" s="22">
        <f t="shared" si="45"/>
        <v>26</v>
      </c>
      <c r="J438" s="22">
        <f t="shared" si="46"/>
        <v>101</v>
      </c>
      <c r="K438" s="26">
        <f t="shared" si="47"/>
        <v>0.79527559055118113</v>
      </c>
      <c r="L438" s="22">
        <v>24</v>
      </c>
      <c r="M438" s="22">
        <v>5</v>
      </c>
      <c r="N438" s="22">
        <v>5</v>
      </c>
      <c r="O438" s="22" t="str">
        <f t="shared" si="48"/>
        <v>High Unplanned</v>
      </c>
    </row>
    <row r="439" spans="1:15" x14ac:dyDescent="0.3">
      <c r="A439" s="22" t="s">
        <v>1492</v>
      </c>
      <c r="B439" t="str">
        <f t="shared" si="42"/>
        <v>Sai Subramanian</v>
      </c>
      <c r="C439" t="str">
        <f t="shared" si="43"/>
        <v>Engineering</v>
      </c>
      <c r="D439" s="30" t="str">
        <f t="shared" si="44"/>
        <v>Active</v>
      </c>
      <c r="E439" s="22">
        <v>126</v>
      </c>
      <c r="F439" s="22">
        <v>12</v>
      </c>
      <c r="G439" s="22">
        <v>3</v>
      </c>
      <c r="H439" s="22">
        <v>3</v>
      </c>
      <c r="I439" s="22">
        <f t="shared" si="45"/>
        <v>18</v>
      </c>
      <c r="J439" s="22">
        <f t="shared" si="46"/>
        <v>108</v>
      </c>
      <c r="K439" s="26">
        <f t="shared" si="47"/>
        <v>0.8571428571428571</v>
      </c>
      <c r="L439" s="22">
        <v>51</v>
      </c>
      <c r="M439" s="22">
        <v>2</v>
      </c>
      <c r="N439" s="22">
        <v>64</v>
      </c>
      <c r="O439" s="22" t="str">
        <f t="shared" si="48"/>
        <v>Low Attendance</v>
      </c>
    </row>
    <row r="440" spans="1:15" x14ac:dyDescent="0.3">
      <c r="A440" s="22" t="s">
        <v>1495</v>
      </c>
      <c r="B440" t="str">
        <f t="shared" si="42"/>
        <v>Priyanka Dsouza</v>
      </c>
      <c r="C440" t="str">
        <f t="shared" si="43"/>
        <v>Finance</v>
      </c>
      <c r="D440" s="30" t="str">
        <f t="shared" si="44"/>
        <v>Active</v>
      </c>
      <c r="E440" s="22">
        <v>124</v>
      </c>
      <c r="F440" s="22">
        <v>11</v>
      </c>
      <c r="G440" s="22">
        <v>4</v>
      </c>
      <c r="H440" s="22">
        <v>2</v>
      </c>
      <c r="I440" s="22">
        <f t="shared" si="45"/>
        <v>17</v>
      </c>
      <c r="J440" s="22">
        <f t="shared" si="46"/>
        <v>107</v>
      </c>
      <c r="K440" s="26">
        <f t="shared" si="47"/>
        <v>0.86290322580645162</v>
      </c>
      <c r="L440" s="22">
        <v>75</v>
      </c>
      <c r="M440" s="22">
        <v>10</v>
      </c>
      <c r="N440" s="22">
        <v>4</v>
      </c>
      <c r="O440" s="22" t="str">
        <f t="shared" si="48"/>
        <v>Low Attendance</v>
      </c>
    </row>
    <row r="441" spans="1:15" x14ac:dyDescent="0.3">
      <c r="A441" s="22" t="s">
        <v>1498</v>
      </c>
      <c r="B441" t="str">
        <f t="shared" si="42"/>
        <v>Ravi Mukherjee</v>
      </c>
      <c r="C441" t="str">
        <f t="shared" si="43"/>
        <v>Customer Support</v>
      </c>
      <c r="D441" s="30" t="str">
        <f t="shared" si="44"/>
        <v>Active</v>
      </c>
      <c r="E441" s="22">
        <v>121</v>
      </c>
      <c r="F441" s="22">
        <v>12</v>
      </c>
      <c r="G441" s="22">
        <v>5</v>
      </c>
      <c r="H441" s="22">
        <v>5</v>
      </c>
      <c r="I441" s="22">
        <f t="shared" si="45"/>
        <v>22</v>
      </c>
      <c r="J441" s="22">
        <f t="shared" si="46"/>
        <v>99</v>
      </c>
      <c r="K441" s="26">
        <f t="shared" si="47"/>
        <v>0.81818181818181823</v>
      </c>
      <c r="L441" s="22">
        <v>1</v>
      </c>
      <c r="M441" s="22">
        <v>6</v>
      </c>
      <c r="N441" s="22">
        <v>12</v>
      </c>
      <c r="O441" s="22" t="str">
        <f t="shared" si="48"/>
        <v>Low Attendance</v>
      </c>
    </row>
    <row r="442" spans="1:15" x14ac:dyDescent="0.3">
      <c r="A442" s="22" t="s">
        <v>1501</v>
      </c>
      <c r="B442" t="str">
        <f t="shared" si="42"/>
        <v>Ananya Menon</v>
      </c>
      <c r="C442" t="str">
        <f t="shared" si="43"/>
        <v>Product</v>
      </c>
      <c r="D442" s="30" t="str">
        <f t="shared" si="44"/>
        <v>Active</v>
      </c>
      <c r="E442" s="22">
        <v>121</v>
      </c>
      <c r="F442" s="22">
        <v>12</v>
      </c>
      <c r="G442" s="22">
        <v>8</v>
      </c>
      <c r="H442" s="22">
        <v>7</v>
      </c>
      <c r="I442" s="22">
        <f t="shared" si="45"/>
        <v>27</v>
      </c>
      <c r="J442" s="22">
        <f t="shared" si="46"/>
        <v>94</v>
      </c>
      <c r="K442" s="26">
        <f t="shared" si="47"/>
        <v>0.77685950413223137</v>
      </c>
      <c r="L442" s="22">
        <v>90</v>
      </c>
      <c r="M442" s="22">
        <v>0</v>
      </c>
      <c r="N442" s="22">
        <v>40</v>
      </c>
      <c r="O442" s="22" t="str">
        <f t="shared" si="48"/>
        <v>Low Attendance</v>
      </c>
    </row>
    <row r="443" spans="1:15" x14ac:dyDescent="0.3">
      <c r="A443" s="22" t="s">
        <v>1504</v>
      </c>
      <c r="B443" t="str">
        <f t="shared" si="42"/>
        <v>Vidya Pandey</v>
      </c>
      <c r="C443" t="str">
        <f t="shared" si="43"/>
        <v>Engineering</v>
      </c>
      <c r="D443" s="30" t="str">
        <f t="shared" si="44"/>
        <v>Active</v>
      </c>
      <c r="E443" s="22">
        <v>121</v>
      </c>
      <c r="F443" s="22">
        <v>12</v>
      </c>
      <c r="G443" s="22">
        <v>0</v>
      </c>
      <c r="H443" s="22">
        <v>1</v>
      </c>
      <c r="I443" s="22">
        <f t="shared" si="45"/>
        <v>13</v>
      </c>
      <c r="J443" s="22">
        <f t="shared" si="46"/>
        <v>108</v>
      </c>
      <c r="K443" s="26">
        <f t="shared" si="47"/>
        <v>0.8925619834710744</v>
      </c>
      <c r="L443" s="22">
        <v>85</v>
      </c>
      <c r="M443" s="22">
        <v>6</v>
      </c>
      <c r="N443" s="22">
        <v>111</v>
      </c>
      <c r="O443" s="22" t="str">
        <f t="shared" si="48"/>
        <v>Low Attendance</v>
      </c>
    </row>
    <row r="444" spans="1:15" x14ac:dyDescent="0.3">
      <c r="A444" s="22" t="s">
        <v>1507</v>
      </c>
      <c r="B444" t="str">
        <f t="shared" si="42"/>
        <v>Vikram Khan</v>
      </c>
      <c r="C444" t="str">
        <f t="shared" si="43"/>
        <v>Engineering</v>
      </c>
      <c r="D444" s="30" t="str">
        <f t="shared" si="44"/>
        <v>Exited</v>
      </c>
      <c r="E444" s="22">
        <v>121</v>
      </c>
      <c r="F444" s="22">
        <v>9</v>
      </c>
      <c r="G444" s="22">
        <v>3</v>
      </c>
      <c r="H444" s="22">
        <v>1</v>
      </c>
      <c r="I444" s="22">
        <f t="shared" si="45"/>
        <v>13</v>
      </c>
      <c r="J444" s="22">
        <f t="shared" si="46"/>
        <v>108</v>
      </c>
      <c r="K444" s="26">
        <f t="shared" si="47"/>
        <v>0.8925619834710744</v>
      </c>
      <c r="L444" s="22">
        <v>29</v>
      </c>
      <c r="M444" s="22">
        <v>7</v>
      </c>
      <c r="N444" s="22">
        <v>104</v>
      </c>
      <c r="O444" s="22" t="str">
        <f t="shared" si="48"/>
        <v>Low Attendance</v>
      </c>
    </row>
    <row r="445" spans="1:15" x14ac:dyDescent="0.3">
      <c r="A445" s="22" t="s">
        <v>350</v>
      </c>
      <c r="B445" t="str">
        <f t="shared" si="42"/>
        <v>Prakash Desai</v>
      </c>
      <c r="C445" t="str">
        <f t="shared" si="43"/>
        <v>Engineering</v>
      </c>
      <c r="D445" s="30" t="str">
        <f t="shared" si="44"/>
        <v>Active</v>
      </c>
      <c r="E445" s="22">
        <v>119</v>
      </c>
      <c r="F445" s="22">
        <v>8</v>
      </c>
      <c r="G445" s="22">
        <v>7</v>
      </c>
      <c r="H445" s="22">
        <v>1</v>
      </c>
      <c r="I445" s="22">
        <f t="shared" si="45"/>
        <v>16</v>
      </c>
      <c r="J445" s="22">
        <f t="shared" si="46"/>
        <v>103</v>
      </c>
      <c r="K445" s="26">
        <f t="shared" si="47"/>
        <v>0.86554621848739499</v>
      </c>
      <c r="L445" s="22">
        <v>35</v>
      </c>
      <c r="M445" s="22">
        <v>10</v>
      </c>
      <c r="N445" s="22">
        <v>112</v>
      </c>
      <c r="O445" s="22" t="str">
        <f t="shared" si="48"/>
        <v>Low Attendance</v>
      </c>
    </row>
    <row r="446" spans="1:15" x14ac:dyDescent="0.3">
      <c r="A446" s="22" t="s">
        <v>1511</v>
      </c>
      <c r="B446" t="str">
        <f t="shared" si="42"/>
        <v>Sindhu Thomas</v>
      </c>
      <c r="C446" t="str">
        <f t="shared" si="43"/>
        <v>Customer Support</v>
      </c>
      <c r="D446" s="30" t="str">
        <f t="shared" si="44"/>
        <v>Exited</v>
      </c>
      <c r="E446" s="22">
        <v>117</v>
      </c>
      <c r="F446" s="22">
        <v>7</v>
      </c>
      <c r="G446" s="22">
        <v>8</v>
      </c>
      <c r="H446" s="22">
        <v>8</v>
      </c>
      <c r="I446" s="22">
        <f t="shared" si="45"/>
        <v>23</v>
      </c>
      <c r="J446" s="22">
        <f t="shared" si="46"/>
        <v>94</v>
      </c>
      <c r="K446" s="26">
        <f t="shared" si="47"/>
        <v>0.80341880341880345</v>
      </c>
      <c r="L446" s="22">
        <v>0</v>
      </c>
      <c r="M446" s="22">
        <v>6</v>
      </c>
      <c r="N446" s="22">
        <v>8</v>
      </c>
      <c r="O446" s="22" t="str">
        <f t="shared" si="48"/>
        <v>High Unplanned</v>
      </c>
    </row>
    <row r="447" spans="1:15" x14ac:dyDescent="0.3">
      <c r="A447" s="22" t="s">
        <v>292</v>
      </c>
      <c r="B447" t="str">
        <f t="shared" si="42"/>
        <v>Anjali Iyer</v>
      </c>
      <c r="C447" t="str">
        <f t="shared" si="43"/>
        <v>Customer Support</v>
      </c>
      <c r="D447" s="30" t="str">
        <f t="shared" si="44"/>
        <v>Active</v>
      </c>
      <c r="E447" s="22">
        <v>117</v>
      </c>
      <c r="F447" s="22">
        <v>11</v>
      </c>
      <c r="G447" s="22">
        <v>8</v>
      </c>
      <c r="H447" s="22">
        <v>2</v>
      </c>
      <c r="I447" s="22">
        <f t="shared" si="45"/>
        <v>21</v>
      </c>
      <c r="J447" s="22">
        <f t="shared" si="46"/>
        <v>96</v>
      </c>
      <c r="K447" s="26">
        <f t="shared" si="47"/>
        <v>0.82051282051282048</v>
      </c>
      <c r="L447" s="22">
        <v>22</v>
      </c>
      <c r="M447" s="22">
        <v>2</v>
      </c>
      <c r="N447" s="22">
        <v>4</v>
      </c>
      <c r="O447" s="22" t="str">
        <f t="shared" si="48"/>
        <v>Low Attendance</v>
      </c>
    </row>
    <row r="448" spans="1:15" x14ac:dyDescent="0.3">
      <c r="A448" s="22" t="s">
        <v>1515</v>
      </c>
      <c r="B448" t="str">
        <f t="shared" si="42"/>
        <v>Meera Pandey</v>
      </c>
      <c r="C448" t="str">
        <f t="shared" si="43"/>
        <v>Operations</v>
      </c>
      <c r="D448" s="30" t="str">
        <f t="shared" si="44"/>
        <v>Active</v>
      </c>
      <c r="E448" s="22">
        <v>114</v>
      </c>
      <c r="F448" s="22">
        <v>11</v>
      </c>
      <c r="G448" s="22">
        <v>4</v>
      </c>
      <c r="H448" s="22">
        <v>2</v>
      </c>
      <c r="I448" s="22">
        <f t="shared" si="45"/>
        <v>17</v>
      </c>
      <c r="J448" s="22">
        <f t="shared" si="46"/>
        <v>97</v>
      </c>
      <c r="K448" s="26">
        <f t="shared" si="47"/>
        <v>0.85087719298245612</v>
      </c>
      <c r="L448" s="22">
        <v>20</v>
      </c>
      <c r="M448" s="22">
        <v>9</v>
      </c>
      <c r="N448" s="22">
        <v>30</v>
      </c>
      <c r="O448" s="22" t="str">
        <f t="shared" si="48"/>
        <v>Low Attendance</v>
      </c>
    </row>
    <row r="449" spans="1:15" x14ac:dyDescent="0.3">
      <c r="A449" s="22" t="s">
        <v>1518</v>
      </c>
      <c r="B449" t="str">
        <f t="shared" si="42"/>
        <v>Priya Verma</v>
      </c>
      <c r="C449" t="str">
        <f t="shared" si="43"/>
        <v>Sales</v>
      </c>
      <c r="D449" s="30" t="str">
        <f t="shared" si="44"/>
        <v>Active</v>
      </c>
      <c r="E449" s="22">
        <v>110</v>
      </c>
      <c r="F449" s="22">
        <v>11</v>
      </c>
      <c r="G449" s="22">
        <v>5</v>
      </c>
      <c r="H449" s="22">
        <v>2</v>
      </c>
      <c r="I449" s="22">
        <f t="shared" si="45"/>
        <v>18</v>
      </c>
      <c r="J449" s="22">
        <f t="shared" si="46"/>
        <v>92</v>
      </c>
      <c r="K449" s="26">
        <f t="shared" si="47"/>
        <v>0.83636363636363631</v>
      </c>
      <c r="L449" s="22">
        <v>33</v>
      </c>
      <c r="M449" s="22">
        <v>14</v>
      </c>
      <c r="N449" s="22">
        <v>19</v>
      </c>
      <c r="O449" s="22" t="str">
        <f t="shared" si="48"/>
        <v>Low Attendance</v>
      </c>
    </row>
    <row r="450" spans="1:15" x14ac:dyDescent="0.3">
      <c r="A450" s="22" t="s">
        <v>1521</v>
      </c>
      <c r="B450" t="str">
        <f t="shared" ref="B450:B501" si="49">INDEX(M_Name,MATCH($A450,M_ID,0))</f>
        <v>Shruti Joshi</v>
      </c>
      <c r="C450" t="str">
        <f t="shared" ref="C450:C501" si="50">INDEX(M_Dept,MATCH($A450,M_ID,0))</f>
        <v>Engineering</v>
      </c>
      <c r="D450" s="30" t="str">
        <f t="shared" ref="D450:D501" si="51">INDEX(M_Status,MATCH($A450,M_ID,0))</f>
        <v>Exited</v>
      </c>
      <c r="E450" s="22">
        <v>110</v>
      </c>
      <c r="F450" s="22">
        <v>11</v>
      </c>
      <c r="G450" s="22">
        <v>3</v>
      </c>
      <c r="H450" s="22">
        <v>5</v>
      </c>
      <c r="I450" s="22">
        <f t="shared" ref="I450:I501" si="52">SUM(F450:H450)</f>
        <v>19</v>
      </c>
      <c r="J450" s="22">
        <f t="shared" ref="J450:J501" si="53">E450-I450</f>
        <v>91</v>
      </c>
      <c r="K450" s="26">
        <f t="shared" ref="K450:K501" si="54">IFERROR(J450/E450,0)</f>
        <v>0.82727272727272727</v>
      </c>
      <c r="L450" s="22">
        <v>72</v>
      </c>
      <c r="M450" s="22">
        <v>7</v>
      </c>
      <c r="N450" s="22">
        <v>101</v>
      </c>
      <c r="O450" s="22" t="str">
        <f t="shared" ref="O450:O501" si="55">IF(H450&gt;=8,"High Unplanned",IF(K450&lt;0.9,"Low Attendance","Normal"))</f>
        <v>Low Attendance</v>
      </c>
    </row>
    <row r="451" spans="1:15" x14ac:dyDescent="0.3">
      <c r="A451" s="22" t="s">
        <v>1524</v>
      </c>
      <c r="B451" t="str">
        <f t="shared" si="49"/>
        <v>Dev Sharma</v>
      </c>
      <c r="C451" t="str">
        <f t="shared" si="50"/>
        <v>Customer Support</v>
      </c>
      <c r="D451" s="30" t="str">
        <f t="shared" si="51"/>
        <v>Active</v>
      </c>
      <c r="E451" s="22">
        <v>108</v>
      </c>
      <c r="F451" s="22">
        <v>10</v>
      </c>
      <c r="G451" s="22">
        <v>6</v>
      </c>
      <c r="H451" s="22">
        <v>2</v>
      </c>
      <c r="I451" s="22">
        <f t="shared" si="52"/>
        <v>18</v>
      </c>
      <c r="J451" s="22">
        <f t="shared" si="53"/>
        <v>90</v>
      </c>
      <c r="K451" s="26">
        <f t="shared" si="54"/>
        <v>0.83333333333333337</v>
      </c>
      <c r="L451" s="22">
        <v>17</v>
      </c>
      <c r="M451" s="22">
        <v>7</v>
      </c>
      <c r="N451" s="22">
        <v>37</v>
      </c>
      <c r="O451" s="22" t="str">
        <f t="shared" si="55"/>
        <v>Low Attendance</v>
      </c>
    </row>
    <row r="452" spans="1:15" x14ac:dyDescent="0.3">
      <c r="A452" s="22" t="s">
        <v>1527</v>
      </c>
      <c r="B452" t="str">
        <f t="shared" si="49"/>
        <v>Madhuri Jain</v>
      </c>
      <c r="C452" t="str">
        <f t="shared" si="50"/>
        <v>Customer Support</v>
      </c>
      <c r="D452" s="30" t="str">
        <f t="shared" si="51"/>
        <v>Active</v>
      </c>
      <c r="E452" s="22">
        <v>106</v>
      </c>
      <c r="F452" s="22">
        <v>7</v>
      </c>
      <c r="G452" s="22">
        <v>3</v>
      </c>
      <c r="H452" s="22">
        <v>0</v>
      </c>
      <c r="I452" s="22">
        <f t="shared" si="52"/>
        <v>10</v>
      </c>
      <c r="J452" s="22">
        <f t="shared" si="53"/>
        <v>96</v>
      </c>
      <c r="K452" s="26">
        <f t="shared" si="54"/>
        <v>0.90566037735849059</v>
      </c>
      <c r="L452" s="22">
        <v>24</v>
      </c>
      <c r="M452" s="22">
        <v>12</v>
      </c>
      <c r="N452" s="22">
        <v>36</v>
      </c>
      <c r="O452" s="22" t="str">
        <f t="shared" si="55"/>
        <v>Normal</v>
      </c>
    </row>
    <row r="453" spans="1:15" x14ac:dyDescent="0.3">
      <c r="A453" s="22" t="s">
        <v>1530</v>
      </c>
      <c r="B453" t="str">
        <f t="shared" si="49"/>
        <v>Vikas Jain</v>
      </c>
      <c r="C453" t="str">
        <f t="shared" si="50"/>
        <v>Legal &amp; Compliance</v>
      </c>
      <c r="D453" s="30" t="str">
        <f t="shared" si="51"/>
        <v>Exited</v>
      </c>
      <c r="E453" s="22">
        <v>106</v>
      </c>
      <c r="F453" s="22">
        <v>10</v>
      </c>
      <c r="G453" s="22">
        <v>7</v>
      </c>
      <c r="H453" s="22">
        <v>6</v>
      </c>
      <c r="I453" s="22">
        <f t="shared" si="52"/>
        <v>23</v>
      </c>
      <c r="J453" s="22">
        <f t="shared" si="53"/>
        <v>83</v>
      </c>
      <c r="K453" s="26">
        <f t="shared" si="54"/>
        <v>0.78301886792452835</v>
      </c>
      <c r="L453" s="22">
        <v>24</v>
      </c>
      <c r="M453" s="22">
        <v>2</v>
      </c>
      <c r="N453" s="22">
        <v>29</v>
      </c>
      <c r="O453" s="22" t="str">
        <f t="shared" si="55"/>
        <v>Low Attendance</v>
      </c>
    </row>
    <row r="454" spans="1:15" x14ac:dyDescent="0.3">
      <c r="A454" s="22" t="s">
        <v>1533</v>
      </c>
      <c r="B454" t="str">
        <f t="shared" si="49"/>
        <v>Revathi Bansal</v>
      </c>
      <c r="C454" t="str">
        <f t="shared" si="50"/>
        <v>Data &amp; Analytics</v>
      </c>
      <c r="D454" s="30" t="str">
        <f t="shared" si="51"/>
        <v>Active</v>
      </c>
      <c r="E454" s="22">
        <v>106</v>
      </c>
      <c r="F454" s="22">
        <v>10</v>
      </c>
      <c r="G454" s="22">
        <v>1</v>
      </c>
      <c r="H454" s="22">
        <v>1</v>
      </c>
      <c r="I454" s="22">
        <f t="shared" si="52"/>
        <v>12</v>
      </c>
      <c r="J454" s="22">
        <f t="shared" si="53"/>
        <v>94</v>
      </c>
      <c r="K454" s="26">
        <f t="shared" si="54"/>
        <v>0.8867924528301887</v>
      </c>
      <c r="L454" s="22">
        <v>60</v>
      </c>
      <c r="M454" s="22">
        <v>11</v>
      </c>
      <c r="N454" s="22">
        <v>8</v>
      </c>
      <c r="O454" s="22" t="str">
        <f t="shared" si="55"/>
        <v>Low Attendance</v>
      </c>
    </row>
    <row r="455" spans="1:15" x14ac:dyDescent="0.3">
      <c r="A455" s="22" t="s">
        <v>1536</v>
      </c>
      <c r="B455" t="str">
        <f t="shared" si="49"/>
        <v>Prakash Kapoor</v>
      </c>
      <c r="C455" t="str">
        <f t="shared" si="50"/>
        <v>Engineering</v>
      </c>
      <c r="D455" s="30" t="str">
        <f t="shared" si="51"/>
        <v>Active</v>
      </c>
      <c r="E455" s="22">
        <v>102</v>
      </c>
      <c r="F455" s="22">
        <v>10</v>
      </c>
      <c r="G455" s="22">
        <v>7</v>
      </c>
      <c r="H455" s="22">
        <v>10</v>
      </c>
      <c r="I455" s="22">
        <f t="shared" si="52"/>
        <v>27</v>
      </c>
      <c r="J455" s="22">
        <f t="shared" si="53"/>
        <v>75</v>
      </c>
      <c r="K455" s="26">
        <f t="shared" si="54"/>
        <v>0.73529411764705888</v>
      </c>
      <c r="L455" s="22">
        <v>86</v>
      </c>
      <c r="M455" s="22">
        <v>6</v>
      </c>
      <c r="N455" s="22">
        <v>87</v>
      </c>
      <c r="O455" s="22" t="str">
        <f t="shared" si="55"/>
        <v>High Unplanned</v>
      </c>
    </row>
    <row r="456" spans="1:15" x14ac:dyDescent="0.3">
      <c r="A456" s="22" t="s">
        <v>1539</v>
      </c>
      <c r="B456" t="str">
        <f t="shared" si="49"/>
        <v>Joseph Hegde</v>
      </c>
      <c r="C456" t="str">
        <f t="shared" si="50"/>
        <v>Customer Support</v>
      </c>
      <c r="D456" s="30" t="str">
        <f t="shared" si="51"/>
        <v>Active</v>
      </c>
      <c r="E456" s="22">
        <v>101</v>
      </c>
      <c r="F456" s="22">
        <v>9</v>
      </c>
      <c r="G456" s="22">
        <v>0</v>
      </c>
      <c r="H456" s="22">
        <v>7</v>
      </c>
      <c r="I456" s="22">
        <f t="shared" si="52"/>
        <v>16</v>
      </c>
      <c r="J456" s="22">
        <f t="shared" si="53"/>
        <v>85</v>
      </c>
      <c r="K456" s="26">
        <f t="shared" si="54"/>
        <v>0.84158415841584155</v>
      </c>
      <c r="L456" s="22">
        <v>6</v>
      </c>
      <c r="M456" s="22">
        <v>14</v>
      </c>
      <c r="N456" s="22">
        <v>108</v>
      </c>
      <c r="O456" s="22" t="str">
        <f t="shared" si="55"/>
        <v>Low Attendance</v>
      </c>
    </row>
    <row r="457" spans="1:15" x14ac:dyDescent="0.3">
      <c r="A457" s="22" t="s">
        <v>1542</v>
      </c>
      <c r="B457" t="str">
        <f t="shared" si="49"/>
        <v>Ananya Krishnan</v>
      </c>
      <c r="C457" t="str">
        <f t="shared" si="50"/>
        <v>Legal &amp; Compliance</v>
      </c>
      <c r="D457" s="30" t="str">
        <f t="shared" si="51"/>
        <v>Active</v>
      </c>
      <c r="E457" s="22">
        <v>98</v>
      </c>
      <c r="F457" s="22">
        <v>9</v>
      </c>
      <c r="G457" s="22">
        <v>6</v>
      </c>
      <c r="H457" s="22">
        <v>0</v>
      </c>
      <c r="I457" s="22">
        <f t="shared" si="52"/>
        <v>15</v>
      </c>
      <c r="J457" s="22">
        <f t="shared" si="53"/>
        <v>83</v>
      </c>
      <c r="K457" s="26">
        <f t="shared" si="54"/>
        <v>0.84693877551020413</v>
      </c>
      <c r="L457" s="22">
        <v>51</v>
      </c>
      <c r="M457" s="22">
        <v>4</v>
      </c>
      <c r="N457" s="22">
        <v>20</v>
      </c>
      <c r="O457" s="22" t="str">
        <f t="shared" si="55"/>
        <v>Low Attendance</v>
      </c>
    </row>
    <row r="458" spans="1:15" x14ac:dyDescent="0.3">
      <c r="A458" s="22" t="s">
        <v>1545</v>
      </c>
      <c r="B458" t="str">
        <f t="shared" si="49"/>
        <v>Kiran Khanna</v>
      </c>
      <c r="C458" t="str">
        <f t="shared" si="50"/>
        <v>Customer Support</v>
      </c>
      <c r="D458" s="30" t="str">
        <f t="shared" si="51"/>
        <v>Active</v>
      </c>
      <c r="E458" s="22">
        <v>96</v>
      </c>
      <c r="F458" s="22">
        <v>9</v>
      </c>
      <c r="G458" s="22">
        <v>6</v>
      </c>
      <c r="H458" s="22">
        <v>5</v>
      </c>
      <c r="I458" s="22">
        <f t="shared" si="52"/>
        <v>20</v>
      </c>
      <c r="J458" s="22">
        <f t="shared" si="53"/>
        <v>76</v>
      </c>
      <c r="K458" s="26">
        <f t="shared" si="54"/>
        <v>0.79166666666666663</v>
      </c>
      <c r="L458" s="22">
        <v>13</v>
      </c>
      <c r="M458" s="22">
        <v>6</v>
      </c>
      <c r="N458" s="22">
        <v>33</v>
      </c>
      <c r="O458" s="22" t="str">
        <f t="shared" si="55"/>
        <v>Low Attendance</v>
      </c>
    </row>
    <row r="459" spans="1:15" x14ac:dyDescent="0.3">
      <c r="A459" s="22" t="s">
        <v>339</v>
      </c>
      <c r="B459" t="str">
        <f t="shared" si="49"/>
        <v>Kavya Krishnan</v>
      </c>
      <c r="C459" t="str">
        <f t="shared" si="50"/>
        <v>Sales</v>
      </c>
      <c r="D459" s="30" t="str">
        <f t="shared" si="51"/>
        <v>Active</v>
      </c>
      <c r="E459" s="22">
        <v>95</v>
      </c>
      <c r="F459" s="22">
        <v>9</v>
      </c>
      <c r="G459" s="22">
        <v>0</v>
      </c>
      <c r="H459" s="22">
        <v>1</v>
      </c>
      <c r="I459" s="22">
        <f t="shared" si="52"/>
        <v>10</v>
      </c>
      <c r="J459" s="22">
        <f t="shared" si="53"/>
        <v>85</v>
      </c>
      <c r="K459" s="26">
        <f t="shared" si="54"/>
        <v>0.89473684210526316</v>
      </c>
      <c r="L459" s="22">
        <v>38</v>
      </c>
      <c r="M459" s="22">
        <v>5</v>
      </c>
      <c r="N459" s="22">
        <v>40</v>
      </c>
      <c r="O459" s="22" t="str">
        <f t="shared" si="55"/>
        <v>Low Attendance</v>
      </c>
    </row>
    <row r="460" spans="1:15" x14ac:dyDescent="0.3">
      <c r="A460" s="22" t="s">
        <v>1549</v>
      </c>
      <c r="B460" t="str">
        <f t="shared" si="49"/>
        <v>Yamini Malhotra</v>
      </c>
      <c r="C460" t="str">
        <f t="shared" si="50"/>
        <v>Data &amp; Analytics</v>
      </c>
      <c r="D460" s="30" t="str">
        <f t="shared" si="51"/>
        <v>Active</v>
      </c>
      <c r="E460" s="22">
        <v>94</v>
      </c>
      <c r="F460" s="22">
        <v>9</v>
      </c>
      <c r="G460" s="22">
        <v>0</v>
      </c>
      <c r="H460" s="22">
        <v>1</v>
      </c>
      <c r="I460" s="22">
        <f t="shared" si="52"/>
        <v>10</v>
      </c>
      <c r="J460" s="22">
        <f t="shared" si="53"/>
        <v>84</v>
      </c>
      <c r="K460" s="26">
        <f t="shared" si="54"/>
        <v>0.8936170212765957</v>
      </c>
      <c r="L460" s="22">
        <v>62</v>
      </c>
      <c r="M460" s="22">
        <v>3</v>
      </c>
      <c r="N460" s="22">
        <v>36</v>
      </c>
      <c r="O460" s="22" t="str">
        <f t="shared" si="55"/>
        <v>Low Attendance</v>
      </c>
    </row>
    <row r="461" spans="1:15" x14ac:dyDescent="0.3">
      <c r="A461" s="22" t="s">
        <v>1552</v>
      </c>
      <c r="B461" t="str">
        <f t="shared" si="49"/>
        <v>Sowmya Yadav</v>
      </c>
      <c r="C461" t="str">
        <f t="shared" si="50"/>
        <v>Human Resources</v>
      </c>
      <c r="D461" s="30" t="str">
        <f t="shared" si="51"/>
        <v>Active</v>
      </c>
      <c r="E461" s="22">
        <v>86</v>
      </c>
      <c r="F461" s="22">
        <v>8</v>
      </c>
      <c r="G461" s="22">
        <v>2</v>
      </c>
      <c r="H461" s="22">
        <v>4</v>
      </c>
      <c r="I461" s="22">
        <f t="shared" si="52"/>
        <v>14</v>
      </c>
      <c r="J461" s="22">
        <f t="shared" si="53"/>
        <v>72</v>
      </c>
      <c r="K461" s="26">
        <f t="shared" si="54"/>
        <v>0.83720930232558144</v>
      </c>
      <c r="L461" s="22">
        <v>88</v>
      </c>
      <c r="M461" s="22">
        <v>9</v>
      </c>
      <c r="N461" s="22">
        <v>21</v>
      </c>
      <c r="O461" s="22" t="str">
        <f t="shared" si="55"/>
        <v>Low Attendance</v>
      </c>
    </row>
    <row r="462" spans="1:15" x14ac:dyDescent="0.3">
      <c r="A462" s="22" t="s">
        <v>1555</v>
      </c>
      <c r="B462" t="str">
        <f t="shared" si="49"/>
        <v>Deepika Tiwari</v>
      </c>
      <c r="C462" t="str">
        <f t="shared" si="50"/>
        <v>Operations</v>
      </c>
      <c r="D462" s="30" t="str">
        <f t="shared" si="51"/>
        <v>Active</v>
      </c>
      <c r="E462" s="22">
        <v>84</v>
      </c>
      <c r="F462" s="22">
        <v>8</v>
      </c>
      <c r="G462" s="22">
        <v>8</v>
      </c>
      <c r="H462" s="22">
        <v>0</v>
      </c>
      <c r="I462" s="22">
        <f t="shared" si="52"/>
        <v>16</v>
      </c>
      <c r="J462" s="22">
        <f t="shared" si="53"/>
        <v>68</v>
      </c>
      <c r="K462" s="26">
        <f t="shared" si="54"/>
        <v>0.80952380952380953</v>
      </c>
      <c r="L462" s="22">
        <v>23</v>
      </c>
      <c r="M462" s="22">
        <v>0</v>
      </c>
      <c r="N462" s="22">
        <v>102</v>
      </c>
      <c r="O462" s="22" t="str">
        <f t="shared" si="55"/>
        <v>Low Attendance</v>
      </c>
    </row>
    <row r="463" spans="1:15" x14ac:dyDescent="0.3">
      <c r="A463" s="22" t="s">
        <v>1558</v>
      </c>
      <c r="B463" t="str">
        <f t="shared" si="49"/>
        <v>Ashish Siddiqui</v>
      </c>
      <c r="C463" t="str">
        <f t="shared" si="50"/>
        <v>Operations</v>
      </c>
      <c r="D463" s="30" t="str">
        <f t="shared" si="51"/>
        <v>Active</v>
      </c>
      <c r="E463" s="22">
        <v>80</v>
      </c>
      <c r="F463" s="22">
        <v>8</v>
      </c>
      <c r="G463" s="22">
        <v>1</v>
      </c>
      <c r="H463" s="22">
        <v>3</v>
      </c>
      <c r="I463" s="22">
        <f t="shared" si="52"/>
        <v>12</v>
      </c>
      <c r="J463" s="22">
        <f t="shared" si="53"/>
        <v>68</v>
      </c>
      <c r="K463" s="26">
        <f t="shared" si="54"/>
        <v>0.85</v>
      </c>
      <c r="L463" s="22">
        <v>10</v>
      </c>
      <c r="M463" s="22">
        <v>14</v>
      </c>
      <c r="N463" s="22">
        <v>45</v>
      </c>
      <c r="O463" s="22" t="str">
        <f t="shared" si="55"/>
        <v>Low Attendance</v>
      </c>
    </row>
    <row r="464" spans="1:15" x14ac:dyDescent="0.3">
      <c r="A464" s="22" t="s">
        <v>1561</v>
      </c>
      <c r="B464" t="str">
        <f t="shared" si="49"/>
        <v>Rajesh Agarwal</v>
      </c>
      <c r="C464" t="str">
        <f t="shared" si="50"/>
        <v>Engineering</v>
      </c>
      <c r="D464" s="30" t="str">
        <f t="shared" si="51"/>
        <v>Active</v>
      </c>
      <c r="E464" s="22">
        <v>78</v>
      </c>
      <c r="F464" s="22">
        <v>7</v>
      </c>
      <c r="G464" s="22">
        <v>8</v>
      </c>
      <c r="H464" s="22">
        <v>0</v>
      </c>
      <c r="I464" s="22">
        <f t="shared" si="52"/>
        <v>15</v>
      </c>
      <c r="J464" s="22">
        <f t="shared" si="53"/>
        <v>63</v>
      </c>
      <c r="K464" s="26">
        <f t="shared" si="54"/>
        <v>0.80769230769230771</v>
      </c>
      <c r="L464" s="22">
        <v>16</v>
      </c>
      <c r="M464" s="22">
        <v>8</v>
      </c>
      <c r="N464" s="22">
        <v>26</v>
      </c>
      <c r="O464" s="22" t="str">
        <f t="shared" si="55"/>
        <v>Low Attendance</v>
      </c>
    </row>
    <row r="465" spans="1:15" x14ac:dyDescent="0.3">
      <c r="A465" s="22" t="s">
        <v>1564</v>
      </c>
      <c r="B465" t="str">
        <f t="shared" si="49"/>
        <v>Kritika Mehta</v>
      </c>
      <c r="C465" t="str">
        <f t="shared" si="50"/>
        <v>Engineering</v>
      </c>
      <c r="D465" s="30" t="str">
        <f t="shared" si="51"/>
        <v>Active</v>
      </c>
      <c r="E465" s="22">
        <v>76</v>
      </c>
      <c r="F465" s="22">
        <v>7</v>
      </c>
      <c r="G465" s="22">
        <v>8</v>
      </c>
      <c r="H465" s="22">
        <v>0</v>
      </c>
      <c r="I465" s="22">
        <f t="shared" si="52"/>
        <v>15</v>
      </c>
      <c r="J465" s="22">
        <f t="shared" si="53"/>
        <v>61</v>
      </c>
      <c r="K465" s="26">
        <f t="shared" si="54"/>
        <v>0.80263157894736847</v>
      </c>
      <c r="L465" s="22">
        <v>30</v>
      </c>
      <c r="M465" s="22">
        <v>13</v>
      </c>
      <c r="N465" s="22">
        <v>68</v>
      </c>
      <c r="O465" s="22" t="str">
        <f t="shared" si="55"/>
        <v>Low Attendance</v>
      </c>
    </row>
    <row r="466" spans="1:15" x14ac:dyDescent="0.3">
      <c r="A466" s="22" t="s">
        <v>1567</v>
      </c>
      <c r="B466" t="str">
        <f t="shared" si="49"/>
        <v>Yash Rao</v>
      </c>
      <c r="C466" t="str">
        <f t="shared" si="50"/>
        <v>Product</v>
      </c>
      <c r="D466" s="30" t="str">
        <f t="shared" si="51"/>
        <v>Active</v>
      </c>
      <c r="E466" s="22">
        <v>75</v>
      </c>
      <c r="F466" s="22">
        <v>7</v>
      </c>
      <c r="G466" s="22">
        <v>3</v>
      </c>
      <c r="H466" s="22">
        <v>1</v>
      </c>
      <c r="I466" s="22">
        <f t="shared" si="52"/>
        <v>11</v>
      </c>
      <c r="J466" s="22">
        <f t="shared" si="53"/>
        <v>64</v>
      </c>
      <c r="K466" s="26">
        <f t="shared" si="54"/>
        <v>0.85333333333333339</v>
      </c>
      <c r="L466" s="22">
        <v>30</v>
      </c>
      <c r="M466" s="22">
        <v>14</v>
      </c>
      <c r="N466" s="22">
        <v>23</v>
      </c>
      <c r="O466" s="22" t="str">
        <f t="shared" si="55"/>
        <v>Low Attendance</v>
      </c>
    </row>
    <row r="467" spans="1:15" x14ac:dyDescent="0.3">
      <c r="A467" s="22" t="s">
        <v>1570</v>
      </c>
      <c r="B467" t="str">
        <f t="shared" si="49"/>
        <v>Yamini Choudhary</v>
      </c>
      <c r="C467" t="str">
        <f t="shared" si="50"/>
        <v>Data &amp; Analytics</v>
      </c>
      <c r="D467" s="30" t="str">
        <f t="shared" si="51"/>
        <v>Active</v>
      </c>
      <c r="E467" s="22">
        <v>73</v>
      </c>
      <c r="F467" s="22">
        <v>7</v>
      </c>
      <c r="G467" s="22">
        <v>6</v>
      </c>
      <c r="H467" s="22">
        <v>1</v>
      </c>
      <c r="I467" s="22">
        <f t="shared" si="52"/>
        <v>14</v>
      </c>
      <c r="J467" s="22">
        <f t="shared" si="53"/>
        <v>59</v>
      </c>
      <c r="K467" s="26">
        <f t="shared" si="54"/>
        <v>0.80821917808219179</v>
      </c>
      <c r="L467" s="22">
        <v>41</v>
      </c>
      <c r="M467" s="22">
        <v>0</v>
      </c>
      <c r="N467" s="22">
        <v>2</v>
      </c>
      <c r="O467" s="22" t="str">
        <f t="shared" si="55"/>
        <v>Low Attendance</v>
      </c>
    </row>
    <row r="468" spans="1:15" x14ac:dyDescent="0.3">
      <c r="A468" s="22" t="s">
        <v>1573</v>
      </c>
      <c r="B468" t="str">
        <f t="shared" si="49"/>
        <v>Vikram Bansal</v>
      </c>
      <c r="C468" t="str">
        <f t="shared" si="50"/>
        <v>Finance</v>
      </c>
      <c r="D468" s="30" t="str">
        <f t="shared" si="51"/>
        <v>Active</v>
      </c>
      <c r="E468" s="22">
        <v>73</v>
      </c>
      <c r="F468" s="22">
        <v>7</v>
      </c>
      <c r="G468" s="22">
        <v>0</v>
      </c>
      <c r="H468" s="22">
        <v>3</v>
      </c>
      <c r="I468" s="22">
        <f t="shared" si="52"/>
        <v>10</v>
      </c>
      <c r="J468" s="22">
        <f t="shared" si="53"/>
        <v>63</v>
      </c>
      <c r="K468" s="26">
        <f t="shared" si="54"/>
        <v>0.86301369863013699</v>
      </c>
      <c r="L468" s="22">
        <v>77</v>
      </c>
      <c r="M468" s="22">
        <v>1</v>
      </c>
      <c r="N468" s="22">
        <v>32</v>
      </c>
      <c r="O468" s="22" t="str">
        <f t="shared" si="55"/>
        <v>Low Attendance</v>
      </c>
    </row>
    <row r="469" spans="1:15" x14ac:dyDescent="0.3">
      <c r="A469" s="22" t="s">
        <v>1576</v>
      </c>
      <c r="B469" t="str">
        <f t="shared" si="49"/>
        <v>Ramya Kapoor</v>
      </c>
      <c r="C469" t="str">
        <f t="shared" si="50"/>
        <v>Sales</v>
      </c>
      <c r="D469" s="30" t="str">
        <f t="shared" si="51"/>
        <v>Active</v>
      </c>
      <c r="E469" s="22">
        <v>71</v>
      </c>
      <c r="F469" s="22">
        <v>7</v>
      </c>
      <c r="G469" s="22">
        <v>7</v>
      </c>
      <c r="H469" s="22">
        <v>0</v>
      </c>
      <c r="I469" s="22">
        <f t="shared" si="52"/>
        <v>14</v>
      </c>
      <c r="J469" s="22">
        <f t="shared" si="53"/>
        <v>57</v>
      </c>
      <c r="K469" s="26">
        <f t="shared" si="54"/>
        <v>0.80281690140845074</v>
      </c>
      <c r="L469" s="22">
        <v>46</v>
      </c>
      <c r="M469" s="22">
        <v>4</v>
      </c>
      <c r="N469" s="22">
        <v>1</v>
      </c>
      <c r="O469" s="22" t="str">
        <f t="shared" si="55"/>
        <v>Low Attendance</v>
      </c>
    </row>
    <row r="470" spans="1:15" x14ac:dyDescent="0.3">
      <c r="A470" s="22" t="s">
        <v>1579</v>
      </c>
      <c r="B470" t="str">
        <f t="shared" si="49"/>
        <v>Aniket Chatterjee</v>
      </c>
      <c r="C470" t="str">
        <f t="shared" si="50"/>
        <v>Product</v>
      </c>
      <c r="D470" s="30" t="str">
        <f t="shared" si="51"/>
        <v>Active</v>
      </c>
      <c r="E470" s="22">
        <v>68</v>
      </c>
      <c r="F470" s="22">
        <v>6</v>
      </c>
      <c r="G470" s="22">
        <v>3</v>
      </c>
      <c r="H470" s="22">
        <v>0</v>
      </c>
      <c r="I470" s="22">
        <f t="shared" si="52"/>
        <v>9</v>
      </c>
      <c r="J470" s="22">
        <f t="shared" si="53"/>
        <v>59</v>
      </c>
      <c r="K470" s="26">
        <f t="shared" si="54"/>
        <v>0.86764705882352944</v>
      </c>
      <c r="L470" s="22">
        <v>25</v>
      </c>
      <c r="M470" s="22">
        <v>13</v>
      </c>
      <c r="N470" s="22">
        <v>24</v>
      </c>
      <c r="O470" s="22" t="str">
        <f t="shared" si="55"/>
        <v>Low Attendance</v>
      </c>
    </row>
    <row r="471" spans="1:15" x14ac:dyDescent="0.3">
      <c r="A471" s="22" t="s">
        <v>1582</v>
      </c>
      <c r="B471" t="str">
        <f t="shared" si="49"/>
        <v>Krishna Khan</v>
      </c>
      <c r="C471" t="str">
        <f t="shared" si="50"/>
        <v>Legal &amp; Compliance</v>
      </c>
      <c r="D471" s="30" t="str">
        <f t="shared" si="51"/>
        <v>Active</v>
      </c>
      <c r="E471" s="22">
        <v>63</v>
      </c>
      <c r="F471" s="22">
        <v>6</v>
      </c>
      <c r="G471" s="22">
        <v>6</v>
      </c>
      <c r="H471" s="22">
        <v>0</v>
      </c>
      <c r="I471" s="22">
        <f t="shared" si="52"/>
        <v>12</v>
      </c>
      <c r="J471" s="22">
        <f t="shared" si="53"/>
        <v>51</v>
      </c>
      <c r="K471" s="26">
        <f t="shared" si="54"/>
        <v>0.80952380952380953</v>
      </c>
      <c r="L471" s="22">
        <v>44</v>
      </c>
      <c r="M471" s="22">
        <v>13</v>
      </c>
      <c r="N471" s="22">
        <v>5</v>
      </c>
      <c r="O471" s="22" t="str">
        <f t="shared" si="55"/>
        <v>Low Attendance</v>
      </c>
    </row>
    <row r="472" spans="1:15" x14ac:dyDescent="0.3">
      <c r="A472" s="22" t="s">
        <v>1585</v>
      </c>
      <c r="B472" t="str">
        <f t="shared" si="49"/>
        <v>Sowmya Prabhu</v>
      </c>
      <c r="C472" t="str">
        <f t="shared" si="50"/>
        <v>Engineering</v>
      </c>
      <c r="D472" s="30" t="str">
        <f t="shared" si="51"/>
        <v>Active</v>
      </c>
      <c r="E472" s="22">
        <v>60</v>
      </c>
      <c r="F472" s="22">
        <v>6</v>
      </c>
      <c r="G472" s="22">
        <v>1</v>
      </c>
      <c r="H472" s="22">
        <v>2</v>
      </c>
      <c r="I472" s="22">
        <f t="shared" si="52"/>
        <v>9</v>
      </c>
      <c r="J472" s="22">
        <f t="shared" si="53"/>
        <v>51</v>
      </c>
      <c r="K472" s="26">
        <f t="shared" si="54"/>
        <v>0.85</v>
      </c>
      <c r="L472" s="22">
        <v>63</v>
      </c>
      <c r="M472" s="22">
        <v>0</v>
      </c>
      <c r="N472" s="22">
        <v>1</v>
      </c>
      <c r="O472" s="22" t="str">
        <f t="shared" si="55"/>
        <v>Low Attendance</v>
      </c>
    </row>
    <row r="473" spans="1:15" x14ac:dyDescent="0.3">
      <c r="A473" s="22" t="s">
        <v>1588</v>
      </c>
      <c r="B473" t="str">
        <f t="shared" si="49"/>
        <v>Kritika Khan</v>
      </c>
      <c r="C473" t="str">
        <f t="shared" si="50"/>
        <v>Engineering</v>
      </c>
      <c r="D473" s="30" t="str">
        <f t="shared" si="51"/>
        <v>Active</v>
      </c>
      <c r="E473" s="22">
        <v>59</v>
      </c>
      <c r="F473" s="22">
        <v>5</v>
      </c>
      <c r="G473" s="22">
        <v>8</v>
      </c>
      <c r="H473" s="22">
        <v>2</v>
      </c>
      <c r="I473" s="22">
        <f t="shared" si="52"/>
        <v>15</v>
      </c>
      <c r="J473" s="22">
        <f t="shared" si="53"/>
        <v>44</v>
      </c>
      <c r="K473" s="26">
        <f t="shared" si="54"/>
        <v>0.74576271186440679</v>
      </c>
      <c r="L473" s="22">
        <v>29</v>
      </c>
      <c r="M473" s="22">
        <v>1</v>
      </c>
      <c r="N473" s="22">
        <v>94</v>
      </c>
      <c r="O473" s="22" t="str">
        <f t="shared" si="55"/>
        <v>Low Attendance</v>
      </c>
    </row>
    <row r="474" spans="1:15" x14ac:dyDescent="0.3">
      <c r="A474" s="22" t="s">
        <v>1591</v>
      </c>
      <c r="B474" t="str">
        <f t="shared" si="49"/>
        <v>Rashmi Gowda</v>
      </c>
      <c r="C474" t="str">
        <f t="shared" si="50"/>
        <v>Operations</v>
      </c>
      <c r="D474" s="30" t="str">
        <f t="shared" si="51"/>
        <v>Active</v>
      </c>
      <c r="E474" s="22">
        <v>57</v>
      </c>
      <c r="F474" s="22">
        <v>5</v>
      </c>
      <c r="G474" s="22">
        <v>6</v>
      </c>
      <c r="H474" s="22">
        <v>0</v>
      </c>
      <c r="I474" s="22">
        <f t="shared" si="52"/>
        <v>11</v>
      </c>
      <c r="J474" s="22">
        <f t="shared" si="53"/>
        <v>46</v>
      </c>
      <c r="K474" s="26">
        <f t="shared" si="54"/>
        <v>0.80701754385964908</v>
      </c>
      <c r="L474" s="22">
        <v>19</v>
      </c>
      <c r="M474" s="22">
        <v>13</v>
      </c>
      <c r="N474" s="22">
        <v>39</v>
      </c>
      <c r="O474" s="22" t="str">
        <f t="shared" si="55"/>
        <v>Low Attendance</v>
      </c>
    </row>
    <row r="475" spans="1:15" x14ac:dyDescent="0.3">
      <c r="A475" s="22" t="s">
        <v>1594</v>
      </c>
      <c r="B475" t="str">
        <f t="shared" si="49"/>
        <v>Ananya Khanna</v>
      </c>
      <c r="C475" t="str">
        <f t="shared" si="50"/>
        <v>Operations</v>
      </c>
      <c r="D475" s="30" t="str">
        <f t="shared" si="51"/>
        <v>Active</v>
      </c>
      <c r="E475" s="22">
        <v>56</v>
      </c>
      <c r="F475" s="22">
        <v>5</v>
      </c>
      <c r="G475" s="22">
        <v>5</v>
      </c>
      <c r="H475" s="22">
        <v>1</v>
      </c>
      <c r="I475" s="22">
        <f t="shared" si="52"/>
        <v>11</v>
      </c>
      <c r="J475" s="22">
        <f t="shared" si="53"/>
        <v>45</v>
      </c>
      <c r="K475" s="26">
        <f t="shared" si="54"/>
        <v>0.8035714285714286</v>
      </c>
      <c r="L475" s="22">
        <v>23</v>
      </c>
      <c r="M475" s="22">
        <v>0</v>
      </c>
      <c r="N475" s="22">
        <v>38</v>
      </c>
      <c r="O475" s="22" t="str">
        <f t="shared" si="55"/>
        <v>Low Attendance</v>
      </c>
    </row>
    <row r="476" spans="1:15" x14ac:dyDescent="0.3">
      <c r="A476" s="22" t="s">
        <v>1597</v>
      </c>
      <c r="B476" t="str">
        <f t="shared" si="49"/>
        <v>Ritu Thomas</v>
      </c>
      <c r="C476" t="str">
        <f t="shared" si="50"/>
        <v>Sales</v>
      </c>
      <c r="D476" s="30" t="str">
        <f t="shared" si="51"/>
        <v>Active</v>
      </c>
      <c r="E476" s="22">
        <v>55</v>
      </c>
      <c r="F476" s="22">
        <v>5</v>
      </c>
      <c r="G476" s="22">
        <v>7</v>
      </c>
      <c r="H476" s="22">
        <v>1</v>
      </c>
      <c r="I476" s="22">
        <f t="shared" si="52"/>
        <v>13</v>
      </c>
      <c r="J476" s="22">
        <f t="shared" si="53"/>
        <v>42</v>
      </c>
      <c r="K476" s="26">
        <f t="shared" si="54"/>
        <v>0.76363636363636367</v>
      </c>
      <c r="L476" s="22">
        <v>43</v>
      </c>
      <c r="M476" s="22">
        <v>10</v>
      </c>
      <c r="N476" s="22">
        <v>36</v>
      </c>
      <c r="O476" s="22" t="str">
        <f t="shared" si="55"/>
        <v>Low Attendance</v>
      </c>
    </row>
    <row r="477" spans="1:15" x14ac:dyDescent="0.3">
      <c r="A477" s="22" t="s">
        <v>1600</v>
      </c>
      <c r="B477" t="str">
        <f t="shared" si="49"/>
        <v>Gayatri Subramanian</v>
      </c>
      <c r="C477" t="str">
        <f t="shared" si="50"/>
        <v>Product</v>
      </c>
      <c r="D477" s="30" t="str">
        <f t="shared" si="51"/>
        <v>Active</v>
      </c>
      <c r="E477" s="22">
        <v>50</v>
      </c>
      <c r="F477" s="22">
        <v>5</v>
      </c>
      <c r="G477" s="22">
        <v>6</v>
      </c>
      <c r="H477" s="22">
        <v>1</v>
      </c>
      <c r="I477" s="22">
        <f t="shared" si="52"/>
        <v>12</v>
      </c>
      <c r="J477" s="22">
        <f t="shared" si="53"/>
        <v>38</v>
      </c>
      <c r="K477" s="26">
        <f t="shared" si="54"/>
        <v>0.76</v>
      </c>
      <c r="L477" s="22">
        <v>21</v>
      </c>
      <c r="M477" s="22">
        <v>3</v>
      </c>
      <c r="N477" s="22">
        <v>26</v>
      </c>
      <c r="O477" s="22" t="str">
        <f t="shared" si="55"/>
        <v>Low Attendance</v>
      </c>
    </row>
    <row r="478" spans="1:15" x14ac:dyDescent="0.3">
      <c r="A478" s="22" t="s">
        <v>1603</v>
      </c>
      <c r="B478" t="str">
        <f t="shared" si="49"/>
        <v>Sanjay Rao</v>
      </c>
      <c r="C478" t="str">
        <f t="shared" si="50"/>
        <v>Marketing</v>
      </c>
      <c r="D478" s="30" t="str">
        <f t="shared" si="51"/>
        <v>Active</v>
      </c>
      <c r="E478" s="22">
        <v>50</v>
      </c>
      <c r="F478" s="22">
        <v>5</v>
      </c>
      <c r="G478" s="22">
        <v>4</v>
      </c>
      <c r="H478" s="22">
        <v>8</v>
      </c>
      <c r="I478" s="22">
        <f t="shared" si="52"/>
        <v>17</v>
      </c>
      <c r="J478" s="22">
        <f t="shared" si="53"/>
        <v>33</v>
      </c>
      <c r="K478" s="26">
        <f t="shared" si="54"/>
        <v>0.66</v>
      </c>
      <c r="L478" s="22">
        <v>74</v>
      </c>
      <c r="M478" s="22">
        <v>3</v>
      </c>
      <c r="N478" s="22">
        <v>24</v>
      </c>
      <c r="O478" s="22" t="str">
        <f t="shared" si="55"/>
        <v>High Unplanned</v>
      </c>
    </row>
    <row r="479" spans="1:15" x14ac:dyDescent="0.3">
      <c r="A479" s="22" t="s">
        <v>1606</v>
      </c>
      <c r="B479" t="str">
        <f t="shared" si="49"/>
        <v>Mohit Chatterjee</v>
      </c>
      <c r="C479" t="str">
        <f t="shared" si="50"/>
        <v>Human Resources</v>
      </c>
      <c r="D479" s="30" t="str">
        <f t="shared" si="51"/>
        <v>Active</v>
      </c>
      <c r="E479" s="22">
        <v>50</v>
      </c>
      <c r="F479" s="22">
        <v>5</v>
      </c>
      <c r="G479" s="22">
        <v>7</v>
      </c>
      <c r="H479" s="22">
        <v>3</v>
      </c>
      <c r="I479" s="22">
        <f t="shared" si="52"/>
        <v>15</v>
      </c>
      <c r="J479" s="22">
        <f t="shared" si="53"/>
        <v>35</v>
      </c>
      <c r="K479" s="26">
        <f t="shared" si="54"/>
        <v>0.7</v>
      </c>
      <c r="L479" s="22">
        <v>57</v>
      </c>
      <c r="M479" s="22">
        <v>12</v>
      </c>
      <c r="N479" s="22">
        <v>34</v>
      </c>
      <c r="O479" s="22" t="str">
        <f t="shared" si="55"/>
        <v>Low Attendance</v>
      </c>
    </row>
    <row r="480" spans="1:15" x14ac:dyDescent="0.3">
      <c r="A480" s="22" t="s">
        <v>1609</v>
      </c>
      <c r="B480" t="str">
        <f t="shared" si="49"/>
        <v>Abhishek Agarwal</v>
      </c>
      <c r="C480" t="str">
        <f t="shared" si="50"/>
        <v>Engineering</v>
      </c>
      <c r="D480" s="30" t="str">
        <f t="shared" si="51"/>
        <v>Active</v>
      </c>
      <c r="E480" s="22">
        <v>50</v>
      </c>
      <c r="F480" s="22">
        <v>5</v>
      </c>
      <c r="G480" s="22">
        <v>1</v>
      </c>
      <c r="H480" s="22">
        <v>2</v>
      </c>
      <c r="I480" s="22">
        <f t="shared" si="52"/>
        <v>8</v>
      </c>
      <c r="J480" s="22">
        <f t="shared" si="53"/>
        <v>42</v>
      </c>
      <c r="K480" s="26">
        <f t="shared" si="54"/>
        <v>0.84</v>
      </c>
      <c r="L480" s="22">
        <v>83</v>
      </c>
      <c r="M480" s="22">
        <v>0</v>
      </c>
      <c r="N480" s="22">
        <v>50</v>
      </c>
      <c r="O480" s="22" t="str">
        <f t="shared" si="55"/>
        <v>Low Attendance</v>
      </c>
    </row>
    <row r="481" spans="1:15" x14ac:dyDescent="0.3">
      <c r="A481" s="22" t="s">
        <v>1612</v>
      </c>
      <c r="B481" t="str">
        <f t="shared" si="49"/>
        <v>Sanjay Bansal</v>
      </c>
      <c r="C481" t="str">
        <f t="shared" si="50"/>
        <v>Engineering</v>
      </c>
      <c r="D481" s="30" t="str">
        <f t="shared" si="51"/>
        <v>Active</v>
      </c>
      <c r="E481" s="22">
        <v>47</v>
      </c>
      <c r="F481" s="22">
        <v>4</v>
      </c>
      <c r="G481" s="22">
        <v>3</v>
      </c>
      <c r="H481" s="22">
        <v>1</v>
      </c>
      <c r="I481" s="22">
        <f t="shared" si="52"/>
        <v>8</v>
      </c>
      <c r="J481" s="22">
        <f t="shared" si="53"/>
        <v>39</v>
      </c>
      <c r="K481" s="26">
        <f t="shared" si="54"/>
        <v>0.82978723404255317</v>
      </c>
      <c r="L481" s="22">
        <v>71</v>
      </c>
      <c r="M481" s="22">
        <v>9</v>
      </c>
      <c r="N481" s="22">
        <v>13</v>
      </c>
      <c r="O481" s="22" t="str">
        <f t="shared" si="55"/>
        <v>Low Attendance</v>
      </c>
    </row>
    <row r="482" spans="1:15" x14ac:dyDescent="0.3">
      <c r="A482" s="22" t="s">
        <v>1615</v>
      </c>
      <c r="B482" t="str">
        <f t="shared" si="49"/>
        <v>Madhuri Banerjee</v>
      </c>
      <c r="C482" t="str">
        <f t="shared" si="50"/>
        <v>Customer Support</v>
      </c>
      <c r="D482" s="30" t="str">
        <f t="shared" si="51"/>
        <v>Active</v>
      </c>
      <c r="E482" s="22">
        <v>44</v>
      </c>
      <c r="F482" s="22">
        <v>4</v>
      </c>
      <c r="G482" s="22">
        <v>4</v>
      </c>
      <c r="H482" s="22">
        <v>1</v>
      </c>
      <c r="I482" s="22">
        <f t="shared" si="52"/>
        <v>9</v>
      </c>
      <c r="J482" s="22">
        <f t="shared" si="53"/>
        <v>35</v>
      </c>
      <c r="K482" s="26">
        <f t="shared" si="54"/>
        <v>0.79545454545454541</v>
      </c>
      <c r="L482" s="22">
        <v>25</v>
      </c>
      <c r="M482" s="22">
        <v>10</v>
      </c>
      <c r="N482" s="22">
        <v>10</v>
      </c>
      <c r="O482" s="22" t="str">
        <f t="shared" si="55"/>
        <v>Low Attendance</v>
      </c>
    </row>
    <row r="483" spans="1:15" x14ac:dyDescent="0.3">
      <c r="A483" s="22" t="s">
        <v>1618</v>
      </c>
      <c r="B483" t="str">
        <f t="shared" si="49"/>
        <v>Rashmi Khanna</v>
      </c>
      <c r="C483" t="str">
        <f t="shared" si="50"/>
        <v>Legal &amp; Compliance</v>
      </c>
      <c r="D483" s="30" t="str">
        <f t="shared" si="51"/>
        <v>Active</v>
      </c>
      <c r="E483" s="22">
        <v>43</v>
      </c>
      <c r="F483" s="22">
        <v>4</v>
      </c>
      <c r="G483" s="22">
        <v>8</v>
      </c>
      <c r="H483" s="22">
        <v>5</v>
      </c>
      <c r="I483" s="22">
        <f t="shared" si="52"/>
        <v>17</v>
      </c>
      <c r="J483" s="22">
        <f t="shared" si="53"/>
        <v>26</v>
      </c>
      <c r="K483" s="26">
        <f t="shared" si="54"/>
        <v>0.60465116279069764</v>
      </c>
      <c r="L483" s="22">
        <v>85</v>
      </c>
      <c r="M483" s="22">
        <v>3</v>
      </c>
      <c r="N483" s="22">
        <v>5</v>
      </c>
      <c r="O483" s="22" t="str">
        <f t="shared" si="55"/>
        <v>Low Attendance</v>
      </c>
    </row>
    <row r="484" spans="1:15" x14ac:dyDescent="0.3">
      <c r="A484" s="22" t="s">
        <v>1621</v>
      </c>
      <c r="B484" t="str">
        <f t="shared" si="49"/>
        <v>Amit Chatterjee</v>
      </c>
      <c r="C484" t="str">
        <f t="shared" si="50"/>
        <v>Operations</v>
      </c>
      <c r="D484" s="30" t="str">
        <f t="shared" si="51"/>
        <v>Active</v>
      </c>
      <c r="E484" s="22">
        <v>41</v>
      </c>
      <c r="F484" s="22">
        <v>4</v>
      </c>
      <c r="G484" s="22">
        <v>6</v>
      </c>
      <c r="H484" s="22">
        <v>2</v>
      </c>
      <c r="I484" s="22">
        <f t="shared" si="52"/>
        <v>12</v>
      </c>
      <c r="J484" s="22">
        <f t="shared" si="53"/>
        <v>29</v>
      </c>
      <c r="K484" s="26">
        <f t="shared" si="54"/>
        <v>0.70731707317073167</v>
      </c>
      <c r="L484" s="22">
        <v>15</v>
      </c>
      <c r="M484" s="22">
        <v>8</v>
      </c>
      <c r="N484" s="22">
        <v>92</v>
      </c>
      <c r="O484" s="22" t="str">
        <f t="shared" si="55"/>
        <v>Low Attendance</v>
      </c>
    </row>
    <row r="485" spans="1:15" x14ac:dyDescent="0.3">
      <c r="A485" s="22" t="s">
        <v>1624</v>
      </c>
      <c r="B485" t="str">
        <f t="shared" si="49"/>
        <v>Ankit Raghavan</v>
      </c>
      <c r="C485" t="str">
        <f t="shared" si="50"/>
        <v>Human Resources</v>
      </c>
      <c r="D485" s="30" t="str">
        <f t="shared" si="51"/>
        <v>Active</v>
      </c>
      <c r="E485" s="22">
        <v>40</v>
      </c>
      <c r="F485" s="22">
        <v>4</v>
      </c>
      <c r="G485" s="22">
        <v>3</v>
      </c>
      <c r="H485" s="22">
        <v>0</v>
      </c>
      <c r="I485" s="22">
        <f t="shared" si="52"/>
        <v>7</v>
      </c>
      <c r="J485" s="22">
        <f t="shared" si="53"/>
        <v>33</v>
      </c>
      <c r="K485" s="26">
        <f t="shared" si="54"/>
        <v>0.82499999999999996</v>
      </c>
      <c r="L485" s="22">
        <v>73</v>
      </c>
      <c r="M485" s="22">
        <v>4</v>
      </c>
      <c r="N485" s="22">
        <v>26</v>
      </c>
      <c r="O485" s="22" t="str">
        <f t="shared" si="55"/>
        <v>Low Attendance</v>
      </c>
    </row>
    <row r="486" spans="1:15" x14ac:dyDescent="0.3">
      <c r="A486" s="22" t="s">
        <v>1627</v>
      </c>
      <c r="B486" t="str">
        <f t="shared" si="49"/>
        <v>Dev Reddy</v>
      </c>
      <c r="C486" t="str">
        <f t="shared" si="50"/>
        <v>Customer Support</v>
      </c>
      <c r="D486" s="30" t="str">
        <f t="shared" si="51"/>
        <v>Active</v>
      </c>
      <c r="E486" s="22">
        <v>38</v>
      </c>
      <c r="F486" s="22">
        <v>3</v>
      </c>
      <c r="G486" s="22">
        <v>5</v>
      </c>
      <c r="H486" s="22">
        <v>5</v>
      </c>
      <c r="I486" s="22">
        <f t="shared" si="52"/>
        <v>13</v>
      </c>
      <c r="J486" s="22">
        <f t="shared" si="53"/>
        <v>25</v>
      </c>
      <c r="K486" s="26">
        <f t="shared" si="54"/>
        <v>0.65789473684210531</v>
      </c>
      <c r="L486" s="22">
        <v>1</v>
      </c>
      <c r="M486" s="22">
        <v>5</v>
      </c>
      <c r="N486" s="22">
        <v>88</v>
      </c>
      <c r="O486" s="22" t="str">
        <f t="shared" si="55"/>
        <v>Low Attendance</v>
      </c>
    </row>
    <row r="487" spans="1:15" x14ac:dyDescent="0.3">
      <c r="A487" s="22" t="s">
        <v>1630</v>
      </c>
      <c r="B487" t="str">
        <f t="shared" si="49"/>
        <v>Radhika Fernandes</v>
      </c>
      <c r="C487" t="str">
        <f t="shared" si="50"/>
        <v>Product</v>
      </c>
      <c r="D487" s="30" t="str">
        <f t="shared" si="51"/>
        <v>Active</v>
      </c>
      <c r="E487" s="22">
        <v>38</v>
      </c>
      <c r="F487" s="22">
        <v>3</v>
      </c>
      <c r="G487" s="22">
        <v>6</v>
      </c>
      <c r="H487" s="22">
        <v>5</v>
      </c>
      <c r="I487" s="22">
        <f t="shared" si="52"/>
        <v>14</v>
      </c>
      <c r="J487" s="22">
        <f t="shared" si="53"/>
        <v>24</v>
      </c>
      <c r="K487" s="26">
        <f t="shared" si="54"/>
        <v>0.63157894736842102</v>
      </c>
      <c r="L487" s="22">
        <v>44</v>
      </c>
      <c r="M487" s="22">
        <v>11</v>
      </c>
      <c r="N487" s="22">
        <v>13</v>
      </c>
      <c r="O487" s="22" t="str">
        <f t="shared" si="55"/>
        <v>Low Attendance</v>
      </c>
    </row>
    <row r="488" spans="1:15" x14ac:dyDescent="0.3">
      <c r="A488" s="22" t="s">
        <v>1633</v>
      </c>
      <c r="B488" t="str">
        <f t="shared" si="49"/>
        <v>Kiran Kulkarni</v>
      </c>
      <c r="C488" t="str">
        <f t="shared" si="50"/>
        <v>Engineering</v>
      </c>
      <c r="D488" s="30" t="str">
        <f t="shared" si="51"/>
        <v>Active</v>
      </c>
      <c r="E488" s="22">
        <v>36</v>
      </c>
      <c r="F488" s="22">
        <v>3</v>
      </c>
      <c r="G488" s="22">
        <v>8</v>
      </c>
      <c r="H488" s="22">
        <v>9</v>
      </c>
      <c r="I488" s="22">
        <f t="shared" si="52"/>
        <v>20</v>
      </c>
      <c r="J488" s="22">
        <f t="shared" si="53"/>
        <v>16</v>
      </c>
      <c r="K488" s="26">
        <f t="shared" si="54"/>
        <v>0.44444444444444442</v>
      </c>
      <c r="L488" s="22">
        <v>73</v>
      </c>
      <c r="M488" s="22">
        <v>5</v>
      </c>
      <c r="N488" s="22">
        <v>83</v>
      </c>
      <c r="O488" s="22" t="str">
        <f t="shared" si="55"/>
        <v>High Unplanned</v>
      </c>
    </row>
    <row r="489" spans="1:15" x14ac:dyDescent="0.3">
      <c r="A489" s="22" t="s">
        <v>1636</v>
      </c>
      <c r="B489" t="str">
        <f t="shared" si="49"/>
        <v>Tarun Patel</v>
      </c>
      <c r="C489" t="str">
        <f t="shared" si="50"/>
        <v>Customer Support</v>
      </c>
      <c r="D489" s="30" t="str">
        <f t="shared" si="51"/>
        <v>Active</v>
      </c>
      <c r="E489" s="22">
        <v>33</v>
      </c>
      <c r="F489" s="22">
        <v>3</v>
      </c>
      <c r="G489" s="22">
        <v>5</v>
      </c>
      <c r="H489" s="22">
        <v>2</v>
      </c>
      <c r="I489" s="22">
        <f t="shared" si="52"/>
        <v>10</v>
      </c>
      <c r="J489" s="22">
        <f t="shared" si="53"/>
        <v>23</v>
      </c>
      <c r="K489" s="26">
        <f t="shared" si="54"/>
        <v>0.69696969696969702</v>
      </c>
      <c r="L489" s="22">
        <v>15</v>
      </c>
      <c r="M489" s="22">
        <v>8</v>
      </c>
      <c r="N489" s="22">
        <v>71</v>
      </c>
      <c r="O489" s="22" t="str">
        <f t="shared" si="55"/>
        <v>Low Attendance</v>
      </c>
    </row>
    <row r="490" spans="1:15" x14ac:dyDescent="0.3">
      <c r="A490" s="22" t="s">
        <v>1639</v>
      </c>
      <c r="B490" t="str">
        <f t="shared" si="49"/>
        <v>Sanjay Das</v>
      </c>
      <c r="C490" t="str">
        <f t="shared" si="50"/>
        <v>Finance</v>
      </c>
      <c r="D490" s="30" t="str">
        <f t="shared" si="51"/>
        <v>Active</v>
      </c>
      <c r="E490" s="22">
        <v>32</v>
      </c>
      <c r="F490" s="22">
        <v>3</v>
      </c>
      <c r="G490" s="22">
        <v>1</v>
      </c>
      <c r="H490" s="22">
        <v>8</v>
      </c>
      <c r="I490" s="22">
        <f t="shared" si="52"/>
        <v>12</v>
      </c>
      <c r="J490" s="22">
        <f t="shared" si="53"/>
        <v>20</v>
      </c>
      <c r="K490" s="26">
        <f t="shared" si="54"/>
        <v>0.625</v>
      </c>
      <c r="L490" s="22">
        <v>64</v>
      </c>
      <c r="M490" s="22">
        <v>11</v>
      </c>
      <c r="N490" s="22">
        <v>4</v>
      </c>
      <c r="O490" s="22" t="str">
        <f t="shared" si="55"/>
        <v>High Unplanned</v>
      </c>
    </row>
    <row r="491" spans="1:15" x14ac:dyDescent="0.3">
      <c r="A491" s="22" t="s">
        <v>1642</v>
      </c>
      <c r="B491" t="str">
        <f t="shared" si="49"/>
        <v>Deepika Menon</v>
      </c>
      <c r="C491" t="str">
        <f t="shared" si="50"/>
        <v>Sales</v>
      </c>
      <c r="D491" s="30" t="str">
        <f t="shared" si="51"/>
        <v>Active</v>
      </c>
      <c r="E491" s="22">
        <v>29</v>
      </c>
      <c r="F491" s="22">
        <v>2</v>
      </c>
      <c r="G491" s="22">
        <v>2</v>
      </c>
      <c r="H491" s="22">
        <v>3</v>
      </c>
      <c r="I491" s="22">
        <f t="shared" si="52"/>
        <v>7</v>
      </c>
      <c r="J491" s="22">
        <f t="shared" si="53"/>
        <v>22</v>
      </c>
      <c r="K491" s="26">
        <f t="shared" si="54"/>
        <v>0.75862068965517238</v>
      </c>
      <c r="L491" s="22">
        <v>30</v>
      </c>
      <c r="M491" s="22">
        <v>8</v>
      </c>
      <c r="N491" s="22">
        <v>7</v>
      </c>
      <c r="O491" s="22" t="str">
        <f t="shared" si="55"/>
        <v>Low Attendance</v>
      </c>
    </row>
    <row r="492" spans="1:15" x14ac:dyDescent="0.3">
      <c r="A492" s="22" t="s">
        <v>1645</v>
      </c>
      <c r="B492" t="str">
        <f t="shared" si="49"/>
        <v>Sowmya Subramanian</v>
      </c>
      <c r="C492" t="str">
        <f t="shared" si="50"/>
        <v>Customer Support</v>
      </c>
      <c r="D492" s="30" t="str">
        <f t="shared" si="51"/>
        <v>Active</v>
      </c>
      <c r="E492" s="22">
        <v>28</v>
      </c>
      <c r="F492" s="22">
        <v>2</v>
      </c>
      <c r="G492" s="22">
        <v>3</v>
      </c>
      <c r="H492" s="22">
        <v>1</v>
      </c>
      <c r="I492" s="22">
        <f t="shared" si="52"/>
        <v>6</v>
      </c>
      <c r="J492" s="22">
        <f t="shared" si="53"/>
        <v>22</v>
      </c>
      <c r="K492" s="26">
        <f t="shared" si="54"/>
        <v>0.7857142857142857</v>
      </c>
      <c r="L492" s="22">
        <v>3</v>
      </c>
      <c r="M492" s="22">
        <v>0</v>
      </c>
      <c r="N492" s="22">
        <v>113</v>
      </c>
      <c r="O492" s="22" t="str">
        <f t="shared" si="55"/>
        <v>Low Attendance</v>
      </c>
    </row>
    <row r="493" spans="1:15" x14ac:dyDescent="0.3">
      <c r="A493" s="22" t="s">
        <v>1648</v>
      </c>
      <c r="B493" t="str">
        <f t="shared" si="49"/>
        <v>Kunal Dsouza</v>
      </c>
      <c r="C493" t="str">
        <f t="shared" si="50"/>
        <v>Operations</v>
      </c>
      <c r="D493" s="30" t="str">
        <f t="shared" si="51"/>
        <v>Active</v>
      </c>
      <c r="E493" s="22">
        <v>27</v>
      </c>
      <c r="F493" s="22">
        <v>2</v>
      </c>
      <c r="G493" s="22">
        <v>7</v>
      </c>
      <c r="H493" s="22">
        <v>0</v>
      </c>
      <c r="I493" s="22">
        <f t="shared" si="52"/>
        <v>9</v>
      </c>
      <c r="J493" s="22">
        <f t="shared" si="53"/>
        <v>18</v>
      </c>
      <c r="K493" s="26">
        <f t="shared" si="54"/>
        <v>0.66666666666666663</v>
      </c>
      <c r="L493" s="22">
        <v>25</v>
      </c>
      <c r="M493" s="22">
        <v>8</v>
      </c>
      <c r="N493" s="22">
        <v>62</v>
      </c>
      <c r="O493" s="22" t="str">
        <f t="shared" si="55"/>
        <v>Low Attendance</v>
      </c>
    </row>
    <row r="494" spans="1:15" x14ac:dyDescent="0.3">
      <c r="A494" s="22" t="s">
        <v>1651</v>
      </c>
      <c r="B494" t="str">
        <f t="shared" si="49"/>
        <v>Divya Kapoor</v>
      </c>
      <c r="C494" t="str">
        <f t="shared" si="50"/>
        <v>Product</v>
      </c>
      <c r="D494" s="30" t="str">
        <f t="shared" si="51"/>
        <v>Active</v>
      </c>
      <c r="E494" s="22">
        <v>26</v>
      </c>
      <c r="F494" s="22">
        <v>2</v>
      </c>
      <c r="G494" s="22">
        <v>8</v>
      </c>
      <c r="H494" s="22">
        <v>1</v>
      </c>
      <c r="I494" s="22">
        <f t="shared" si="52"/>
        <v>11</v>
      </c>
      <c r="J494" s="22">
        <f t="shared" si="53"/>
        <v>15</v>
      </c>
      <c r="K494" s="26">
        <f t="shared" si="54"/>
        <v>0.57692307692307687</v>
      </c>
      <c r="L494" s="22">
        <v>11</v>
      </c>
      <c r="M494" s="22">
        <v>4</v>
      </c>
      <c r="N494" s="22">
        <v>7</v>
      </c>
      <c r="O494" s="22" t="str">
        <f t="shared" si="55"/>
        <v>Low Attendance</v>
      </c>
    </row>
    <row r="495" spans="1:15" x14ac:dyDescent="0.3">
      <c r="A495" s="22" t="s">
        <v>1654</v>
      </c>
      <c r="B495" t="str">
        <f t="shared" si="49"/>
        <v>Ayesha Kulkarni</v>
      </c>
      <c r="C495" t="str">
        <f t="shared" si="50"/>
        <v>Engineering</v>
      </c>
      <c r="D495" s="30" t="str">
        <f t="shared" si="51"/>
        <v>Active</v>
      </c>
      <c r="E495" s="22">
        <v>23</v>
      </c>
      <c r="F495" s="22">
        <v>2</v>
      </c>
      <c r="G495" s="22">
        <v>4</v>
      </c>
      <c r="H495" s="22">
        <v>7</v>
      </c>
      <c r="I495" s="22">
        <f t="shared" si="52"/>
        <v>13</v>
      </c>
      <c r="J495" s="22">
        <f t="shared" si="53"/>
        <v>10</v>
      </c>
      <c r="K495" s="26">
        <f t="shared" si="54"/>
        <v>0.43478260869565216</v>
      </c>
      <c r="L495" s="22">
        <v>76</v>
      </c>
      <c r="M495" s="22">
        <v>5</v>
      </c>
      <c r="N495" s="22">
        <v>78</v>
      </c>
      <c r="O495" s="22" t="str">
        <f t="shared" si="55"/>
        <v>Low Attendance</v>
      </c>
    </row>
    <row r="496" spans="1:15" x14ac:dyDescent="0.3">
      <c r="A496" s="22" t="s">
        <v>1657</v>
      </c>
      <c r="B496" t="str">
        <f t="shared" si="49"/>
        <v>Ayesha Menon</v>
      </c>
      <c r="C496" t="str">
        <f t="shared" si="50"/>
        <v>Sales</v>
      </c>
      <c r="D496" s="30" t="str">
        <f t="shared" si="51"/>
        <v>Active</v>
      </c>
      <c r="E496" s="22">
        <v>20</v>
      </c>
      <c r="F496" s="22">
        <v>2</v>
      </c>
      <c r="G496" s="22">
        <v>5</v>
      </c>
      <c r="H496" s="22">
        <v>2</v>
      </c>
      <c r="I496" s="22">
        <f t="shared" si="52"/>
        <v>9</v>
      </c>
      <c r="J496" s="22">
        <f t="shared" si="53"/>
        <v>11</v>
      </c>
      <c r="K496" s="26">
        <f t="shared" si="54"/>
        <v>0.55000000000000004</v>
      </c>
      <c r="L496" s="22">
        <v>31</v>
      </c>
      <c r="M496" s="22">
        <v>2</v>
      </c>
      <c r="N496" s="22">
        <v>18</v>
      </c>
      <c r="O496" s="22" t="str">
        <f t="shared" si="55"/>
        <v>Low Attendance</v>
      </c>
    </row>
    <row r="497" spans="1:15" x14ac:dyDescent="0.3">
      <c r="A497" s="22" t="s">
        <v>1660</v>
      </c>
      <c r="B497" t="str">
        <f t="shared" si="49"/>
        <v>Trisha Sharma</v>
      </c>
      <c r="C497" t="str">
        <f t="shared" si="50"/>
        <v>Legal &amp; Compliance</v>
      </c>
      <c r="D497" s="30" t="str">
        <f t="shared" si="51"/>
        <v>Active</v>
      </c>
      <c r="E497" s="22">
        <v>20</v>
      </c>
      <c r="F497" s="22">
        <v>2</v>
      </c>
      <c r="G497" s="22">
        <v>3</v>
      </c>
      <c r="H497" s="22">
        <v>9</v>
      </c>
      <c r="I497" s="22">
        <f t="shared" si="52"/>
        <v>14</v>
      </c>
      <c r="J497" s="22">
        <f t="shared" si="53"/>
        <v>6</v>
      </c>
      <c r="K497" s="26">
        <f t="shared" si="54"/>
        <v>0.3</v>
      </c>
      <c r="L497" s="22">
        <v>76</v>
      </c>
      <c r="M497" s="22">
        <v>9</v>
      </c>
      <c r="N497" s="22">
        <v>16</v>
      </c>
      <c r="O497" s="22" t="str">
        <f t="shared" si="55"/>
        <v>High Unplanned</v>
      </c>
    </row>
    <row r="498" spans="1:15" x14ac:dyDescent="0.3">
      <c r="A498" s="22" t="s">
        <v>1663</v>
      </c>
      <c r="B498" t="str">
        <f t="shared" si="49"/>
        <v>Vishal Kulkarni</v>
      </c>
      <c r="C498" t="str">
        <f t="shared" si="50"/>
        <v>Operations</v>
      </c>
      <c r="D498" s="30" t="str">
        <f t="shared" si="51"/>
        <v>Active</v>
      </c>
      <c r="E498" s="22">
        <v>20</v>
      </c>
      <c r="F498" s="22">
        <v>2</v>
      </c>
      <c r="G498" s="22">
        <v>7</v>
      </c>
      <c r="H498" s="22">
        <v>1</v>
      </c>
      <c r="I498" s="22">
        <f t="shared" si="52"/>
        <v>10</v>
      </c>
      <c r="J498" s="22">
        <f t="shared" si="53"/>
        <v>10</v>
      </c>
      <c r="K498" s="26">
        <f t="shared" si="54"/>
        <v>0.5</v>
      </c>
      <c r="L498" s="22">
        <v>10</v>
      </c>
      <c r="M498" s="22">
        <v>14</v>
      </c>
      <c r="N498" s="22">
        <v>95</v>
      </c>
      <c r="O498" s="22" t="str">
        <f t="shared" si="55"/>
        <v>Low Attendance</v>
      </c>
    </row>
    <row r="499" spans="1:15" x14ac:dyDescent="0.3">
      <c r="A499" s="22" t="s">
        <v>484</v>
      </c>
      <c r="B499" t="str">
        <f t="shared" si="49"/>
        <v>Trisha Malhotra</v>
      </c>
      <c r="C499" t="str">
        <f t="shared" si="50"/>
        <v>Product</v>
      </c>
      <c r="D499" s="30" t="str">
        <f t="shared" si="51"/>
        <v>Active</v>
      </c>
      <c r="E499" s="22">
        <v>20</v>
      </c>
      <c r="F499" s="22">
        <v>2</v>
      </c>
      <c r="G499" s="22">
        <v>2</v>
      </c>
      <c r="H499" s="22">
        <v>0</v>
      </c>
      <c r="I499" s="22">
        <f t="shared" si="52"/>
        <v>4</v>
      </c>
      <c r="J499" s="22">
        <f t="shared" si="53"/>
        <v>16</v>
      </c>
      <c r="K499" s="26">
        <f t="shared" si="54"/>
        <v>0.8</v>
      </c>
      <c r="L499" s="22">
        <v>70</v>
      </c>
      <c r="M499" s="22">
        <v>0</v>
      </c>
      <c r="N499" s="22">
        <v>20</v>
      </c>
      <c r="O499" s="22" t="str">
        <f t="shared" si="55"/>
        <v>Low Attendance</v>
      </c>
    </row>
    <row r="500" spans="1:15" x14ac:dyDescent="0.3">
      <c r="A500" s="22" t="s">
        <v>1667</v>
      </c>
      <c r="B500" t="str">
        <f t="shared" si="49"/>
        <v>Bhavana Singh</v>
      </c>
      <c r="C500" t="str">
        <f t="shared" si="50"/>
        <v>Engineering</v>
      </c>
      <c r="D500" s="30" t="str">
        <f t="shared" si="51"/>
        <v>Active</v>
      </c>
      <c r="E500" s="22">
        <v>20</v>
      </c>
      <c r="F500" s="22">
        <v>2</v>
      </c>
      <c r="G500" s="22">
        <v>2</v>
      </c>
      <c r="H500" s="22">
        <v>2</v>
      </c>
      <c r="I500" s="22">
        <f t="shared" si="52"/>
        <v>6</v>
      </c>
      <c r="J500" s="22">
        <f t="shared" si="53"/>
        <v>14</v>
      </c>
      <c r="K500" s="26">
        <f t="shared" si="54"/>
        <v>0.7</v>
      </c>
      <c r="L500" s="22">
        <v>10</v>
      </c>
      <c r="M500" s="22">
        <v>4</v>
      </c>
      <c r="N500" s="22">
        <v>89</v>
      </c>
      <c r="O500" s="22" t="str">
        <f t="shared" si="55"/>
        <v>Low Attendance</v>
      </c>
    </row>
    <row r="501" spans="1:15" x14ac:dyDescent="0.3">
      <c r="A501" s="22" t="s">
        <v>1670</v>
      </c>
      <c r="B501" t="str">
        <f t="shared" si="49"/>
        <v>Sowmya Patel</v>
      </c>
      <c r="C501" t="str">
        <f t="shared" si="50"/>
        <v>Legal &amp; Compliance</v>
      </c>
      <c r="D501" s="30" t="str">
        <f t="shared" si="51"/>
        <v>Active</v>
      </c>
      <c r="E501" s="22">
        <v>20</v>
      </c>
      <c r="F501" s="22">
        <v>2</v>
      </c>
      <c r="G501" s="22">
        <v>3</v>
      </c>
      <c r="H501" s="22">
        <v>9</v>
      </c>
      <c r="I501" s="22">
        <f t="shared" si="52"/>
        <v>14</v>
      </c>
      <c r="J501" s="22">
        <f t="shared" si="53"/>
        <v>6</v>
      </c>
      <c r="K501" s="26">
        <f t="shared" si="54"/>
        <v>0.3</v>
      </c>
      <c r="L501" s="22">
        <v>68</v>
      </c>
      <c r="M501" s="22">
        <v>5</v>
      </c>
      <c r="N501" s="22">
        <v>6</v>
      </c>
      <c r="O501" s="22" t="str">
        <f t="shared" si="55"/>
        <v>High Unplanned</v>
      </c>
    </row>
  </sheetData>
  <autoFilter ref="A1:O501" xr:uid="{00000000-0009-0000-0000-000006000000}"/>
  <conditionalFormatting sqref="A2:O501">
    <cfRule type="expression" dxfId="10" priority="1">
      <formula>MOD(ROW(),2)=0</formula>
    </cfRule>
  </conditionalFormatting>
  <conditionalFormatting sqref="K2:K501">
    <cfRule type="dataBar" priority="3">
      <dataBar>
        <cfvo type="num" val="0.8"/>
        <cfvo type="num" val="1"/>
        <color rgb="FF8EC3E6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O2:O501">
    <cfRule type="cellIs" dxfId="9" priority="2" operator="notEqual">
      <formula>"Normal"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0.8</xm:f>
              </x14:cfvo>
              <x14:cfvo type="num">
                <xm:f>1</xm:f>
              </x14:cfvo>
              <x14:borderColor rgb="FF8EC3E6"/>
              <x14:negativeFillColor rgb="FFFF0000"/>
              <x14:negativeBorderColor rgb="FFFF0000"/>
              <x14:axisColor rgb="FF000000"/>
            </x14:dataBar>
          </x14:cfRule>
          <xm:sqref>K2:K501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3C7DC4"/>
  </sheetPr>
  <dimension ref="A1:N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18.6640625" customWidth="1"/>
    <col min="4" max="4" width="7.6640625" customWidth="1"/>
    <col min="5" max="5" width="9.6640625" customWidth="1"/>
    <col min="6" max="6" width="22.6640625" customWidth="1"/>
    <col min="7" max="8" width="9.6640625" customWidth="1"/>
    <col min="9" max="9" width="11.6640625" customWidth="1"/>
    <col min="10" max="10" width="10.6640625" customWidth="1"/>
    <col min="11" max="12" width="9.6640625" customWidth="1"/>
    <col min="13" max="13" width="12.6640625" customWidth="1"/>
    <col min="14" max="14" width="10.6640625" customWidth="1"/>
  </cols>
  <sheetData>
    <row r="1" spans="1:14" ht="31.95" customHeight="1" x14ac:dyDescent="0.3">
      <c r="A1" s="6" t="s">
        <v>74</v>
      </c>
      <c r="B1" s="27" t="s">
        <v>75</v>
      </c>
      <c r="C1" s="27" t="s">
        <v>80</v>
      </c>
      <c r="D1" s="27" t="s">
        <v>17</v>
      </c>
      <c r="E1" s="27" t="s">
        <v>86</v>
      </c>
      <c r="F1" s="6" t="s">
        <v>1713</v>
      </c>
      <c r="G1" s="6" t="s">
        <v>1714</v>
      </c>
      <c r="H1" s="6" t="s">
        <v>1715</v>
      </c>
      <c r="I1" s="6" t="s">
        <v>1716</v>
      </c>
      <c r="J1" s="6" t="s">
        <v>1717</v>
      </c>
      <c r="K1" s="6" t="s">
        <v>1718</v>
      </c>
      <c r="L1" s="6" t="s">
        <v>1719</v>
      </c>
      <c r="M1" s="27" t="s">
        <v>1720</v>
      </c>
      <c r="N1" s="6" t="s">
        <v>1721</v>
      </c>
    </row>
    <row r="2" spans="1:14" x14ac:dyDescent="0.3">
      <c r="A2" s="22" t="s">
        <v>91</v>
      </c>
      <c r="B2" t="str">
        <f t="shared" ref="B2:B65" si="0">INDEX(M_Name,MATCH($A2,M_ID,0))</f>
        <v>Vidya Kulkarni</v>
      </c>
      <c r="C2" t="str">
        <f t="shared" ref="C2:C65" si="1">INDEX(M_Dept,MATCH($A2,M_ID,0))</f>
        <v>Human Resources</v>
      </c>
      <c r="D2" s="30" t="str">
        <f t="shared" ref="D2:D65" si="2">INDEX(M_Level,MATCH($A2,M_ID,0))</f>
        <v>L7</v>
      </c>
      <c r="E2" s="30" t="str">
        <f t="shared" ref="E2:E65" si="3">INDEX(M_Status,MATCH($A2,M_ID,0))</f>
        <v>Active</v>
      </c>
      <c r="F2" t="s">
        <v>1722</v>
      </c>
      <c r="G2" s="22">
        <v>1</v>
      </c>
      <c r="H2" s="22">
        <v>7</v>
      </c>
      <c r="I2" s="34">
        <v>7000</v>
      </c>
      <c r="J2" s="22">
        <v>80</v>
      </c>
      <c r="K2" s="22" t="s">
        <v>1700</v>
      </c>
      <c r="L2" s="22" t="s">
        <v>1700</v>
      </c>
      <c r="M2" s="22" t="str">
        <f t="shared" ref="M2:M65" si="4">IF(AND(K2="Yes",L2="Yes"),"Compliant","Pending")</f>
        <v>Compliant</v>
      </c>
      <c r="N2" s="22" t="s">
        <v>1701</v>
      </c>
    </row>
    <row r="3" spans="1:14" x14ac:dyDescent="0.3">
      <c r="A3" s="22" t="s">
        <v>100</v>
      </c>
      <c r="B3" t="str">
        <f t="shared" si="0"/>
        <v>Vikas Singh</v>
      </c>
      <c r="C3" t="str">
        <f t="shared" si="1"/>
        <v>Engineering</v>
      </c>
      <c r="D3" s="30" t="str">
        <f t="shared" si="2"/>
        <v>L5</v>
      </c>
      <c r="E3" s="30" t="str">
        <f t="shared" si="3"/>
        <v>Active</v>
      </c>
      <c r="F3" t="s">
        <v>1723</v>
      </c>
      <c r="G3" s="22">
        <v>1</v>
      </c>
      <c r="H3" s="22">
        <v>4</v>
      </c>
      <c r="I3" s="34">
        <v>3200</v>
      </c>
      <c r="J3" s="22">
        <v>81</v>
      </c>
      <c r="K3" s="22" t="s">
        <v>1700</v>
      </c>
      <c r="L3" s="22" t="s">
        <v>1701</v>
      </c>
      <c r="M3" s="22" t="str">
        <f t="shared" si="4"/>
        <v>Pending</v>
      </c>
      <c r="N3" s="22" t="s">
        <v>1701</v>
      </c>
    </row>
    <row r="4" spans="1:14" x14ac:dyDescent="0.3">
      <c r="A4" s="22" t="s">
        <v>108</v>
      </c>
      <c r="B4" t="str">
        <f t="shared" si="0"/>
        <v>Prakash Das</v>
      </c>
      <c r="C4" t="str">
        <f t="shared" si="1"/>
        <v>Human Resources</v>
      </c>
      <c r="D4" s="30" t="str">
        <f t="shared" si="2"/>
        <v>L6</v>
      </c>
      <c r="E4" s="30" t="str">
        <f t="shared" si="3"/>
        <v>Active</v>
      </c>
      <c r="F4" t="s">
        <v>1723</v>
      </c>
      <c r="G4" s="22">
        <v>7</v>
      </c>
      <c r="H4" s="22">
        <v>35</v>
      </c>
      <c r="I4" s="34">
        <v>21000</v>
      </c>
      <c r="J4" s="22">
        <v>69</v>
      </c>
      <c r="K4" s="22" t="s">
        <v>1700</v>
      </c>
      <c r="L4" s="22" t="s">
        <v>1700</v>
      </c>
      <c r="M4" s="22" t="str">
        <f t="shared" si="4"/>
        <v>Compliant</v>
      </c>
      <c r="N4" s="22" t="s">
        <v>1701</v>
      </c>
    </row>
    <row r="5" spans="1:14" x14ac:dyDescent="0.3">
      <c r="A5" s="22" t="s">
        <v>112</v>
      </c>
      <c r="B5" t="str">
        <f t="shared" si="0"/>
        <v>Fatima Choudhary</v>
      </c>
      <c r="C5" t="str">
        <f t="shared" si="1"/>
        <v>Engineering</v>
      </c>
      <c r="D5" s="30" t="str">
        <f t="shared" si="2"/>
        <v>L5</v>
      </c>
      <c r="E5" s="30" t="str">
        <f t="shared" si="3"/>
        <v>Active</v>
      </c>
      <c r="F5" t="s">
        <v>1724</v>
      </c>
      <c r="G5" s="22">
        <v>5</v>
      </c>
      <c r="H5" s="22">
        <v>35</v>
      </c>
      <c r="I5" s="34">
        <v>15750</v>
      </c>
      <c r="J5" s="22">
        <v>79</v>
      </c>
      <c r="K5" s="22" t="s">
        <v>1700</v>
      </c>
      <c r="L5" s="22" t="s">
        <v>1700</v>
      </c>
      <c r="M5" s="22" t="str">
        <f t="shared" si="4"/>
        <v>Compliant</v>
      </c>
      <c r="N5" s="22" t="s">
        <v>1701</v>
      </c>
    </row>
    <row r="6" spans="1:14" x14ac:dyDescent="0.3">
      <c r="A6" s="22" t="s">
        <v>115</v>
      </c>
      <c r="B6" t="str">
        <f t="shared" si="0"/>
        <v>Gaurav Fernandes</v>
      </c>
      <c r="C6" t="str">
        <f t="shared" si="1"/>
        <v>Engineering</v>
      </c>
      <c r="D6" s="30" t="str">
        <f t="shared" si="2"/>
        <v>L5</v>
      </c>
      <c r="E6" s="30" t="str">
        <f t="shared" si="3"/>
        <v>Active</v>
      </c>
      <c r="F6" t="s">
        <v>1722</v>
      </c>
      <c r="G6" s="22">
        <v>5</v>
      </c>
      <c r="H6" s="22">
        <v>40</v>
      </c>
      <c r="I6" s="34">
        <v>40000</v>
      </c>
      <c r="J6" s="22">
        <v>63</v>
      </c>
      <c r="K6" s="22" t="s">
        <v>1700</v>
      </c>
      <c r="L6" s="22" t="s">
        <v>1700</v>
      </c>
      <c r="M6" s="22" t="str">
        <f t="shared" si="4"/>
        <v>Compliant</v>
      </c>
      <c r="N6" s="22" t="s">
        <v>1700</v>
      </c>
    </row>
    <row r="7" spans="1:14" x14ac:dyDescent="0.3">
      <c r="A7" s="22" t="s">
        <v>118</v>
      </c>
      <c r="B7" t="str">
        <f t="shared" si="0"/>
        <v>Yash Shah</v>
      </c>
      <c r="C7" t="str">
        <f t="shared" si="1"/>
        <v>Operations</v>
      </c>
      <c r="D7" s="30" t="str">
        <f t="shared" si="2"/>
        <v>L5</v>
      </c>
      <c r="E7" s="30" t="str">
        <f t="shared" si="3"/>
        <v>Exited</v>
      </c>
      <c r="F7" t="s">
        <v>1725</v>
      </c>
      <c r="G7" s="22">
        <v>3</v>
      </c>
      <c r="H7" s="22">
        <v>12</v>
      </c>
      <c r="I7" s="34">
        <v>7200</v>
      </c>
      <c r="J7" s="22">
        <v>66</v>
      </c>
      <c r="K7" s="22" t="s">
        <v>1700</v>
      </c>
      <c r="L7" s="22" t="s">
        <v>1700</v>
      </c>
      <c r="M7" s="22" t="str">
        <f t="shared" si="4"/>
        <v>Compliant</v>
      </c>
      <c r="N7" s="22" t="s">
        <v>1700</v>
      </c>
    </row>
    <row r="8" spans="1:14" x14ac:dyDescent="0.3">
      <c r="A8" s="22" t="s">
        <v>125</v>
      </c>
      <c r="B8" t="str">
        <f t="shared" si="0"/>
        <v>Imran Tiwari</v>
      </c>
      <c r="C8" t="str">
        <f t="shared" si="1"/>
        <v>Marketing</v>
      </c>
      <c r="D8" s="30" t="str">
        <f t="shared" si="2"/>
        <v>L4</v>
      </c>
      <c r="E8" s="30" t="str">
        <f t="shared" si="3"/>
        <v>Exited</v>
      </c>
      <c r="F8" t="s">
        <v>1726</v>
      </c>
      <c r="G8" s="22">
        <v>9</v>
      </c>
      <c r="H8" s="22">
        <v>54</v>
      </c>
      <c r="I8" s="34">
        <v>54000</v>
      </c>
      <c r="J8" s="22">
        <v>73</v>
      </c>
      <c r="K8" s="22" t="s">
        <v>1700</v>
      </c>
      <c r="L8" s="22" t="s">
        <v>1700</v>
      </c>
      <c r="M8" s="22" t="str">
        <f t="shared" si="4"/>
        <v>Compliant</v>
      </c>
      <c r="N8" s="22" t="s">
        <v>1701</v>
      </c>
    </row>
    <row r="9" spans="1:14" x14ac:dyDescent="0.3">
      <c r="A9" s="22" t="s">
        <v>131</v>
      </c>
      <c r="B9" t="str">
        <f t="shared" si="0"/>
        <v>Aishwarya Khan</v>
      </c>
      <c r="C9" t="str">
        <f t="shared" si="1"/>
        <v>Engineering</v>
      </c>
      <c r="D9" s="30" t="str">
        <f t="shared" si="2"/>
        <v>L7</v>
      </c>
      <c r="E9" s="30" t="str">
        <f t="shared" si="3"/>
        <v>Active</v>
      </c>
      <c r="F9" t="s">
        <v>1727</v>
      </c>
      <c r="G9" s="22">
        <v>9</v>
      </c>
      <c r="H9" s="22">
        <v>54</v>
      </c>
      <c r="I9" s="34">
        <v>54000</v>
      </c>
      <c r="J9" s="22">
        <v>78</v>
      </c>
      <c r="K9" s="22" t="s">
        <v>1700</v>
      </c>
      <c r="L9" s="22" t="s">
        <v>1700</v>
      </c>
      <c r="M9" s="22" t="str">
        <f t="shared" si="4"/>
        <v>Compliant</v>
      </c>
      <c r="N9" s="22" t="s">
        <v>1701</v>
      </c>
    </row>
    <row r="10" spans="1:14" x14ac:dyDescent="0.3">
      <c r="A10" s="22" t="s">
        <v>135</v>
      </c>
      <c r="B10" t="str">
        <f t="shared" si="0"/>
        <v>Ankit Khanna</v>
      </c>
      <c r="C10" t="str">
        <f t="shared" si="1"/>
        <v>Operations</v>
      </c>
      <c r="D10" s="30" t="str">
        <f t="shared" si="2"/>
        <v>L5</v>
      </c>
      <c r="E10" s="30" t="str">
        <f t="shared" si="3"/>
        <v>Active</v>
      </c>
      <c r="F10" t="s">
        <v>1728</v>
      </c>
      <c r="G10" s="22">
        <v>9</v>
      </c>
      <c r="H10" s="22">
        <v>27</v>
      </c>
      <c r="I10" s="34">
        <v>16200</v>
      </c>
      <c r="J10" s="22">
        <v>85</v>
      </c>
      <c r="K10" s="22" t="s">
        <v>1701</v>
      </c>
      <c r="L10" s="22" t="s">
        <v>1701</v>
      </c>
      <c r="M10" s="22" t="str">
        <f t="shared" si="4"/>
        <v>Pending</v>
      </c>
      <c r="N10" s="22" t="s">
        <v>1701</v>
      </c>
    </row>
    <row r="11" spans="1:14" x14ac:dyDescent="0.3">
      <c r="A11" s="22" t="s">
        <v>140</v>
      </c>
      <c r="B11" t="str">
        <f t="shared" si="0"/>
        <v>Pooja Das</v>
      </c>
      <c r="C11" t="str">
        <f t="shared" si="1"/>
        <v>Finance</v>
      </c>
      <c r="D11" s="30" t="str">
        <f t="shared" si="2"/>
        <v>L7</v>
      </c>
      <c r="E11" s="30" t="str">
        <f t="shared" si="3"/>
        <v>Active</v>
      </c>
      <c r="F11" t="s">
        <v>1724</v>
      </c>
      <c r="G11" s="22">
        <v>9</v>
      </c>
      <c r="H11" s="22">
        <v>54</v>
      </c>
      <c r="I11" s="34">
        <v>54000</v>
      </c>
      <c r="J11" s="22">
        <v>80</v>
      </c>
      <c r="K11" s="22" t="s">
        <v>1700</v>
      </c>
      <c r="L11" s="22" t="s">
        <v>1700</v>
      </c>
      <c r="M11" s="22" t="str">
        <f t="shared" si="4"/>
        <v>Compliant</v>
      </c>
      <c r="N11" s="22" t="s">
        <v>1700</v>
      </c>
    </row>
    <row r="12" spans="1:14" x14ac:dyDescent="0.3">
      <c r="A12" s="22" t="s">
        <v>144</v>
      </c>
      <c r="B12" t="str">
        <f t="shared" si="0"/>
        <v>Trisha Patel</v>
      </c>
      <c r="C12" t="str">
        <f t="shared" si="1"/>
        <v>Product</v>
      </c>
      <c r="D12" s="30" t="str">
        <f t="shared" si="2"/>
        <v>L6</v>
      </c>
      <c r="E12" s="30" t="str">
        <f t="shared" si="3"/>
        <v>Active</v>
      </c>
      <c r="F12" t="s">
        <v>1724</v>
      </c>
      <c r="G12" s="22">
        <v>3</v>
      </c>
      <c r="H12" s="22">
        <v>9</v>
      </c>
      <c r="I12" s="34">
        <v>7200</v>
      </c>
      <c r="J12" s="22">
        <v>71</v>
      </c>
      <c r="K12" s="22" t="s">
        <v>1700</v>
      </c>
      <c r="L12" s="22" t="s">
        <v>1700</v>
      </c>
      <c r="M12" s="22" t="str">
        <f t="shared" si="4"/>
        <v>Compliant</v>
      </c>
      <c r="N12" s="22" t="s">
        <v>1700</v>
      </c>
    </row>
    <row r="13" spans="1:14" x14ac:dyDescent="0.3">
      <c r="A13" s="22" t="s">
        <v>150</v>
      </c>
      <c r="B13" t="str">
        <f t="shared" si="0"/>
        <v>Krishna Kumar</v>
      </c>
      <c r="C13" t="str">
        <f t="shared" si="1"/>
        <v>Operations</v>
      </c>
      <c r="D13" s="30" t="str">
        <f t="shared" si="2"/>
        <v>L4</v>
      </c>
      <c r="E13" s="30" t="str">
        <f t="shared" si="3"/>
        <v>Active</v>
      </c>
      <c r="F13" t="s">
        <v>1722</v>
      </c>
      <c r="G13" s="22">
        <v>9</v>
      </c>
      <c r="H13" s="22">
        <v>36</v>
      </c>
      <c r="I13" s="34">
        <v>36000</v>
      </c>
      <c r="J13" s="22">
        <v>86</v>
      </c>
      <c r="K13" s="22" t="s">
        <v>1700</v>
      </c>
      <c r="L13" s="22" t="s">
        <v>1701</v>
      </c>
      <c r="M13" s="22" t="str">
        <f t="shared" si="4"/>
        <v>Pending</v>
      </c>
      <c r="N13" s="22" t="s">
        <v>1701</v>
      </c>
    </row>
    <row r="14" spans="1:14" x14ac:dyDescent="0.3">
      <c r="A14" s="22" t="s">
        <v>157</v>
      </c>
      <c r="B14" t="str">
        <f t="shared" si="0"/>
        <v>Ramya Khanna</v>
      </c>
      <c r="C14" t="str">
        <f t="shared" si="1"/>
        <v>Legal &amp; Compliance</v>
      </c>
      <c r="D14" s="30" t="str">
        <f t="shared" si="2"/>
        <v>L5</v>
      </c>
      <c r="E14" s="30" t="str">
        <f t="shared" si="3"/>
        <v>Active</v>
      </c>
      <c r="F14" t="s">
        <v>1729</v>
      </c>
      <c r="G14" s="22">
        <v>6</v>
      </c>
      <c r="H14" s="22">
        <v>42</v>
      </c>
      <c r="I14" s="34">
        <v>25200</v>
      </c>
      <c r="J14" s="22">
        <v>74</v>
      </c>
      <c r="K14" s="22" t="s">
        <v>1700</v>
      </c>
      <c r="L14" s="22" t="s">
        <v>1700</v>
      </c>
      <c r="M14" s="22" t="str">
        <f t="shared" si="4"/>
        <v>Compliant</v>
      </c>
      <c r="N14" s="22" t="s">
        <v>1700</v>
      </c>
    </row>
    <row r="15" spans="1:14" x14ac:dyDescent="0.3">
      <c r="A15" s="22" t="s">
        <v>163</v>
      </c>
      <c r="B15" t="str">
        <f t="shared" si="0"/>
        <v>Rashmi Jain</v>
      </c>
      <c r="C15" t="str">
        <f t="shared" si="1"/>
        <v>Human Resources</v>
      </c>
      <c r="D15" s="30" t="str">
        <f t="shared" si="2"/>
        <v>L4</v>
      </c>
      <c r="E15" s="30" t="str">
        <f t="shared" si="3"/>
        <v>Active</v>
      </c>
      <c r="F15" t="s">
        <v>1725</v>
      </c>
      <c r="G15" s="22">
        <v>9</v>
      </c>
      <c r="H15" s="22">
        <v>27</v>
      </c>
      <c r="I15" s="34">
        <v>21600</v>
      </c>
      <c r="J15" s="22">
        <v>74</v>
      </c>
      <c r="K15" s="22" t="s">
        <v>1700</v>
      </c>
      <c r="L15" s="22" t="s">
        <v>1700</v>
      </c>
      <c r="M15" s="22" t="str">
        <f t="shared" si="4"/>
        <v>Compliant</v>
      </c>
      <c r="N15" s="22" t="s">
        <v>1701</v>
      </c>
    </row>
    <row r="16" spans="1:14" x14ac:dyDescent="0.3">
      <c r="A16" s="22" t="s">
        <v>169</v>
      </c>
      <c r="B16" t="str">
        <f t="shared" si="0"/>
        <v>Ajay Ansari</v>
      </c>
      <c r="C16" t="str">
        <f t="shared" si="1"/>
        <v>Operations</v>
      </c>
      <c r="D16" s="30" t="str">
        <f t="shared" si="2"/>
        <v>L4</v>
      </c>
      <c r="E16" s="30" t="str">
        <f t="shared" si="3"/>
        <v>Active</v>
      </c>
      <c r="F16" t="s">
        <v>1730</v>
      </c>
      <c r="G16" s="22">
        <v>5</v>
      </c>
      <c r="H16" s="22">
        <v>40</v>
      </c>
      <c r="I16" s="34">
        <v>18000</v>
      </c>
      <c r="J16" s="22">
        <v>96</v>
      </c>
      <c r="K16" s="22" t="s">
        <v>1701</v>
      </c>
      <c r="L16" s="22" t="s">
        <v>1700</v>
      </c>
      <c r="M16" s="22" t="str">
        <f t="shared" si="4"/>
        <v>Pending</v>
      </c>
      <c r="N16" s="22" t="s">
        <v>1701</v>
      </c>
    </row>
    <row r="17" spans="1:14" x14ac:dyDescent="0.3">
      <c r="A17" s="22" t="s">
        <v>172</v>
      </c>
      <c r="B17" t="str">
        <f t="shared" si="0"/>
        <v>Isha Verma</v>
      </c>
      <c r="C17" t="str">
        <f t="shared" si="1"/>
        <v>Customer Support</v>
      </c>
      <c r="D17" s="30" t="str">
        <f t="shared" si="2"/>
        <v>L5</v>
      </c>
      <c r="E17" s="30" t="str">
        <f t="shared" si="3"/>
        <v>Active</v>
      </c>
      <c r="F17" t="s">
        <v>1726</v>
      </c>
      <c r="G17" s="22">
        <v>8</v>
      </c>
      <c r="H17" s="22">
        <v>48</v>
      </c>
      <c r="I17" s="34">
        <v>28800</v>
      </c>
      <c r="J17" s="22">
        <v>60</v>
      </c>
      <c r="K17" s="22" t="s">
        <v>1700</v>
      </c>
      <c r="L17" s="22" t="s">
        <v>1700</v>
      </c>
      <c r="M17" s="22" t="str">
        <f t="shared" si="4"/>
        <v>Compliant</v>
      </c>
      <c r="N17" s="22" t="s">
        <v>1701</v>
      </c>
    </row>
    <row r="18" spans="1:14" x14ac:dyDescent="0.3">
      <c r="A18" s="22" t="s">
        <v>178</v>
      </c>
      <c r="B18" t="str">
        <f t="shared" si="0"/>
        <v>Pooja Naidu</v>
      </c>
      <c r="C18" t="str">
        <f t="shared" si="1"/>
        <v>Engineering</v>
      </c>
      <c r="D18" s="30" t="str">
        <f t="shared" si="2"/>
        <v>L4</v>
      </c>
      <c r="E18" s="30" t="str">
        <f t="shared" si="3"/>
        <v>Active</v>
      </c>
      <c r="F18" t="s">
        <v>1726</v>
      </c>
      <c r="G18" s="22">
        <v>6</v>
      </c>
      <c r="H18" s="22">
        <v>18</v>
      </c>
      <c r="I18" s="34">
        <v>10800</v>
      </c>
      <c r="J18" s="22">
        <v>84</v>
      </c>
      <c r="K18" s="22" t="s">
        <v>1700</v>
      </c>
      <c r="L18" s="22" t="s">
        <v>1700</v>
      </c>
      <c r="M18" s="22" t="str">
        <f t="shared" si="4"/>
        <v>Compliant</v>
      </c>
      <c r="N18" s="22" t="s">
        <v>1701</v>
      </c>
    </row>
    <row r="19" spans="1:14" x14ac:dyDescent="0.3">
      <c r="A19" s="22" t="s">
        <v>184</v>
      </c>
      <c r="B19" t="str">
        <f t="shared" si="0"/>
        <v>Isha Chatterjee</v>
      </c>
      <c r="C19" t="str">
        <f t="shared" si="1"/>
        <v>Marketing</v>
      </c>
      <c r="D19" s="30" t="str">
        <f t="shared" si="2"/>
        <v>L5</v>
      </c>
      <c r="E19" s="30" t="str">
        <f t="shared" si="3"/>
        <v>Exited</v>
      </c>
      <c r="F19" t="s">
        <v>1727</v>
      </c>
      <c r="G19" s="22">
        <v>2</v>
      </c>
      <c r="H19" s="22">
        <v>6</v>
      </c>
      <c r="I19" s="34">
        <v>6000</v>
      </c>
      <c r="J19" s="22">
        <v>75</v>
      </c>
      <c r="K19" s="22" t="s">
        <v>1700</v>
      </c>
      <c r="L19" s="22" t="s">
        <v>1700</v>
      </c>
      <c r="M19" s="22" t="str">
        <f t="shared" si="4"/>
        <v>Compliant</v>
      </c>
      <c r="N19" s="22" t="s">
        <v>1700</v>
      </c>
    </row>
    <row r="20" spans="1:14" x14ac:dyDescent="0.3">
      <c r="A20" s="22" t="s">
        <v>191</v>
      </c>
      <c r="B20" t="str">
        <f t="shared" si="0"/>
        <v>Fatima Reddy</v>
      </c>
      <c r="C20" t="str">
        <f t="shared" si="1"/>
        <v>Sales</v>
      </c>
      <c r="D20" s="30" t="str">
        <f t="shared" si="2"/>
        <v>L4</v>
      </c>
      <c r="E20" s="30" t="str">
        <f t="shared" si="3"/>
        <v>Active</v>
      </c>
      <c r="F20" t="s">
        <v>1728</v>
      </c>
      <c r="G20" s="22">
        <v>4</v>
      </c>
      <c r="H20" s="22">
        <v>32</v>
      </c>
      <c r="I20" s="34">
        <v>14400</v>
      </c>
      <c r="J20" s="22">
        <v>95</v>
      </c>
      <c r="K20" s="22" t="s">
        <v>1700</v>
      </c>
      <c r="L20" s="22" t="s">
        <v>1700</v>
      </c>
      <c r="M20" s="22" t="str">
        <f t="shared" si="4"/>
        <v>Compliant</v>
      </c>
      <c r="N20" s="22" t="s">
        <v>1701</v>
      </c>
    </row>
    <row r="21" spans="1:14" x14ac:dyDescent="0.3">
      <c r="A21" s="22" t="s">
        <v>197</v>
      </c>
      <c r="B21" t="str">
        <f t="shared" si="0"/>
        <v>Naveen Subramanian</v>
      </c>
      <c r="C21" t="str">
        <f t="shared" si="1"/>
        <v>Customer Support</v>
      </c>
      <c r="D21" s="30" t="str">
        <f t="shared" si="2"/>
        <v>L4</v>
      </c>
      <c r="E21" s="30" t="str">
        <f t="shared" si="3"/>
        <v>Active</v>
      </c>
      <c r="F21" t="s">
        <v>1725</v>
      </c>
      <c r="G21" s="22">
        <v>6</v>
      </c>
      <c r="H21" s="22">
        <v>42</v>
      </c>
      <c r="I21" s="34">
        <v>18900</v>
      </c>
      <c r="J21" s="22">
        <v>62</v>
      </c>
      <c r="K21" s="22" t="s">
        <v>1701</v>
      </c>
      <c r="L21" s="22" t="s">
        <v>1700</v>
      </c>
      <c r="M21" s="22" t="str">
        <f t="shared" si="4"/>
        <v>Pending</v>
      </c>
      <c r="N21" s="22" t="s">
        <v>1701</v>
      </c>
    </row>
    <row r="22" spans="1:14" x14ac:dyDescent="0.3">
      <c r="A22" s="22" t="s">
        <v>203</v>
      </c>
      <c r="B22" t="str">
        <f t="shared" si="0"/>
        <v>Arun Mukherjee</v>
      </c>
      <c r="C22" t="str">
        <f t="shared" si="1"/>
        <v>Data &amp; Analytics</v>
      </c>
      <c r="D22" s="30" t="str">
        <f t="shared" si="2"/>
        <v>L5</v>
      </c>
      <c r="E22" s="30" t="str">
        <f t="shared" si="3"/>
        <v>Active</v>
      </c>
      <c r="F22" t="s">
        <v>1723</v>
      </c>
      <c r="G22" s="22">
        <v>4</v>
      </c>
      <c r="H22" s="22">
        <v>28</v>
      </c>
      <c r="I22" s="34">
        <v>16800</v>
      </c>
      <c r="J22" s="22">
        <v>96</v>
      </c>
      <c r="K22" s="22" t="s">
        <v>1700</v>
      </c>
      <c r="L22" s="22" t="s">
        <v>1700</v>
      </c>
      <c r="M22" s="22" t="str">
        <f t="shared" si="4"/>
        <v>Compliant</v>
      </c>
      <c r="N22" s="22" t="s">
        <v>1701</v>
      </c>
    </row>
    <row r="23" spans="1:14" x14ac:dyDescent="0.3">
      <c r="A23" s="22" t="s">
        <v>209</v>
      </c>
      <c r="B23" t="str">
        <f t="shared" si="0"/>
        <v>Arun Joshi</v>
      </c>
      <c r="C23" t="str">
        <f t="shared" si="1"/>
        <v>Data &amp; Analytics</v>
      </c>
      <c r="D23" s="30" t="str">
        <f t="shared" si="2"/>
        <v>L3</v>
      </c>
      <c r="E23" s="30" t="str">
        <f t="shared" si="3"/>
        <v>Active</v>
      </c>
      <c r="F23" t="s">
        <v>1725</v>
      </c>
      <c r="G23" s="22">
        <v>4</v>
      </c>
      <c r="H23" s="22">
        <v>32</v>
      </c>
      <c r="I23" s="34">
        <v>32000</v>
      </c>
      <c r="J23" s="22">
        <v>77</v>
      </c>
      <c r="K23" s="22" t="s">
        <v>1700</v>
      </c>
      <c r="L23" s="22" t="s">
        <v>1700</v>
      </c>
      <c r="M23" s="22" t="str">
        <f t="shared" si="4"/>
        <v>Compliant</v>
      </c>
      <c r="N23" s="22" t="s">
        <v>1701</v>
      </c>
    </row>
    <row r="24" spans="1:14" x14ac:dyDescent="0.3">
      <c r="A24" s="22" t="s">
        <v>214</v>
      </c>
      <c r="B24" t="str">
        <f t="shared" si="0"/>
        <v>Ashish Prabhu</v>
      </c>
      <c r="C24" t="str">
        <f t="shared" si="1"/>
        <v>Operations</v>
      </c>
      <c r="D24" s="30" t="str">
        <f t="shared" si="2"/>
        <v>L3</v>
      </c>
      <c r="E24" s="30" t="str">
        <f t="shared" si="3"/>
        <v>Active</v>
      </c>
      <c r="F24" t="s">
        <v>1726</v>
      </c>
      <c r="G24" s="22">
        <v>5</v>
      </c>
      <c r="H24" s="22">
        <v>35</v>
      </c>
      <c r="I24" s="34">
        <v>28000</v>
      </c>
      <c r="J24" s="22">
        <v>94</v>
      </c>
      <c r="K24" s="22" t="s">
        <v>1700</v>
      </c>
      <c r="L24" s="22" t="s">
        <v>1700</v>
      </c>
      <c r="M24" s="22" t="str">
        <f t="shared" si="4"/>
        <v>Compliant</v>
      </c>
      <c r="N24" s="22" t="s">
        <v>1701</v>
      </c>
    </row>
    <row r="25" spans="1:14" x14ac:dyDescent="0.3">
      <c r="A25" s="22" t="s">
        <v>221</v>
      </c>
      <c r="B25" t="str">
        <f t="shared" si="0"/>
        <v>Priyanka Naidu</v>
      </c>
      <c r="C25" t="str">
        <f t="shared" si="1"/>
        <v>Human Resources</v>
      </c>
      <c r="D25" s="30" t="str">
        <f t="shared" si="2"/>
        <v>L3</v>
      </c>
      <c r="E25" s="30" t="str">
        <f t="shared" si="3"/>
        <v>Active</v>
      </c>
      <c r="F25" t="s">
        <v>1729</v>
      </c>
      <c r="G25" s="22">
        <v>8</v>
      </c>
      <c r="H25" s="22">
        <v>24</v>
      </c>
      <c r="I25" s="34">
        <v>10800</v>
      </c>
      <c r="J25" s="22">
        <v>95</v>
      </c>
      <c r="K25" s="22" t="s">
        <v>1700</v>
      </c>
      <c r="L25" s="22" t="s">
        <v>1700</v>
      </c>
      <c r="M25" s="22" t="str">
        <f t="shared" si="4"/>
        <v>Compliant</v>
      </c>
      <c r="N25" s="22" t="s">
        <v>1700</v>
      </c>
    </row>
    <row r="26" spans="1:14" x14ac:dyDescent="0.3">
      <c r="A26" s="22" t="s">
        <v>227</v>
      </c>
      <c r="B26" t="str">
        <f t="shared" si="0"/>
        <v>Nikhil Agarwal</v>
      </c>
      <c r="C26" t="str">
        <f t="shared" si="1"/>
        <v>Sales</v>
      </c>
      <c r="D26" s="30" t="str">
        <f t="shared" si="2"/>
        <v>L5</v>
      </c>
      <c r="E26" s="30" t="str">
        <f t="shared" si="3"/>
        <v>Active</v>
      </c>
      <c r="F26" t="s">
        <v>1722</v>
      </c>
      <c r="G26" s="22">
        <v>1</v>
      </c>
      <c r="H26" s="22">
        <v>4</v>
      </c>
      <c r="I26" s="34">
        <v>1800</v>
      </c>
      <c r="J26" s="22">
        <v>77</v>
      </c>
      <c r="K26" s="22" t="s">
        <v>1700</v>
      </c>
      <c r="L26" s="22" t="s">
        <v>1700</v>
      </c>
      <c r="M26" s="22" t="str">
        <f t="shared" si="4"/>
        <v>Compliant</v>
      </c>
      <c r="N26" s="22" t="s">
        <v>1700</v>
      </c>
    </row>
    <row r="27" spans="1:14" x14ac:dyDescent="0.3">
      <c r="A27" s="22" t="s">
        <v>233</v>
      </c>
      <c r="B27" t="str">
        <f t="shared" si="0"/>
        <v>Revathi Rao</v>
      </c>
      <c r="C27" t="str">
        <f t="shared" si="1"/>
        <v>Sales</v>
      </c>
      <c r="D27" s="30" t="str">
        <f t="shared" si="2"/>
        <v>L3</v>
      </c>
      <c r="E27" s="30" t="str">
        <f t="shared" si="3"/>
        <v>Exited</v>
      </c>
      <c r="F27" t="s">
        <v>1723</v>
      </c>
      <c r="G27" s="22">
        <v>4</v>
      </c>
      <c r="H27" s="22">
        <v>32</v>
      </c>
      <c r="I27" s="34">
        <v>19200</v>
      </c>
      <c r="J27" s="22">
        <v>66</v>
      </c>
      <c r="K27" s="22" t="s">
        <v>1700</v>
      </c>
      <c r="L27" s="22" t="s">
        <v>1700</v>
      </c>
      <c r="M27" s="22" t="str">
        <f t="shared" si="4"/>
        <v>Compliant</v>
      </c>
      <c r="N27" s="22" t="s">
        <v>1700</v>
      </c>
    </row>
    <row r="28" spans="1:14" x14ac:dyDescent="0.3">
      <c r="A28" s="22" t="s">
        <v>239</v>
      </c>
      <c r="B28" t="str">
        <f t="shared" si="0"/>
        <v>Yash Yadav</v>
      </c>
      <c r="C28" t="str">
        <f t="shared" si="1"/>
        <v>Engineering</v>
      </c>
      <c r="D28" s="30" t="str">
        <f t="shared" si="2"/>
        <v>L3</v>
      </c>
      <c r="E28" s="30" t="str">
        <f t="shared" si="3"/>
        <v>Active</v>
      </c>
      <c r="F28" t="s">
        <v>1723</v>
      </c>
      <c r="G28" s="22">
        <v>6</v>
      </c>
      <c r="H28" s="22">
        <v>36</v>
      </c>
      <c r="I28" s="34">
        <v>21600</v>
      </c>
      <c r="J28" s="22">
        <v>74</v>
      </c>
      <c r="K28" s="22" t="s">
        <v>1700</v>
      </c>
      <c r="L28" s="22" t="s">
        <v>1700</v>
      </c>
      <c r="M28" s="22" t="str">
        <f t="shared" si="4"/>
        <v>Compliant</v>
      </c>
      <c r="N28" s="22" t="s">
        <v>1700</v>
      </c>
    </row>
    <row r="29" spans="1:14" x14ac:dyDescent="0.3">
      <c r="A29" s="22" t="s">
        <v>245</v>
      </c>
      <c r="B29" t="str">
        <f t="shared" si="0"/>
        <v>Gayatri Krishnan</v>
      </c>
      <c r="C29" t="str">
        <f t="shared" si="1"/>
        <v>Operations</v>
      </c>
      <c r="D29" s="30" t="str">
        <f t="shared" si="2"/>
        <v>L4</v>
      </c>
      <c r="E29" s="30" t="str">
        <f t="shared" si="3"/>
        <v>Exited</v>
      </c>
      <c r="F29" t="s">
        <v>1727</v>
      </c>
      <c r="G29" s="22">
        <v>8</v>
      </c>
      <c r="H29" s="22">
        <v>40</v>
      </c>
      <c r="I29" s="34">
        <v>18000</v>
      </c>
      <c r="J29" s="22">
        <v>86</v>
      </c>
      <c r="K29" s="22" t="s">
        <v>1700</v>
      </c>
      <c r="L29" s="22" t="s">
        <v>1700</v>
      </c>
      <c r="M29" s="22" t="str">
        <f t="shared" si="4"/>
        <v>Compliant</v>
      </c>
      <c r="N29" s="22" t="s">
        <v>1700</v>
      </c>
    </row>
    <row r="30" spans="1:14" x14ac:dyDescent="0.3">
      <c r="A30" s="22" t="s">
        <v>248</v>
      </c>
      <c r="B30" t="str">
        <f t="shared" si="0"/>
        <v>Nisha Jain</v>
      </c>
      <c r="C30" t="str">
        <f t="shared" si="1"/>
        <v>Customer Support</v>
      </c>
      <c r="D30" s="30" t="str">
        <f t="shared" si="2"/>
        <v>L3</v>
      </c>
      <c r="E30" s="30" t="str">
        <f t="shared" si="3"/>
        <v>Active</v>
      </c>
      <c r="F30" t="s">
        <v>1724</v>
      </c>
      <c r="G30" s="22">
        <v>3</v>
      </c>
      <c r="H30" s="22">
        <v>9</v>
      </c>
      <c r="I30" s="34">
        <v>9000</v>
      </c>
      <c r="J30" s="22">
        <v>80</v>
      </c>
      <c r="K30" s="22" t="s">
        <v>1700</v>
      </c>
      <c r="L30" s="22" t="s">
        <v>1700</v>
      </c>
      <c r="M30" s="22" t="str">
        <f t="shared" si="4"/>
        <v>Compliant</v>
      </c>
      <c r="N30" s="22" t="s">
        <v>1701</v>
      </c>
    </row>
    <row r="31" spans="1:14" x14ac:dyDescent="0.3">
      <c r="A31" s="22" t="s">
        <v>254</v>
      </c>
      <c r="B31" t="str">
        <f t="shared" si="0"/>
        <v>Rashmi Ansari</v>
      </c>
      <c r="C31" t="str">
        <f t="shared" si="1"/>
        <v>Finance</v>
      </c>
      <c r="D31" s="30" t="str">
        <f t="shared" si="2"/>
        <v>L3</v>
      </c>
      <c r="E31" s="30" t="str">
        <f t="shared" si="3"/>
        <v>Active</v>
      </c>
      <c r="F31" t="s">
        <v>1723</v>
      </c>
      <c r="G31" s="22">
        <v>5</v>
      </c>
      <c r="H31" s="22">
        <v>20</v>
      </c>
      <c r="I31" s="34">
        <v>16000</v>
      </c>
      <c r="J31" s="22">
        <v>63</v>
      </c>
      <c r="K31" s="22" t="s">
        <v>1700</v>
      </c>
      <c r="L31" s="22" t="s">
        <v>1700</v>
      </c>
      <c r="M31" s="22" t="str">
        <f t="shared" si="4"/>
        <v>Compliant</v>
      </c>
      <c r="N31" s="22" t="s">
        <v>1701</v>
      </c>
    </row>
    <row r="32" spans="1:14" x14ac:dyDescent="0.3">
      <c r="A32" s="22" t="s">
        <v>260</v>
      </c>
      <c r="B32" t="str">
        <f t="shared" si="0"/>
        <v>Prakash Krishnan</v>
      </c>
      <c r="C32" t="str">
        <f t="shared" si="1"/>
        <v>Marketing</v>
      </c>
      <c r="D32" s="30" t="str">
        <f t="shared" si="2"/>
        <v>L3</v>
      </c>
      <c r="E32" s="30" t="str">
        <f t="shared" si="3"/>
        <v>Active</v>
      </c>
      <c r="F32" t="s">
        <v>1727</v>
      </c>
      <c r="G32" s="22">
        <v>9</v>
      </c>
      <c r="H32" s="22">
        <v>36</v>
      </c>
      <c r="I32" s="34">
        <v>28800</v>
      </c>
      <c r="J32" s="22">
        <v>98</v>
      </c>
      <c r="K32" s="22" t="s">
        <v>1700</v>
      </c>
      <c r="L32" s="22" t="s">
        <v>1700</v>
      </c>
      <c r="M32" s="22" t="str">
        <f t="shared" si="4"/>
        <v>Compliant</v>
      </c>
      <c r="N32" s="22" t="s">
        <v>1701</v>
      </c>
    </row>
    <row r="33" spans="1:14" x14ac:dyDescent="0.3">
      <c r="A33" s="22" t="s">
        <v>264</v>
      </c>
      <c r="B33" t="str">
        <f t="shared" si="0"/>
        <v>Vishal Prabhu</v>
      </c>
      <c r="C33" t="str">
        <f t="shared" si="1"/>
        <v>Operations</v>
      </c>
      <c r="D33" s="30" t="str">
        <f t="shared" si="2"/>
        <v>L3</v>
      </c>
      <c r="E33" s="30" t="str">
        <f t="shared" si="3"/>
        <v>Active</v>
      </c>
      <c r="F33" t="s">
        <v>1731</v>
      </c>
      <c r="G33" s="22">
        <v>3</v>
      </c>
      <c r="H33" s="22">
        <v>18</v>
      </c>
      <c r="I33" s="34">
        <v>10800</v>
      </c>
      <c r="J33" s="22">
        <v>60</v>
      </c>
      <c r="K33" s="22" t="s">
        <v>1700</v>
      </c>
      <c r="L33" s="22" t="s">
        <v>1700</v>
      </c>
      <c r="M33" s="22" t="str">
        <f t="shared" si="4"/>
        <v>Compliant</v>
      </c>
      <c r="N33" s="22" t="s">
        <v>1701</v>
      </c>
    </row>
    <row r="34" spans="1:14" x14ac:dyDescent="0.3">
      <c r="A34" s="22" t="s">
        <v>267</v>
      </c>
      <c r="B34" t="str">
        <f t="shared" si="0"/>
        <v>Gayatri Tiwari</v>
      </c>
      <c r="C34" t="str">
        <f t="shared" si="1"/>
        <v>Sales</v>
      </c>
      <c r="D34" s="30" t="str">
        <f t="shared" si="2"/>
        <v>L6</v>
      </c>
      <c r="E34" s="30" t="str">
        <f t="shared" si="3"/>
        <v>Active</v>
      </c>
      <c r="F34" t="s">
        <v>1724</v>
      </c>
      <c r="G34" s="22">
        <v>6</v>
      </c>
      <c r="H34" s="22">
        <v>48</v>
      </c>
      <c r="I34" s="34">
        <v>21600</v>
      </c>
      <c r="J34" s="22">
        <v>88</v>
      </c>
      <c r="K34" s="22" t="s">
        <v>1700</v>
      </c>
      <c r="L34" s="22" t="s">
        <v>1700</v>
      </c>
      <c r="M34" s="22" t="str">
        <f t="shared" si="4"/>
        <v>Compliant</v>
      </c>
      <c r="N34" s="22" t="s">
        <v>1700</v>
      </c>
    </row>
    <row r="35" spans="1:14" x14ac:dyDescent="0.3">
      <c r="A35" s="22" t="s">
        <v>273</v>
      </c>
      <c r="B35" t="str">
        <f t="shared" si="0"/>
        <v>Aditi Varghese</v>
      </c>
      <c r="C35" t="str">
        <f t="shared" si="1"/>
        <v>Engineering</v>
      </c>
      <c r="D35" s="30" t="str">
        <f t="shared" si="2"/>
        <v>L4</v>
      </c>
      <c r="E35" s="30" t="str">
        <f t="shared" si="3"/>
        <v>Active</v>
      </c>
      <c r="F35" t="s">
        <v>1727</v>
      </c>
      <c r="G35" s="22">
        <v>6</v>
      </c>
      <c r="H35" s="22">
        <v>30</v>
      </c>
      <c r="I35" s="34">
        <v>13500</v>
      </c>
      <c r="J35" s="22">
        <v>69</v>
      </c>
      <c r="K35" s="22" t="s">
        <v>1700</v>
      </c>
      <c r="L35" s="22" t="s">
        <v>1700</v>
      </c>
      <c r="M35" s="22" t="str">
        <f t="shared" si="4"/>
        <v>Compliant</v>
      </c>
      <c r="N35" s="22" t="s">
        <v>1700</v>
      </c>
    </row>
    <row r="36" spans="1:14" x14ac:dyDescent="0.3">
      <c r="A36" s="22" t="s">
        <v>276</v>
      </c>
      <c r="B36" t="str">
        <f t="shared" si="0"/>
        <v>Dev Gupta</v>
      </c>
      <c r="C36" t="str">
        <f t="shared" si="1"/>
        <v>Operations</v>
      </c>
      <c r="D36" s="30" t="str">
        <f t="shared" si="2"/>
        <v>L3</v>
      </c>
      <c r="E36" s="30" t="str">
        <f t="shared" si="3"/>
        <v>Active</v>
      </c>
      <c r="F36" t="s">
        <v>1730</v>
      </c>
      <c r="G36" s="22">
        <v>1</v>
      </c>
      <c r="H36" s="22">
        <v>6</v>
      </c>
      <c r="I36" s="34">
        <v>6000</v>
      </c>
      <c r="J36" s="22">
        <v>73</v>
      </c>
      <c r="K36" s="22" t="s">
        <v>1700</v>
      </c>
      <c r="L36" s="22" t="s">
        <v>1700</v>
      </c>
      <c r="M36" s="22" t="str">
        <f t="shared" si="4"/>
        <v>Compliant</v>
      </c>
      <c r="N36" s="22" t="s">
        <v>1701</v>
      </c>
    </row>
    <row r="37" spans="1:14" x14ac:dyDescent="0.3">
      <c r="A37" s="22" t="s">
        <v>279</v>
      </c>
      <c r="B37" t="str">
        <f t="shared" si="0"/>
        <v>Anjali Thomas</v>
      </c>
      <c r="C37" t="str">
        <f t="shared" si="1"/>
        <v>Human Resources</v>
      </c>
      <c r="D37" s="30" t="str">
        <f t="shared" si="2"/>
        <v>L4</v>
      </c>
      <c r="E37" s="30" t="str">
        <f t="shared" si="3"/>
        <v>Active</v>
      </c>
      <c r="F37" t="s">
        <v>1725</v>
      </c>
      <c r="G37" s="22">
        <v>5</v>
      </c>
      <c r="H37" s="22">
        <v>40</v>
      </c>
      <c r="I37" s="34">
        <v>32000</v>
      </c>
      <c r="J37" s="22">
        <v>72</v>
      </c>
      <c r="K37" s="22" t="s">
        <v>1700</v>
      </c>
      <c r="L37" s="22" t="s">
        <v>1700</v>
      </c>
      <c r="M37" s="22" t="str">
        <f t="shared" si="4"/>
        <v>Compliant</v>
      </c>
      <c r="N37" s="22" t="s">
        <v>1701</v>
      </c>
    </row>
    <row r="38" spans="1:14" x14ac:dyDescent="0.3">
      <c r="A38" s="22" t="s">
        <v>282</v>
      </c>
      <c r="B38" t="str">
        <f t="shared" si="0"/>
        <v>Aniket Khanna</v>
      </c>
      <c r="C38" t="str">
        <f t="shared" si="1"/>
        <v>Product</v>
      </c>
      <c r="D38" s="30" t="str">
        <f t="shared" si="2"/>
        <v>L4</v>
      </c>
      <c r="E38" s="30" t="str">
        <f t="shared" si="3"/>
        <v>Active</v>
      </c>
      <c r="F38" t="s">
        <v>1731</v>
      </c>
      <c r="G38" s="22">
        <v>9</v>
      </c>
      <c r="H38" s="22">
        <v>27</v>
      </c>
      <c r="I38" s="34">
        <v>27000</v>
      </c>
      <c r="J38" s="22">
        <v>59</v>
      </c>
      <c r="K38" s="22" t="s">
        <v>1700</v>
      </c>
      <c r="L38" s="22" t="s">
        <v>1700</v>
      </c>
      <c r="M38" s="22" t="str">
        <f t="shared" si="4"/>
        <v>Compliant</v>
      </c>
      <c r="N38" s="22" t="s">
        <v>1701</v>
      </c>
    </row>
    <row r="39" spans="1:14" x14ac:dyDescent="0.3">
      <c r="A39" s="22" t="s">
        <v>288</v>
      </c>
      <c r="B39" t="str">
        <f t="shared" si="0"/>
        <v>Varun Reddy</v>
      </c>
      <c r="C39" t="str">
        <f t="shared" si="1"/>
        <v>Customer Support</v>
      </c>
      <c r="D39" s="30" t="str">
        <f t="shared" si="2"/>
        <v>L3</v>
      </c>
      <c r="E39" s="30" t="str">
        <f t="shared" si="3"/>
        <v>Active</v>
      </c>
      <c r="F39" t="s">
        <v>1727</v>
      </c>
      <c r="G39" s="22">
        <v>3</v>
      </c>
      <c r="H39" s="22">
        <v>21</v>
      </c>
      <c r="I39" s="34">
        <v>12600</v>
      </c>
      <c r="J39" s="22">
        <v>70</v>
      </c>
      <c r="K39" s="22" t="s">
        <v>1700</v>
      </c>
      <c r="L39" s="22" t="s">
        <v>1700</v>
      </c>
      <c r="M39" s="22" t="str">
        <f t="shared" si="4"/>
        <v>Compliant</v>
      </c>
      <c r="N39" s="22" t="s">
        <v>1701</v>
      </c>
    </row>
    <row r="40" spans="1:14" x14ac:dyDescent="0.3">
      <c r="A40" s="22" t="s">
        <v>293</v>
      </c>
      <c r="B40" t="str">
        <f t="shared" si="0"/>
        <v>Karan Patel</v>
      </c>
      <c r="C40" t="str">
        <f t="shared" si="1"/>
        <v>Finance</v>
      </c>
      <c r="D40" s="30" t="str">
        <f t="shared" si="2"/>
        <v>L6</v>
      </c>
      <c r="E40" s="30" t="str">
        <f t="shared" si="3"/>
        <v>Active</v>
      </c>
      <c r="F40" t="s">
        <v>1728</v>
      </c>
      <c r="G40" s="22">
        <v>3</v>
      </c>
      <c r="H40" s="22">
        <v>12</v>
      </c>
      <c r="I40" s="34">
        <v>9600</v>
      </c>
      <c r="J40" s="22">
        <v>80</v>
      </c>
      <c r="K40" s="22" t="s">
        <v>1700</v>
      </c>
      <c r="L40" s="22" t="s">
        <v>1700</v>
      </c>
      <c r="M40" s="22" t="str">
        <f t="shared" si="4"/>
        <v>Compliant</v>
      </c>
      <c r="N40" s="22" t="s">
        <v>1700</v>
      </c>
    </row>
    <row r="41" spans="1:14" x14ac:dyDescent="0.3">
      <c r="A41" s="22" t="s">
        <v>297</v>
      </c>
      <c r="B41" t="str">
        <f t="shared" si="0"/>
        <v>Sanjay Mehta</v>
      </c>
      <c r="C41" t="str">
        <f t="shared" si="1"/>
        <v>Human Resources</v>
      </c>
      <c r="D41" s="30" t="str">
        <f t="shared" si="2"/>
        <v>L4</v>
      </c>
      <c r="E41" s="30" t="str">
        <f t="shared" si="3"/>
        <v>Active</v>
      </c>
      <c r="F41" t="s">
        <v>1728</v>
      </c>
      <c r="G41" s="22">
        <v>8</v>
      </c>
      <c r="H41" s="22">
        <v>48</v>
      </c>
      <c r="I41" s="34">
        <v>28800</v>
      </c>
      <c r="J41" s="22">
        <v>77</v>
      </c>
      <c r="K41" s="22" t="s">
        <v>1700</v>
      </c>
      <c r="L41" s="22" t="s">
        <v>1700</v>
      </c>
      <c r="M41" s="22" t="str">
        <f t="shared" si="4"/>
        <v>Compliant</v>
      </c>
      <c r="N41" s="22" t="s">
        <v>1700</v>
      </c>
    </row>
    <row r="42" spans="1:14" x14ac:dyDescent="0.3">
      <c r="A42" s="22" t="s">
        <v>300</v>
      </c>
      <c r="B42" t="str">
        <f t="shared" si="0"/>
        <v>Nisha Mehta</v>
      </c>
      <c r="C42" t="str">
        <f t="shared" si="1"/>
        <v>Human Resources</v>
      </c>
      <c r="D42" s="30" t="str">
        <f t="shared" si="2"/>
        <v>L3</v>
      </c>
      <c r="E42" s="30" t="str">
        <f t="shared" si="3"/>
        <v>Exited</v>
      </c>
      <c r="F42" t="s">
        <v>1722</v>
      </c>
      <c r="G42" s="22">
        <v>5</v>
      </c>
      <c r="H42" s="22">
        <v>15</v>
      </c>
      <c r="I42" s="34">
        <v>9000</v>
      </c>
      <c r="J42" s="22">
        <v>67</v>
      </c>
      <c r="K42" s="22" t="s">
        <v>1700</v>
      </c>
      <c r="L42" s="22" t="s">
        <v>1700</v>
      </c>
      <c r="M42" s="22" t="str">
        <f t="shared" si="4"/>
        <v>Compliant</v>
      </c>
      <c r="N42" s="22" t="s">
        <v>1700</v>
      </c>
    </row>
    <row r="43" spans="1:14" x14ac:dyDescent="0.3">
      <c r="A43" s="22" t="s">
        <v>303</v>
      </c>
      <c r="B43" t="str">
        <f t="shared" si="0"/>
        <v>Tejaswini Hegde</v>
      </c>
      <c r="C43" t="str">
        <f t="shared" si="1"/>
        <v>Engineering</v>
      </c>
      <c r="D43" s="30" t="str">
        <f t="shared" si="2"/>
        <v>L5</v>
      </c>
      <c r="E43" s="30" t="str">
        <f t="shared" si="3"/>
        <v>Active</v>
      </c>
      <c r="F43" t="s">
        <v>1724</v>
      </c>
      <c r="G43" s="22">
        <v>9</v>
      </c>
      <c r="H43" s="22">
        <v>45</v>
      </c>
      <c r="I43" s="34">
        <v>20250</v>
      </c>
      <c r="J43" s="22">
        <v>71</v>
      </c>
      <c r="K43" s="22" t="s">
        <v>1700</v>
      </c>
      <c r="L43" s="22" t="s">
        <v>1700</v>
      </c>
      <c r="M43" s="22" t="str">
        <f t="shared" si="4"/>
        <v>Compliant</v>
      </c>
      <c r="N43" s="22" t="s">
        <v>1701</v>
      </c>
    </row>
    <row r="44" spans="1:14" x14ac:dyDescent="0.3">
      <c r="A44" s="22" t="s">
        <v>207</v>
      </c>
      <c r="B44" t="str">
        <f t="shared" si="0"/>
        <v>Trisha Jain</v>
      </c>
      <c r="C44" t="str">
        <f t="shared" si="1"/>
        <v>Data &amp; Analytics</v>
      </c>
      <c r="D44" s="30" t="str">
        <f t="shared" si="2"/>
        <v>L6</v>
      </c>
      <c r="E44" s="30" t="str">
        <f t="shared" si="3"/>
        <v>Active</v>
      </c>
      <c r="F44" t="s">
        <v>1726</v>
      </c>
      <c r="G44" s="22">
        <v>8</v>
      </c>
      <c r="H44" s="22">
        <v>64</v>
      </c>
      <c r="I44" s="34">
        <v>64000</v>
      </c>
      <c r="J44" s="22">
        <v>82</v>
      </c>
      <c r="K44" s="22" t="s">
        <v>1700</v>
      </c>
      <c r="L44" s="22" t="s">
        <v>1700</v>
      </c>
      <c r="M44" s="22" t="str">
        <f t="shared" si="4"/>
        <v>Compliant</v>
      </c>
      <c r="N44" s="22" t="s">
        <v>1701</v>
      </c>
    </row>
    <row r="45" spans="1:14" x14ac:dyDescent="0.3">
      <c r="A45" s="22" t="s">
        <v>310</v>
      </c>
      <c r="B45" t="str">
        <f t="shared" si="0"/>
        <v>Rohan Patel</v>
      </c>
      <c r="C45" t="str">
        <f t="shared" si="1"/>
        <v>Engineering</v>
      </c>
      <c r="D45" s="30" t="str">
        <f t="shared" si="2"/>
        <v>L3</v>
      </c>
      <c r="E45" s="30" t="str">
        <f t="shared" si="3"/>
        <v>Active</v>
      </c>
      <c r="F45" t="s">
        <v>1724</v>
      </c>
      <c r="G45" s="22">
        <v>3</v>
      </c>
      <c r="H45" s="22">
        <v>15</v>
      </c>
      <c r="I45" s="34">
        <v>9000</v>
      </c>
      <c r="J45" s="22">
        <v>96</v>
      </c>
      <c r="K45" s="22" t="s">
        <v>1700</v>
      </c>
      <c r="L45" s="22" t="s">
        <v>1700</v>
      </c>
      <c r="M45" s="22" t="str">
        <f t="shared" si="4"/>
        <v>Compliant</v>
      </c>
      <c r="N45" s="22" t="s">
        <v>1700</v>
      </c>
    </row>
    <row r="46" spans="1:14" x14ac:dyDescent="0.3">
      <c r="A46" s="22" t="s">
        <v>315</v>
      </c>
      <c r="B46" t="str">
        <f t="shared" si="0"/>
        <v>Vikas Chatterjee</v>
      </c>
      <c r="C46" t="str">
        <f t="shared" si="1"/>
        <v>Operations</v>
      </c>
      <c r="D46" s="30" t="str">
        <f t="shared" si="2"/>
        <v>L4</v>
      </c>
      <c r="E46" s="30" t="str">
        <f t="shared" si="3"/>
        <v>Exited</v>
      </c>
      <c r="F46" t="s">
        <v>1725</v>
      </c>
      <c r="G46" s="22">
        <v>7</v>
      </c>
      <c r="H46" s="22">
        <v>49</v>
      </c>
      <c r="I46" s="34">
        <v>22050</v>
      </c>
      <c r="J46" s="22">
        <v>72</v>
      </c>
      <c r="K46" s="22" t="s">
        <v>1700</v>
      </c>
      <c r="L46" s="22" t="s">
        <v>1700</v>
      </c>
      <c r="M46" s="22" t="str">
        <f t="shared" si="4"/>
        <v>Compliant</v>
      </c>
      <c r="N46" s="22" t="s">
        <v>1701</v>
      </c>
    </row>
    <row r="47" spans="1:14" x14ac:dyDescent="0.3">
      <c r="A47" s="22" t="s">
        <v>318</v>
      </c>
      <c r="B47" t="str">
        <f t="shared" si="0"/>
        <v>Karan Gowda</v>
      </c>
      <c r="C47" t="str">
        <f t="shared" si="1"/>
        <v>Operations</v>
      </c>
      <c r="D47" s="30" t="str">
        <f t="shared" si="2"/>
        <v>L3</v>
      </c>
      <c r="E47" s="30" t="str">
        <f t="shared" si="3"/>
        <v>Active</v>
      </c>
      <c r="F47" t="s">
        <v>1731</v>
      </c>
      <c r="G47" s="22">
        <v>3</v>
      </c>
      <c r="H47" s="22">
        <v>12</v>
      </c>
      <c r="I47" s="34">
        <v>9600</v>
      </c>
      <c r="J47" s="22">
        <v>83</v>
      </c>
      <c r="K47" s="22" t="s">
        <v>1700</v>
      </c>
      <c r="L47" s="22" t="s">
        <v>1700</v>
      </c>
      <c r="M47" s="22" t="str">
        <f t="shared" si="4"/>
        <v>Compliant</v>
      </c>
      <c r="N47" s="22" t="s">
        <v>1700</v>
      </c>
    </row>
    <row r="48" spans="1:14" x14ac:dyDescent="0.3">
      <c r="A48" s="22" t="s">
        <v>321</v>
      </c>
      <c r="B48" t="str">
        <f t="shared" si="0"/>
        <v>Keerthi Gupta</v>
      </c>
      <c r="C48" t="str">
        <f t="shared" si="1"/>
        <v>Customer Support</v>
      </c>
      <c r="D48" s="30" t="str">
        <f t="shared" si="2"/>
        <v>L4</v>
      </c>
      <c r="E48" s="30" t="str">
        <f t="shared" si="3"/>
        <v>Active</v>
      </c>
      <c r="F48" t="s">
        <v>1724</v>
      </c>
      <c r="G48" s="22">
        <v>2</v>
      </c>
      <c r="H48" s="22">
        <v>16</v>
      </c>
      <c r="I48" s="34">
        <v>9600</v>
      </c>
      <c r="J48" s="22">
        <v>63</v>
      </c>
      <c r="K48" s="22" t="s">
        <v>1700</v>
      </c>
      <c r="L48" s="22" t="s">
        <v>1700</v>
      </c>
      <c r="M48" s="22" t="str">
        <f t="shared" si="4"/>
        <v>Compliant</v>
      </c>
      <c r="N48" s="22" t="s">
        <v>1700</v>
      </c>
    </row>
    <row r="49" spans="1:14" x14ac:dyDescent="0.3">
      <c r="A49" s="22" t="s">
        <v>324</v>
      </c>
      <c r="B49" t="str">
        <f t="shared" si="0"/>
        <v>Sindhu Sharma</v>
      </c>
      <c r="C49" t="str">
        <f t="shared" si="1"/>
        <v>Data &amp; Analytics</v>
      </c>
      <c r="D49" s="30" t="str">
        <f t="shared" si="2"/>
        <v>L3</v>
      </c>
      <c r="E49" s="30" t="str">
        <f t="shared" si="3"/>
        <v>Active</v>
      </c>
      <c r="F49" t="s">
        <v>1730</v>
      </c>
      <c r="G49" s="22">
        <v>6</v>
      </c>
      <c r="H49" s="22">
        <v>36</v>
      </c>
      <c r="I49" s="34">
        <v>21600</v>
      </c>
      <c r="J49" s="22">
        <v>60</v>
      </c>
      <c r="K49" s="22" t="s">
        <v>1700</v>
      </c>
      <c r="L49" s="22" t="s">
        <v>1700</v>
      </c>
      <c r="M49" s="22" t="str">
        <f t="shared" si="4"/>
        <v>Compliant</v>
      </c>
      <c r="N49" s="22" t="s">
        <v>1701</v>
      </c>
    </row>
    <row r="50" spans="1:14" x14ac:dyDescent="0.3">
      <c r="A50" s="22" t="s">
        <v>218</v>
      </c>
      <c r="B50" t="str">
        <f t="shared" si="0"/>
        <v>Ajay Kumar</v>
      </c>
      <c r="C50" t="str">
        <f t="shared" si="1"/>
        <v>Operations</v>
      </c>
      <c r="D50" s="30" t="str">
        <f t="shared" si="2"/>
        <v>L5</v>
      </c>
      <c r="E50" s="30" t="str">
        <f t="shared" si="3"/>
        <v>Active</v>
      </c>
      <c r="F50" t="s">
        <v>1730</v>
      </c>
      <c r="G50" s="22">
        <v>5</v>
      </c>
      <c r="H50" s="22">
        <v>30</v>
      </c>
      <c r="I50" s="34">
        <v>18000</v>
      </c>
      <c r="J50" s="22">
        <v>63</v>
      </c>
      <c r="K50" s="22" t="s">
        <v>1700</v>
      </c>
      <c r="L50" s="22" t="s">
        <v>1700</v>
      </c>
      <c r="M50" s="22" t="str">
        <f t="shared" si="4"/>
        <v>Compliant</v>
      </c>
      <c r="N50" s="22" t="s">
        <v>1701</v>
      </c>
    </row>
    <row r="51" spans="1:14" x14ac:dyDescent="0.3">
      <c r="A51" s="22" t="s">
        <v>328</v>
      </c>
      <c r="B51" t="str">
        <f t="shared" si="0"/>
        <v>Harini Choudhary</v>
      </c>
      <c r="C51" t="str">
        <f t="shared" si="1"/>
        <v>Engineering</v>
      </c>
      <c r="D51" s="30" t="str">
        <f t="shared" si="2"/>
        <v>L4</v>
      </c>
      <c r="E51" s="30" t="str">
        <f t="shared" si="3"/>
        <v>Active</v>
      </c>
      <c r="F51" t="s">
        <v>1728</v>
      </c>
      <c r="G51" s="22">
        <v>6</v>
      </c>
      <c r="H51" s="22">
        <v>48</v>
      </c>
      <c r="I51" s="34">
        <v>21600</v>
      </c>
      <c r="J51" s="22">
        <v>78</v>
      </c>
      <c r="K51" s="22" t="s">
        <v>1700</v>
      </c>
      <c r="L51" s="22" t="s">
        <v>1700</v>
      </c>
      <c r="M51" s="22" t="str">
        <f t="shared" si="4"/>
        <v>Compliant</v>
      </c>
      <c r="N51" s="22" t="s">
        <v>1701</v>
      </c>
    </row>
    <row r="52" spans="1:14" x14ac:dyDescent="0.3">
      <c r="A52" s="22" t="s">
        <v>231</v>
      </c>
      <c r="B52" t="str">
        <f t="shared" si="0"/>
        <v>Joseph Varghese</v>
      </c>
      <c r="C52" t="str">
        <f t="shared" si="1"/>
        <v>Sales</v>
      </c>
      <c r="D52" s="30" t="str">
        <f t="shared" si="2"/>
        <v>L6</v>
      </c>
      <c r="E52" s="30" t="str">
        <f t="shared" si="3"/>
        <v>Active</v>
      </c>
      <c r="F52" t="s">
        <v>1724</v>
      </c>
      <c r="G52" s="22">
        <v>3</v>
      </c>
      <c r="H52" s="22">
        <v>21</v>
      </c>
      <c r="I52" s="34">
        <v>21000</v>
      </c>
      <c r="J52" s="22">
        <v>85</v>
      </c>
      <c r="K52" s="22" t="s">
        <v>1700</v>
      </c>
      <c r="L52" s="22" t="s">
        <v>1700</v>
      </c>
      <c r="M52" s="22" t="str">
        <f t="shared" si="4"/>
        <v>Compliant</v>
      </c>
      <c r="N52" s="22" t="s">
        <v>1701</v>
      </c>
    </row>
    <row r="53" spans="1:14" x14ac:dyDescent="0.3">
      <c r="A53" s="22" t="s">
        <v>332</v>
      </c>
      <c r="B53" t="str">
        <f t="shared" si="0"/>
        <v>Siddharth Mehta</v>
      </c>
      <c r="C53" t="str">
        <f t="shared" si="1"/>
        <v>Engineering</v>
      </c>
      <c r="D53" s="30" t="str">
        <f t="shared" si="2"/>
        <v>L3</v>
      </c>
      <c r="E53" s="30" t="str">
        <f t="shared" si="3"/>
        <v>Exited</v>
      </c>
      <c r="F53" t="s">
        <v>1730</v>
      </c>
      <c r="G53" s="22">
        <v>1</v>
      </c>
      <c r="H53" s="22">
        <v>5</v>
      </c>
      <c r="I53" s="34">
        <v>5000</v>
      </c>
      <c r="J53" s="22">
        <v>90</v>
      </c>
      <c r="K53" s="22" t="s">
        <v>1700</v>
      </c>
      <c r="L53" s="22" t="s">
        <v>1700</v>
      </c>
      <c r="M53" s="22" t="str">
        <f t="shared" si="4"/>
        <v>Compliant</v>
      </c>
      <c r="N53" s="22" t="s">
        <v>1701</v>
      </c>
    </row>
    <row r="54" spans="1:14" x14ac:dyDescent="0.3">
      <c r="A54" s="22" t="s">
        <v>335</v>
      </c>
      <c r="B54" t="str">
        <f t="shared" si="0"/>
        <v>Dev Jain</v>
      </c>
      <c r="C54" t="str">
        <f t="shared" si="1"/>
        <v>Sales</v>
      </c>
      <c r="D54" s="30" t="str">
        <f t="shared" si="2"/>
        <v>L3</v>
      </c>
      <c r="E54" s="30" t="str">
        <f t="shared" si="3"/>
        <v>Active</v>
      </c>
      <c r="F54" t="s">
        <v>1728</v>
      </c>
      <c r="G54" s="22">
        <v>6</v>
      </c>
      <c r="H54" s="22">
        <v>36</v>
      </c>
      <c r="I54" s="34">
        <v>28800</v>
      </c>
      <c r="J54" s="22">
        <v>85</v>
      </c>
      <c r="K54" s="22" t="s">
        <v>1700</v>
      </c>
      <c r="L54" s="22" t="s">
        <v>1701</v>
      </c>
      <c r="M54" s="22" t="str">
        <f t="shared" si="4"/>
        <v>Pending</v>
      </c>
      <c r="N54" s="22" t="s">
        <v>1700</v>
      </c>
    </row>
    <row r="55" spans="1:14" x14ac:dyDescent="0.3">
      <c r="A55" s="22" t="s">
        <v>340</v>
      </c>
      <c r="B55" t="str">
        <f t="shared" si="0"/>
        <v>Ritu Patel</v>
      </c>
      <c r="C55" t="str">
        <f t="shared" si="1"/>
        <v>Operations</v>
      </c>
      <c r="D55" s="30" t="str">
        <f t="shared" si="2"/>
        <v>L3</v>
      </c>
      <c r="E55" s="30" t="str">
        <f t="shared" si="3"/>
        <v>Active</v>
      </c>
      <c r="F55" t="s">
        <v>1731</v>
      </c>
      <c r="G55" s="22">
        <v>9</v>
      </c>
      <c r="H55" s="22">
        <v>54</v>
      </c>
      <c r="I55" s="34">
        <v>24300</v>
      </c>
      <c r="J55" s="22">
        <v>74</v>
      </c>
      <c r="K55" s="22" t="s">
        <v>1700</v>
      </c>
      <c r="L55" s="22" t="s">
        <v>1700</v>
      </c>
      <c r="M55" s="22" t="str">
        <f t="shared" si="4"/>
        <v>Compliant</v>
      </c>
      <c r="N55" s="22" t="s">
        <v>1701</v>
      </c>
    </row>
    <row r="56" spans="1:14" x14ac:dyDescent="0.3">
      <c r="A56" s="22" t="s">
        <v>343</v>
      </c>
      <c r="B56" t="str">
        <f t="shared" si="0"/>
        <v>Sachin Iyer</v>
      </c>
      <c r="C56" t="str">
        <f t="shared" si="1"/>
        <v>Customer Support</v>
      </c>
      <c r="D56" s="30" t="str">
        <f t="shared" si="2"/>
        <v>L3</v>
      </c>
      <c r="E56" s="30" t="str">
        <f t="shared" si="3"/>
        <v>Active</v>
      </c>
      <c r="F56" t="s">
        <v>1730</v>
      </c>
      <c r="G56" s="22">
        <v>4</v>
      </c>
      <c r="H56" s="22">
        <v>28</v>
      </c>
      <c r="I56" s="34">
        <v>28000</v>
      </c>
      <c r="J56" s="22">
        <v>87</v>
      </c>
      <c r="K56" s="22" t="s">
        <v>1700</v>
      </c>
      <c r="L56" s="22" t="s">
        <v>1700</v>
      </c>
      <c r="M56" s="22" t="str">
        <f t="shared" si="4"/>
        <v>Compliant</v>
      </c>
      <c r="N56" s="22" t="s">
        <v>1700</v>
      </c>
    </row>
    <row r="57" spans="1:14" x14ac:dyDescent="0.3">
      <c r="A57" s="22" t="s">
        <v>346</v>
      </c>
      <c r="B57" t="str">
        <f t="shared" si="0"/>
        <v>Pallavi Menon</v>
      </c>
      <c r="C57" t="str">
        <f t="shared" si="1"/>
        <v>Engineering</v>
      </c>
      <c r="D57" s="30" t="str">
        <f t="shared" si="2"/>
        <v>L3</v>
      </c>
      <c r="E57" s="30" t="str">
        <f t="shared" si="3"/>
        <v>Active</v>
      </c>
      <c r="F57" t="s">
        <v>1725</v>
      </c>
      <c r="G57" s="22">
        <v>6</v>
      </c>
      <c r="H57" s="22">
        <v>18</v>
      </c>
      <c r="I57" s="34">
        <v>14400</v>
      </c>
      <c r="J57" s="22">
        <v>92</v>
      </c>
      <c r="K57" s="22" t="s">
        <v>1700</v>
      </c>
      <c r="L57" s="22" t="s">
        <v>1700</v>
      </c>
      <c r="M57" s="22" t="str">
        <f t="shared" si="4"/>
        <v>Compliant</v>
      </c>
      <c r="N57" s="22" t="s">
        <v>1700</v>
      </c>
    </row>
    <row r="58" spans="1:14" x14ac:dyDescent="0.3">
      <c r="A58" s="22" t="s">
        <v>351</v>
      </c>
      <c r="B58" t="str">
        <f t="shared" si="0"/>
        <v>Imran Jain</v>
      </c>
      <c r="C58" t="str">
        <f t="shared" si="1"/>
        <v>Engineering</v>
      </c>
      <c r="D58" s="30" t="str">
        <f t="shared" si="2"/>
        <v>L3</v>
      </c>
      <c r="E58" s="30" t="str">
        <f t="shared" si="3"/>
        <v>Active</v>
      </c>
      <c r="F58" t="s">
        <v>1725</v>
      </c>
      <c r="G58" s="22">
        <v>5</v>
      </c>
      <c r="H58" s="22">
        <v>20</v>
      </c>
      <c r="I58" s="34">
        <v>16000</v>
      </c>
      <c r="J58" s="22">
        <v>96</v>
      </c>
      <c r="K58" s="22" t="s">
        <v>1700</v>
      </c>
      <c r="L58" s="22" t="s">
        <v>1700</v>
      </c>
      <c r="M58" s="22" t="str">
        <f t="shared" si="4"/>
        <v>Compliant</v>
      </c>
      <c r="N58" s="22" t="s">
        <v>1700</v>
      </c>
    </row>
    <row r="59" spans="1:14" x14ac:dyDescent="0.3">
      <c r="A59" s="22" t="s">
        <v>354</v>
      </c>
      <c r="B59" t="str">
        <f t="shared" si="0"/>
        <v>Amit Gupta</v>
      </c>
      <c r="C59" t="str">
        <f t="shared" si="1"/>
        <v>Engineering</v>
      </c>
      <c r="D59" s="30" t="str">
        <f t="shared" si="2"/>
        <v>L4</v>
      </c>
      <c r="E59" s="30" t="str">
        <f t="shared" si="3"/>
        <v>Active</v>
      </c>
      <c r="F59" t="s">
        <v>1727</v>
      </c>
      <c r="G59" s="22">
        <v>2</v>
      </c>
      <c r="H59" s="22">
        <v>10</v>
      </c>
      <c r="I59" s="34">
        <v>4500</v>
      </c>
      <c r="J59" s="22">
        <v>64</v>
      </c>
      <c r="K59" s="22" t="s">
        <v>1700</v>
      </c>
      <c r="L59" s="22" t="s">
        <v>1700</v>
      </c>
      <c r="M59" s="22" t="str">
        <f t="shared" si="4"/>
        <v>Compliant</v>
      </c>
      <c r="N59" s="22" t="s">
        <v>1700</v>
      </c>
    </row>
    <row r="60" spans="1:14" x14ac:dyDescent="0.3">
      <c r="A60" s="22" t="s">
        <v>357</v>
      </c>
      <c r="B60" t="str">
        <f t="shared" si="0"/>
        <v>Fatima Kulkarni</v>
      </c>
      <c r="C60" t="str">
        <f t="shared" si="1"/>
        <v>Engineering</v>
      </c>
      <c r="D60" s="30" t="str">
        <f t="shared" si="2"/>
        <v>L4</v>
      </c>
      <c r="E60" s="30" t="str">
        <f t="shared" si="3"/>
        <v>Exited</v>
      </c>
      <c r="F60" t="s">
        <v>1730</v>
      </c>
      <c r="G60" s="22">
        <v>3</v>
      </c>
      <c r="H60" s="22">
        <v>24</v>
      </c>
      <c r="I60" s="34">
        <v>14400</v>
      </c>
      <c r="J60" s="22">
        <v>97</v>
      </c>
      <c r="K60" s="22" t="s">
        <v>1700</v>
      </c>
      <c r="L60" s="22" t="s">
        <v>1700</v>
      </c>
      <c r="M60" s="22" t="str">
        <f t="shared" si="4"/>
        <v>Compliant</v>
      </c>
      <c r="N60" s="22" t="s">
        <v>1700</v>
      </c>
    </row>
    <row r="61" spans="1:14" x14ac:dyDescent="0.3">
      <c r="A61" s="22" t="s">
        <v>314</v>
      </c>
      <c r="B61" t="str">
        <f t="shared" si="0"/>
        <v>Isha Jain</v>
      </c>
      <c r="C61" t="str">
        <f t="shared" si="1"/>
        <v>Engineering</v>
      </c>
      <c r="D61" s="30" t="str">
        <f t="shared" si="2"/>
        <v>L5</v>
      </c>
      <c r="E61" s="30" t="str">
        <f t="shared" si="3"/>
        <v>Active</v>
      </c>
      <c r="F61" t="s">
        <v>1731</v>
      </c>
      <c r="G61" s="22">
        <v>4</v>
      </c>
      <c r="H61" s="22">
        <v>32</v>
      </c>
      <c r="I61" s="34">
        <v>32000</v>
      </c>
      <c r="J61" s="22">
        <v>98</v>
      </c>
      <c r="K61" s="22" t="s">
        <v>1700</v>
      </c>
      <c r="L61" s="22" t="s">
        <v>1700</v>
      </c>
      <c r="M61" s="22" t="str">
        <f t="shared" si="4"/>
        <v>Compliant</v>
      </c>
      <c r="N61" s="22" t="s">
        <v>1700</v>
      </c>
    </row>
    <row r="62" spans="1:14" x14ac:dyDescent="0.3">
      <c r="A62" s="22" t="s">
        <v>363</v>
      </c>
      <c r="B62" t="str">
        <f t="shared" si="0"/>
        <v>Sowmya Mishra</v>
      </c>
      <c r="C62" t="str">
        <f t="shared" si="1"/>
        <v>Operations</v>
      </c>
      <c r="D62" s="30" t="str">
        <f t="shared" si="2"/>
        <v>L3</v>
      </c>
      <c r="E62" s="30" t="str">
        <f t="shared" si="3"/>
        <v>Active</v>
      </c>
      <c r="F62" t="s">
        <v>1724</v>
      </c>
      <c r="G62" s="22">
        <v>2</v>
      </c>
      <c r="H62" s="22">
        <v>12</v>
      </c>
      <c r="I62" s="34">
        <v>5400</v>
      </c>
      <c r="J62" s="22">
        <v>59</v>
      </c>
      <c r="K62" s="22" t="s">
        <v>1700</v>
      </c>
      <c r="L62" s="22" t="s">
        <v>1700</v>
      </c>
      <c r="M62" s="22" t="str">
        <f t="shared" si="4"/>
        <v>Compliant</v>
      </c>
      <c r="N62" s="22" t="s">
        <v>1700</v>
      </c>
    </row>
    <row r="63" spans="1:14" x14ac:dyDescent="0.3">
      <c r="A63" s="22" t="s">
        <v>366</v>
      </c>
      <c r="B63" t="str">
        <f t="shared" si="0"/>
        <v>Mohit Kapoor</v>
      </c>
      <c r="C63" t="str">
        <f t="shared" si="1"/>
        <v>Engineering</v>
      </c>
      <c r="D63" s="30" t="str">
        <f t="shared" si="2"/>
        <v>L4</v>
      </c>
      <c r="E63" s="30" t="str">
        <f t="shared" si="3"/>
        <v>Active</v>
      </c>
      <c r="F63" t="s">
        <v>1724</v>
      </c>
      <c r="G63" s="22">
        <v>3</v>
      </c>
      <c r="H63" s="22">
        <v>24</v>
      </c>
      <c r="I63" s="34">
        <v>19200</v>
      </c>
      <c r="J63" s="22">
        <v>65</v>
      </c>
      <c r="K63" s="22" t="s">
        <v>1700</v>
      </c>
      <c r="L63" s="22" t="s">
        <v>1700</v>
      </c>
      <c r="M63" s="22" t="str">
        <f t="shared" si="4"/>
        <v>Compliant</v>
      </c>
      <c r="N63" s="22" t="s">
        <v>1700</v>
      </c>
    </row>
    <row r="64" spans="1:14" x14ac:dyDescent="0.3">
      <c r="A64" s="22" t="s">
        <v>369</v>
      </c>
      <c r="B64" t="str">
        <f t="shared" si="0"/>
        <v>Akash Mukherjee</v>
      </c>
      <c r="C64" t="str">
        <f t="shared" si="1"/>
        <v>Engineering</v>
      </c>
      <c r="D64" s="30" t="str">
        <f t="shared" si="2"/>
        <v>L3</v>
      </c>
      <c r="E64" s="30" t="str">
        <f t="shared" si="3"/>
        <v>Exited</v>
      </c>
      <c r="F64" t="s">
        <v>1722</v>
      </c>
      <c r="G64" s="22">
        <v>4</v>
      </c>
      <c r="H64" s="22">
        <v>28</v>
      </c>
      <c r="I64" s="34">
        <v>22400</v>
      </c>
      <c r="J64" s="22">
        <v>61</v>
      </c>
      <c r="K64" s="22" t="s">
        <v>1701</v>
      </c>
      <c r="L64" s="22" t="s">
        <v>1700</v>
      </c>
      <c r="M64" s="22" t="str">
        <f t="shared" si="4"/>
        <v>Pending</v>
      </c>
      <c r="N64" s="22" t="s">
        <v>1701</v>
      </c>
    </row>
    <row r="65" spans="1:14" x14ac:dyDescent="0.3">
      <c r="A65" s="22" t="s">
        <v>372</v>
      </c>
      <c r="B65" t="str">
        <f t="shared" si="0"/>
        <v>Swathi Bose</v>
      </c>
      <c r="C65" t="str">
        <f t="shared" si="1"/>
        <v>Engineering</v>
      </c>
      <c r="D65" s="30" t="str">
        <f t="shared" si="2"/>
        <v>L3</v>
      </c>
      <c r="E65" s="30" t="str">
        <f t="shared" si="3"/>
        <v>Active</v>
      </c>
      <c r="F65" t="s">
        <v>1728</v>
      </c>
      <c r="G65" s="22">
        <v>6</v>
      </c>
      <c r="H65" s="22">
        <v>42</v>
      </c>
      <c r="I65" s="34">
        <v>42000</v>
      </c>
      <c r="J65" s="22">
        <v>75</v>
      </c>
      <c r="K65" s="22" t="s">
        <v>1700</v>
      </c>
      <c r="L65" s="22" t="s">
        <v>1701</v>
      </c>
      <c r="M65" s="22" t="str">
        <f t="shared" si="4"/>
        <v>Pending</v>
      </c>
      <c r="N65" s="22" t="s">
        <v>1700</v>
      </c>
    </row>
    <row r="66" spans="1:14" x14ac:dyDescent="0.3">
      <c r="A66" s="22" t="s">
        <v>375</v>
      </c>
      <c r="B66" t="str">
        <f t="shared" ref="B66:B129" si="5">INDEX(M_Name,MATCH($A66,M_ID,0))</f>
        <v>Rohit Iyer</v>
      </c>
      <c r="C66" t="str">
        <f t="shared" ref="C66:C129" si="6">INDEX(M_Dept,MATCH($A66,M_ID,0))</f>
        <v>Operations</v>
      </c>
      <c r="D66" s="30" t="str">
        <f t="shared" ref="D66:D129" si="7">INDEX(M_Level,MATCH($A66,M_ID,0))</f>
        <v>L3</v>
      </c>
      <c r="E66" s="30" t="str">
        <f t="shared" ref="E66:E129" si="8">INDEX(M_Status,MATCH($A66,M_ID,0))</f>
        <v>Active</v>
      </c>
      <c r="F66" t="s">
        <v>1723</v>
      </c>
      <c r="G66" s="22">
        <v>9</v>
      </c>
      <c r="H66" s="22">
        <v>72</v>
      </c>
      <c r="I66" s="34">
        <v>32400</v>
      </c>
      <c r="J66" s="22">
        <v>58</v>
      </c>
      <c r="K66" s="22" t="s">
        <v>1700</v>
      </c>
      <c r="L66" s="22" t="s">
        <v>1701</v>
      </c>
      <c r="M66" s="22" t="str">
        <f t="shared" ref="M66:M129" si="9">IF(AND(K66="Yes",L66="Yes"),"Compliant","Pending")</f>
        <v>Pending</v>
      </c>
      <c r="N66" s="22" t="s">
        <v>1701</v>
      </c>
    </row>
    <row r="67" spans="1:14" x14ac:dyDescent="0.3">
      <c r="A67" s="22" t="s">
        <v>380</v>
      </c>
      <c r="B67" t="str">
        <f t="shared" si="5"/>
        <v>Ajay Joshi</v>
      </c>
      <c r="C67" t="str">
        <f t="shared" si="6"/>
        <v>Operations</v>
      </c>
      <c r="D67" s="30" t="str">
        <f t="shared" si="7"/>
        <v>L4</v>
      </c>
      <c r="E67" s="30" t="str">
        <f t="shared" si="8"/>
        <v>Active</v>
      </c>
      <c r="F67" t="s">
        <v>1730</v>
      </c>
      <c r="G67" s="22">
        <v>7</v>
      </c>
      <c r="H67" s="22">
        <v>28</v>
      </c>
      <c r="I67" s="34">
        <v>12600</v>
      </c>
      <c r="J67" s="22">
        <v>96</v>
      </c>
      <c r="K67" s="22" t="s">
        <v>1700</v>
      </c>
      <c r="L67" s="22" t="s">
        <v>1700</v>
      </c>
      <c r="M67" s="22" t="str">
        <f t="shared" si="9"/>
        <v>Compliant</v>
      </c>
      <c r="N67" s="22" t="s">
        <v>1700</v>
      </c>
    </row>
    <row r="68" spans="1:14" x14ac:dyDescent="0.3">
      <c r="A68" s="22" t="s">
        <v>271</v>
      </c>
      <c r="B68" t="str">
        <f t="shared" si="5"/>
        <v>Akash Bansal</v>
      </c>
      <c r="C68" t="str">
        <f t="shared" si="6"/>
        <v>Sales</v>
      </c>
      <c r="D68" s="30" t="str">
        <f t="shared" si="7"/>
        <v>L7</v>
      </c>
      <c r="E68" s="30" t="str">
        <f t="shared" si="8"/>
        <v>Active</v>
      </c>
      <c r="F68" t="s">
        <v>1731</v>
      </c>
      <c r="G68" s="22">
        <v>6</v>
      </c>
      <c r="H68" s="22">
        <v>18</v>
      </c>
      <c r="I68" s="34">
        <v>10800</v>
      </c>
      <c r="J68" s="22">
        <v>76</v>
      </c>
      <c r="K68" s="22" t="s">
        <v>1700</v>
      </c>
      <c r="L68" s="22" t="s">
        <v>1700</v>
      </c>
      <c r="M68" s="22" t="str">
        <f t="shared" si="9"/>
        <v>Compliant</v>
      </c>
      <c r="N68" s="22" t="s">
        <v>1700</v>
      </c>
    </row>
    <row r="69" spans="1:14" x14ac:dyDescent="0.3">
      <c r="A69" s="22" t="s">
        <v>387</v>
      </c>
      <c r="B69" t="str">
        <f t="shared" si="5"/>
        <v>Pooja Mehta</v>
      </c>
      <c r="C69" t="str">
        <f t="shared" si="6"/>
        <v>Customer Support</v>
      </c>
      <c r="D69" s="30" t="str">
        <f t="shared" si="7"/>
        <v>L4</v>
      </c>
      <c r="E69" s="30" t="str">
        <f t="shared" si="8"/>
        <v>Active</v>
      </c>
      <c r="F69" t="s">
        <v>1727</v>
      </c>
      <c r="G69" s="22">
        <v>8</v>
      </c>
      <c r="H69" s="22">
        <v>56</v>
      </c>
      <c r="I69" s="34">
        <v>56000</v>
      </c>
      <c r="J69" s="22">
        <v>58</v>
      </c>
      <c r="K69" s="22" t="s">
        <v>1700</v>
      </c>
      <c r="L69" s="22" t="s">
        <v>1700</v>
      </c>
      <c r="M69" s="22" t="str">
        <f t="shared" si="9"/>
        <v>Compliant</v>
      </c>
      <c r="N69" s="22" t="s">
        <v>1701</v>
      </c>
    </row>
    <row r="70" spans="1:14" x14ac:dyDescent="0.3">
      <c r="A70" s="22" t="s">
        <v>176</v>
      </c>
      <c r="B70" t="str">
        <f t="shared" si="5"/>
        <v>Akash Dsouza</v>
      </c>
      <c r="C70" t="str">
        <f t="shared" si="6"/>
        <v>Customer Support</v>
      </c>
      <c r="D70" s="30" t="str">
        <f t="shared" si="7"/>
        <v>L6</v>
      </c>
      <c r="E70" s="30" t="str">
        <f t="shared" si="8"/>
        <v>Active</v>
      </c>
      <c r="F70" t="s">
        <v>1730</v>
      </c>
      <c r="G70" s="22">
        <v>6</v>
      </c>
      <c r="H70" s="22">
        <v>30</v>
      </c>
      <c r="I70" s="34">
        <v>24000</v>
      </c>
      <c r="J70" s="22">
        <v>71</v>
      </c>
      <c r="K70" s="22" t="s">
        <v>1700</v>
      </c>
      <c r="L70" s="22" t="s">
        <v>1700</v>
      </c>
      <c r="M70" s="22" t="str">
        <f t="shared" si="9"/>
        <v>Compliant</v>
      </c>
      <c r="N70" s="22" t="s">
        <v>1701</v>
      </c>
    </row>
    <row r="71" spans="1:14" x14ac:dyDescent="0.3">
      <c r="A71" s="22" t="s">
        <v>394</v>
      </c>
      <c r="B71" t="str">
        <f t="shared" si="5"/>
        <v>Naveen Mehta</v>
      </c>
      <c r="C71" t="str">
        <f t="shared" si="6"/>
        <v>Data &amp; Analytics</v>
      </c>
      <c r="D71" s="30" t="str">
        <f t="shared" si="7"/>
        <v>L3</v>
      </c>
      <c r="E71" s="30" t="str">
        <f t="shared" si="8"/>
        <v>Exited</v>
      </c>
      <c r="F71" t="s">
        <v>1731</v>
      </c>
      <c r="G71" s="22">
        <v>9</v>
      </c>
      <c r="H71" s="22">
        <v>72</v>
      </c>
      <c r="I71" s="34">
        <v>43200</v>
      </c>
      <c r="J71" s="22">
        <v>63</v>
      </c>
      <c r="K71" s="22" t="s">
        <v>1700</v>
      </c>
      <c r="L71" s="22" t="s">
        <v>1700</v>
      </c>
      <c r="M71" s="22" t="str">
        <f t="shared" si="9"/>
        <v>Compliant</v>
      </c>
      <c r="N71" s="22" t="s">
        <v>1700</v>
      </c>
    </row>
    <row r="72" spans="1:14" x14ac:dyDescent="0.3">
      <c r="A72" s="22" t="s">
        <v>397</v>
      </c>
      <c r="B72" t="str">
        <f t="shared" si="5"/>
        <v>Varsha Siddiqui</v>
      </c>
      <c r="C72" t="str">
        <f t="shared" si="6"/>
        <v>Engineering</v>
      </c>
      <c r="D72" s="30" t="str">
        <f t="shared" si="7"/>
        <v>L4</v>
      </c>
      <c r="E72" s="30" t="str">
        <f t="shared" si="8"/>
        <v>Active</v>
      </c>
      <c r="F72" t="s">
        <v>1723</v>
      </c>
      <c r="G72" s="22">
        <v>8</v>
      </c>
      <c r="H72" s="22">
        <v>56</v>
      </c>
      <c r="I72" s="34">
        <v>44800</v>
      </c>
      <c r="J72" s="22">
        <v>76</v>
      </c>
      <c r="K72" s="22" t="s">
        <v>1700</v>
      </c>
      <c r="L72" s="22" t="s">
        <v>1700</v>
      </c>
      <c r="M72" s="22" t="str">
        <f t="shared" si="9"/>
        <v>Compliant</v>
      </c>
      <c r="N72" s="22" t="s">
        <v>1701</v>
      </c>
    </row>
    <row r="73" spans="1:14" x14ac:dyDescent="0.3">
      <c r="A73" s="22" t="s">
        <v>402</v>
      </c>
      <c r="B73" t="str">
        <f t="shared" si="5"/>
        <v>Rajesh Shah</v>
      </c>
      <c r="C73" t="str">
        <f t="shared" si="6"/>
        <v>Marketing</v>
      </c>
      <c r="D73" s="30" t="str">
        <f t="shared" si="7"/>
        <v>L4</v>
      </c>
      <c r="E73" s="30" t="str">
        <f t="shared" si="8"/>
        <v>Active</v>
      </c>
      <c r="F73" t="s">
        <v>1729</v>
      </c>
      <c r="G73" s="22">
        <v>6</v>
      </c>
      <c r="H73" s="22">
        <v>36</v>
      </c>
      <c r="I73" s="34">
        <v>36000</v>
      </c>
      <c r="J73" s="22">
        <v>94</v>
      </c>
      <c r="K73" s="22" t="s">
        <v>1700</v>
      </c>
      <c r="L73" s="22" t="s">
        <v>1700</v>
      </c>
      <c r="M73" s="22" t="str">
        <f t="shared" si="9"/>
        <v>Compliant</v>
      </c>
      <c r="N73" s="22" t="s">
        <v>1700</v>
      </c>
    </row>
    <row r="74" spans="1:14" x14ac:dyDescent="0.3">
      <c r="A74" s="22" t="s">
        <v>405</v>
      </c>
      <c r="B74" t="str">
        <f t="shared" si="5"/>
        <v>Vishal Ansari</v>
      </c>
      <c r="C74" t="str">
        <f t="shared" si="6"/>
        <v>Product</v>
      </c>
      <c r="D74" s="30" t="str">
        <f t="shared" si="7"/>
        <v>L3</v>
      </c>
      <c r="E74" s="30" t="str">
        <f t="shared" si="8"/>
        <v>Active</v>
      </c>
      <c r="F74" t="s">
        <v>1722</v>
      </c>
      <c r="G74" s="22">
        <v>7</v>
      </c>
      <c r="H74" s="22">
        <v>42</v>
      </c>
      <c r="I74" s="34">
        <v>18900</v>
      </c>
      <c r="J74" s="22">
        <v>82</v>
      </c>
      <c r="K74" s="22" t="s">
        <v>1700</v>
      </c>
      <c r="L74" s="22" t="s">
        <v>1700</v>
      </c>
      <c r="M74" s="22" t="str">
        <f t="shared" si="9"/>
        <v>Compliant</v>
      </c>
      <c r="N74" s="22" t="s">
        <v>1701</v>
      </c>
    </row>
    <row r="75" spans="1:14" x14ac:dyDescent="0.3">
      <c r="A75" s="22" t="s">
        <v>409</v>
      </c>
      <c r="B75" t="str">
        <f t="shared" si="5"/>
        <v>Mansi Reddy</v>
      </c>
      <c r="C75" t="str">
        <f t="shared" si="6"/>
        <v>Sales</v>
      </c>
      <c r="D75" s="30" t="str">
        <f t="shared" si="7"/>
        <v>L3</v>
      </c>
      <c r="E75" s="30" t="str">
        <f t="shared" si="8"/>
        <v>Active</v>
      </c>
      <c r="F75" t="s">
        <v>1722</v>
      </c>
      <c r="G75" s="22">
        <v>9</v>
      </c>
      <c r="H75" s="22">
        <v>36</v>
      </c>
      <c r="I75" s="34">
        <v>36000</v>
      </c>
      <c r="J75" s="22">
        <v>71</v>
      </c>
      <c r="K75" s="22" t="s">
        <v>1700</v>
      </c>
      <c r="L75" s="22" t="s">
        <v>1700</v>
      </c>
      <c r="M75" s="22" t="str">
        <f t="shared" si="9"/>
        <v>Compliant</v>
      </c>
      <c r="N75" s="22" t="s">
        <v>1700</v>
      </c>
    </row>
    <row r="76" spans="1:14" x14ac:dyDescent="0.3">
      <c r="A76" s="22" t="s">
        <v>412</v>
      </c>
      <c r="B76" t="str">
        <f t="shared" si="5"/>
        <v>Sandeep Gupta</v>
      </c>
      <c r="C76" t="str">
        <f t="shared" si="6"/>
        <v>Operations</v>
      </c>
      <c r="D76" s="30" t="str">
        <f t="shared" si="7"/>
        <v>L3</v>
      </c>
      <c r="E76" s="30" t="str">
        <f t="shared" si="8"/>
        <v>Active</v>
      </c>
      <c r="F76" t="s">
        <v>1724</v>
      </c>
      <c r="G76" s="22">
        <v>2</v>
      </c>
      <c r="H76" s="22">
        <v>14</v>
      </c>
      <c r="I76" s="34">
        <v>11200</v>
      </c>
      <c r="J76" s="22">
        <v>93</v>
      </c>
      <c r="K76" s="22" t="s">
        <v>1700</v>
      </c>
      <c r="L76" s="22" t="s">
        <v>1700</v>
      </c>
      <c r="M76" s="22" t="str">
        <f t="shared" si="9"/>
        <v>Compliant</v>
      </c>
      <c r="N76" s="22" t="s">
        <v>1701</v>
      </c>
    </row>
    <row r="77" spans="1:14" x14ac:dyDescent="0.3">
      <c r="A77" s="22" t="s">
        <v>417</v>
      </c>
      <c r="B77" t="str">
        <f t="shared" si="5"/>
        <v>Sneha Hegde</v>
      </c>
      <c r="C77" t="str">
        <f t="shared" si="6"/>
        <v>Engineering</v>
      </c>
      <c r="D77" s="30" t="str">
        <f t="shared" si="7"/>
        <v>L3</v>
      </c>
      <c r="E77" s="30" t="str">
        <f t="shared" si="8"/>
        <v>Active</v>
      </c>
      <c r="F77" t="s">
        <v>1729</v>
      </c>
      <c r="G77" s="22">
        <v>7</v>
      </c>
      <c r="H77" s="22">
        <v>35</v>
      </c>
      <c r="I77" s="34">
        <v>21000</v>
      </c>
      <c r="J77" s="22">
        <v>98</v>
      </c>
      <c r="K77" s="22" t="s">
        <v>1700</v>
      </c>
      <c r="L77" s="22" t="s">
        <v>1700</v>
      </c>
      <c r="M77" s="22" t="str">
        <f t="shared" si="9"/>
        <v>Compliant</v>
      </c>
      <c r="N77" s="22" t="s">
        <v>1700</v>
      </c>
    </row>
    <row r="78" spans="1:14" x14ac:dyDescent="0.3">
      <c r="A78" s="22" t="s">
        <v>420</v>
      </c>
      <c r="B78" t="str">
        <f t="shared" si="5"/>
        <v>Kiran Chatterjee</v>
      </c>
      <c r="C78" t="str">
        <f t="shared" si="6"/>
        <v>Operations</v>
      </c>
      <c r="D78" s="30" t="str">
        <f t="shared" si="7"/>
        <v>L3</v>
      </c>
      <c r="E78" s="30" t="str">
        <f t="shared" si="8"/>
        <v>Active</v>
      </c>
      <c r="F78" t="s">
        <v>1724</v>
      </c>
      <c r="G78" s="22">
        <v>2</v>
      </c>
      <c r="H78" s="22">
        <v>16</v>
      </c>
      <c r="I78" s="34">
        <v>12800</v>
      </c>
      <c r="J78" s="22">
        <v>89</v>
      </c>
      <c r="K78" s="22" t="s">
        <v>1700</v>
      </c>
      <c r="L78" s="22" t="s">
        <v>1700</v>
      </c>
      <c r="M78" s="22" t="str">
        <f t="shared" si="9"/>
        <v>Compliant</v>
      </c>
      <c r="N78" s="22" t="s">
        <v>1700</v>
      </c>
    </row>
    <row r="79" spans="1:14" x14ac:dyDescent="0.3">
      <c r="A79" s="22" t="s">
        <v>423</v>
      </c>
      <c r="B79" t="str">
        <f t="shared" si="5"/>
        <v>Aishwarya Joshi</v>
      </c>
      <c r="C79" t="str">
        <f t="shared" si="6"/>
        <v>Finance</v>
      </c>
      <c r="D79" s="30" t="str">
        <f t="shared" si="7"/>
        <v>L4</v>
      </c>
      <c r="E79" s="30" t="str">
        <f t="shared" si="8"/>
        <v>Active</v>
      </c>
      <c r="F79" t="s">
        <v>1725</v>
      </c>
      <c r="G79" s="22">
        <v>8</v>
      </c>
      <c r="H79" s="22">
        <v>40</v>
      </c>
      <c r="I79" s="34">
        <v>40000</v>
      </c>
      <c r="J79" s="22">
        <v>92</v>
      </c>
      <c r="K79" s="22" t="s">
        <v>1700</v>
      </c>
      <c r="L79" s="22" t="s">
        <v>1700</v>
      </c>
      <c r="M79" s="22" t="str">
        <f t="shared" si="9"/>
        <v>Compliant</v>
      </c>
      <c r="N79" s="22" t="s">
        <v>1701</v>
      </c>
    </row>
    <row r="80" spans="1:14" x14ac:dyDescent="0.3">
      <c r="A80" s="22" t="s">
        <v>427</v>
      </c>
      <c r="B80" t="str">
        <f t="shared" si="5"/>
        <v>Sindhu Das</v>
      </c>
      <c r="C80" t="str">
        <f t="shared" si="6"/>
        <v>Marketing</v>
      </c>
      <c r="D80" s="30" t="str">
        <f t="shared" si="7"/>
        <v>L3</v>
      </c>
      <c r="E80" s="30" t="str">
        <f t="shared" si="8"/>
        <v>Active</v>
      </c>
      <c r="F80" t="s">
        <v>1724</v>
      </c>
      <c r="G80" s="22">
        <v>6</v>
      </c>
      <c r="H80" s="22">
        <v>36</v>
      </c>
      <c r="I80" s="34">
        <v>21600</v>
      </c>
      <c r="J80" s="22">
        <v>84</v>
      </c>
      <c r="K80" s="22" t="s">
        <v>1700</v>
      </c>
      <c r="L80" s="22" t="s">
        <v>1700</v>
      </c>
      <c r="M80" s="22" t="str">
        <f t="shared" si="9"/>
        <v>Compliant</v>
      </c>
      <c r="N80" s="22" t="s">
        <v>1701</v>
      </c>
    </row>
    <row r="81" spans="1:14" x14ac:dyDescent="0.3">
      <c r="A81" s="22" t="s">
        <v>430</v>
      </c>
      <c r="B81" t="str">
        <f t="shared" si="5"/>
        <v>Nandini Shetty</v>
      </c>
      <c r="C81" t="str">
        <f t="shared" si="6"/>
        <v>Data &amp; Analytics</v>
      </c>
      <c r="D81" s="30" t="str">
        <f t="shared" si="7"/>
        <v>L3</v>
      </c>
      <c r="E81" s="30" t="str">
        <f t="shared" si="8"/>
        <v>Active</v>
      </c>
      <c r="F81" t="s">
        <v>1726</v>
      </c>
      <c r="G81" s="22">
        <v>7</v>
      </c>
      <c r="H81" s="22">
        <v>28</v>
      </c>
      <c r="I81" s="34">
        <v>12600</v>
      </c>
      <c r="J81" s="22">
        <v>96</v>
      </c>
      <c r="K81" s="22" t="s">
        <v>1700</v>
      </c>
      <c r="L81" s="22" t="s">
        <v>1700</v>
      </c>
      <c r="M81" s="22" t="str">
        <f t="shared" si="9"/>
        <v>Compliant</v>
      </c>
      <c r="N81" s="22" t="s">
        <v>1701</v>
      </c>
    </row>
    <row r="82" spans="1:14" x14ac:dyDescent="0.3">
      <c r="A82" s="22" t="s">
        <v>435</v>
      </c>
      <c r="B82" t="str">
        <f t="shared" si="5"/>
        <v>Deepak Thomas</v>
      </c>
      <c r="C82" t="str">
        <f t="shared" si="6"/>
        <v>Engineering</v>
      </c>
      <c r="D82" s="30" t="str">
        <f t="shared" si="7"/>
        <v>L3</v>
      </c>
      <c r="E82" s="30" t="str">
        <f t="shared" si="8"/>
        <v>Active</v>
      </c>
      <c r="F82" t="s">
        <v>1726</v>
      </c>
      <c r="G82" s="22">
        <v>7</v>
      </c>
      <c r="H82" s="22">
        <v>21</v>
      </c>
      <c r="I82" s="34">
        <v>16800</v>
      </c>
      <c r="J82" s="22">
        <v>81</v>
      </c>
      <c r="K82" s="22" t="s">
        <v>1700</v>
      </c>
      <c r="L82" s="22" t="s">
        <v>1700</v>
      </c>
      <c r="M82" s="22" t="str">
        <f t="shared" si="9"/>
        <v>Compliant</v>
      </c>
      <c r="N82" s="22" t="s">
        <v>1701</v>
      </c>
    </row>
    <row r="83" spans="1:14" x14ac:dyDescent="0.3">
      <c r="A83" s="22" t="s">
        <v>438</v>
      </c>
      <c r="B83" t="str">
        <f t="shared" si="5"/>
        <v>Mansi Dsouza</v>
      </c>
      <c r="C83" t="str">
        <f t="shared" si="6"/>
        <v>Engineering</v>
      </c>
      <c r="D83" s="30" t="str">
        <f t="shared" si="7"/>
        <v>L4</v>
      </c>
      <c r="E83" s="30" t="str">
        <f t="shared" si="8"/>
        <v>Active</v>
      </c>
      <c r="F83" t="s">
        <v>1728</v>
      </c>
      <c r="G83" s="22">
        <v>1</v>
      </c>
      <c r="H83" s="22">
        <v>8</v>
      </c>
      <c r="I83" s="34">
        <v>8000</v>
      </c>
      <c r="J83" s="22">
        <v>87</v>
      </c>
      <c r="K83" s="22" t="s">
        <v>1700</v>
      </c>
      <c r="L83" s="22" t="s">
        <v>1700</v>
      </c>
      <c r="M83" s="22" t="str">
        <f t="shared" si="9"/>
        <v>Compliant</v>
      </c>
      <c r="N83" s="22" t="s">
        <v>1701</v>
      </c>
    </row>
    <row r="84" spans="1:14" x14ac:dyDescent="0.3">
      <c r="A84" s="22" t="s">
        <v>167</v>
      </c>
      <c r="B84" t="str">
        <f t="shared" si="5"/>
        <v>Akash Das</v>
      </c>
      <c r="C84" t="str">
        <f t="shared" si="6"/>
        <v>Human Resources</v>
      </c>
      <c r="D84" s="30" t="str">
        <f t="shared" si="7"/>
        <v>L5</v>
      </c>
      <c r="E84" s="30" t="str">
        <f t="shared" si="8"/>
        <v>Active</v>
      </c>
      <c r="F84" t="s">
        <v>1729</v>
      </c>
      <c r="G84" s="22">
        <v>6</v>
      </c>
      <c r="H84" s="22">
        <v>48</v>
      </c>
      <c r="I84" s="34">
        <v>28800</v>
      </c>
      <c r="J84" s="22">
        <v>66</v>
      </c>
      <c r="K84" s="22" t="s">
        <v>1700</v>
      </c>
      <c r="L84" s="22" t="s">
        <v>1701</v>
      </c>
      <c r="M84" s="22" t="str">
        <f t="shared" si="9"/>
        <v>Pending</v>
      </c>
      <c r="N84" s="22" t="s">
        <v>1701</v>
      </c>
    </row>
    <row r="85" spans="1:14" x14ac:dyDescent="0.3">
      <c r="A85" s="22" t="s">
        <v>286</v>
      </c>
      <c r="B85" t="str">
        <f t="shared" si="5"/>
        <v>Mansi Pillai</v>
      </c>
      <c r="C85" t="str">
        <f t="shared" si="6"/>
        <v>Product</v>
      </c>
      <c r="D85" s="30" t="str">
        <f t="shared" si="7"/>
        <v>L5</v>
      </c>
      <c r="E85" s="30" t="str">
        <f t="shared" si="8"/>
        <v>Active</v>
      </c>
      <c r="F85" t="s">
        <v>1731</v>
      </c>
      <c r="G85" s="22">
        <v>5</v>
      </c>
      <c r="H85" s="22">
        <v>15</v>
      </c>
      <c r="I85" s="34">
        <v>6750</v>
      </c>
      <c r="J85" s="22">
        <v>86</v>
      </c>
      <c r="K85" s="22" t="s">
        <v>1700</v>
      </c>
      <c r="L85" s="22" t="s">
        <v>1700</v>
      </c>
      <c r="M85" s="22" t="str">
        <f t="shared" si="9"/>
        <v>Compliant</v>
      </c>
      <c r="N85" s="22" t="s">
        <v>1700</v>
      </c>
    </row>
    <row r="86" spans="1:14" x14ac:dyDescent="0.3">
      <c r="A86" s="22" t="s">
        <v>445</v>
      </c>
      <c r="B86" t="str">
        <f t="shared" si="5"/>
        <v>Rohan Menon</v>
      </c>
      <c r="C86" t="str">
        <f t="shared" si="6"/>
        <v>Operations</v>
      </c>
      <c r="D86" s="30" t="str">
        <f t="shared" si="7"/>
        <v>L3</v>
      </c>
      <c r="E86" s="30" t="str">
        <f t="shared" si="8"/>
        <v>Active</v>
      </c>
      <c r="F86" t="s">
        <v>1729</v>
      </c>
      <c r="G86" s="22">
        <v>4</v>
      </c>
      <c r="H86" s="22">
        <v>16</v>
      </c>
      <c r="I86" s="34">
        <v>16000</v>
      </c>
      <c r="J86" s="22">
        <v>68</v>
      </c>
      <c r="K86" s="22" t="s">
        <v>1700</v>
      </c>
      <c r="L86" s="22" t="s">
        <v>1700</v>
      </c>
      <c r="M86" s="22" t="str">
        <f t="shared" si="9"/>
        <v>Compliant</v>
      </c>
      <c r="N86" s="22" t="s">
        <v>1701</v>
      </c>
    </row>
    <row r="87" spans="1:14" x14ac:dyDescent="0.3">
      <c r="A87" s="22" t="s">
        <v>243</v>
      </c>
      <c r="B87" t="str">
        <f t="shared" si="5"/>
        <v>Bhavana Hegde</v>
      </c>
      <c r="C87" t="str">
        <f t="shared" si="6"/>
        <v>Engineering</v>
      </c>
      <c r="D87" s="30" t="str">
        <f t="shared" si="7"/>
        <v>L5</v>
      </c>
      <c r="E87" s="30" t="str">
        <f t="shared" si="8"/>
        <v>Active</v>
      </c>
      <c r="F87" t="s">
        <v>1727</v>
      </c>
      <c r="G87" s="22">
        <v>4</v>
      </c>
      <c r="H87" s="22">
        <v>24</v>
      </c>
      <c r="I87" s="34">
        <v>10800</v>
      </c>
      <c r="J87" s="22">
        <v>88</v>
      </c>
      <c r="K87" s="22" t="s">
        <v>1700</v>
      </c>
      <c r="L87" s="22" t="s">
        <v>1700</v>
      </c>
      <c r="M87" s="22" t="str">
        <f t="shared" si="9"/>
        <v>Compliant</v>
      </c>
      <c r="N87" s="22" t="s">
        <v>1701</v>
      </c>
    </row>
    <row r="88" spans="1:14" x14ac:dyDescent="0.3">
      <c r="A88" s="22" t="s">
        <v>449</v>
      </c>
      <c r="B88" t="str">
        <f t="shared" si="5"/>
        <v>Arun Choudhary</v>
      </c>
      <c r="C88" t="str">
        <f t="shared" si="6"/>
        <v>Engineering</v>
      </c>
      <c r="D88" s="30" t="str">
        <f t="shared" si="7"/>
        <v>L3</v>
      </c>
      <c r="E88" s="30" t="str">
        <f t="shared" si="8"/>
        <v>Active</v>
      </c>
      <c r="F88" t="s">
        <v>1731</v>
      </c>
      <c r="G88" s="22">
        <v>7</v>
      </c>
      <c r="H88" s="22">
        <v>21</v>
      </c>
      <c r="I88" s="34">
        <v>21000</v>
      </c>
      <c r="J88" s="22">
        <v>92</v>
      </c>
      <c r="K88" s="22" t="s">
        <v>1701</v>
      </c>
      <c r="L88" s="22" t="s">
        <v>1700</v>
      </c>
      <c r="M88" s="22" t="str">
        <f t="shared" si="9"/>
        <v>Pending</v>
      </c>
      <c r="N88" s="22" t="s">
        <v>1701</v>
      </c>
    </row>
    <row r="89" spans="1:14" x14ac:dyDescent="0.3">
      <c r="A89" s="22" t="s">
        <v>452</v>
      </c>
      <c r="B89" t="str">
        <f t="shared" si="5"/>
        <v>Ankit Tiwari</v>
      </c>
      <c r="C89" t="str">
        <f t="shared" si="6"/>
        <v>Human Resources</v>
      </c>
      <c r="D89" s="30" t="str">
        <f t="shared" si="7"/>
        <v>L3</v>
      </c>
      <c r="E89" s="30" t="str">
        <f t="shared" si="8"/>
        <v>Active</v>
      </c>
      <c r="F89" t="s">
        <v>1725</v>
      </c>
      <c r="G89" s="22">
        <v>1</v>
      </c>
      <c r="H89" s="22">
        <v>6</v>
      </c>
      <c r="I89" s="34">
        <v>6000</v>
      </c>
      <c r="J89" s="22">
        <v>81</v>
      </c>
      <c r="K89" s="22" t="s">
        <v>1700</v>
      </c>
      <c r="L89" s="22" t="s">
        <v>1700</v>
      </c>
      <c r="M89" s="22" t="str">
        <f t="shared" si="9"/>
        <v>Compliant</v>
      </c>
      <c r="N89" s="22" t="s">
        <v>1701</v>
      </c>
    </row>
    <row r="90" spans="1:14" x14ac:dyDescent="0.3">
      <c r="A90" s="22" t="s">
        <v>455</v>
      </c>
      <c r="B90" t="str">
        <f t="shared" si="5"/>
        <v>Mary Varghese</v>
      </c>
      <c r="C90" t="str">
        <f t="shared" si="6"/>
        <v>Customer Support</v>
      </c>
      <c r="D90" s="30" t="str">
        <f t="shared" si="7"/>
        <v>L3</v>
      </c>
      <c r="E90" s="30" t="str">
        <f t="shared" si="8"/>
        <v>Active</v>
      </c>
      <c r="F90" t="s">
        <v>1723</v>
      </c>
      <c r="G90" s="22">
        <v>7</v>
      </c>
      <c r="H90" s="22">
        <v>56</v>
      </c>
      <c r="I90" s="34">
        <v>56000</v>
      </c>
      <c r="J90" s="22">
        <v>95</v>
      </c>
      <c r="K90" s="22" t="s">
        <v>1700</v>
      </c>
      <c r="L90" s="22" t="s">
        <v>1700</v>
      </c>
      <c r="M90" s="22" t="str">
        <f t="shared" si="9"/>
        <v>Compliant</v>
      </c>
      <c r="N90" s="22" t="s">
        <v>1700</v>
      </c>
    </row>
    <row r="91" spans="1:14" x14ac:dyDescent="0.3">
      <c r="A91" s="22" t="s">
        <v>458</v>
      </c>
      <c r="B91" t="str">
        <f t="shared" si="5"/>
        <v>Madhuri Malhotra</v>
      </c>
      <c r="C91" t="str">
        <f t="shared" si="6"/>
        <v>Sales</v>
      </c>
      <c r="D91" s="30" t="str">
        <f t="shared" si="7"/>
        <v>L5</v>
      </c>
      <c r="E91" s="30" t="str">
        <f t="shared" si="8"/>
        <v>Exited</v>
      </c>
      <c r="F91" t="s">
        <v>1722</v>
      </c>
      <c r="G91" s="22">
        <v>2</v>
      </c>
      <c r="H91" s="22">
        <v>16</v>
      </c>
      <c r="I91" s="34">
        <v>9600</v>
      </c>
      <c r="J91" s="22">
        <v>88</v>
      </c>
      <c r="K91" s="22" t="s">
        <v>1700</v>
      </c>
      <c r="L91" s="22" t="s">
        <v>1700</v>
      </c>
      <c r="M91" s="22" t="str">
        <f t="shared" si="9"/>
        <v>Compliant</v>
      </c>
      <c r="N91" s="22" t="s">
        <v>1700</v>
      </c>
    </row>
    <row r="92" spans="1:14" x14ac:dyDescent="0.3">
      <c r="A92" s="22" t="s">
        <v>461</v>
      </c>
      <c r="B92" t="str">
        <f t="shared" si="5"/>
        <v>Srinivas Bose</v>
      </c>
      <c r="C92" t="str">
        <f t="shared" si="6"/>
        <v>Engineering</v>
      </c>
      <c r="D92" s="30" t="str">
        <f t="shared" si="7"/>
        <v>L4</v>
      </c>
      <c r="E92" s="30" t="str">
        <f t="shared" si="8"/>
        <v>Active</v>
      </c>
      <c r="F92" t="s">
        <v>1730</v>
      </c>
      <c r="G92" s="22">
        <v>4</v>
      </c>
      <c r="H92" s="22">
        <v>20</v>
      </c>
      <c r="I92" s="34">
        <v>9000</v>
      </c>
      <c r="J92" s="22">
        <v>73</v>
      </c>
      <c r="K92" s="22" t="s">
        <v>1700</v>
      </c>
      <c r="L92" s="22" t="s">
        <v>1700</v>
      </c>
      <c r="M92" s="22" t="str">
        <f t="shared" si="9"/>
        <v>Compliant</v>
      </c>
      <c r="N92" s="22" t="s">
        <v>1701</v>
      </c>
    </row>
    <row r="93" spans="1:14" x14ac:dyDescent="0.3">
      <c r="A93" s="22" t="s">
        <v>464</v>
      </c>
      <c r="B93" t="str">
        <f t="shared" si="5"/>
        <v>Kunal Jain</v>
      </c>
      <c r="C93" t="str">
        <f t="shared" si="6"/>
        <v>Operations</v>
      </c>
      <c r="D93" s="30" t="str">
        <f t="shared" si="7"/>
        <v>L3</v>
      </c>
      <c r="E93" s="30" t="str">
        <f t="shared" si="8"/>
        <v>Active</v>
      </c>
      <c r="F93" t="s">
        <v>1723</v>
      </c>
      <c r="G93" s="22">
        <v>5</v>
      </c>
      <c r="H93" s="22">
        <v>25</v>
      </c>
      <c r="I93" s="34">
        <v>20000</v>
      </c>
      <c r="J93" s="22">
        <v>94</v>
      </c>
      <c r="K93" s="22" t="s">
        <v>1700</v>
      </c>
      <c r="L93" s="22" t="s">
        <v>1700</v>
      </c>
      <c r="M93" s="22" t="str">
        <f t="shared" si="9"/>
        <v>Compliant</v>
      </c>
      <c r="N93" s="22" t="s">
        <v>1701</v>
      </c>
    </row>
    <row r="94" spans="1:14" x14ac:dyDescent="0.3">
      <c r="A94" s="22" t="s">
        <v>467</v>
      </c>
      <c r="B94" t="str">
        <f t="shared" si="5"/>
        <v>Priyanka Hegde</v>
      </c>
      <c r="C94" t="str">
        <f t="shared" si="6"/>
        <v>Product</v>
      </c>
      <c r="D94" s="30" t="str">
        <f t="shared" si="7"/>
        <v>L3</v>
      </c>
      <c r="E94" s="30" t="str">
        <f t="shared" si="8"/>
        <v>Active</v>
      </c>
      <c r="F94" t="s">
        <v>1722</v>
      </c>
      <c r="G94" s="22">
        <v>5</v>
      </c>
      <c r="H94" s="22">
        <v>35</v>
      </c>
      <c r="I94" s="34">
        <v>15750</v>
      </c>
      <c r="J94" s="22">
        <v>81</v>
      </c>
      <c r="K94" s="22" t="s">
        <v>1700</v>
      </c>
      <c r="L94" s="22" t="s">
        <v>1700</v>
      </c>
      <c r="M94" s="22" t="str">
        <f t="shared" si="9"/>
        <v>Compliant</v>
      </c>
      <c r="N94" s="22" t="s">
        <v>1700</v>
      </c>
    </row>
    <row r="95" spans="1:14" x14ac:dyDescent="0.3">
      <c r="A95" s="22" t="s">
        <v>470</v>
      </c>
      <c r="B95" t="str">
        <f t="shared" si="5"/>
        <v>Gayatri Thomas</v>
      </c>
      <c r="C95" t="str">
        <f t="shared" si="6"/>
        <v>Product</v>
      </c>
      <c r="D95" s="30" t="str">
        <f t="shared" si="7"/>
        <v>L3</v>
      </c>
      <c r="E95" s="30" t="str">
        <f t="shared" si="8"/>
        <v>Active</v>
      </c>
      <c r="F95" t="s">
        <v>1723</v>
      </c>
      <c r="G95" s="22">
        <v>6</v>
      </c>
      <c r="H95" s="22">
        <v>48</v>
      </c>
      <c r="I95" s="34">
        <v>38400</v>
      </c>
      <c r="J95" s="22">
        <v>88</v>
      </c>
      <c r="K95" s="22" t="s">
        <v>1700</v>
      </c>
      <c r="L95" s="22" t="s">
        <v>1700</v>
      </c>
      <c r="M95" s="22" t="str">
        <f t="shared" si="9"/>
        <v>Compliant</v>
      </c>
      <c r="N95" s="22" t="s">
        <v>1701</v>
      </c>
    </row>
    <row r="96" spans="1:14" x14ac:dyDescent="0.3">
      <c r="A96" s="22" t="s">
        <v>473</v>
      </c>
      <c r="B96" t="str">
        <f t="shared" si="5"/>
        <v>Mary Banerjee</v>
      </c>
      <c r="C96" t="str">
        <f t="shared" si="6"/>
        <v>Data &amp; Analytics</v>
      </c>
      <c r="D96" s="30" t="str">
        <f t="shared" si="7"/>
        <v>L4</v>
      </c>
      <c r="E96" s="30" t="str">
        <f t="shared" si="8"/>
        <v>Active</v>
      </c>
      <c r="F96" t="s">
        <v>1731</v>
      </c>
      <c r="G96" s="22">
        <v>8</v>
      </c>
      <c r="H96" s="22">
        <v>64</v>
      </c>
      <c r="I96" s="34">
        <v>51200</v>
      </c>
      <c r="J96" s="22">
        <v>76</v>
      </c>
      <c r="K96" s="22" t="s">
        <v>1700</v>
      </c>
      <c r="L96" s="22" t="s">
        <v>1700</v>
      </c>
      <c r="M96" s="22" t="str">
        <f t="shared" si="9"/>
        <v>Compliant</v>
      </c>
      <c r="N96" s="22" t="s">
        <v>1700</v>
      </c>
    </row>
    <row r="97" spans="1:14" x14ac:dyDescent="0.3">
      <c r="A97" s="22" t="s">
        <v>477</v>
      </c>
      <c r="B97" t="str">
        <f t="shared" si="5"/>
        <v>Pallavi Malhotra</v>
      </c>
      <c r="C97" t="str">
        <f t="shared" si="6"/>
        <v>Marketing</v>
      </c>
      <c r="D97" s="30" t="str">
        <f t="shared" si="7"/>
        <v>L4</v>
      </c>
      <c r="E97" s="30" t="str">
        <f t="shared" si="8"/>
        <v>Active</v>
      </c>
      <c r="F97" t="s">
        <v>1731</v>
      </c>
      <c r="G97" s="22">
        <v>7</v>
      </c>
      <c r="H97" s="22">
        <v>35</v>
      </c>
      <c r="I97" s="34">
        <v>21000</v>
      </c>
      <c r="J97" s="22">
        <v>58</v>
      </c>
      <c r="K97" s="22" t="s">
        <v>1700</v>
      </c>
      <c r="L97" s="22" t="s">
        <v>1700</v>
      </c>
      <c r="M97" s="22" t="str">
        <f t="shared" si="9"/>
        <v>Compliant</v>
      </c>
      <c r="N97" s="22" t="s">
        <v>1700</v>
      </c>
    </row>
    <row r="98" spans="1:14" x14ac:dyDescent="0.3">
      <c r="A98" s="22" t="s">
        <v>480</v>
      </c>
      <c r="B98" t="str">
        <f t="shared" si="5"/>
        <v>Sowmya Menon</v>
      </c>
      <c r="C98" t="str">
        <f t="shared" si="6"/>
        <v>Product</v>
      </c>
      <c r="D98" s="30" t="str">
        <f t="shared" si="7"/>
        <v>L3</v>
      </c>
      <c r="E98" s="30" t="str">
        <f t="shared" si="8"/>
        <v>Exited</v>
      </c>
      <c r="F98" t="s">
        <v>1728</v>
      </c>
      <c r="G98" s="22">
        <v>5</v>
      </c>
      <c r="H98" s="22">
        <v>25</v>
      </c>
      <c r="I98" s="34">
        <v>25000</v>
      </c>
      <c r="J98" s="22">
        <v>95</v>
      </c>
      <c r="K98" s="22" t="s">
        <v>1700</v>
      </c>
      <c r="L98" s="22" t="s">
        <v>1701</v>
      </c>
      <c r="M98" s="22" t="str">
        <f t="shared" si="9"/>
        <v>Pending</v>
      </c>
      <c r="N98" s="22" t="s">
        <v>1701</v>
      </c>
    </row>
    <row r="99" spans="1:14" x14ac:dyDescent="0.3">
      <c r="A99" s="22" t="s">
        <v>485</v>
      </c>
      <c r="B99" t="str">
        <f t="shared" si="5"/>
        <v>Sanjana Verma</v>
      </c>
      <c r="C99" t="str">
        <f t="shared" si="6"/>
        <v>Human Resources</v>
      </c>
      <c r="D99" s="30" t="str">
        <f t="shared" si="7"/>
        <v>L4</v>
      </c>
      <c r="E99" s="30" t="str">
        <f t="shared" si="8"/>
        <v>Active</v>
      </c>
      <c r="F99" t="s">
        <v>1727</v>
      </c>
      <c r="G99" s="22">
        <v>9</v>
      </c>
      <c r="H99" s="22">
        <v>45</v>
      </c>
      <c r="I99" s="34">
        <v>36000</v>
      </c>
      <c r="J99" s="22">
        <v>88</v>
      </c>
      <c r="K99" s="22" t="s">
        <v>1700</v>
      </c>
      <c r="L99" s="22" t="s">
        <v>1701</v>
      </c>
      <c r="M99" s="22" t="str">
        <f t="shared" si="9"/>
        <v>Pending</v>
      </c>
      <c r="N99" s="22" t="s">
        <v>1701</v>
      </c>
    </row>
    <row r="100" spans="1:14" x14ac:dyDescent="0.3">
      <c r="A100" s="22" t="s">
        <v>488</v>
      </c>
      <c r="B100" t="str">
        <f t="shared" si="5"/>
        <v>Karan Khan</v>
      </c>
      <c r="C100" t="str">
        <f t="shared" si="6"/>
        <v>Sales</v>
      </c>
      <c r="D100" s="30" t="str">
        <f t="shared" si="7"/>
        <v>L3</v>
      </c>
      <c r="E100" s="30" t="str">
        <f t="shared" si="8"/>
        <v>Active</v>
      </c>
      <c r="F100" t="s">
        <v>1723</v>
      </c>
      <c r="G100" s="22">
        <v>3</v>
      </c>
      <c r="H100" s="22">
        <v>18</v>
      </c>
      <c r="I100" s="34">
        <v>18000</v>
      </c>
      <c r="J100" s="22">
        <v>71</v>
      </c>
      <c r="K100" s="22" t="s">
        <v>1700</v>
      </c>
      <c r="L100" s="22" t="s">
        <v>1701</v>
      </c>
      <c r="M100" s="22" t="str">
        <f t="shared" si="9"/>
        <v>Pending</v>
      </c>
      <c r="N100" s="22" t="s">
        <v>1700</v>
      </c>
    </row>
    <row r="101" spans="1:14" x14ac:dyDescent="0.3">
      <c r="A101" s="22" t="s">
        <v>491</v>
      </c>
      <c r="B101" t="str">
        <f t="shared" si="5"/>
        <v>Arjun Iyer</v>
      </c>
      <c r="C101" t="str">
        <f t="shared" si="6"/>
        <v>Engineering</v>
      </c>
      <c r="D101" s="30" t="str">
        <f t="shared" si="7"/>
        <v>L3</v>
      </c>
      <c r="E101" s="30" t="str">
        <f t="shared" si="8"/>
        <v>Active</v>
      </c>
      <c r="F101" t="s">
        <v>1722</v>
      </c>
      <c r="G101" s="22">
        <v>4</v>
      </c>
      <c r="H101" s="22">
        <v>16</v>
      </c>
      <c r="I101" s="34">
        <v>12800</v>
      </c>
      <c r="J101" s="22">
        <v>80</v>
      </c>
      <c r="K101" s="22" t="s">
        <v>1700</v>
      </c>
      <c r="L101" s="22" t="s">
        <v>1700</v>
      </c>
      <c r="M101" s="22" t="str">
        <f t="shared" si="9"/>
        <v>Compliant</v>
      </c>
      <c r="N101" s="22" t="s">
        <v>1700</v>
      </c>
    </row>
    <row r="102" spans="1:14" x14ac:dyDescent="0.3">
      <c r="A102" s="22" t="s">
        <v>379</v>
      </c>
      <c r="B102" t="str">
        <f t="shared" si="5"/>
        <v>Pallavi Nair</v>
      </c>
      <c r="C102" t="str">
        <f t="shared" si="6"/>
        <v>Operations</v>
      </c>
      <c r="D102" s="30" t="str">
        <f t="shared" si="7"/>
        <v>L5</v>
      </c>
      <c r="E102" s="30" t="str">
        <f t="shared" si="8"/>
        <v>Active</v>
      </c>
      <c r="F102" t="s">
        <v>1727</v>
      </c>
      <c r="G102" s="22">
        <v>8</v>
      </c>
      <c r="H102" s="22">
        <v>48</v>
      </c>
      <c r="I102" s="34">
        <v>21600</v>
      </c>
      <c r="J102" s="22">
        <v>72</v>
      </c>
      <c r="K102" s="22" t="s">
        <v>1700</v>
      </c>
      <c r="L102" s="22" t="s">
        <v>1700</v>
      </c>
      <c r="M102" s="22" t="str">
        <f t="shared" si="9"/>
        <v>Compliant</v>
      </c>
      <c r="N102" s="22" t="s">
        <v>1701</v>
      </c>
    </row>
    <row r="103" spans="1:14" x14ac:dyDescent="0.3">
      <c r="A103" s="22" t="s">
        <v>495</v>
      </c>
      <c r="B103" t="str">
        <f t="shared" si="5"/>
        <v>Ravi Kumar</v>
      </c>
      <c r="C103" t="str">
        <f t="shared" si="6"/>
        <v>Sales</v>
      </c>
      <c r="D103" s="30" t="str">
        <f t="shared" si="7"/>
        <v>L3</v>
      </c>
      <c r="E103" s="30" t="str">
        <f t="shared" si="8"/>
        <v>Active</v>
      </c>
      <c r="F103" t="s">
        <v>1726</v>
      </c>
      <c r="G103" s="22">
        <v>4</v>
      </c>
      <c r="H103" s="22">
        <v>20</v>
      </c>
      <c r="I103" s="34">
        <v>9000</v>
      </c>
      <c r="J103" s="22">
        <v>75</v>
      </c>
      <c r="K103" s="22" t="s">
        <v>1700</v>
      </c>
      <c r="L103" s="22" t="s">
        <v>1700</v>
      </c>
      <c r="M103" s="22" t="str">
        <f t="shared" si="9"/>
        <v>Compliant</v>
      </c>
      <c r="N103" s="22" t="s">
        <v>1700</v>
      </c>
    </row>
    <row r="104" spans="1:14" x14ac:dyDescent="0.3">
      <c r="A104" s="22" t="s">
        <v>498</v>
      </c>
      <c r="B104" t="str">
        <f t="shared" si="5"/>
        <v>Sowmya Verma</v>
      </c>
      <c r="C104" t="str">
        <f t="shared" si="6"/>
        <v>Finance</v>
      </c>
      <c r="D104" s="30" t="str">
        <f t="shared" si="7"/>
        <v>L4</v>
      </c>
      <c r="E104" s="30" t="str">
        <f t="shared" si="8"/>
        <v>Active</v>
      </c>
      <c r="F104" t="s">
        <v>1722</v>
      </c>
      <c r="G104" s="22">
        <v>9</v>
      </c>
      <c r="H104" s="22">
        <v>63</v>
      </c>
      <c r="I104" s="34">
        <v>28350</v>
      </c>
      <c r="J104" s="22">
        <v>73</v>
      </c>
      <c r="K104" s="22" t="s">
        <v>1701</v>
      </c>
      <c r="L104" s="22" t="s">
        <v>1700</v>
      </c>
      <c r="M104" s="22" t="str">
        <f t="shared" si="9"/>
        <v>Pending</v>
      </c>
      <c r="N104" s="22" t="s">
        <v>1701</v>
      </c>
    </row>
    <row r="105" spans="1:14" x14ac:dyDescent="0.3">
      <c r="A105" s="22" t="s">
        <v>503</v>
      </c>
      <c r="B105" t="str">
        <f t="shared" si="5"/>
        <v>Arun Agarwal</v>
      </c>
      <c r="C105" t="str">
        <f t="shared" si="6"/>
        <v>Sales</v>
      </c>
      <c r="D105" s="30" t="str">
        <f t="shared" si="7"/>
        <v>L4</v>
      </c>
      <c r="E105" s="30" t="str">
        <f t="shared" si="8"/>
        <v>Active</v>
      </c>
      <c r="F105" t="s">
        <v>1730</v>
      </c>
      <c r="G105" s="22">
        <v>5</v>
      </c>
      <c r="H105" s="22">
        <v>40</v>
      </c>
      <c r="I105" s="34">
        <v>24000</v>
      </c>
      <c r="J105" s="22">
        <v>69</v>
      </c>
      <c r="K105" s="22" t="s">
        <v>1700</v>
      </c>
      <c r="L105" s="22" t="s">
        <v>1700</v>
      </c>
      <c r="M105" s="22" t="str">
        <f t="shared" si="9"/>
        <v>Compliant</v>
      </c>
      <c r="N105" s="22" t="s">
        <v>1700</v>
      </c>
    </row>
    <row r="106" spans="1:14" x14ac:dyDescent="0.3">
      <c r="A106" s="22" t="s">
        <v>506</v>
      </c>
      <c r="B106" t="str">
        <f t="shared" si="5"/>
        <v>Shreya Gowda</v>
      </c>
      <c r="C106" t="str">
        <f t="shared" si="6"/>
        <v>Engineering</v>
      </c>
      <c r="D106" s="30" t="str">
        <f t="shared" si="7"/>
        <v>L3</v>
      </c>
      <c r="E106" s="30" t="str">
        <f t="shared" si="8"/>
        <v>Active</v>
      </c>
      <c r="F106" t="s">
        <v>1726</v>
      </c>
      <c r="G106" s="22">
        <v>1</v>
      </c>
      <c r="H106" s="22">
        <v>7</v>
      </c>
      <c r="I106" s="34">
        <v>5600</v>
      </c>
      <c r="J106" s="22">
        <v>66</v>
      </c>
      <c r="K106" s="22" t="s">
        <v>1700</v>
      </c>
      <c r="L106" s="22" t="s">
        <v>1700</v>
      </c>
      <c r="M106" s="22" t="str">
        <f t="shared" si="9"/>
        <v>Compliant</v>
      </c>
      <c r="N106" s="22" t="s">
        <v>1700</v>
      </c>
    </row>
    <row r="107" spans="1:14" x14ac:dyDescent="0.3">
      <c r="A107" s="22" t="s">
        <v>182</v>
      </c>
      <c r="B107" t="str">
        <f t="shared" si="5"/>
        <v>Harsh Siddiqui</v>
      </c>
      <c r="C107" t="str">
        <f t="shared" si="6"/>
        <v>Engineering</v>
      </c>
      <c r="D107" s="30" t="str">
        <f t="shared" si="7"/>
        <v>L5</v>
      </c>
      <c r="E107" s="30" t="str">
        <f t="shared" si="8"/>
        <v>Active</v>
      </c>
      <c r="F107" t="s">
        <v>1730</v>
      </c>
      <c r="G107" s="22">
        <v>9</v>
      </c>
      <c r="H107" s="22">
        <v>45</v>
      </c>
      <c r="I107" s="34">
        <v>20250</v>
      </c>
      <c r="J107" s="22">
        <v>87</v>
      </c>
      <c r="K107" s="22" t="s">
        <v>1700</v>
      </c>
      <c r="L107" s="22" t="s">
        <v>1700</v>
      </c>
      <c r="M107" s="22" t="str">
        <f t="shared" si="9"/>
        <v>Compliant</v>
      </c>
      <c r="N107" s="22" t="s">
        <v>1701</v>
      </c>
    </row>
    <row r="108" spans="1:14" x14ac:dyDescent="0.3">
      <c r="A108" s="22" t="s">
        <v>510</v>
      </c>
      <c r="B108" t="str">
        <f t="shared" si="5"/>
        <v>Imran Subramanian</v>
      </c>
      <c r="C108" t="str">
        <f t="shared" si="6"/>
        <v>Product</v>
      </c>
      <c r="D108" s="30" t="str">
        <f t="shared" si="7"/>
        <v>L4</v>
      </c>
      <c r="E108" s="30" t="str">
        <f t="shared" si="8"/>
        <v>Active</v>
      </c>
      <c r="F108" t="s">
        <v>1726</v>
      </c>
      <c r="G108" s="22">
        <v>2</v>
      </c>
      <c r="H108" s="22">
        <v>14</v>
      </c>
      <c r="I108" s="34">
        <v>6300</v>
      </c>
      <c r="J108" s="22">
        <v>86</v>
      </c>
      <c r="K108" s="22" t="s">
        <v>1700</v>
      </c>
      <c r="L108" s="22" t="s">
        <v>1700</v>
      </c>
      <c r="M108" s="22" t="str">
        <f t="shared" si="9"/>
        <v>Compliant</v>
      </c>
      <c r="N108" s="22" t="s">
        <v>1700</v>
      </c>
    </row>
    <row r="109" spans="1:14" x14ac:dyDescent="0.3">
      <c r="A109" s="22" t="s">
        <v>515</v>
      </c>
      <c r="B109" t="str">
        <f t="shared" si="5"/>
        <v>Keerthi Siddiqui</v>
      </c>
      <c r="C109" t="str">
        <f t="shared" si="6"/>
        <v>Customer Support</v>
      </c>
      <c r="D109" s="30" t="str">
        <f t="shared" si="7"/>
        <v>L3</v>
      </c>
      <c r="E109" s="30" t="str">
        <f t="shared" si="8"/>
        <v>Active</v>
      </c>
      <c r="F109" t="s">
        <v>1723</v>
      </c>
      <c r="G109" s="22">
        <v>2</v>
      </c>
      <c r="H109" s="22">
        <v>12</v>
      </c>
      <c r="I109" s="34">
        <v>7200</v>
      </c>
      <c r="J109" s="22">
        <v>94</v>
      </c>
      <c r="K109" s="22" t="s">
        <v>1700</v>
      </c>
      <c r="L109" s="22" t="s">
        <v>1700</v>
      </c>
      <c r="M109" s="22" t="str">
        <f t="shared" si="9"/>
        <v>Compliant</v>
      </c>
      <c r="N109" s="22" t="s">
        <v>1701</v>
      </c>
    </row>
    <row r="110" spans="1:14" x14ac:dyDescent="0.3">
      <c r="A110" s="22" t="s">
        <v>518</v>
      </c>
      <c r="B110" t="str">
        <f t="shared" si="5"/>
        <v>Nandini Choudhary</v>
      </c>
      <c r="C110" t="str">
        <f t="shared" si="6"/>
        <v>Engineering</v>
      </c>
      <c r="D110" s="30" t="str">
        <f t="shared" si="7"/>
        <v>L3</v>
      </c>
      <c r="E110" s="30" t="str">
        <f t="shared" si="8"/>
        <v>Active</v>
      </c>
      <c r="F110" t="s">
        <v>1722</v>
      </c>
      <c r="G110" s="22">
        <v>1</v>
      </c>
      <c r="H110" s="22">
        <v>7</v>
      </c>
      <c r="I110" s="34">
        <v>7000</v>
      </c>
      <c r="J110" s="22">
        <v>95</v>
      </c>
      <c r="K110" s="22" t="s">
        <v>1700</v>
      </c>
      <c r="L110" s="22" t="s">
        <v>1700</v>
      </c>
      <c r="M110" s="22" t="str">
        <f t="shared" si="9"/>
        <v>Compliant</v>
      </c>
      <c r="N110" s="22" t="s">
        <v>1701</v>
      </c>
    </row>
    <row r="111" spans="1:14" x14ac:dyDescent="0.3">
      <c r="A111" s="22" t="s">
        <v>188</v>
      </c>
      <c r="B111" t="str">
        <f t="shared" si="5"/>
        <v>Aishwarya Mukherjee</v>
      </c>
      <c r="C111" t="str">
        <f t="shared" si="6"/>
        <v>Marketing</v>
      </c>
      <c r="D111" s="30" t="str">
        <f t="shared" si="7"/>
        <v>L6</v>
      </c>
      <c r="E111" s="30" t="str">
        <f t="shared" si="8"/>
        <v>Active</v>
      </c>
      <c r="F111" t="s">
        <v>1728</v>
      </c>
      <c r="G111" s="22">
        <v>8</v>
      </c>
      <c r="H111" s="22">
        <v>24</v>
      </c>
      <c r="I111" s="34">
        <v>19200</v>
      </c>
      <c r="J111" s="22">
        <v>79</v>
      </c>
      <c r="K111" s="22" t="s">
        <v>1700</v>
      </c>
      <c r="L111" s="22" t="s">
        <v>1700</v>
      </c>
      <c r="M111" s="22" t="str">
        <f t="shared" si="9"/>
        <v>Compliant</v>
      </c>
      <c r="N111" s="22" t="s">
        <v>1701</v>
      </c>
    </row>
    <row r="112" spans="1:14" x14ac:dyDescent="0.3">
      <c r="A112" s="22" t="s">
        <v>225</v>
      </c>
      <c r="B112" t="str">
        <f t="shared" si="5"/>
        <v>Ajay Patel</v>
      </c>
      <c r="C112" t="str">
        <f t="shared" si="6"/>
        <v>Human Resources</v>
      </c>
      <c r="D112" s="30" t="str">
        <f t="shared" si="7"/>
        <v>L5</v>
      </c>
      <c r="E112" s="30" t="str">
        <f t="shared" si="8"/>
        <v>Exited</v>
      </c>
      <c r="F112" t="s">
        <v>1722</v>
      </c>
      <c r="G112" s="22">
        <v>9</v>
      </c>
      <c r="H112" s="22">
        <v>54</v>
      </c>
      <c r="I112" s="34">
        <v>43200</v>
      </c>
      <c r="J112" s="22">
        <v>79</v>
      </c>
      <c r="K112" s="22" t="s">
        <v>1701</v>
      </c>
      <c r="L112" s="22" t="s">
        <v>1700</v>
      </c>
      <c r="M112" s="22" t="str">
        <f t="shared" si="9"/>
        <v>Pending</v>
      </c>
      <c r="N112" s="22" t="s">
        <v>1701</v>
      </c>
    </row>
    <row r="113" spans="1:14" x14ac:dyDescent="0.3">
      <c r="A113" s="22" t="s">
        <v>526</v>
      </c>
      <c r="B113" t="str">
        <f t="shared" si="5"/>
        <v>Trisha Saxena</v>
      </c>
      <c r="C113" t="str">
        <f t="shared" si="6"/>
        <v>Sales</v>
      </c>
      <c r="D113" s="30" t="str">
        <f t="shared" si="7"/>
        <v>L3</v>
      </c>
      <c r="E113" s="30" t="str">
        <f t="shared" si="8"/>
        <v>Active</v>
      </c>
      <c r="F113" t="s">
        <v>1728</v>
      </c>
      <c r="G113" s="22">
        <v>5</v>
      </c>
      <c r="H113" s="22">
        <v>40</v>
      </c>
      <c r="I113" s="34">
        <v>32000</v>
      </c>
      <c r="J113" s="22">
        <v>89</v>
      </c>
      <c r="K113" s="22" t="s">
        <v>1700</v>
      </c>
      <c r="L113" s="22" t="s">
        <v>1700</v>
      </c>
      <c r="M113" s="22" t="str">
        <f t="shared" si="9"/>
        <v>Compliant</v>
      </c>
      <c r="N113" s="22" t="s">
        <v>1701</v>
      </c>
    </row>
    <row r="114" spans="1:14" x14ac:dyDescent="0.3">
      <c r="A114" s="22" t="s">
        <v>529</v>
      </c>
      <c r="B114" t="str">
        <f t="shared" si="5"/>
        <v>Vikas Shah</v>
      </c>
      <c r="C114" t="str">
        <f t="shared" si="6"/>
        <v>Customer Support</v>
      </c>
      <c r="D114" s="30" t="str">
        <f t="shared" si="7"/>
        <v>L3</v>
      </c>
      <c r="E114" s="30" t="str">
        <f t="shared" si="8"/>
        <v>Active</v>
      </c>
      <c r="F114" t="s">
        <v>1723</v>
      </c>
      <c r="G114" s="22">
        <v>1</v>
      </c>
      <c r="H114" s="22">
        <v>5</v>
      </c>
      <c r="I114" s="34">
        <v>5000</v>
      </c>
      <c r="J114" s="22">
        <v>64</v>
      </c>
      <c r="K114" s="22" t="s">
        <v>1700</v>
      </c>
      <c r="L114" s="22" t="s">
        <v>1700</v>
      </c>
      <c r="M114" s="22" t="str">
        <f t="shared" si="9"/>
        <v>Compliant</v>
      </c>
      <c r="N114" s="22" t="s">
        <v>1701</v>
      </c>
    </row>
    <row r="115" spans="1:14" x14ac:dyDescent="0.3">
      <c r="A115" s="22" t="s">
        <v>532</v>
      </c>
      <c r="B115" t="str">
        <f t="shared" si="5"/>
        <v>Aarav Thomas</v>
      </c>
      <c r="C115" t="str">
        <f t="shared" si="6"/>
        <v>Sales</v>
      </c>
      <c r="D115" s="30" t="str">
        <f t="shared" si="7"/>
        <v>L3</v>
      </c>
      <c r="E115" s="30" t="str">
        <f t="shared" si="8"/>
        <v>Active</v>
      </c>
      <c r="F115" t="s">
        <v>1723</v>
      </c>
      <c r="G115" s="22">
        <v>8</v>
      </c>
      <c r="H115" s="22">
        <v>40</v>
      </c>
      <c r="I115" s="34">
        <v>24000</v>
      </c>
      <c r="J115" s="22">
        <v>90</v>
      </c>
      <c r="K115" s="22" t="s">
        <v>1700</v>
      </c>
      <c r="L115" s="22" t="s">
        <v>1700</v>
      </c>
      <c r="M115" s="22" t="str">
        <f t="shared" si="9"/>
        <v>Compliant</v>
      </c>
      <c r="N115" s="22" t="s">
        <v>1700</v>
      </c>
    </row>
    <row r="116" spans="1:14" x14ac:dyDescent="0.3">
      <c r="A116" s="22" t="s">
        <v>535</v>
      </c>
      <c r="B116" t="str">
        <f t="shared" si="5"/>
        <v>Naveen Verma</v>
      </c>
      <c r="C116" t="str">
        <f t="shared" si="6"/>
        <v>Operations</v>
      </c>
      <c r="D116" s="30" t="str">
        <f t="shared" si="7"/>
        <v>L3</v>
      </c>
      <c r="E116" s="30" t="str">
        <f t="shared" si="8"/>
        <v>Active</v>
      </c>
      <c r="F116" t="s">
        <v>1731</v>
      </c>
      <c r="G116" s="22">
        <v>5</v>
      </c>
      <c r="H116" s="22">
        <v>25</v>
      </c>
      <c r="I116" s="34">
        <v>25000</v>
      </c>
      <c r="J116" s="22">
        <v>67</v>
      </c>
      <c r="K116" s="22" t="s">
        <v>1700</v>
      </c>
      <c r="L116" s="22" t="s">
        <v>1700</v>
      </c>
      <c r="M116" s="22" t="str">
        <f t="shared" si="9"/>
        <v>Compliant</v>
      </c>
      <c r="N116" s="22" t="s">
        <v>1701</v>
      </c>
    </row>
    <row r="117" spans="1:14" x14ac:dyDescent="0.3">
      <c r="A117" s="22" t="s">
        <v>538</v>
      </c>
      <c r="B117" t="str">
        <f t="shared" si="5"/>
        <v>Tanvi Tiwari</v>
      </c>
      <c r="C117" t="str">
        <f t="shared" si="6"/>
        <v>Legal &amp; Compliance</v>
      </c>
      <c r="D117" s="30" t="str">
        <f t="shared" si="7"/>
        <v>L3</v>
      </c>
      <c r="E117" s="30" t="str">
        <f t="shared" si="8"/>
        <v>Active</v>
      </c>
      <c r="F117" t="s">
        <v>1731</v>
      </c>
      <c r="G117" s="22">
        <v>6</v>
      </c>
      <c r="H117" s="22">
        <v>24</v>
      </c>
      <c r="I117" s="34">
        <v>14400</v>
      </c>
      <c r="J117" s="22">
        <v>68</v>
      </c>
      <c r="K117" s="22" t="s">
        <v>1700</v>
      </c>
      <c r="L117" s="22" t="s">
        <v>1700</v>
      </c>
      <c r="M117" s="22" t="str">
        <f t="shared" si="9"/>
        <v>Compliant</v>
      </c>
      <c r="N117" s="22" t="s">
        <v>1701</v>
      </c>
    </row>
    <row r="118" spans="1:14" x14ac:dyDescent="0.3">
      <c r="A118" s="22" t="s">
        <v>542</v>
      </c>
      <c r="B118" t="str">
        <f t="shared" si="5"/>
        <v>Sneha Saxena</v>
      </c>
      <c r="C118" t="str">
        <f t="shared" si="6"/>
        <v>Product</v>
      </c>
      <c r="D118" s="30" t="str">
        <f t="shared" si="7"/>
        <v>L2</v>
      </c>
      <c r="E118" s="30" t="str">
        <f t="shared" si="8"/>
        <v>Active</v>
      </c>
      <c r="F118" t="s">
        <v>1723</v>
      </c>
      <c r="G118" s="22">
        <v>6</v>
      </c>
      <c r="H118" s="22">
        <v>42</v>
      </c>
      <c r="I118" s="34">
        <v>42000</v>
      </c>
      <c r="J118" s="22">
        <v>72</v>
      </c>
      <c r="K118" s="22" t="s">
        <v>1700</v>
      </c>
      <c r="L118" s="22" t="s">
        <v>1700</v>
      </c>
      <c r="M118" s="22" t="str">
        <f t="shared" si="9"/>
        <v>Compliant</v>
      </c>
      <c r="N118" s="22" t="s">
        <v>1701</v>
      </c>
    </row>
    <row r="119" spans="1:14" x14ac:dyDescent="0.3">
      <c r="A119" s="22" t="s">
        <v>154</v>
      </c>
      <c r="B119" t="str">
        <f t="shared" si="5"/>
        <v>Amit Kumar</v>
      </c>
      <c r="C119" t="str">
        <f t="shared" si="6"/>
        <v>Operations</v>
      </c>
      <c r="D119" s="30" t="str">
        <f t="shared" si="7"/>
        <v>L5</v>
      </c>
      <c r="E119" s="30" t="str">
        <f t="shared" si="8"/>
        <v>Exited</v>
      </c>
      <c r="F119" t="s">
        <v>1729</v>
      </c>
      <c r="G119" s="22">
        <v>5</v>
      </c>
      <c r="H119" s="22">
        <v>30</v>
      </c>
      <c r="I119" s="34">
        <v>24000</v>
      </c>
      <c r="J119" s="22">
        <v>86</v>
      </c>
      <c r="K119" s="22" t="s">
        <v>1700</v>
      </c>
      <c r="L119" s="22" t="s">
        <v>1700</v>
      </c>
      <c r="M119" s="22" t="str">
        <f t="shared" si="9"/>
        <v>Compliant</v>
      </c>
      <c r="N119" s="22" t="s">
        <v>1701</v>
      </c>
    </row>
    <row r="120" spans="1:14" x14ac:dyDescent="0.3">
      <c r="A120" s="22" t="s">
        <v>547</v>
      </c>
      <c r="B120" t="str">
        <f t="shared" si="5"/>
        <v>Pranav Banerjee</v>
      </c>
      <c r="C120" t="str">
        <f t="shared" si="6"/>
        <v>Operations</v>
      </c>
      <c r="D120" s="30" t="str">
        <f t="shared" si="7"/>
        <v>L2</v>
      </c>
      <c r="E120" s="30" t="str">
        <f t="shared" si="8"/>
        <v>Active</v>
      </c>
      <c r="F120" t="s">
        <v>1725</v>
      </c>
      <c r="G120" s="22">
        <v>5</v>
      </c>
      <c r="H120" s="22">
        <v>30</v>
      </c>
      <c r="I120" s="34">
        <v>30000</v>
      </c>
      <c r="J120" s="22">
        <v>84</v>
      </c>
      <c r="K120" s="22" t="s">
        <v>1700</v>
      </c>
      <c r="L120" s="22" t="s">
        <v>1700</v>
      </c>
      <c r="M120" s="22" t="str">
        <f t="shared" si="9"/>
        <v>Compliant</v>
      </c>
      <c r="N120" s="22" t="s">
        <v>1701</v>
      </c>
    </row>
    <row r="121" spans="1:14" x14ac:dyDescent="0.3">
      <c r="A121" s="22" t="s">
        <v>551</v>
      </c>
      <c r="B121" t="str">
        <f t="shared" si="5"/>
        <v>Ayesha Reddy</v>
      </c>
      <c r="C121" t="str">
        <f t="shared" si="6"/>
        <v>Data &amp; Analytics</v>
      </c>
      <c r="D121" s="30" t="str">
        <f t="shared" si="7"/>
        <v>L3</v>
      </c>
      <c r="E121" s="30" t="str">
        <f t="shared" si="8"/>
        <v>Exited</v>
      </c>
      <c r="F121" t="s">
        <v>1722</v>
      </c>
      <c r="G121" s="22">
        <v>6</v>
      </c>
      <c r="H121" s="22">
        <v>48</v>
      </c>
      <c r="I121" s="34">
        <v>28800</v>
      </c>
      <c r="J121" s="22">
        <v>71</v>
      </c>
      <c r="K121" s="22" t="s">
        <v>1701</v>
      </c>
      <c r="L121" s="22" t="s">
        <v>1700</v>
      </c>
      <c r="M121" s="22" t="str">
        <f t="shared" si="9"/>
        <v>Pending</v>
      </c>
      <c r="N121" s="22" t="s">
        <v>1700</v>
      </c>
    </row>
    <row r="122" spans="1:14" x14ac:dyDescent="0.3">
      <c r="A122" s="22" t="s">
        <v>554</v>
      </c>
      <c r="B122" t="str">
        <f t="shared" si="5"/>
        <v>Srinivas Kulkarni</v>
      </c>
      <c r="C122" t="str">
        <f t="shared" si="6"/>
        <v>Finance</v>
      </c>
      <c r="D122" s="30" t="str">
        <f t="shared" si="7"/>
        <v>L4</v>
      </c>
      <c r="E122" s="30" t="str">
        <f t="shared" si="8"/>
        <v>Active</v>
      </c>
      <c r="F122" t="s">
        <v>1727</v>
      </c>
      <c r="G122" s="22">
        <v>5</v>
      </c>
      <c r="H122" s="22">
        <v>25</v>
      </c>
      <c r="I122" s="34">
        <v>20000</v>
      </c>
      <c r="J122" s="22">
        <v>93</v>
      </c>
      <c r="K122" s="22" t="s">
        <v>1700</v>
      </c>
      <c r="L122" s="22" t="s">
        <v>1700</v>
      </c>
      <c r="M122" s="22" t="str">
        <f t="shared" si="9"/>
        <v>Compliant</v>
      </c>
      <c r="N122" s="22" t="s">
        <v>1701</v>
      </c>
    </row>
    <row r="123" spans="1:14" x14ac:dyDescent="0.3">
      <c r="A123" s="22" t="s">
        <v>557</v>
      </c>
      <c r="B123" t="str">
        <f t="shared" si="5"/>
        <v>Divya Kulkarni</v>
      </c>
      <c r="C123" t="str">
        <f t="shared" si="6"/>
        <v>Customer Support</v>
      </c>
      <c r="D123" s="30" t="str">
        <f t="shared" si="7"/>
        <v>L2</v>
      </c>
      <c r="E123" s="30" t="str">
        <f t="shared" si="8"/>
        <v>Exited</v>
      </c>
      <c r="F123" t="s">
        <v>1729</v>
      </c>
      <c r="G123" s="22">
        <v>4</v>
      </c>
      <c r="H123" s="22">
        <v>16</v>
      </c>
      <c r="I123" s="34">
        <v>16000</v>
      </c>
      <c r="J123" s="22">
        <v>88</v>
      </c>
      <c r="K123" s="22" t="s">
        <v>1700</v>
      </c>
      <c r="L123" s="22" t="s">
        <v>1700</v>
      </c>
      <c r="M123" s="22" t="str">
        <f t="shared" si="9"/>
        <v>Compliant</v>
      </c>
      <c r="N123" s="22" t="s">
        <v>1700</v>
      </c>
    </row>
    <row r="124" spans="1:14" x14ac:dyDescent="0.3">
      <c r="A124" s="22" t="s">
        <v>561</v>
      </c>
      <c r="B124" t="str">
        <f t="shared" si="5"/>
        <v>Arjun Bansal</v>
      </c>
      <c r="C124" t="str">
        <f t="shared" si="6"/>
        <v>Operations</v>
      </c>
      <c r="D124" s="30" t="str">
        <f t="shared" si="7"/>
        <v>L2</v>
      </c>
      <c r="E124" s="30" t="str">
        <f t="shared" si="8"/>
        <v>Active</v>
      </c>
      <c r="F124" t="s">
        <v>1723</v>
      </c>
      <c r="G124" s="22">
        <v>8</v>
      </c>
      <c r="H124" s="22">
        <v>24</v>
      </c>
      <c r="I124" s="34">
        <v>24000</v>
      </c>
      <c r="J124" s="22">
        <v>96</v>
      </c>
      <c r="K124" s="22" t="s">
        <v>1700</v>
      </c>
      <c r="L124" s="22" t="s">
        <v>1701</v>
      </c>
      <c r="M124" s="22" t="str">
        <f t="shared" si="9"/>
        <v>Pending</v>
      </c>
      <c r="N124" s="22" t="s">
        <v>1701</v>
      </c>
    </row>
    <row r="125" spans="1:14" x14ac:dyDescent="0.3">
      <c r="A125" s="22" t="s">
        <v>392</v>
      </c>
      <c r="B125" t="str">
        <f t="shared" si="5"/>
        <v>Vikram Joshi</v>
      </c>
      <c r="C125" t="str">
        <f t="shared" si="6"/>
        <v>Customer Support</v>
      </c>
      <c r="D125" s="30" t="str">
        <f t="shared" si="7"/>
        <v>L7</v>
      </c>
      <c r="E125" s="30" t="str">
        <f t="shared" si="8"/>
        <v>Active</v>
      </c>
      <c r="F125" t="s">
        <v>1730</v>
      </c>
      <c r="G125" s="22">
        <v>7</v>
      </c>
      <c r="H125" s="22">
        <v>21</v>
      </c>
      <c r="I125" s="34">
        <v>9450</v>
      </c>
      <c r="J125" s="22">
        <v>76</v>
      </c>
      <c r="K125" s="22" t="s">
        <v>1700</v>
      </c>
      <c r="L125" s="22" t="s">
        <v>1700</v>
      </c>
      <c r="M125" s="22" t="str">
        <f t="shared" si="9"/>
        <v>Compliant</v>
      </c>
      <c r="N125" s="22" t="s">
        <v>1701</v>
      </c>
    </row>
    <row r="126" spans="1:14" x14ac:dyDescent="0.3">
      <c r="A126" s="22" t="s">
        <v>566</v>
      </c>
      <c r="B126" t="str">
        <f t="shared" si="5"/>
        <v>Rohan Pandey</v>
      </c>
      <c r="C126" t="str">
        <f t="shared" si="6"/>
        <v>Engineering</v>
      </c>
      <c r="D126" s="30" t="str">
        <f t="shared" si="7"/>
        <v>L2</v>
      </c>
      <c r="E126" s="30" t="str">
        <f t="shared" si="8"/>
        <v>Active</v>
      </c>
      <c r="F126" t="s">
        <v>1724</v>
      </c>
      <c r="G126" s="22">
        <v>2</v>
      </c>
      <c r="H126" s="22">
        <v>12</v>
      </c>
      <c r="I126" s="34">
        <v>7200</v>
      </c>
      <c r="J126" s="22">
        <v>67</v>
      </c>
      <c r="K126" s="22" t="s">
        <v>1700</v>
      </c>
      <c r="L126" s="22" t="s">
        <v>1700</v>
      </c>
      <c r="M126" s="22" t="str">
        <f t="shared" si="9"/>
        <v>Compliant</v>
      </c>
      <c r="N126" s="22" t="s">
        <v>1701</v>
      </c>
    </row>
    <row r="127" spans="1:14" x14ac:dyDescent="0.3">
      <c r="A127" s="22" t="s">
        <v>570</v>
      </c>
      <c r="B127" t="str">
        <f t="shared" si="5"/>
        <v>Imran Krishnan</v>
      </c>
      <c r="C127" t="str">
        <f t="shared" si="6"/>
        <v>Operations</v>
      </c>
      <c r="D127" s="30" t="str">
        <f t="shared" si="7"/>
        <v>L2</v>
      </c>
      <c r="E127" s="30" t="str">
        <f t="shared" si="8"/>
        <v>Active</v>
      </c>
      <c r="F127" t="s">
        <v>1729</v>
      </c>
      <c r="G127" s="22">
        <v>3</v>
      </c>
      <c r="H127" s="22">
        <v>21</v>
      </c>
      <c r="I127" s="34">
        <v>16800</v>
      </c>
      <c r="J127" s="22">
        <v>94</v>
      </c>
      <c r="K127" s="22" t="s">
        <v>1700</v>
      </c>
      <c r="L127" s="22" t="s">
        <v>1700</v>
      </c>
      <c r="M127" s="22" t="str">
        <f t="shared" si="9"/>
        <v>Compliant</v>
      </c>
      <c r="N127" s="22" t="s">
        <v>1701</v>
      </c>
    </row>
    <row r="128" spans="1:14" x14ac:dyDescent="0.3">
      <c r="A128" s="22" t="s">
        <v>573</v>
      </c>
      <c r="B128" t="str">
        <f t="shared" si="5"/>
        <v>Ayesha Raghavan</v>
      </c>
      <c r="C128" t="str">
        <f t="shared" si="6"/>
        <v>Sales</v>
      </c>
      <c r="D128" s="30" t="str">
        <f t="shared" si="7"/>
        <v>L2</v>
      </c>
      <c r="E128" s="30" t="str">
        <f t="shared" si="8"/>
        <v>Active</v>
      </c>
      <c r="F128" t="s">
        <v>1728</v>
      </c>
      <c r="G128" s="22">
        <v>9</v>
      </c>
      <c r="H128" s="22">
        <v>72</v>
      </c>
      <c r="I128" s="34">
        <v>57600</v>
      </c>
      <c r="J128" s="22">
        <v>62</v>
      </c>
      <c r="K128" s="22" t="s">
        <v>1700</v>
      </c>
      <c r="L128" s="22" t="s">
        <v>1700</v>
      </c>
      <c r="M128" s="22" t="str">
        <f t="shared" si="9"/>
        <v>Compliant</v>
      </c>
      <c r="N128" s="22" t="s">
        <v>1701</v>
      </c>
    </row>
    <row r="129" spans="1:14" x14ac:dyDescent="0.3">
      <c r="A129" s="22" t="s">
        <v>577</v>
      </c>
      <c r="B129" t="str">
        <f t="shared" si="5"/>
        <v>Abhishek Das</v>
      </c>
      <c r="C129" t="str">
        <f t="shared" si="6"/>
        <v>Operations</v>
      </c>
      <c r="D129" s="30" t="str">
        <f t="shared" si="7"/>
        <v>L2</v>
      </c>
      <c r="E129" s="30" t="str">
        <f t="shared" si="8"/>
        <v>Active</v>
      </c>
      <c r="F129" t="s">
        <v>1722</v>
      </c>
      <c r="G129" s="22">
        <v>6</v>
      </c>
      <c r="H129" s="22">
        <v>30</v>
      </c>
      <c r="I129" s="34">
        <v>30000</v>
      </c>
      <c r="J129" s="22">
        <v>87</v>
      </c>
      <c r="K129" s="22" t="s">
        <v>1700</v>
      </c>
      <c r="L129" s="22" t="s">
        <v>1700</v>
      </c>
      <c r="M129" s="22" t="str">
        <f t="shared" si="9"/>
        <v>Compliant</v>
      </c>
      <c r="N129" s="22" t="s">
        <v>1700</v>
      </c>
    </row>
    <row r="130" spans="1:14" x14ac:dyDescent="0.3">
      <c r="A130" s="22" t="s">
        <v>401</v>
      </c>
      <c r="B130" t="str">
        <f t="shared" ref="B130:B193" si="10">INDEX(M_Name,MATCH($A130,M_ID,0))</f>
        <v>Madhuri Menon</v>
      </c>
      <c r="C130" t="str">
        <f t="shared" ref="C130:C193" si="11">INDEX(M_Dept,MATCH($A130,M_ID,0))</f>
        <v>Engineering</v>
      </c>
      <c r="D130" s="30" t="str">
        <f t="shared" ref="D130:D193" si="12">INDEX(M_Level,MATCH($A130,M_ID,0))</f>
        <v>L5</v>
      </c>
      <c r="E130" s="30" t="str">
        <f t="shared" ref="E130:E193" si="13">INDEX(M_Status,MATCH($A130,M_ID,0))</f>
        <v>Active</v>
      </c>
      <c r="F130" t="s">
        <v>1725</v>
      </c>
      <c r="G130" s="22">
        <v>6</v>
      </c>
      <c r="H130" s="22">
        <v>30</v>
      </c>
      <c r="I130" s="34">
        <v>18000</v>
      </c>
      <c r="J130" s="22">
        <v>66</v>
      </c>
      <c r="K130" s="22" t="s">
        <v>1700</v>
      </c>
      <c r="L130" s="22" t="s">
        <v>1700</v>
      </c>
      <c r="M130" s="22" t="str">
        <f t="shared" ref="M130:M193" si="14">IF(AND(K130="Yes",L130="Yes"),"Compliant","Pending")</f>
        <v>Compliant</v>
      </c>
      <c r="N130" s="22" t="s">
        <v>1700</v>
      </c>
    </row>
    <row r="131" spans="1:14" x14ac:dyDescent="0.3">
      <c r="A131" s="22" t="s">
        <v>237</v>
      </c>
      <c r="B131" t="str">
        <f t="shared" si="10"/>
        <v>Yash Raghavan</v>
      </c>
      <c r="C131" t="str">
        <f t="shared" si="11"/>
        <v>Sales</v>
      </c>
      <c r="D131" s="30" t="str">
        <f t="shared" si="12"/>
        <v>L5</v>
      </c>
      <c r="E131" s="30" t="str">
        <f t="shared" si="13"/>
        <v>Active</v>
      </c>
      <c r="F131" t="s">
        <v>1727</v>
      </c>
      <c r="G131" s="22">
        <v>2</v>
      </c>
      <c r="H131" s="22">
        <v>16</v>
      </c>
      <c r="I131" s="34">
        <v>16000</v>
      </c>
      <c r="J131" s="22">
        <v>61</v>
      </c>
      <c r="K131" s="22" t="s">
        <v>1700</v>
      </c>
      <c r="L131" s="22" t="s">
        <v>1700</v>
      </c>
      <c r="M131" s="22" t="str">
        <f t="shared" si="14"/>
        <v>Compliant</v>
      </c>
      <c r="N131" s="22" t="s">
        <v>1701</v>
      </c>
    </row>
    <row r="132" spans="1:14" x14ac:dyDescent="0.3">
      <c r="A132" s="22" t="s">
        <v>582</v>
      </c>
      <c r="B132" t="str">
        <f t="shared" si="10"/>
        <v>Vidya Saxena</v>
      </c>
      <c r="C132" t="str">
        <f t="shared" si="11"/>
        <v>Engineering</v>
      </c>
      <c r="D132" s="30" t="str">
        <f t="shared" si="12"/>
        <v>L2</v>
      </c>
      <c r="E132" s="30" t="str">
        <f t="shared" si="13"/>
        <v>Active</v>
      </c>
      <c r="F132" t="s">
        <v>1729</v>
      </c>
      <c r="G132" s="22">
        <v>9</v>
      </c>
      <c r="H132" s="22">
        <v>45</v>
      </c>
      <c r="I132" s="34">
        <v>20250</v>
      </c>
      <c r="J132" s="22">
        <v>92</v>
      </c>
      <c r="K132" s="22" t="s">
        <v>1700</v>
      </c>
      <c r="L132" s="22" t="s">
        <v>1701</v>
      </c>
      <c r="M132" s="22" t="str">
        <f t="shared" si="14"/>
        <v>Pending</v>
      </c>
      <c r="N132" s="22" t="s">
        <v>1701</v>
      </c>
    </row>
    <row r="133" spans="1:14" x14ac:dyDescent="0.3">
      <c r="A133" s="22" t="s">
        <v>585</v>
      </c>
      <c r="B133" t="str">
        <f t="shared" si="10"/>
        <v>Ramya Mukherjee</v>
      </c>
      <c r="C133" t="str">
        <f t="shared" si="11"/>
        <v>Engineering</v>
      </c>
      <c r="D133" s="30" t="str">
        <f t="shared" si="12"/>
        <v>L3</v>
      </c>
      <c r="E133" s="30" t="str">
        <f t="shared" si="13"/>
        <v>Active</v>
      </c>
      <c r="F133" t="s">
        <v>1727</v>
      </c>
      <c r="G133" s="22">
        <v>8</v>
      </c>
      <c r="H133" s="22">
        <v>40</v>
      </c>
      <c r="I133" s="34">
        <v>32000</v>
      </c>
      <c r="J133" s="22">
        <v>65</v>
      </c>
      <c r="K133" s="22" t="s">
        <v>1700</v>
      </c>
      <c r="L133" s="22" t="s">
        <v>1700</v>
      </c>
      <c r="M133" s="22" t="str">
        <f t="shared" si="14"/>
        <v>Compliant</v>
      </c>
      <c r="N133" s="22" t="s">
        <v>1701</v>
      </c>
    </row>
    <row r="134" spans="1:14" x14ac:dyDescent="0.3">
      <c r="A134" s="22" t="s">
        <v>588</v>
      </c>
      <c r="B134" t="str">
        <f t="shared" si="10"/>
        <v>Meera Naidu</v>
      </c>
      <c r="C134" t="str">
        <f t="shared" si="11"/>
        <v>Customer Support</v>
      </c>
      <c r="D134" s="30" t="str">
        <f t="shared" si="12"/>
        <v>L2</v>
      </c>
      <c r="E134" s="30" t="str">
        <f t="shared" si="13"/>
        <v>Active</v>
      </c>
      <c r="F134" t="s">
        <v>1722</v>
      </c>
      <c r="G134" s="22">
        <v>9</v>
      </c>
      <c r="H134" s="22">
        <v>36</v>
      </c>
      <c r="I134" s="34">
        <v>16200</v>
      </c>
      <c r="J134" s="22">
        <v>62</v>
      </c>
      <c r="K134" s="22" t="s">
        <v>1700</v>
      </c>
      <c r="L134" s="22" t="s">
        <v>1700</v>
      </c>
      <c r="M134" s="22" t="str">
        <f t="shared" si="14"/>
        <v>Compliant</v>
      </c>
      <c r="N134" s="22" t="s">
        <v>1701</v>
      </c>
    </row>
    <row r="135" spans="1:14" x14ac:dyDescent="0.3">
      <c r="A135" s="22" t="s">
        <v>591</v>
      </c>
      <c r="B135" t="str">
        <f t="shared" si="10"/>
        <v>Krishna Shah</v>
      </c>
      <c r="C135" t="str">
        <f t="shared" si="11"/>
        <v>Human Resources</v>
      </c>
      <c r="D135" s="30" t="str">
        <f t="shared" si="12"/>
        <v>L3</v>
      </c>
      <c r="E135" s="30" t="str">
        <f t="shared" si="13"/>
        <v>Active</v>
      </c>
      <c r="F135" t="s">
        <v>1729</v>
      </c>
      <c r="G135" s="22">
        <v>7</v>
      </c>
      <c r="H135" s="22">
        <v>35</v>
      </c>
      <c r="I135" s="34">
        <v>35000</v>
      </c>
      <c r="J135" s="22">
        <v>62</v>
      </c>
      <c r="K135" s="22" t="s">
        <v>1700</v>
      </c>
      <c r="L135" s="22" t="s">
        <v>1700</v>
      </c>
      <c r="M135" s="22" t="str">
        <f t="shared" si="14"/>
        <v>Compliant</v>
      </c>
      <c r="N135" s="22" t="s">
        <v>1701</v>
      </c>
    </row>
    <row r="136" spans="1:14" x14ac:dyDescent="0.3">
      <c r="A136" s="22" t="s">
        <v>594</v>
      </c>
      <c r="B136" t="str">
        <f t="shared" si="10"/>
        <v>Neha Kamath</v>
      </c>
      <c r="C136" t="str">
        <f t="shared" si="11"/>
        <v>Operations</v>
      </c>
      <c r="D136" s="30" t="str">
        <f t="shared" si="12"/>
        <v>L2</v>
      </c>
      <c r="E136" s="30" t="str">
        <f t="shared" si="13"/>
        <v>Active</v>
      </c>
      <c r="F136" t="s">
        <v>1724</v>
      </c>
      <c r="G136" s="22">
        <v>3</v>
      </c>
      <c r="H136" s="22">
        <v>24</v>
      </c>
      <c r="I136" s="34">
        <v>19200</v>
      </c>
      <c r="J136" s="22">
        <v>59</v>
      </c>
      <c r="K136" s="22" t="s">
        <v>1700</v>
      </c>
      <c r="L136" s="22" t="s">
        <v>1700</v>
      </c>
      <c r="M136" s="22" t="str">
        <f t="shared" si="14"/>
        <v>Compliant</v>
      </c>
      <c r="N136" s="22" t="s">
        <v>1701</v>
      </c>
    </row>
    <row r="137" spans="1:14" x14ac:dyDescent="0.3">
      <c r="A137" s="22" t="s">
        <v>597</v>
      </c>
      <c r="B137" t="str">
        <f t="shared" si="10"/>
        <v>Lakshmi Iyer</v>
      </c>
      <c r="C137" t="str">
        <f t="shared" si="11"/>
        <v>Operations</v>
      </c>
      <c r="D137" s="30" t="str">
        <f t="shared" si="12"/>
        <v>L3</v>
      </c>
      <c r="E137" s="30" t="str">
        <f t="shared" si="13"/>
        <v>Active</v>
      </c>
      <c r="F137" t="s">
        <v>1722</v>
      </c>
      <c r="G137" s="22">
        <v>7</v>
      </c>
      <c r="H137" s="22">
        <v>49</v>
      </c>
      <c r="I137" s="34">
        <v>39200</v>
      </c>
      <c r="J137" s="22">
        <v>78</v>
      </c>
      <c r="K137" s="22" t="s">
        <v>1700</v>
      </c>
      <c r="L137" s="22" t="s">
        <v>1700</v>
      </c>
      <c r="M137" s="22" t="str">
        <f t="shared" si="14"/>
        <v>Compliant</v>
      </c>
      <c r="N137" s="22" t="s">
        <v>1700</v>
      </c>
    </row>
    <row r="138" spans="1:14" x14ac:dyDescent="0.3">
      <c r="A138" s="22" t="s">
        <v>600</v>
      </c>
      <c r="B138" t="str">
        <f t="shared" si="10"/>
        <v>Aarav Choudhary</v>
      </c>
      <c r="C138" t="str">
        <f t="shared" si="11"/>
        <v>Data &amp; Analytics</v>
      </c>
      <c r="D138" s="30" t="str">
        <f t="shared" si="12"/>
        <v>L3</v>
      </c>
      <c r="E138" s="30" t="str">
        <f t="shared" si="13"/>
        <v>Exited</v>
      </c>
      <c r="F138" t="s">
        <v>1727</v>
      </c>
      <c r="G138" s="22">
        <v>7</v>
      </c>
      <c r="H138" s="22">
        <v>28</v>
      </c>
      <c r="I138" s="34">
        <v>22400</v>
      </c>
      <c r="J138" s="22">
        <v>87</v>
      </c>
      <c r="K138" s="22" t="s">
        <v>1700</v>
      </c>
      <c r="L138" s="22" t="s">
        <v>1700</v>
      </c>
      <c r="M138" s="22" t="str">
        <f t="shared" si="14"/>
        <v>Compliant</v>
      </c>
      <c r="N138" s="22" t="s">
        <v>1701</v>
      </c>
    </row>
    <row r="139" spans="1:14" x14ac:dyDescent="0.3">
      <c r="A139" s="22" t="s">
        <v>603</v>
      </c>
      <c r="B139" t="str">
        <f t="shared" si="10"/>
        <v>Ananya Banerjee</v>
      </c>
      <c r="C139" t="str">
        <f t="shared" si="11"/>
        <v>Engineering</v>
      </c>
      <c r="D139" s="30" t="str">
        <f t="shared" si="12"/>
        <v>L3</v>
      </c>
      <c r="E139" s="30" t="str">
        <f t="shared" si="13"/>
        <v>Exited</v>
      </c>
      <c r="F139" t="s">
        <v>1722</v>
      </c>
      <c r="G139" s="22">
        <v>4</v>
      </c>
      <c r="H139" s="22">
        <v>28</v>
      </c>
      <c r="I139" s="34">
        <v>22400</v>
      </c>
      <c r="J139" s="22">
        <v>67</v>
      </c>
      <c r="K139" s="22" t="s">
        <v>1700</v>
      </c>
      <c r="L139" s="22" t="s">
        <v>1700</v>
      </c>
      <c r="M139" s="22" t="str">
        <f t="shared" si="14"/>
        <v>Compliant</v>
      </c>
      <c r="N139" s="22" t="s">
        <v>1701</v>
      </c>
    </row>
    <row r="140" spans="1:14" x14ac:dyDescent="0.3">
      <c r="A140" s="22" t="s">
        <v>606</v>
      </c>
      <c r="B140" t="str">
        <f t="shared" si="10"/>
        <v>Prakash Kamath</v>
      </c>
      <c r="C140" t="str">
        <f t="shared" si="11"/>
        <v>Operations</v>
      </c>
      <c r="D140" s="30" t="str">
        <f t="shared" si="12"/>
        <v>L4</v>
      </c>
      <c r="E140" s="30" t="str">
        <f t="shared" si="13"/>
        <v>Active</v>
      </c>
      <c r="F140" t="s">
        <v>1725</v>
      </c>
      <c r="G140" s="22">
        <v>4</v>
      </c>
      <c r="H140" s="22">
        <v>20</v>
      </c>
      <c r="I140" s="34">
        <v>12000</v>
      </c>
      <c r="J140" s="22">
        <v>66</v>
      </c>
      <c r="K140" s="22" t="s">
        <v>1700</v>
      </c>
      <c r="L140" s="22" t="s">
        <v>1700</v>
      </c>
      <c r="M140" s="22" t="str">
        <f t="shared" si="14"/>
        <v>Compliant</v>
      </c>
      <c r="N140" s="22" t="s">
        <v>1701</v>
      </c>
    </row>
    <row r="141" spans="1:14" x14ac:dyDescent="0.3">
      <c r="A141" s="22" t="s">
        <v>609</v>
      </c>
      <c r="B141" t="str">
        <f t="shared" si="10"/>
        <v>Anusha Jain</v>
      </c>
      <c r="C141" t="str">
        <f t="shared" si="11"/>
        <v>Engineering</v>
      </c>
      <c r="D141" s="30" t="str">
        <f t="shared" si="12"/>
        <v>L3</v>
      </c>
      <c r="E141" s="30" t="str">
        <f t="shared" si="13"/>
        <v>Active</v>
      </c>
      <c r="F141" t="s">
        <v>1722</v>
      </c>
      <c r="G141" s="22">
        <v>9</v>
      </c>
      <c r="H141" s="22">
        <v>45</v>
      </c>
      <c r="I141" s="34">
        <v>20250</v>
      </c>
      <c r="J141" s="22">
        <v>70</v>
      </c>
      <c r="K141" s="22" t="s">
        <v>1700</v>
      </c>
      <c r="L141" s="22" t="s">
        <v>1700</v>
      </c>
      <c r="M141" s="22" t="str">
        <f t="shared" si="14"/>
        <v>Compliant</v>
      </c>
      <c r="N141" s="22" t="s">
        <v>1700</v>
      </c>
    </row>
    <row r="142" spans="1:14" x14ac:dyDescent="0.3">
      <c r="A142" s="22" t="s">
        <v>612</v>
      </c>
      <c r="B142" t="str">
        <f t="shared" si="10"/>
        <v>Abhishek Banerjee</v>
      </c>
      <c r="C142" t="str">
        <f t="shared" si="11"/>
        <v>Operations</v>
      </c>
      <c r="D142" s="30" t="str">
        <f t="shared" si="12"/>
        <v>L2</v>
      </c>
      <c r="E142" s="30" t="str">
        <f t="shared" si="13"/>
        <v>Active</v>
      </c>
      <c r="F142" t="s">
        <v>1729</v>
      </c>
      <c r="G142" s="22">
        <v>5</v>
      </c>
      <c r="H142" s="22">
        <v>20</v>
      </c>
      <c r="I142" s="34">
        <v>20000</v>
      </c>
      <c r="J142" s="22">
        <v>59</v>
      </c>
      <c r="K142" s="22" t="s">
        <v>1701</v>
      </c>
      <c r="L142" s="22" t="s">
        <v>1700</v>
      </c>
      <c r="M142" s="22" t="str">
        <f t="shared" si="14"/>
        <v>Pending</v>
      </c>
      <c r="N142" s="22" t="s">
        <v>1701</v>
      </c>
    </row>
    <row r="143" spans="1:14" x14ac:dyDescent="0.3">
      <c r="A143" s="22" t="s">
        <v>615</v>
      </c>
      <c r="B143" t="str">
        <f t="shared" si="10"/>
        <v>Nisha Naidu</v>
      </c>
      <c r="C143" t="str">
        <f t="shared" si="11"/>
        <v>Sales</v>
      </c>
      <c r="D143" s="30" t="str">
        <f t="shared" si="12"/>
        <v>L2</v>
      </c>
      <c r="E143" s="30" t="str">
        <f t="shared" si="13"/>
        <v>Active</v>
      </c>
      <c r="F143" t="s">
        <v>1722</v>
      </c>
      <c r="G143" s="22">
        <v>3</v>
      </c>
      <c r="H143" s="22">
        <v>18</v>
      </c>
      <c r="I143" s="34">
        <v>8100</v>
      </c>
      <c r="J143" s="22">
        <v>82</v>
      </c>
      <c r="K143" s="22" t="s">
        <v>1700</v>
      </c>
      <c r="L143" s="22" t="s">
        <v>1700</v>
      </c>
      <c r="M143" s="22" t="str">
        <f t="shared" si="14"/>
        <v>Compliant</v>
      </c>
      <c r="N143" s="22" t="s">
        <v>1701</v>
      </c>
    </row>
    <row r="144" spans="1:14" x14ac:dyDescent="0.3">
      <c r="A144" s="22" t="s">
        <v>618</v>
      </c>
      <c r="B144" t="str">
        <f t="shared" si="10"/>
        <v>Tejaswini Naidu</v>
      </c>
      <c r="C144" t="str">
        <f t="shared" si="11"/>
        <v>Operations</v>
      </c>
      <c r="D144" s="30" t="str">
        <f t="shared" si="12"/>
        <v>L7</v>
      </c>
      <c r="E144" s="30" t="str">
        <f t="shared" si="13"/>
        <v>Active</v>
      </c>
      <c r="F144" t="s">
        <v>1726</v>
      </c>
      <c r="G144" s="22">
        <v>1</v>
      </c>
      <c r="H144" s="22">
        <v>6</v>
      </c>
      <c r="I144" s="34">
        <v>6000</v>
      </c>
      <c r="J144" s="22">
        <v>63</v>
      </c>
      <c r="K144" s="22" t="s">
        <v>1700</v>
      </c>
      <c r="L144" s="22" t="s">
        <v>1700</v>
      </c>
      <c r="M144" s="22" t="str">
        <f t="shared" si="14"/>
        <v>Compliant</v>
      </c>
      <c r="N144" s="22" t="s">
        <v>1701</v>
      </c>
    </row>
    <row r="145" spans="1:14" x14ac:dyDescent="0.3">
      <c r="A145" s="22" t="s">
        <v>622</v>
      </c>
      <c r="B145" t="str">
        <f t="shared" si="10"/>
        <v>Nandini Bansal</v>
      </c>
      <c r="C145" t="str">
        <f t="shared" si="11"/>
        <v>Marketing</v>
      </c>
      <c r="D145" s="30" t="str">
        <f t="shared" si="12"/>
        <v>L2</v>
      </c>
      <c r="E145" s="30" t="str">
        <f t="shared" si="13"/>
        <v>Active</v>
      </c>
      <c r="F145" t="s">
        <v>1731</v>
      </c>
      <c r="G145" s="22">
        <v>3</v>
      </c>
      <c r="H145" s="22">
        <v>21</v>
      </c>
      <c r="I145" s="34">
        <v>9450</v>
      </c>
      <c r="J145" s="22">
        <v>80</v>
      </c>
      <c r="K145" s="22" t="s">
        <v>1700</v>
      </c>
      <c r="L145" s="22" t="s">
        <v>1700</v>
      </c>
      <c r="M145" s="22" t="str">
        <f t="shared" si="14"/>
        <v>Compliant</v>
      </c>
      <c r="N145" s="22" t="s">
        <v>1701</v>
      </c>
    </row>
    <row r="146" spans="1:14" x14ac:dyDescent="0.3">
      <c r="A146" s="22" t="s">
        <v>626</v>
      </c>
      <c r="B146" t="str">
        <f t="shared" si="10"/>
        <v>Srinivas Bansal</v>
      </c>
      <c r="C146" t="str">
        <f t="shared" si="11"/>
        <v>Sales</v>
      </c>
      <c r="D146" s="30" t="str">
        <f t="shared" si="12"/>
        <v>L2</v>
      </c>
      <c r="E146" s="30" t="str">
        <f t="shared" si="13"/>
        <v>Active</v>
      </c>
      <c r="F146" t="s">
        <v>1730</v>
      </c>
      <c r="G146" s="22">
        <v>6</v>
      </c>
      <c r="H146" s="22">
        <v>36</v>
      </c>
      <c r="I146" s="34">
        <v>21600</v>
      </c>
      <c r="J146" s="22">
        <v>74</v>
      </c>
      <c r="K146" s="22" t="s">
        <v>1700</v>
      </c>
      <c r="L146" s="22" t="s">
        <v>1700</v>
      </c>
      <c r="M146" s="22" t="str">
        <f t="shared" si="14"/>
        <v>Compliant</v>
      </c>
      <c r="N146" s="22" t="s">
        <v>1701</v>
      </c>
    </row>
    <row r="147" spans="1:14" x14ac:dyDescent="0.3">
      <c r="A147" s="22" t="s">
        <v>629</v>
      </c>
      <c r="B147" t="str">
        <f t="shared" si="10"/>
        <v>Tejaswini Dsouza</v>
      </c>
      <c r="C147" t="str">
        <f t="shared" si="11"/>
        <v>Sales</v>
      </c>
      <c r="D147" s="30" t="str">
        <f t="shared" si="12"/>
        <v>L2</v>
      </c>
      <c r="E147" s="30" t="str">
        <f t="shared" si="13"/>
        <v>Exited</v>
      </c>
      <c r="F147" t="s">
        <v>1726</v>
      </c>
      <c r="G147" s="22">
        <v>9</v>
      </c>
      <c r="H147" s="22">
        <v>27</v>
      </c>
      <c r="I147" s="34">
        <v>27000</v>
      </c>
      <c r="J147" s="22">
        <v>80</v>
      </c>
      <c r="K147" s="22" t="s">
        <v>1700</v>
      </c>
      <c r="L147" s="22" t="s">
        <v>1700</v>
      </c>
      <c r="M147" s="22" t="str">
        <f t="shared" si="14"/>
        <v>Compliant</v>
      </c>
      <c r="N147" s="22" t="s">
        <v>1701</v>
      </c>
    </row>
    <row r="148" spans="1:14" x14ac:dyDescent="0.3">
      <c r="A148" s="22" t="s">
        <v>632</v>
      </c>
      <c r="B148" t="str">
        <f t="shared" si="10"/>
        <v>Zara Krishnan</v>
      </c>
      <c r="C148" t="str">
        <f t="shared" si="11"/>
        <v>Legal &amp; Compliance</v>
      </c>
      <c r="D148" s="30" t="str">
        <f t="shared" si="12"/>
        <v>L3</v>
      </c>
      <c r="E148" s="30" t="str">
        <f t="shared" si="13"/>
        <v>Active</v>
      </c>
      <c r="F148" t="s">
        <v>1726</v>
      </c>
      <c r="G148" s="22">
        <v>6</v>
      </c>
      <c r="H148" s="22">
        <v>30</v>
      </c>
      <c r="I148" s="34">
        <v>13500</v>
      </c>
      <c r="J148" s="22">
        <v>82</v>
      </c>
      <c r="K148" s="22" t="s">
        <v>1700</v>
      </c>
      <c r="L148" s="22" t="s">
        <v>1700</v>
      </c>
      <c r="M148" s="22" t="str">
        <f t="shared" si="14"/>
        <v>Compliant</v>
      </c>
      <c r="N148" s="22" t="s">
        <v>1700</v>
      </c>
    </row>
    <row r="149" spans="1:14" x14ac:dyDescent="0.3">
      <c r="A149" s="22" t="s">
        <v>635</v>
      </c>
      <c r="B149" t="str">
        <f t="shared" si="10"/>
        <v>Suresh Bansal</v>
      </c>
      <c r="C149" t="str">
        <f t="shared" si="11"/>
        <v>Product</v>
      </c>
      <c r="D149" s="30" t="str">
        <f t="shared" si="12"/>
        <v>L3</v>
      </c>
      <c r="E149" s="30" t="str">
        <f t="shared" si="13"/>
        <v>Active</v>
      </c>
      <c r="F149" t="s">
        <v>1722</v>
      </c>
      <c r="G149" s="22">
        <v>8</v>
      </c>
      <c r="H149" s="22">
        <v>24</v>
      </c>
      <c r="I149" s="34">
        <v>19200</v>
      </c>
      <c r="J149" s="22">
        <v>69</v>
      </c>
      <c r="K149" s="22" t="s">
        <v>1700</v>
      </c>
      <c r="L149" s="22" t="s">
        <v>1700</v>
      </c>
      <c r="M149" s="22" t="str">
        <f t="shared" si="14"/>
        <v>Compliant</v>
      </c>
      <c r="N149" s="22" t="s">
        <v>1700</v>
      </c>
    </row>
    <row r="150" spans="1:14" x14ac:dyDescent="0.3">
      <c r="A150" s="22" t="s">
        <v>638</v>
      </c>
      <c r="B150" t="str">
        <f t="shared" si="10"/>
        <v>Ashish Sharma</v>
      </c>
      <c r="C150" t="str">
        <f t="shared" si="11"/>
        <v>Sales</v>
      </c>
      <c r="D150" s="30" t="str">
        <f t="shared" si="12"/>
        <v>L3</v>
      </c>
      <c r="E150" s="30" t="str">
        <f t="shared" si="13"/>
        <v>Active</v>
      </c>
      <c r="F150" t="s">
        <v>1731</v>
      </c>
      <c r="G150" s="22">
        <v>1</v>
      </c>
      <c r="H150" s="22">
        <v>4</v>
      </c>
      <c r="I150" s="34">
        <v>2400</v>
      </c>
      <c r="J150" s="22">
        <v>71</v>
      </c>
      <c r="K150" s="22" t="s">
        <v>1700</v>
      </c>
      <c r="L150" s="22" t="s">
        <v>1700</v>
      </c>
      <c r="M150" s="22" t="str">
        <f t="shared" si="14"/>
        <v>Compliant</v>
      </c>
      <c r="N150" s="22" t="s">
        <v>1700</v>
      </c>
    </row>
    <row r="151" spans="1:14" x14ac:dyDescent="0.3">
      <c r="A151" s="22" t="s">
        <v>252</v>
      </c>
      <c r="B151" t="str">
        <f t="shared" si="10"/>
        <v>Vidya Chatterjee</v>
      </c>
      <c r="C151" t="str">
        <f t="shared" si="11"/>
        <v>Customer Support</v>
      </c>
      <c r="D151" s="30" t="str">
        <f t="shared" si="12"/>
        <v>L5</v>
      </c>
      <c r="E151" s="30" t="str">
        <f t="shared" si="13"/>
        <v>Active</v>
      </c>
      <c r="F151" t="s">
        <v>1727</v>
      </c>
      <c r="G151" s="22">
        <v>5</v>
      </c>
      <c r="H151" s="22">
        <v>25</v>
      </c>
      <c r="I151" s="34">
        <v>25000</v>
      </c>
      <c r="J151" s="22">
        <v>67</v>
      </c>
      <c r="K151" s="22" t="s">
        <v>1700</v>
      </c>
      <c r="L151" s="22" t="s">
        <v>1700</v>
      </c>
      <c r="M151" s="22" t="str">
        <f t="shared" si="14"/>
        <v>Compliant</v>
      </c>
      <c r="N151" s="22" t="s">
        <v>1700</v>
      </c>
    </row>
    <row r="152" spans="1:14" x14ac:dyDescent="0.3">
      <c r="A152" s="22" t="s">
        <v>644</v>
      </c>
      <c r="B152" t="str">
        <f t="shared" si="10"/>
        <v>Abhishek Verma</v>
      </c>
      <c r="C152" t="str">
        <f t="shared" si="11"/>
        <v>Engineering</v>
      </c>
      <c r="D152" s="30" t="str">
        <f t="shared" si="12"/>
        <v>L2</v>
      </c>
      <c r="E152" s="30" t="str">
        <f t="shared" si="13"/>
        <v>Active</v>
      </c>
      <c r="F152" t="s">
        <v>1724</v>
      </c>
      <c r="G152" s="22">
        <v>3</v>
      </c>
      <c r="H152" s="22">
        <v>15</v>
      </c>
      <c r="I152" s="34">
        <v>6750</v>
      </c>
      <c r="J152" s="22">
        <v>98</v>
      </c>
      <c r="K152" s="22" t="s">
        <v>1700</v>
      </c>
      <c r="L152" s="22" t="s">
        <v>1700</v>
      </c>
      <c r="M152" s="22" t="str">
        <f t="shared" si="14"/>
        <v>Compliant</v>
      </c>
      <c r="N152" s="22" t="s">
        <v>1700</v>
      </c>
    </row>
    <row r="153" spans="1:14" x14ac:dyDescent="0.3">
      <c r="A153" s="22" t="s">
        <v>647</v>
      </c>
      <c r="B153" t="str">
        <f t="shared" si="10"/>
        <v>Tarun Pillai</v>
      </c>
      <c r="C153" t="str">
        <f t="shared" si="11"/>
        <v>Engineering</v>
      </c>
      <c r="D153" s="30" t="str">
        <f t="shared" si="12"/>
        <v>L3</v>
      </c>
      <c r="E153" s="30" t="str">
        <f t="shared" si="13"/>
        <v>Active</v>
      </c>
      <c r="F153" t="s">
        <v>1730</v>
      </c>
      <c r="G153" s="22">
        <v>6</v>
      </c>
      <c r="H153" s="22">
        <v>30</v>
      </c>
      <c r="I153" s="34">
        <v>24000</v>
      </c>
      <c r="J153" s="22">
        <v>60</v>
      </c>
      <c r="K153" s="22" t="s">
        <v>1700</v>
      </c>
      <c r="L153" s="22" t="s">
        <v>1700</v>
      </c>
      <c r="M153" s="22" t="str">
        <f t="shared" si="14"/>
        <v>Compliant</v>
      </c>
      <c r="N153" s="22" t="s">
        <v>1700</v>
      </c>
    </row>
    <row r="154" spans="1:14" x14ac:dyDescent="0.3">
      <c r="A154" s="22" t="s">
        <v>650</v>
      </c>
      <c r="B154" t="str">
        <f t="shared" si="10"/>
        <v>Zara Bose</v>
      </c>
      <c r="C154" t="str">
        <f t="shared" si="11"/>
        <v>Operations</v>
      </c>
      <c r="D154" s="30" t="str">
        <f t="shared" si="12"/>
        <v>L3</v>
      </c>
      <c r="E154" s="30" t="str">
        <f t="shared" si="13"/>
        <v>Active</v>
      </c>
      <c r="F154" t="s">
        <v>1728</v>
      </c>
      <c r="G154" s="22">
        <v>3</v>
      </c>
      <c r="H154" s="22">
        <v>18</v>
      </c>
      <c r="I154" s="34">
        <v>8100</v>
      </c>
      <c r="J154" s="22">
        <v>68</v>
      </c>
      <c r="K154" s="22" t="s">
        <v>1700</v>
      </c>
      <c r="L154" s="22" t="s">
        <v>1700</v>
      </c>
      <c r="M154" s="22" t="str">
        <f t="shared" si="14"/>
        <v>Compliant</v>
      </c>
      <c r="N154" s="22" t="s">
        <v>1701</v>
      </c>
    </row>
    <row r="155" spans="1:14" x14ac:dyDescent="0.3">
      <c r="A155" s="22" t="s">
        <v>653</v>
      </c>
      <c r="B155" t="str">
        <f t="shared" si="10"/>
        <v>Krishna Chatterjee</v>
      </c>
      <c r="C155" t="str">
        <f t="shared" si="11"/>
        <v>Operations</v>
      </c>
      <c r="D155" s="30" t="str">
        <f t="shared" si="12"/>
        <v>L2</v>
      </c>
      <c r="E155" s="30" t="str">
        <f t="shared" si="13"/>
        <v>Active</v>
      </c>
      <c r="F155" t="s">
        <v>1726</v>
      </c>
      <c r="G155" s="22">
        <v>2</v>
      </c>
      <c r="H155" s="22">
        <v>6</v>
      </c>
      <c r="I155" s="34">
        <v>4800</v>
      </c>
      <c r="J155" s="22">
        <v>88</v>
      </c>
      <c r="K155" s="22" t="s">
        <v>1700</v>
      </c>
      <c r="L155" s="22" t="s">
        <v>1700</v>
      </c>
      <c r="M155" s="22" t="str">
        <f t="shared" si="14"/>
        <v>Compliant</v>
      </c>
      <c r="N155" s="22" t="s">
        <v>1701</v>
      </c>
    </row>
    <row r="156" spans="1:14" x14ac:dyDescent="0.3">
      <c r="A156" s="22" t="s">
        <v>656</v>
      </c>
      <c r="B156" t="str">
        <f t="shared" si="10"/>
        <v>Mary Singh</v>
      </c>
      <c r="C156" t="str">
        <f t="shared" si="11"/>
        <v>Human Resources</v>
      </c>
      <c r="D156" s="30" t="str">
        <f t="shared" si="12"/>
        <v>L2</v>
      </c>
      <c r="E156" s="30" t="str">
        <f t="shared" si="13"/>
        <v>Active</v>
      </c>
      <c r="F156" t="s">
        <v>1723</v>
      </c>
      <c r="G156" s="22">
        <v>8</v>
      </c>
      <c r="H156" s="22">
        <v>48</v>
      </c>
      <c r="I156" s="34">
        <v>48000</v>
      </c>
      <c r="J156" s="22">
        <v>88</v>
      </c>
      <c r="K156" s="22" t="s">
        <v>1700</v>
      </c>
      <c r="L156" s="22" t="s">
        <v>1700</v>
      </c>
      <c r="M156" s="22" t="str">
        <f t="shared" si="14"/>
        <v>Compliant</v>
      </c>
      <c r="N156" s="22" t="s">
        <v>1701</v>
      </c>
    </row>
    <row r="157" spans="1:14" x14ac:dyDescent="0.3">
      <c r="A157" s="22" t="s">
        <v>660</v>
      </c>
      <c r="B157" t="str">
        <f t="shared" si="10"/>
        <v>Lakshmi Pillai</v>
      </c>
      <c r="C157" t="str">
        <f t="shared" si="11"/>
        <v>Finance</v>
      </c>
      <c r="D157" s="30" t="str">
        <f t="shared" si="12"/>
        <v>L3</v>
      </c>
      <c r="E157" s="30" t="str">
        <f t="shared" si="13"/>
        <v>Active</v>
      </c>
      <c r="F157" t="s">
        <v>1726</v>
      </c>
      <c r="G157" s="22">
        <v>8</v>
      </c>
      <c r="H157" s="22">
        <v>40</v>
      </c>
      <c r="I157" s="34">
        <v>24000</v>
      </c>
      <c r="J157" s="22">
        <v>88</v>
      </c>
      <c r="K157" s="22" t="s">
        <v>1700</v>
      </c>
      <c r="L157" s="22" t="s">
        <v>1700</v>
      </c>
      <c r="M157" s="22" t="str">
        <f t="shared" si="14"/>
        <v>Compliant</v>
      </c>
      <c r="N157" s="22" t="s">
        <v>1701</v>
      </c>
    </row>
    <row r="158" spans="1:14" x14ac:dyDescent="0.3">
      <c r="A158" s="22" t="s">
        <v>663</v>
      </c>
      <c r="B158" t="str">
        <f t="shared" si="10"/>
        <v>Varun Subramanian</v>
      </c>
      <c r="C158" t="str">
        <f t="shared" si="11"/>
        <v>Data &amp; Analytics</v>
      </c>
      <c r="D158" s="30" t="str">
        <f t="shared" si="12"/>
        <v>L3</v>
      </c>
      <c r="E158" s="30" t="str">
        <f t="shared" si="13"/>
        <v>Active</v>
      </c>
      <c r="F158" t="s">
        <v>1728</v>
      </c>
      <c r="G158" s="22">
        <v>8</v>
      </c>
      <c r="H158" s="22">
        <v>64</v>
      </c>
      <c r="I158" s="34">
        <v>38400</v>
      </c>
      <c r="J158" s="22">
        <v>72</v>
      </c>
      <c r="K158" s="22" t="s">
        <v>1700</v>
      </c>
      <c r="L158" s="22" t="s">
        <v>1700</v>
      </c>
      <c r="M158" s="22" t="str">
        <f t="shared" si="14"/>
        <v>Compliant</v>
      </c>
      <c r="N158" s="22" t="s">
        <v>1701</v>
      </c>
    </row>
    <row r="159" spans="1:14" x14ac:dyDescent="0.3">
      <c r="A159" s="22" t="s">
        <v>122</v>
      </c>
      <c r="B159" t="str">
        <f t="shared" si="10"/>
        <v>Pallavi Shah</v>
      </c>
      <c r="C159" t="str">
        <f t="shared" si="11"/>
        <v>Operations</v>
      </c>
      <c r="D159" s="30" t="str">
        <f t="shared" si="12"/>
        <v>L6</v>
      </c>
      <c r="E159" s="30" t="str">
        <f t="shared" si="13"/>
        <v>Active</v>
      </c>
      <c r="F159" t="s">
        <v>1722</v>
      </c>
      <c r="G159" s="22">
        <v>2</v>
      </c>
      <c r="H159" s="22">
        <v>16</v>
      </c>
      <c r="I159" s="34">
        <v>7200</v>
      </c>
      <c r="J159" s="22">
        <v>72</v>
      </c>
      <c r="K159" s="22" t="s">
        <v>1700</v>
      </c>
      <c r="L159" s="22" t="s">
        <v>1700</v>
      </c>
      <c r="M159" s="22" t="str">
        <f t="shared" si="14"/>
        <v>Compliant</v>
      </c>
      <c r="N159" s="22" t="s">
        <v>1701</v>
      </c>
    </row>
    <row r="160" spans="1:14" x14ac:dyDescent="0.3">
      <c r="A160" s="22" t="s">
        <v>668</v>
      </c>
      <c r="B160" t="str">
        <f t="shared" si="10"/>
        <v>Sanjana Kamath</v>
      </c>
      <c r="C160" t="str">
        <f t="shared" si="11"/>
        <v>Finance</v>
      </c>
      <c r="D160" s="30" t="str">
        <f t="shared" si="12"/>
        <v>L2</v>
      </c>
      <c r="E160" s="30" t="str">
        <f t="shared" si="13"/>
        <v>Active</v>
      </c>
      <c r="F160" t="s">
        <v>1727</v>
      </c>
      <c r="G160" s="22">
        <v>5</v>
      </c>
      <c r="H160" s="22">
        <v>20</v>
      </c>
      <c r="I160" s="34">
        <v>16000</v>
      </c>
      <c r="J160" s="22">
        <v>91</v>
      </c>
      <c r="K160" s="22" t="s">
        <v>1700</v>
      </c>
      <c r="L160" s="22" t="s">
        <v>1701</v>
      </c>
      <c r="M160" s="22" t="str">
        <f t="shared" si="14"/>
        <v>Pending</v>
      </c>
      <c r="N160" s="22" t="s">
        <v>1701</v>
      </c>
    </row>
    <row r="161" spans="1:14" x14ac:dyDescent="0.3">
      <c r="A161" s="22" t="s">
        <v>672</v>
      </c>
      <c r="B161" t="str">
        <f t="shared" si="10"/>
        <v>Bhavana Varghese</v>
      </c>
      <c r="C161" t="str">
        <f t="shared" si="11"/>
        <v>Customer Support</v>
      </c>
      <c r="D161" s="30" t="str">
        <f t="shared" si="12"/>
        <v>L4</v>
      </c>
      <c r="E161" s="30" t="str">
        <f t="shared" si="13"/>
        <v>Exited</v>
      </c>
      <c r="F161" t="s">
        <v>1725</v>
      </c>
      <c r="G161" s="22">
        <v>5</v>
      </c>
      <c r="H161" s="22">
        <v>20</v>
      </c>
      <c r="I161" s="34">
        <v>16000</v>
      </c>
      <c r="J161" s="22">
        <v>82</v>
      </c>
      <c r="K161" s="22" t="s">
        <v>1700</v>
      </c>
      <c r="L161" s="22" t="s">
        <v>1700</v>
      </c>
      <c r="M161" s="22" t="str">
        <f t="shared" si="14"/>
        <v>Compliant</v>
      </c>
      <c r="N161" s="22" t="s">
        <v>1701</v>
      </c>
    </row>
    <row r="162" spans="1:14" x14ac:dyDescent="0.3">
      <c r="A162" s="22" t="s">
        <v>675</v>
      </c>
      <c r="B162" t="str">
        <f t="shared" si="10"/>
        <v>Tanvi Siddiqui</v>
      </c>
      <c r="C162" t="str">
        <f t="shared" si="11"/>
        <v>Sales</v>
      </c>
      <c r="D162" s="30" t="str">
        <f t="shared" si="12"/>
        <v>L4</v>
      </c>
      <c r="E162" s="30" t="str">
        <f t="shared" si="13"/>
        <v>Active</v>
      </c>
      <c r="F162" t="s">
        <v>1722</v>
      </c>
      <c r="G162" s="22">
        <v>1</v>
      </c>
      <c r="H162" s="22">
        <v>4</v>
      </c>
      <c r="I162" s="34">
        <v>2400</v>
      </c>
      <c r="J162" s="22">
        <v>68</v>
      </c>
      <c r="K162" s="22" t="s">
        <v>1700</v>
      </c>
      <c r="L162" s="22" t="s">
        <v>1700</v>
      </c>
      <c r="M162" s="22" t="str">
        <f t="shared" si="14"/>
        <v>Compliant</v>
      </c>
      <c r="N162" s="22" t="s">
        <v>1701</v>
      </c>
    </row>
    <row r="163" spans="1:14" x14ac:dyDescent="0.3">
      <c r="A163" s="22" t="s">
        <v>678</v>
      </c>
      <c r="B163" t="str">
        <f t="shared" si="10"/>
        <v>Aditi Siddiqui</v>
      </c>
      <c r="C163" t="str">
        <f t="shared" si="11"/>
        <v>Engineering</v>
      </c>
      <c r="D163" s="30" t="str">
        <f t="shared" si="12"/>
        <v>L2</v>
      </c>
      <c r="E163" s="30" t="str">
        <f t="shared" si="13"/>
        <v>Active</v>
      </c>
      <c r="F163" t="s">
        <v>1731</v>
      </c>
      <c r="G163" s="22">
        <v>7</v>
      </c>
      <c r="H163" s="22">
        <v>35</v>
      </c>
      <c r="I163" s="34">
        <v>15750</v>
      </c>
      <c r="J163" s="22">
        <v>83</v>
      </c>
      <c r="K163" s="22" t="s">
        <v>1700</v>
      </c>
      <c r="L163" s="22" t="s">
        <v>1700</v>
      </c>
      <c r="M163" s="22" t="str">
        <f t="shared" si="14"/>
        <v>Compliant</v>
      </c>
      <c r="N163" s="22" t="s">
        <v>1700</v>
      </c>
    </row>
    <row r="164" spans="1:14" x14ac:dyDescent="0.3">
      <c r="A164" s="22" t="s">
        <v>681</v>
      </c>
      <c r="B164" t="str">
        <f t="shared" si="10"/>
        <v>Aditi Yadav</v>
      </c>
      <c r="C164" t="str">
        <f t="shared" si="11"/>
        <v>Legal &amp; Compliance</v>
      </c>
      <c r="D164" s="30" t="str">
        <f t="shared" si="12"/>
        <v>L2</v>
      </c>
      <c r="E164" s="30" t="str">
        <f t="shared" si="13"/>
        <v>Active</v>
      </c>
      <c r="F164" t="s">
        <v>1723</v>
      </c>
      <c r="G164" s="22">
        <v>8</v>
      </c>
      <c r="H164" s="22">
        <v>32</v>
      </c>
      <c r="I164" s="34">
        <v>32000</v>
      </c>
      <c r="J164" s="22">
        <v>90</v>
      </c>
      <c r="K164" s="22" t="s">
        <v>1700</v>
      </c>
      <c r="L164" s="22" t="s">
        <v>1700</v>
      </c>
      <c r="M164" s="22" t="str">
        <f t="shared" si="14"/>
        <v>Compliant</v>
      </c>
      <c r="N164" s="22" t="s">
        <v>1700</v>
      </c>
    </row>
    <row r="165" spans="1:14" x14ac:dyDescent="0.3">
      <c r="A165" s="22" t="s">
        <v>687</v>
      </c>
      <c r="B165" t="str">
        <f t="shared" si="10"/>
        <v>Gaurav Saxena</v>
      </c>
      <c r="C165" t="str">
        <f t="shared" si="11"/>
        <v>Sales</v>
      </c>
      <c r="D165" s="30" t="str">
        <f t="shared" si="12"/>
        <v>L2</v>
      </c>
      <c r="E165" s="30" t="str">
        <f t="shared" si="13"/>
        <v>Active</v>
      </c>
      <c r="F165" t="s">
        <v>1727</v>
      </c>
      <c r="G165" s="22">
        <v>6</v>
      </c>
      <c r="H165" s="22">
        <v>30</v>
      </c>
      <c r="I165" s="34">
        <v>18000</v>
      </c>
      <c r="J165" s="22">
        <v>87</v>
      </c>
      <c r="K165" s="22" t="s">
        <v>1700</v>
      </c>
      <c r="L165" s="22" t="s">
        <v>1700</v>
      </c>
      <c r="M165" s="22" t="str">
        <f t="shared" si="14"/>
        <v>Compliant</v>
      </c>
      <c r="N165" s="22" t="s">
        <v>1701</v>
      </c>
    </row>
    <row r="166" spans="1:14" x14ac:dyDescent="0.3">
      <c r="A166" s="22" t="s">
        <v>690</v>
      </c>
      <c r="B166" t="str">
        <f t="shared" si="10"/>
        <v>Kiran Hegde</v>
      </c>
      <c r="C166" t="str">
        <f t="shared" si="11"/>
        <v>Sales</v>
      </c>
      <c r="D166" s="30" t="str">
        <f t="shared" si="12"/>
        <v>L4</v>
      </c>
      <c r="E166" s="30" t="str">
        <f t="shared" si="13"/>
        <v>Active</v>
      </c>
      <c r="F166" t="s">
        <v>1724</v>
      </c>
      <c r="G166" s="22">
        <v>2</v>
      </c>
      <c r="H166" s="22">
        <v>16</v>
      </c>
      <c r="I166" s="34">
        <v>12800</v>
      </c>
      <c r="J166" s="22">
        <v>59</v>
      </c>
      <c r="K166" s="22" t="s">
        <v>1700</v>
      </c>
      <c r="L166" s="22" t="s">
        <v>1700</v>
      </c>
      <c r="M166" s="22" t="str">
        <f t="shared" si="14"/>
        <v>Compliant</v>
      </c>
      <c r="N166" s="22" t="s">
        <v>1701</v>
      </c>
    </row>
    <row r="167" spans="1:14" x14ac:dyDescent="0.3">
      <c r="A167" s="22" t="s">
        <v>693</v>
      </c>
      <c r="B167" t="str">
        <f t="shared" si="10"/>
        <v>Aditi Prabhu</v>
      </c>
      <c r="C167" t="str">
        <f t="shared" si="11"/>
        <v>Engineering</v>
      </c>
      <c r="D167" s="30" t="str">
        <f t="shared" si="12"/>
        <v>L4</v>
      </c>
      <c r="E167" s="30" t="str">
        <f t="shared" si="13"/>
        <v>Active</v>
      </c>
      <c r="F167" t="s">
        <v>1727</v>
      </c>
      <c r="G167" s="22">
        <v>9</v>
      </c>
      <c r="H167" s="22">
        <v>36</v>
      </c>
      <c r="I167" s="34">
        <v>16200</v>
      </c>
      <c r="J167" s="22">
        <v>76</v>
      </c>
      <c r="K167" s="22" t="s">
        <v>1700</v>
      </c>
      <c r="L167" s="22" t="s">
        <v>1700</v>
      </c>
      <c r="M167" s="22" t="str">
        <f t="shared" si="14"/>
        <v>Compliant</v>
      </c>
      <c r="N167" s="22" t="s">
        <v>1700</v>
      </c>
    </row>
    <row r="168" spans="1:14" x14ac:dyDescent="0.3">
      <c r="A168" s="22" t="s">
        <v>696</v>
      </c>
      <c r="B168" t="str">
        <f t="shared" si="10"/>
        <v>Sanjay Krishnan</v>
      </c>
      <c r="C168" t="str">
        <f t="shared" si="11"/>
        <v>Operations</v>
      </c>
      <c r="D168" s="30" t="str">
        <f t="shared" si="12"/>
        <v>L2</v>
      </c>
      <c r="E168" s="30" t="str">
        <f t="shared" si="13"/>
        <v>Exited</v>
      </c>
      <c r="F168" t="s">
        <v>1727</v>
      </c>
      <c r="G168" s="22">
        <v>3</v>
      </c>
      <c r="H168" s="22">
        <v>15</v>
      </c>
      <c r="I168" s="34">
        <v>12000</v>
      </c>
      <c r="J168" s="22">
        <v>69</v>
      </c>
      <c r="K168" s="22" t="s">
        <v>1700</v>
      </c>
      <c r="L168" s="22" t="s">
        <v>1700</v>
      </c>
      <c r="M168" s="22" t="str">
        <f t="shared" si="14"/>
        <v>Compliant</v>
      </c>
      <c r="N168" s="22" t="s">
        <v>1701</v>
      </c>
    </row>
    <row r="169" spans="1:14" x14ac:dyDescent="0.3">
      <c r="A169" s="22" t="s">
        <v>699</v>
      </c>
      <c r="B169" t="str">
        <f t="shared" si="10"/>
        <v>Priya Fernandes</v>
      </c>
      <c r="C169" t="str">
        <f t="shared" si="11"/>
        <v>Legal &amp; Compliance</v>
      </c>
      <c r="D169" s="30" t="str">
        <f t="shared" si="12"/>
        <v>L2</v>
      </c>
      <c r="E169" s="30" t="str">
        <f t="shared" si="13"/>
        <v>Active</v>
      </c>
      <c r="F169" t="s">
        <v>1722</v>
      </c>
      <c r="G169" s="22">
        <v>7</v>
      </c>
      <c r="H169" s="22">
        <v>49</v>
      </c>
      <c r="I169" s="34">
        <v>29400</v>
      </c>
      <c r="J169" s="22">
        <v>80</v>
      </c>
      <c r="K169" s="22" t="s">
        <v>1700</v>
      </c>
      <c r="L169" s="22" t="s">
        <v>1700</v>
      </c>
      <c r="M169" s="22" t="str">
        <f t="shared" si="14"/>
        <v>Compliant</v>
      </c>
      <c r="N169" s="22" t="s">
        <v>1701</v>
      </c>
    </row>
    <row r="170" spans="1:14" x14ac:dyDescent="0.3">
      <c r="A170" s="22" t="s">
        <v>702</v>
      </c>
      <c r="B170" t="str">
        <f t="shared" si="10"/>
        <v>Aniket Siddiqui</v>
      </c>
      <c r="C170" t="str">
        <f t="shared" si="11"/>
        <v>Engineering</v>
      </c>
      <c r="D170" s="30" t="str">
        <f t="shared" si="12"/>
        <v>L3</v>
      </c>
      <c r="E170" s="30" t="str">
        <f t="shared" si="13"/>
        <v>Active</v>
      </c>
      <c r="F170" t="s">
        <v>1727</v>
      </c>
      <c r="G170" s="22">
        <v>9</v>
      </c>
      <c r="H170" s="22">
        <v>63</v>
      </c>
      <c r="I170" s="34">
        <v>37800</v>
      </c>
      <c r="J170" s="22">
        <v>81</v>
      </c>
      <c r="K170" s="22" t="s">
        <v>1700</v>
      </c>
      <c r="L170" s="22" t="s">
        <v>1700</v>
      </c>
      <c r="M170" s="22" t="str">
        <f t="shared" si="14"/>
        <v>Compliant</v>
      </c>
      <c r="N170" s="22" t="s">
        <v>1700</v>
      </c>
    </row>
    <row r="171" spans="1:14" x14ac:dyDescent="0.3">
      <c r="A171" s="22" t="s">
        <v>705</v>
      </c>
      <c r="B171" t="str">
        <f t="shared" si="10"/>
        <v>Deepak Saxena</v>
      </c>
      <c r="C171" t="str">
        <f t="shared" si="11"/>
        <v>Engineering</v>
      </c>
      <c r="D171" s="30" t="str">
        <f t="shared" si="12"/>
        <v>L2</v>
      </c>
      <c r="E171" s="30" t="str">
        <f t="shared" si="13"/>
        <v>Active</v>
      </c>
      <c r="F171" t="s">
        <v>1731</v>
      </c>
      <c r="G171" s="22">
        <v>9</v>
      </c>
      <c r="H171" s="22">
        <v>36</v>
      </c>
      <c r="I171" s="34">
        <v>21600</v>
      </c>
      <c r="J171" s="22">
        <v>72</v>
      </c>
      <c r="K171" s="22" t="s">
        <v>1700</v>
      </c>
      <c r="L171" s="22" t="s">
        <v>1700</v>
      </c>
      <c r="M171" s="22" t="str">
        <f t="shared" si="14"/>
        <v>Compliant</v>
      </c>
      <c r="N171" s="22" t="s">
        <v>1700</v>
      </c>
    </row>
    <row r="172" spans="1:14" x14ac:dyDescent="0.3">
      <c r="A172" s="22" t="s">
        <v>708</v>
      </c>
      <c r="B172" t="str">
        <f t="shared" si="10"/>
        <v>Kritika Gowda</v>
      </c>
      <c r="C172" t="str">
        <f t="shared" si="11"/>
        <v>Marketing</v>
      </c>
      <c r="D172" s="30" t="str">
        <f t="shared" si="12"/>
        <v>L3</v>
      </c>
      <c r="E172" s="30" t="str">
        <f t="shared" si="13"/>
        <v>Active</v>
      </c>
      <c r="F172" t="s">
        <v>1724</v>
      </c>
      <c r="G172" s="22">
        <v>3</v>
      </c>
      <c r="H172" s="22">
        <v>21</v>
      </c>
      <c r="I172" s="34">
        <v>21000</v>
      </c>
      <c r="J172" s="22">
        <v>76</v>
      </c>
      <c r="K172" s="22" t="s">
        <v>1700</v>
      </c>
      <c r="L172" s="22" t="s">
        <v>1700</v>
      </c>
      <c r="M172" s="22" t="str">
        <f t="shared" si="14"/>
        <v>Compliant</v>
      </c>
      <c r="N172" s="22" t="s">
        <v>1701</v>
      </c>
    </row>
    <row r="173" spans="1:14" x14ac:dyDescent="0.3">
      <c r="A173" s="22" t="s">
        <v>711</v>
      </c>
      <c r="B173" t="str">
        <f t="shared" si="10"/>
        <v>Sai Desai</v>
      </c>
      <c r="C173" t="str">
        <f t="shared" si="11"/>
        <v>Sales</v>
      </c>
      <c r="D173" s="30" t="str">
        <f t="shared" si="12"/>
        <v>L4</v>
      </c>
      <c r="E173" s="30" t="str">
        <f t="shared" si="13"/>
        <v>Active</v>
      </c>
      <c r="F173" t="s">
        <v>1723</v>
      </c>
      <c r="G173" s="22">
        <v>7</v>
      </c>
      <c r="H173" s="22">
        <v>49</v>
      </c>
      <c r="I173" s="34">
        <v>49000</v>
      </c>
      <c r="J173" s="22">
        <v>58</v>
      </c>
      <c r="K173" s="22" t="s">
        <v>1700</v>
      </c>
      <c r="L173" s="22" t="s">
        <v>1700</v>
      </c>
      <c r="M173" s="22" t="str">
        <f t="shared" si="14"/>
        <v>Compliant</v>
      </c>
      <c r="N173" s="22" t="s">
        <v>1700</v>
      </c>
    </row>
    <row r="174" spans="1:14" x14ac:dyDescent="0.3">
      <c r="A174" s="22" t="s">
        <v>714</v>
      </c>
      <c r="B174" t="str">
        <f t="shared" si="10"/>
        <v>Rashmi Kulkarni</v>
      </c>
      <c r="C174" t="str">
        <f t="shared" si="11"/>
        <v>Marketing</v>
      </c>
      <c r="D174" s="30" t="str">
        <f t="shared" si="12"/>
        <v>L3</v>
      </c>
      <c r="E174" s="30" t="str">
        <f t="shared" si="13"/>
        <v>Active</v>
      </c>
      <c r="F174" t="s">
        <v>1726</v>
      </c>
      <c r="G174" s="22">
        <v>2</v>
      </c>
      <c r="H174" s="22">
        <v>10</v>
      </c>
      <c r="I174" s="34">
        <v>8000</v>
      </c>
      <c r="J174" s="22">
        <v>61</v>
      </c>
      <c r="K174" s="22" t="s">
        <v>1700</v>
      </c>
      <c r="L174" s="22" t="s">
        <v>1700</v>
      </c>
      <c r="M174" s="22" t="str">
        <f t="shared" si="14"/>
        <v>Compliant</v>
      </c>
      <c r="N174" s="22" t="s">
        <v>1701</v>
      </c>
    </row>
    <row r="175" spans="1:14" x14ac:dyDescent="0.3">
      <c r="A175" s="22" t="s">
        <v>717</v>
      </c>
      <c r="B175" t="str">
        <f t="shared" si="10"/>
        <v>Nikhil Desai</v>
      </c>
      <c r="C175" t="str">
        <f t="shared" si="11"/>
        <v>Operations</v>
      </c>
      <c r="D175" s="30" t="str">
        <f t="shared" si="12"/>
        <v>L2</v>
      </c>
      <c r="E175" s="30" t="str">
        <f t="shared" si="13"/>
        <v>Active</v>
      </c>
      <c r="F175" t="s">
        <v>1722</v>
      </c>
      <c r="G175" s="22">
        <v>7</v>
      </c>
      <c r="H175" s="22">
        <v>28</v>
      </c>
      <c r="I175" s="34">
        <v>16800</v>
      </c>
      <c r="J175" s="22">
        <v>83</v>
      </c>
      <c r="K175" s="22" t="s">
        <v>1700</v>
      </c>
      <c r="L175" s="22" t="s">
        <v>1700</v>
      </c>
      <c r="M175" s="22" t="str">
        <f t="shared" si="14"/>
        <v>Compliant</v>
      </c>
      <c r="N175" s="22" t="s">
        <v>1701</v>
      </c>
    </row>
    <row r="176" spans="1:14" x14ac:dyDescent="0.3">
      <c r="A176" s="22" t="s">
        <v>720</v>
      </c>
      <c r="B176" t="str">
        <f t="shared" si="10"/>
        <v>Ananya Sharma</v>
      </c>
      <c r="C176" t="str">
        <f t="shared" si="11"/>
        <v>Human Resources</v>
      </c>
      <c r="D176" s="30" t="str">
        <f t="shared" si="12"/>
        <v>L2</v>
      </c>
      <c r="E176" s="30" t="str">
        <f t="shared" si="13"/>
        <v>Active</v>
      </c>
      <c r="F176" t="s">
        <v>1726</v>
      </c>
      <c r="G176" s="22">
        <v>3</v>
      </c>
      <c r="H176" s="22">
        <v>24</v>
      </c>
      <c r="I176" s="34">
        <v>24000</v>
      </c>
      <c r="J176" s="22">
        <v>72</v>
      </c>
      <c r="K176" s="22" t="s">
        <v>1700</v>
      </c>
      <c r="L176" s="22" t="s">
        <v>1700</v>
      </c>
      <c r="M176" s="22" t="str">
        <f t="shared" si="14"/>
        <v>Compliant</v>
      </c>
      <c r="N176" s="22" t="s">
        <v>1701</v>
      </c>
    </row>
    <row r="177" spans="1:14" x14ac:dyDescent="0.3">
      <c r="A177" s="22" t="s">
        <v>723</v>
      </c>
      <c r="B177" t="str">
        <f t="shared" si="10"/>
        <v>Manish Khanna</v>
      </c>
      <c r="C177" t="str">
        <f t="shared" si="11"/>
        <v>Customer Support</v>
      </c>
      <c r="D177" s="30" t="str">
        <f t="shared" si="12"/>
        <v>L3</v>
      </c>
      <c r="E177" s="30" t="str">
        <f t="shared" si="13"/>
        <v>Active</v>
      </c>
      <c r="F177" t="s">
        <v>1728</v>
      </c>
      <c r="G177" s="22">
        <v>5</v>
      </c>
      <c r="H177" s="22">
        <v>20</v>
      </c>
      <c r="I177" s="34">
        <v>20000</v>
      </c>
      <c r="J177" s="22">
        <v>71</v>
      </c>
      <c r="K177" s="22" t="s">
        <v>1700</v>
      </c>
      <c r="L177" s="22" t="s">
        <v>1700</v>
      </c>
      <c r="M177" s="22" t="str">
        <f t="shared" si="14"/>
        <v>Compliant</v>
      </c>
      <c r="N177" s="22" t="s">
        <v>1701</v>
      </c>
    </row>
    <row r="178" spans="1:14" x14ac:dyDescent="0.3">
      <c r="A178" s="22" t="s">
        <v>728</v>
      </c>
      <c r="B178" t="str">
        <f t="shared" si="10"/>
        <v>Vinay Malhotra</v>
      </c>
      <c r="C178" t="str">
        <f t="shared" si="11"/>
        <v>Customer Support</v>
      </c>
      <c r="D178" s="30" t="str">
        <f t="shared" si="12"/>
        <v>L3</v>
      </c>
      <c r="E178" s="30" t="str">
        <f t="shared" si="13"/>
        <v>Active</v>
      </c>
      <c r="F178" t="s">
        <v>1723</v>
      </c>
      <c r="G178" s="22">
        <v>8</v>
      </c>
      <c r="H178" s="22">
        <v>32</v>
      </c>
      <c r="I178" s="34">
        <v>25600</v>
      </c>
      <c r="J178" s="22">
        <v>91</v>
      </c>
      <c r="K178" s="22" t="s">
        <v>1700</v>
      </c>
      <c r="L178" s="22" t="s">
        <v>1700</v>
      </c>
      <c r="M178" s="22" t="str">
        <f t="shared" si="14"/>
        <v>Compliant</v>
      </c>
      <c r="N178" s="22" t="s">
        <v>1700</v>
      </c>
    </row>
    <row r="179" spans="1:14" x14ac:dyDescent="0.3">
      <c r="A179" s="22" t="s">
        <v>731</v>
      </c>
      <c r="B179" t="str">
        <f t="shared" si="10"/>
        <v>Sai Kumar</v>
      </c>
      <c r="C179" t="str">
        <f t="shared" si="11"/>
        <v>Operations</v>
      </c>
      <c r="D179" s="30" t="str">
        <f t="shared" si="12"/>
        <v>L4</v>
      </c>
      <c r="E179" s="30" t="str">
        <f t="shared" si="13"/>
        <v>Active</v>
      </c>
      <c r="F179" t="s">
        <v>1727</v>
      </c>
      <c r="G179" s="22">
        <v>2</v>
      </c>
      <c r="H179" s="22">
        <v>16</v>
      </c>
      <c r="I179" s="34">
        <v>16000</v>
      </c>
      <c r="J179" s="22">
        <v>97</v>
      </c>
      <c r="K179" s="22" t="s">
        <v>1700</v>
      </c>
      <c r="L179" s="22" t="s">
        <v>1700</v>
      </c>
      <c r="M179" s="22" t="str">
        <f t="shared" si="14"/>
        <v>Compliant</v>
      </c>
      <c r="N179" s="22" t="s">
        <v>1701</v>
      </c>
    </row>
    <row r="180" spans="1:14" x14ac:dyDescent="0.3">
      <c r="A180" s="22" t="s">
        <v>734</v>
      </c>
      <c r="B180" t="str">
        <f t="shared" si="10"/>
        <v>Zara Chatterjee</v>
      </c>
      <c r="C180" t="str">
        <f t="shared" si="11"/>
        <v>Customer Support</v>
      </c>
      <c r="D180" s="30" t="str">
        <f t="shared" si="12"/>
        <v>L2</v>
      </c>
      <c r="E180" s="30" t="str">
        <f t="shared" si="13"/>
        <v>Active</v>
      </c>
      <c r="F180" t="s">
        <v>1723</v>
      </c>
      <c r="G180" s="22">
        <v>8</v>
      </c>
      <c r="H180" s="22">
        <v>32</v>
      </c>
      <c r="I180" s="34">
        <v>14400</v>
      </c>
      <c r="J180" s="22">
        <v>60</v>
      </c>
      <c r="K180" s="22" t="s">
        <v>1700</v>
      </c>
      <c r="L180" s="22" t="s">
        <v>1700</v>
      </c>
      <c r="M180" s="22" t="str">
        <f t="shared" si="14"/>
        <v>Compliant</v>
      </c>
      <c r="N180" s="22" t="s">
        <v>1701</v>
      </c>
    </row>
    <row r="181" spans="1:14" x14ac:dyDescent="0.3">
      <c r="A181" s="22" t="s">
        <v>737</v>
      </c>
      <c r="B181" t="str">
        <f t="shared" si="10"/>
        <v>Venkat Subramanian</v>
      </c>
      <c r="C181" t="str">
        <f t="shared" si="11"/>
        <v>Operations</v>
      </c>
      <c r="D181" s="30" t="str">
        <f t="shared" si="12"/>
        <v>L2</v>
      </c>
      <c r="E181" s="30" t="str">
        <f t="shared" si="13"/>
        <v>Exited</v>
      </c>
      <c r="F181" t="s">
        <v>1730</v>
      </c>
      <c r="G181" s="22">
        <v>7</v>
      </c>
      <c r="H181" s="22">
        <v>35</v>
      </c>
      <c r="I181" s="34">
        <v>15750</v>
      </c>
      <c r="J181" s="22">
        <v>76</v>
      </c>
      <c r="K181" s="22" t="s">
        <v>1700</v>
      </c>
      <c r="L181" s="22" t="s">
        <v>1700</v>
      </c>
      <c r="M181" s="22" t="str">
        <f t="shared" si="14"/>
        <v>Compliant</v>
      </c>
      <c r="N181" s="22" t="s">
        <v>1700</v>
      </c>
    </row>
    <row r="182" spans="1:14" x14ac:dyDescent="0.3">
      <c r="A182" s="22" t="s">
        <v>740</v>
      </c>
      <c r="B182" t="str">
        <f t="shared" si="10"/>
        <v>Radhika Saxena</v>
      </c>
      <c r="C182" t="str">
        <f t="shared" si="11"/>
        <v>Finance</v>
      </c>
      <c r="D182" s="30" t="str">
        <f t="shared" si="12"/>
        <v>L3</v>
      </c>
      <c r="E182" s="30" t="str">
        <f t="shared" si="13"/>
        <v>Active</v>
      </c>
      <c r="F182" t="s">
        <v>1729</v>
      </c>
      <c r="G182" s="22">
        <v>4</v>
      </c>
      <c r="H182" s="22">
        <v>28</v>
      </c>
      <c r="I182" s="34">
        <v>12600</v>
      </c>
      <c r="J182" s="22">
        <v>73</v>
      </c>
      <c r="K182" s="22" t="s">
        <v>1700</v>
      </c>
      <c r="L182" s="22" t="s">
        <v>1700</v>
      </c>
      <c r="M182" s="22" t="str">
        <f t="shared" si="14"/>
        <v>Compliant</v>
      </c>
      <c r="N182" s="22" t="s">
        <v>1701</v>
      </c>
    </row>
    <row r="183" spans="1:14" x14ac:dyDescent="0.3">
      <c r="A183" s="22" t="s">
        <v>743</v>
      </c>
      <c r="B183" t="str">
        <f t="shared" si="10"/>
        <v>Revathi Pandey</v>
      </c>
      <c r="C183" t="str">
        <f t="shared" si="11"/>
        <v>Human Resources</v>
      </c>
      <c r="D183" s="30" t="str">
        <f t="shared" si="12"/>
        <v>L2</v>
      </c>
      <c r="E183" s="30" t="str">
        <f t="shared" si="13"/>
        <v>Active</v>
      </c>
      <c r="F183" t="s">
        <v>1723</v>
      </c>
      <c r="G183" s="22">
        <v>8</v>
      </c>
      <c r="H183" s="22">
        <v>64</v>
      </c>
      <c r="I183" s="34">
        <v>64000</v>
      </c>
      <c r="J183" s="22">
        <v>75</v>
      </c>
      <c r="K183" s="22" t="s">
        <v>1700</v>
      </c>
      <c r="L183" s="22" t="s">
        <v>1700</v>
      </c>
      <c r="M183" s="22" t="str">
        <f t="shared" si="14"/>
        <v>Compliant</v>
      </c>
      <c r="N183" s="22" t="s">
        <v>1701</v>
      </c>
    </row>
    <row r="184" spans="1:14" x14ac:dyDescent="0.3">
      <c r="A184" s="22" t="s">
        <v>746</v>
      </c>
      <c r="B184" t="str">
        <f t="shared" si="10"/>
        <v>Tarun Pandey</v>
      </c>
      <c r="C184" t="str">
        <f t="shared" si="11"/>
        <v>Data &amp; Analytics</v>
      </c>
      <c r="D184" s="30" t="str">
        <f t="shared" si="12"/>
        <v>L2</v>
      </c>
      <c r="E184" s="30" t="str">
        <f t="shared" si="13"/>
        <v>Active</v>
      </c>
      <c r="F184" t="s">
        <v>1726</v>
      </c>
      <c r="G184" s="22">
        <v>5</v>
      </c>
      <c r="H184" s="22">
        <v>40</v>
      </c>
      <c r="I184" s="34">
        <v>32000</v>
      </c>
      <c r="J184" s="22">
        <v>58</v>
      </c>
      <c r="K184" s="22" t="s">
        <v>1700</v>
      </c>
      <c r="L184" s="22" t="s">
        <v>1700</v>
      </c>
      <c r="M184" s="22" t="str">
        <f t="shared" si="14"/>
        <v>Compliant</v>
      </c>
      <c r="N184" s="22" t="s">
        <v>1701</v>
      </c>
    </row>
    <row r="185" spans="1:14" x14ac:dyDescent="0.3">
      <c r="A185" s="22" t="s">
        <v>750</v>
      </c>
      <c r="B185" t="str">
        <f t="shared" si="10"/>
        <v>Amit Shah</v>
      </c>
      <c r="C185" t="str">
        <f t="shared" si="11"/>
        <v>Operations</v>
      </c>
      <c r="D185" s="30" t="str">
        <f t="shared" si="12"/>
        <v>L2</v>
      </c>
      <c r="E185" s="30" t="str">
        <f t="shared" si="13"/>
        <v>Active</v>
      </c>
      <c r="F185" t="s">
        <v>1723</v>
      </c>
      <c r="G185" s="22">
        <v>2</v>
      </c>
      <c r="H185" s="22">
        <v>16</v>
      </c>
      <c r="I185" s="34">
        <v>16000</v>
      </c>
      <c r="J185" s="22">
        <v>64</v>
      </c>
      <c r="K185" s="22" t="s">
        <v>1700</v>
      </c>
      <c r="L185" s="22" t="s">
        <v>1700</v>
      </c>
      <c r="M185" s="22" t="str">
        <f t="shared" si="14"/>
        <v>Compliant</v>
      </c>
      <c r="N185" s="22" t="s">
        <v>1701</v>
      </c>
    </row>
    <row r="186" spans="1:14" x14ac:dyDescent="0.3">
      <c r="A186" s="22" t="s">
        <v>753</v>
      </c>
      <c r="B186" t="str">
        <f t="shared" si="10"/>
        <v>Arjun Nair</v>
      </c>
      <c r="C186" t="str">
        <f t="shared" si="11"/>
        <v>Marketing</v>
      </c>
      <c r="D186" s="30" t="str">
        <f t="shared" si="12"/>
        <v>L2</v>
      </c>
      <c r="E186" s="30" t="str">
        <f t="shared" si="13"/>
        <v>Active</v>
      </c>
      <c r="F186" t="s">
        <v>1725</v>
      </c>
      <c r="G186" s="22">
        <v>8</v>
      </c>
      <c r="H186" s="22">
        <v>56</v>
      </c>
      <c r="I186" s="34">
        <v>56000</v>
      </c>
      <c r="J186" s="22">
        <v>96</v>
      </c>
      <c r="K186" s="22" t="s">
        <v>1700</v>
      </c>
      <c r="L186" s="22" t="s">
        <v>1700</v>
      </c>
      <c r="M186" s="22" t="str">
        <f t="shared" si="14"/>
        <v>Compliant</v>
      </c>
      <c r="N186" s="22" t="s">
        <v>1701</v>
      </c>
    </row>
    <row r="187" spans="1:14" x14ac:dyDescent="0.3">
      <c r="A187" s="22" t="s">
        <v>756</v>
      </c>
      <c r="B187" t="str">
        <f t="shared" si="10"/>
        <v>Yash Das</v>
      </c>
      <c r="C187" t="str">
        <f t="shared" si="11"/>
        <v>Product</v>
      </c>
      <c r="D187" s="30" t="str">
        <f t="shared" si="12"/>
        <v>L2</v>
      </c>
      <c r="E187" s="30" t="str">
        <f t="shared" si="13"/>
        <v>Active</v>
      </c>
      <c r="F187" t="s">
        <v>1729</v>
      </c>
      <c r="G187" s="22">
        <v>2</v>
      </c>
      <c r="H187" s="22">
        <v>14</v>
      </c>
      <c r="I187" s="34">
        <v>6300</v>
      </c>
      <c r="J187" s="22">
        <v>95</v>
      </c>
      <c r="K187" s="22" t="s">
        <v>1700</v>
      </c>
      <c r="L187" s="22" t="s">
        <v>1700</v>
      </c>
      <c r="M187" s="22" t="str">
        <f t="shared" si="14"/>
        <v>Compliant</v>
      </c>
      <c r="N187" s="22" t="s">
        <v>1701</v>
      </c>
    </row>
    <row r="188" spans="1:14" x14ac:dyDescent="0.3">
      <c r="A188" s="22" t="s">
        <v>759</v>
      </c>
      <c r="B188" t="str">
        <f t="shared" si="10"/>
        <v>Manish Siddiqui</v>
      </c>
      <c r="C188" t="str">
        <f t="shared" si="11"/>
        <v>Legal &amp; Compliance</v>
      </c>
      <c r="D188" s="30" t="str">
        <f t="shared" si="12"/>
        <v>L2</v>
      </c>
      <c r="E188" s="30" t="str">
        <f t="shared" si="13"/>
        <v>Active</v>
      </c>
      <c r="F188" t="s">
        <v>1731</v>
      </c>
      <c r="G188" s="22">
        <v>7</v>
      </c>
      <c r="H188" s="22">
        <v>42</v>
      </c>
      <c r="I188" s="34">
        <v>18900</v>
      </c>
      <c r="J188" s="22">
        <v>91</v>
      </c>
      <c r="K188" s="22" t="s">
        <v>1700</v>
      </c>
      <c r="L188" s="22" t="s">
        <v>1700</v>
      </c>
      <c r="M188" s="22" t="str">
        <f t="shared" si="14"/>
        <v>Compliant</v>
      </c>
      <c r="N188" s="22" t="s">
        <v>1701</v>
      </c>
    </row>
    <row r="189" spans="1:14" x14ac:dyDescent="0.3">
      <c r="A189" s="22" t="s">
        <v>762</v>
      </c>
      <c r="B189" t="str">
        <f t="shared" si="10"/>
        <v>Gaurav Ansari</v>
      </c>
      <c r="C189" t="str">
        <f t="shared" si="11"/>
        <v>Human Resources</v>
      </c>
      <c r="D189" s="30" t="str">
        <f t="shared" si="12"/>
        <v>L3</v>
      </c>
      <c r="E189" s="30" t="str">
        <f t="shared" si="13"/>
        <v>Active</v>
      </c>
      <c r="F189" t="s">
        <v>1725</v>
      </c>
      <c r="G189" s="22">
        <v>1</v>
      </c>
      <c r="H189" s="22">
        <v>6</v>
      </c>
      <c r="I189" s="34">
        <v>6000</v>
      </c>
      <c r="J189" s="22">
        <v>98</v>
      </c>
      <c r="K189" s="22" t="s">
        <v>1700</v>
      </c>
      <c r="L189" s="22" t="s">
        <v>1700</v>
      </c>
      <c r="M189" s="22" t="str">
        <f t="shared" si="14"/>
        <v>Compliant</v>
      </c>
      <c r="N189" s="22" t="s">
        <v>1701</v>
      </c>
    </row>
    <row r="190" spans="1:14" x14ac:dyDescent="0.3">
      <c r="A190" s="22" t="s">
        <v>416</v>
      </c>
      <c r="B190" t="str">
        <f t="shared" si="10"/>
        <v>Ramya Menon</v>
      </c>
      <c r="C190" t="str">
        <f t="shared" si="11"/>
        <v>Operations</v>
      </c>
      <c r="D190" s="30" t="str">
        <f t="shared" si="12"/>
        <v>L5</v>
      </c>
      <c r="E190" s="30" t="str">
        <f t="shared" si="13"/>
        <v>Active</v>
      </c>
      <c r="F190" t="s">
        <v>1723</v>
      </c>
      <c r="G190" s="22">
        <v>6</v>
      </c>
      <c r="H190" s="22">
        <v>18</v>
      </c>
      <c r="I190" s="34">
        <v>14400</v>
      </c>
      <c r="J190" s="22">
        <v>80</v>
      </c>
      <c r="K190" s="22" t="s">
        <v>1700</v>
      </c>
      <c r="L190" s="22" t="s">
        <v>1700</v>
      </c>
      <c r="M190" s="22" t="str">
        <f t="shared" si="14"/>
        <v>Compliant</v>
      </c>
      <c r="N190" s="22" t="s">
        <v>1701</v>
      </c>
    </row>
    <row r="191" spans="1:14" x14ac:dyDescent="0.3">
      <c r="A191" s="22" t="s">
        <v>766</v>
      </c>
      <c r="B191" t="str">
        <f t="shared" si="10"/>
        <v>Imran Kapoor</v>
      </c>
      <c r="C191" t="str">
        <f t="shared" si="11"/>
        <v>Operations</v>
      </c>
      <c r="D191" s="30" t="str">
        <f t="shared" si="12"/>
        <v>L2</v>
      </c>
      <c r="E191" s="30" t="str">
        <f t="shared" si="13"/>
        <v>Active</v>
      </c>
      <c r="F191" t="s">
        <v>1723</v>
      </c>
      <c r="G191" s="22">
        <v>6</v>
      </c>
      <c r="H191" s="22">
        <v>30</v>
      </c>
      <c r="I191" s="34">
        <v>18000</v>
      </c>
      <c r="J191" s="22">
        <v>68</v>
      </c>
      <c r="K191" s="22" t="s">
        <v>1700</v>
      </c>
      <c r="L191" s="22" t="s">
        <v>1700</v>
      </c>
      <c r="M191" s="22" t="str">
        <f t="shared" si="14"/>
        <v>Compliant</v>
      </c>
      <c r="N191" s="22" t="s">
        <v>1700</v>
      </c>
    </row>
    <row r="192" spans="1:14" x14ac:dyDescent="0.3">
      <c r="A192" s="22" t="s">
        <v>769</v>
      </c>
      <c r="B192" t="str">
        <f t="shared" si="10"/>
        <v>Pooja Choudhary</v>
      </c>
      <c r="C192" t="str">
        <f t="shared" si="11"/>
        <v>Sales</v>
      </c>
      <c r="D192" s="30" t="str">
        <f t="shared" si="12"/>
        <v>L4</v>
      </c>
      <c r="E192" s="30" t="str">
        <f t="shared" si="13"/>
        <v>Active</v>
      </c>
      <c r="F192" t="s">
        <v>1728</v>
      </c>
      <c r="G192" s="22">
        <v>4</v>
      </c>
      <c r="H192" s="22">
        <v>28</v>
      </c>
      <c r="I192" s="34">
        <v>22400</v>
      </c>
      <c r="J192" s="22">
        <v>89</v>
      </c>
      <c r="K192" s="22" t="s">
        <v>1700</v>
      </c>
      <c r="L192" s="22" t="s">
        <v>1700</v>
      </c>
      <c r="M192" s="22" t="str">
        <f t="shared" si="14"/>
        <v>Compliant</v>
      </c>
      <c r="N192" s="22" t="s">
        <v>1701</v>
      </c>
    </row>
    <row r="193" spans="1:14" x14ac:dyDescent="0.3">
      <c r="A193" s="22" t="s">
        <v>772</v>
      </c>
      <c r="B193" t="str">
        <f t="shared" si="10"/>
        <v>Ayesha Mishra</v>
      </c>
      <c r="C193" t="str">
        <f t="shared" si="11"/>
        <v>Sales</v>
      </c>
      <c r="D193" s="30" t="str">
        <f t="shared" si="12"/>
        <v>L3</v>
      </c>
      <c r="E193" s="30" t="str">
        <f t="shared" si="13"/>
        <v>Active</v>
      </c>
      <c r="F193" t="s">
        <v>1722</v>
      </c>
      <c r="G193" s="22">
        <v>2</v>
      </c>
      <c r="H193" s="22">
        <v>10</v>
      </c>
      <c r="I193" s="34">
        <v>8000</v>
      </c>
      <c r="J193" s="22">
        <v>78</v>
      </c>
      <c r="K193" s="22" t="s">
        <v>1700</v>
      </c>
      <c r="L193" s="22" t="s">
        <v>1700</v>
      </c>
      <c r="M193" s="22" t="str">
        <f t="shared" si="14"/>
        <v>Compliant</v>
      </c>
      <c r="N193" s="22" t="s">
        <v>1701</v>
      </c>
    </row>
    <row r="194" spans="1:14" x14ac:dyDescent="0.3">
      <c r="A194" s="22" t="s">
        <v>775</v>
      </c>
      <c r="B194" t="str">
        <f t="shared" ref="B194:B257" si="15">INDEX(M_Name,MATCH($A194,M_ID,0))</f>
        <v>Rajesh Kapoor</v>
      </c>
      <c r="C194" t="str">
        <f t="shared" ref="C194:C257" si="16">INDEX(M_Dept,MATCH($A194,M_ID,0))</f>
        <v>Sales</v>
      </c>
      <c r="D194" s="30" t="str">
        <f t="shared" ref="D194:D257" si="17">INDEX(M_Level,MATCH($A194,M_ID,0))</f>
        <v>L2</v>
      </c>
      <c r="E194" s="30" t="str">
        <f t="shared" ref="E194:E257" si="18">INDEX(M_Status,MATCH($A194,M_ID,0))</f>
        <v>Exited</v>
      </c>
      <c r="F194" t="s">
        <v>1728</v>
      </c>
      <c r="G194" s="22">
        <v>5</v>
      </c>
      <c r="H194" s="22">
        <v>15</v>
      </c>
      <c r="I194" s="34">
        <v>6750</v>
      </c>
      <c r="J194" s="22">
        <v>82</v>
      </c>
      <c r="K194" s="22" t="s">
        <v>1700</v>
      </c>
      <c r="L194" s="22" t="s">
        <v>1700</v>
      </c>
      <c r="M194" s="22" t="str">
        <f t="shared" ref="M194:M257" si="19">IF(AND(K194="Yes",L194="Yes"),"Compliant","Pending")</f>
        <v>Compliant</v>
      </c>
      <c r="N194" s="22" t="s">
        <v>1701</v>
      </c>
    </row>
    <row r="195" spans="1:14" x14ac:dyDescent="0.3">
      <c r="A195" s="22" t="s">
        <v>201</v>
      </c>
      <c r="B195" t="str">
        <f t="shared" si="15"/>
        <v>Ashish Varghese</v>
      </c>
      <c r="C195" t="str">
        <f t="shared" si="16"/>
        <v>Customer Support</v>
      </c>
      <c r="D195" s="30" t="str">
        <f t="shared" si="17"/>
        <v>L5</v>
      </c>
      <c r="E195" s="30" t="str">
        <f t="shared" si="18"/>
        <v>Active</v>
      </c>
      <c r="F195" t="s">
        <v>1728</v>
      </c>
      <c r="G195" s="22">
        <v>4</v>
      </c>
      <c r="H195" s="22">
        <v>20</v>
      </c>
      <c r="I195" s="34">
        <v>20000</v>
      </c>
      <c r="J195" s="22">
        <v>68</v>
      </c>
      <c r="K195" s="22" t="s">
        <v>1700</v>
      </c>
      <c r="L195" s="22" t="s">
        <v>1700</v>
      </c>
      <c r="M195" s="22" t="str">
        <f t="shared" si="19"/>
        <v>Compliant</v>
      </c>
      <c r="N195" s="22" t="s">
        <v>1701</v>
      </c>
    </row>
    <row r="196" spans="1:14" x14ac:dyDescent="0.3">
      <c r="A196" s="22" t="s">
        <v>779</v>
      </c>
      <c r="B196" t="str">
        <f t="shared" si="15"/>
        <v>Pallavi Das</v>
      </c>
      <c r="C196" t="str">
        <f t="shared" si="16"/>
        <v>Finance</v>
      </c>
      <c r="D196" s="30" t="str">
        <f t="shared" si="17"/>
        <v>L2</v>
      </c>
      <c r="E196" s="30" t="str">
        <f t="shared" si="18"/>
        <v>Active</v>
      </c>
      <c r="F196" t="s">
        <v>1727</v>
      </c>
      <c r="G196" s="22">
        <v>6</v>
      </c>
      <c r="H196" s="22">
        <v>18</v>
      </c>
      <c r="I196" s="34">
        <v>8100</v>
      </c>
      <c r="J196" s="22">
        <v>76</v>
      </c>
      <c r="K196" s="22" t="s">
        <v>1700</v>
      </c>
      <c r="L196" s="22" t="s">
        <v>1700</v>
      </c>
      <c r="M196" s="22" t="str">
        <f t="shared" si="19"/>
        <v>Compliant</v>
      </c>
      <c r="N196" s="22" t="s">
        <v>1701</v>
      </c>
    </row>
    <row r="197" spans="1:14" x14ac:dyDescent="0.3">
      <c r="A197" s="22" t="s">
        <v>782</v>
      </c>
      <c r="B197" t="str">
        <f t="shared" si="15"/>
        <v>Vikas Bansal</v>
      </c>
      <c r="C197" t="str">
        <f t="shared" si="16"/>
        <v>Engineering</v>
      </c>
      <c r="D197" s="30" t="str">
        <f t="shared" si="17"/>
        <v>L4</v>
      </c>
      <c r="E197" s="30" t="str">
        <f t="shared" si="18"/>
        <v>Active</v>
      </c>
      <c r="F197" t="s">
        <v>1726</v>
      </c>
      <c r="G197" s="22">
        <v>9</v>
      </c>
      <c r="H197" s="22">
        <v>63</v>
      </c>
      <c r="I197" s="34">
        <v>37800</v>
      </c>
      <c r="J197" s="22">
        <v>96</v>
      </c>
      <c r="K197" s="22" t="s">
        <v>1700</v>
      </c>
      <c r="L197" s="22" t="s">
        <v>1700</v>
      </c>
      <c r="M197" s="22" t="str">
        <f t="shared" si="19"/>
        <v>Compliant</v>
      </c>
      <c r="N197" s="22" t="s">
        <v>1700</v>
      </c>
    </row>
    <row r="198" spans="1:14" x14ac:dyDescent="0.3">
      <c r="A198" s="22" t="s">
        <v>785</v>
      </c>
      <c r="B198" t="str">
        <f t="shared" si="15"/>
        <v>Mansi Naidu</v>
      </c>
      <c r="C198" t="str">
        <f t="shared" si="16"/>
        <v>Legal &amp; Compliance</v>
      </c>
      <c r="D198" s="30" t="str">
        <f t="shared" si="17"/>
        <v>L3</v>
      </c>
      <c r="E198" s="30" t="str">
        <f t="shared" si="18"/>
        <v>Active</v>
      </c>
      <c r="F198" t="s">
        <v>1724</v>
      </c>
      <c r="G198" s="22">
        <v>7</v>
      </c>
      <c r="H198" s="22">
        <v>35</v>
      </c>
      <c r="I198" s="34">
        <v>21000</v>
      </c>
      <c r="J198" s="22">
        <v>64</v>
      </c>
      <c r="K198" s="22" t="s">
        <v>1700</v>
      </c>
      <c r="L198" s="22" t="s">
        <v>1700</v>
      </c>
      <c r="M198" s="22" t="str">
        <f t="shared" si="19"/>
        <v>Compliant</v>
      </c>
      <c r="N198" s="22" t="s">
        <v>1701</v>
      </c>
    </row>
    <row r="199" spans="1:14" x14ac:dyDescent="0.3">
      <c r="A199" s="22" t="s">
        <v>788</v>
      </c>
      <c r="B199" t="str">
        <f t="shared" si="15"/>
        <v>Siddharth Dsouza</v>
      </c>
      <c r="C199" t="str">
        <f t="shared" si="16"/>
        <v>Sales</v>
      </c>
      <c r="D199" s="30" t="str">
        <f t="shared" si="17"/>
        <v>L3</v>
      </c>
      <c r="E199" s="30" t="str">
        <f t="shared" si="18"/>
        <v>Active</v>
      </c>
      <c r="F199" t="s">
        <v>1722</v>
      </c>
      <c r="G199" s="22">
        <v>5</v>
      </c>
      <c r="H199" s="22">
        <v>35</v>
      </c>
      <c r="I199" s="34">
        <v>15750</v>
      </c>
      <c r="J199" s="22">
        <v>93</v>
      </c>
      <c r="K199" s="22" t="s">
        <v>1700</v>
      </c>
      <c r="L199" s="22" t="s">
        <v>1700</v>
      </c>
      <c r="M199" s="22" t="str">
        <f t="shared" si="19"/>
        <v>Compliant</v>
      </c>
      <c r="N199" s="22" t="s">
        <v>1701</v>
      </c>
    </row>
    <row r="200" spans="1:14" x14ac:dyDescent="0.3">
      <c r="A200" s="22" t="s">
        <v>791</v>
      </c>
      <c r="B200" t="str">
        <f t="shared" si="15"/>
        <v>Anjali Bansal</v>
      </c>
      <c r="C200" t="str">
        <f t="shared" si="16"/>
        <v>Operations</v>
      </c>
      <c r="D200" s="30" t="str">
        <f t="shared" si="17"/>
        <v>L3</v>
      </c>
      <c r="E200" s="30" t="str">
        <f t="shared" si="18"/>
        <v>Active</v>
      </c>
      <c r="F200" t="s">
        <v>1722</v>
      </c>
      <c r="G200" s="22">
        <v>3</v>
      </c>
      <c r="H200" s="22">
        <v>24</v>
      </c>
      <c r="I200" s="34">
        <v>19200</v>
      </c>
      <c r="J200" s="22">
        <v>73</v>
      </c>
      <c r="K200" s="22" t="s">
        <v>1700</v>
      </c>
      <c r="L200" s="22" t="s">
        <v>1700</v>
      </c>
      <c r="M200" s="22" t="str">
        <f t="shared" si="19"/>
        <v>Compliant</v>
      </c>
      <c r="N200" s="22" t="s">
        <v>1701</v>
      </c>
    </row>
    <row r="201" spans="1:14" x14ac:dyDescent="0.3">
      <c r="A201" s="22" t="s">
        <v>794</v>
      </c>
      <c r="B201" t="str">
        <f t="shared" si="15"/>
        <v>Arun Jain</v>
      </c>
      <c r="C201" t="str">
        <f t="shared" si="16"/>
        <v>Operations</v>
      </c>
      <c r="D201" s="30" t="str">
        <f t="shared" si="17"/>
        <v>L4</v>
      </c>
      <c r="E201" s="30" t="str">
        <f t="shared" si="18"/>
        <v>Active</v>
      </c>
      <c r="F201" t="s">
        <v>1731</v>
      </c>
      <c r="G201" s="22">
        <v>4</v>
      </c>
      <c r="H201" s="22">
        <v>24</v>
      </c>
      <c r="I201" s="34">
        <v>14400</v>
      </c>
      <c r="J201" s="22">
        <v>88</v>
      </c>
      <c r="K201" s="22" t="s">
        <v>1700</v>
      </c>
      <c r="L201" s="22" t="s">
        <v>1700</v>
      </c>
      <c r="M201" s="22" t="str">
        <f t="shared" si="19"/>
        <v>Compliant</v>
      </c>
      <c r="N201" s="22" t="s">
        <v>1701</v>
      </c>
    </row>
    <row r="202" spans="1:14" x14ac:dyDescent="0.3">
      <c r="A202" s="22" t="s">
        <v>797</v>
      </c>
      <c r="B202" t="str">
        <f t="shared" si="15"/>
        <v>Anjali Shah</v>
      </c>
      <c r="C202" t="str">
        <f t="shared" si="16"/>
        <v>Marketing</v>
      </c>
      <c r="D202" s="30" t="str">
        <f t="shared" si="17"/>
        <v>L3</v>
      </c>
      <c r="E202" s="30" t="str">
        <f t="shared" si="18"/>
        <v>Active</v>
      </c>
      <c r="F202" t="s">
        <v>1731</v>
      </c>
      <c r="G202" s="22">
        <v>8</v>
      </c>
      <c r="H202" s="22">
        <v>48</v>
      </c>
      <c r="I202" s="34">
        <v>28800</v>
      </c>
      <c r="J202" s="22">
        <v>82</v>
      </c>
      <c r="K202" s="22" t="s">
        <v>1700</v>
      </c>
      <c r="L202" s="22" t="s">
        <v>1700</v>
      </c>
      <c r="M202" s="22" t="str">
        <f t="shared" si="19"/>
        <v>Compliant</v>
      </c>
      <c r="N202" s="22" t="s">
        <v>1701</v>
      </c>
    </row>
    <row r="203" spans="1:14" x14ac:dyDescent="0.3">
      <c r="A203" s="22" t="s">
        <v>800</v>
      </c>
      <c r="B203" t="str">
        <f t="shared" si="15"/>
        <v>Ankit Mukherjee</v>
      </c>
      <c r="C203" t="str">
        <f t="shared" si="16"/>
        <v>Data &amp; Analytics</v>
      </c>
      <c r="D203" s="30" t="str">
        <f t="shared" si="17"/>
        <v>L2</v>
      </c>
      <c r="E203" s="30" t="str">
        <f t="shared" si="18"/>
        <v>Active</v>
      </c>
      <c r="F203" t="s">
        <v>1722</v>
      </c>
      <c r="G203" s="22">
        <v>5</v>
      </c>
      <c r="H203" s="22">
        <v>40</v>
      </c>
      <c r="I203" s="34">
        <v>32000</v>
      </c>
      <c r="J203" s="22">
        <v>78</v>
      </c>
      <c r="K203" s="22" t="s">
        <v>1700</v>
      </c>
      <c r="L203" s="22" t="s">
        <v>1700</v>
      </c>
      <c r="M203" s="22" t="str">
        <f t="shared" si="19"/>
        <v>Compliant</v>
      </c>
      <c r="N203" s="22" t="s">
        <v>1701</v>
      </c>
    </row>
    <row r="204" spans="1:14" x14ac:dyDescent="0.3">
      <c r="A204" s="22" t="s">
        <v>803</v>
      </c>
      <c r="B204" t="str">
        <f t="shared" si="15"/>
        <v>Anjali Rao</v>
      </c>
      <c r="C204" t="str">
        <f t="shared" si="16"/>
        <v>Customer Support</v>
      </c>
      <c r="D204" s="30" t="str">
        <f t="shared" si="17"/>
        <v>L3</v>
      </c>
      <c r="E204" s="30" t="str">
        <f t="shared" si="18"/>
        <v>Active</v>
      </c>
      <c r="F204" t="s">
        <v>1722</v>
      </c>
      <c r="G204" s="22">
        <v>9</v>
      </c>
      <c r="H204" s="22">
        <v>45</v>
      </c>
      <c r="I204" s="34">
        <v>20250</v>
      </c>
      <c r="J204" s="22">
        <v>92</v>
      </c>
      <c r="K204" s="22" t="s">
        <v>1701</v>
      </c>
      <c r="L204" s="22" t="s">
        <v>1700</v>
      </c>
      <c r="M204" s="22" t="str">
        <f t="shared" si="19"/>
        <v>Pending</v>
      </c>
      <c r="N204" s="22" t="s">
        <v>1701</v>
      </c>
    </row>
    <row r="205" spans="1:14" x14ac:dyDescent="0.3">
      <c r="A205" s="22" t="s">
        <v>806</v>
      </c>
      <c r="B205" t="str">
        <f t="shared" si="15"/>
        <v>Anand Shetty</v>
      </c>
      <c r="C205" t="str">
        <f t="shared" si="16"/>
        <v>Marketing</v>
      </c>
      <c r="D205" s="30" t="str">
        <f t="shared" si="17"/>
        <v>L4</v>
      </c>
      <c r="E205" s="30" t="str">
        <f t="shared" si="18"/>
        <v>Active</v>
      </c>
      <c r="F205" t="s">
        <v>1722</v>
      </c>
      <c r="G205" s="22">
        <v>3</v>
      </c>
      <c r="H205" s="22">
        <v>9</v>
      </c>
      <c r="I205" s="34">
        <v>9000</v>
      </c>
      <c r="J205" s="22">
        <v>80</v>
      </c>
      <c r="K205" s="22" t="s">
        <v>1700</v>
      </c>
      <c r="L205" s="22" t="s">
        <v>1700</v>
      </c>
      <c r="M205" s="22" t="str">
        <f t="shared" si="19"/>
        <v>Compliant</v>
      </c>
      <c r="N205" s="22" t="s">
        <v>1701</v>
      </c>
    </row>
    <row r="206" spans="1:14" x14ac:dyDescent="0.3">
      <c r="A206" s="22" t="s">
        <v>195</v>
      </c>
      <c r="B206" t="str">
        <f t="shared" si="15"/>
        <v>Srinivas Shah</v>
      </c>
      <c r="C206" t="str">
        <f t="shared" si="16"/>
        <v>Sales</v>
      </c>
      <c r="D206" s="30" t="str">
        <f t="shared" si="17"/>
        <v>L5</v>
      </c>
      <c r="E206" s="30" t="str">
        <f t="shared" si="18"/>
        <v>Active</v>
      </c>
      <c r="F206" t="s">
        <v>1730</v>
      </c>
      <c r="G206" s="22">
        <v>9</v>
      </c>
      <c r="H206" s="22">
        <v>36</v>
      </c>
      <c r="I206" s="34">
        <v>36000</v>
      </c>
      <c r="J206" s="22">
        <v>89</v>
      </c>
      <c r="K206" s="22" t="s">
        <v>1700</v>
      </c>
      <c r="L206" s="22" t="s">
        <v>1700</v>
      </c>
      <c r="M206" s="22" t="str">
        <f t="shared" si="19"/>
        <v>Compliant</v>
      </c>
      <c r="N206" s="22" t="s">
        <v>1701</v>
      </c>
    </row>
    <row r="207" spans="1:14" x14ac:dyDescent="0.3">
      <c r="A207" s="22" t="s">
        <v>810</v>
      </c>
      <c r="B207" t="str">
        <f t="shared" si="15"/>
        <v>Meera Chatterjee</v>
      </c>
      <c r="C207" t="str">
        <f t="shared" si="16"/>
        <v>Engineering</v>
      </c>
      <c r="D207" s="30" t="str">
        <f t="shared" si="17"/>
        <v>L3</v>
      </c>
      <c r="E207" s="30" t="str">
        <f t="shared" si="18"/>
        <v>Active</v>
      </c>
      <c r="F207" t="s">
        <v>1729</v>
      </c>
      <c r="G207" s="22">
        <v>7</v>
      </c>
      <c r="H207" s="22">
        <v>21</v>
      </c>
      <c r="I207" s="34">
        <v>12600</v>
      </c>
      <c r="J207" s="22">
        <v>88</v>
      </c>
      <c r="K207" s="22" t="s">
        <v>1700</v>
      </c>
      <c r="L207" s="22" t="s">
        <v>1700</v>
      </c>
      <c r="M207" s="22" t="str">
        <f t="shared" si="19"/>
        <v>Compliant</v>
      </c>
      <c r="N207" s="22" t="s">
        <v>1701</v>
      </c>
    </row>
    <row r="208" spans="1:14" x14ac:dyDescent="0.3">
      <c r="A208" s="22" t="s">
        <v>813</v>
      </c>
      <c r="B208" t="str">
        <f t="shared" si="15"/>
        <v>Tejaswini Nair</v>
      </c>
      <c r="C208" t="str">
        <f t="shared" si="16"/>
        <v>Finance</v>
      </c>
      <c r="D208" s="30" t="str">
        <f t="shared" si="17"/>
        <v>L3</v>
      </c>
      <c r="E208" s="30" t="str">
        <f t="shared" si="18"/>
        <v>Exited</v>
      </c>
      <c r="F208" t="s">
        <v>1725</v>
      </c>
      <c r="G208" s="22">
        <v>3</v>
      </c>
      <c r="H208" s="22">
        <v>9</v>
      </c>
      <c r="I208" s="34">
        <v>7200</v>
      </c>
      <c r="J208" s="22">
        <v>96</v>
      </c>
      <c r="K208" s="22" t="s">
        <v>1700</v>
      </c>
      <c r="L208" s="22" t="s">
        <v>1700</v>
      </c>
      <c r="M208" s="22" t="str">
        <f t="shared" si="19"/>
        <v>Compliant</v>
      </c>
      <c r="N208" s="22" t="s">
        <v>1701</v>
      </c>
    </row>
    <row r="209" spans="1:14" x14ac:dyDescent="0.3">
      <c r="A209" s="22" t="s">
        <v>816</v>
      </c>
      <c r="B209" t="str">
        <f t="shared" si="15"/>
        <v>Ashish Fernandes</v>
      </c>
      <c r="C209" t="str">
        <f t="shared" si="16"/>
        <v>Engineering</v>
      </c>
      <c r="D209" s="30" t="str">
        <f t="shared" si="17"/>
        <v>L2</v>
      </c>
      <c r="E209" s="30" t="str">
        <f t="shared" si="18"/>
        <v>Active</v>
      </c>
      <c r="F209" t="s">
        <v>1727</v>
      </c>
      <c r="G209" s="22">
        <v>8</v>
      </c>
      <c r="H209" s="22">
        <v>48</v>
      </c>
      <c r="I209" s="34">
        <v>28800</v>
      </c>
      <c r="J209" s="22">
        <v>77</v>
      </c>
      <c r="K209" s="22" t="s">
        <v>1701</v>
      </c>
      <c r="L209" s="22" t="s">
        <v>1700</v>
      </c>
      <c r="M209" s="22" t="str">
        <f t="shared" si="19"/>
        <v>Pending</v>
      </c>
      <c r="N209" s="22" t="s">
        <v>1701</v>
      </c>
    </row>
    <row r="210" spans="1:14" x14ac:dyDescent="0.3">
      <c r="A210" s="22" t="s">
        <v>819</v>
      </c>
      <c r="B210" t="str">
        <f t="shared" si="15"/>
        <v>Ritu Hegde</v>
      </c>
      <c r="C210" t="str">
        <f t="shared" si="16"/>
        <v>Customer Support</v>
      </c>
      <c r="D210" s="30" t="str">
        <f t="shared" si="17"/>
        <v>L3</v>
      </c>
      <c r="E210" s="30" t="str">
        <f t="shared" si="18"/>
        <v>Active</v>
      </c>
      <c r="F210" t="s">
        <v>1729</v>
      </c>
      <c r="G210" s="22">
        <v>6</v>
      </c>
      <c r="H210" s="22">
        <v>24</v>
      </c>
      <c r="I210" s="34">
        <v>24000</v>
      </c>
      <c r="J210" s="22">
        <v>58</v>
      </c>
      <c r="K210" s="22" t="s">
        <v>1700</v>
      </c>
      <c r="L210" s="22" t="s">
        <v>1700</v>
      </c>
      <c r="M210" s="22" t="str">
        <f t="shared" si="19"/>
        <v>Compliant</v>
      </c>
      <c r="N210" s="22" t="s">
        <v>1701</v>
      </c>
    </row>
    <row r="211" spans="1:14" x14ac:dyDescent="0.3">
      <c r="A211" s="22" t="s">
        <v>824</v>
      </c>
      <c r="B211" t="str">
        <f t="shared" si="15"/>
        <v>Srinivas Kumar</v>
      </c>
      <c r="C211" t="str">
        <f t="shared" si="16"/>
        <v>Product</v>
      </c>
      <c r="D211" s="30" t="str">
        <f t="shared" si="17"/>
        <v>L3</v>
      </c>
      <c r="E211" s="30" t="str">
        <f t="shared" si="18"/>
        <v>Active</v>
      </c>
      <c r="F211" t="s">
        <v>1726</v>
      </c>
      <c r="G211" s="22">
        <v>1</v>
      </c>
      <c r="H211" s="22">
        <v>8</v>
      </c>
      <c r="I211" s="34">
        <v>6400</v>
      </c>
      <c r="J211" s="22">
        <v>91</v>
      </c>
      <c r="K211" s="22" t="s">
        <v>1700</v>
      </c>
      <c r="L211" s="22" t="s">
        <v>1700</v>
      </c>
      <c r="M211" s="22" t="str">
        <f t="shared" si="19"/>
        <v>Compliant</v>
      </c>
      <c r="N211" s="22" t="s">
        <v>1700</v>
      </c>
    </row>
    <row r="212" spans="1:14" x14ac:dyDescent="0.3">
      <c r="A212" s="22" t="s">
        <v>827</v>
      </c>
      <c r="B212" t="str">
        <f t="shared" si="15"/>
        <v>Tarun Das</v>
      </c>
      <c r="C212" t="str">
        <f t="shared" si="16"/>
        <v>Customer Support</v>
      </c>
      <c r="D212" s="30" t="str">
        <f t="shared" si="17"/>
        <v>L2</v>
      </c>
      <c r="E212" s="30" t="str">
        <f t="shared" si="18"/>
        <v>Exited</v>
      </c>
      <c r="F212" t="s">
        <v>1728</v>
      </c>
      <c r="G212" s="22">
        <v>7</v>
      </c>
      <c r="H212" s="22">
        <v>56</v>
      </c>
      <c r="I212" s="34">
        <v>33600</v>
      </c>
      <c r="J212" s="22">
        <v>69</v>
      </c>
      <c r="K212" s="22" t="s">
        <v>1700</v>
      </c>
      <c r="L212" s="22" t="s">
        <v>1700</v>
      </c>
      <c r="M212" s="22" t="str">
        <f t="shared" si="19"/>
        <v>Compliant</v>
      </c>
      <c r="N212" s="22" t="s">
        <v>1701</v>
      </c>
    </row>
    <row r="213" spans="1:14" x14ac:dyDescent="0.3">
      <c r="A213" s="22" t="s">
        <v>830</v>
      </c>
      <c r="B213" t="str">
        <f t="shared" si="15"/>
        <v>Arun Kamath</v>
      </c>
      <c r="C213" t="str">
        <f t="shared" si="16"/>
        <v>Product</v>
      </c>
      <c r="D213" s="30" t="str">
        <f t="shared" si="17"/>
        <v>L2</v>
      </c>
      <c r="E213" s="30" t="str">
        <f t="shared" si="18"/>
        <v>Active</v>
      </c>
      <c r="F213" t="s">
        <v>1724</v>
      </c>
      <c r="G213" s="22">
        <v>1</v>
      </c>
      <c r="H213" s="22">
        <v>8</v>
      </c>
      <c r="I213" s="34">
        <v>8000</v>
      </c>
      <c r="J213" s="22">
        <v>94</v>
      </c>
      <c r="K213" s="22" t="s">
        <v>1700</v>
      </c>
      <c r="L213" s="22" t="s">
        <v>1700</v>
      </c>
      <c r="M213" s="22" t="str">
        <f t="shared" si="19"/>
        <v>Compliant</v>
      </c>
      <c r="N213" s="22" t="s">
        <v>1700</v>
      </c>
    </row>
    <row r="214" spans="1:14" x14ac:dyDescent="0.3">
      <c r="A214" s="22" t="s">
        <v>362</v>
      </c>
      <c r="B214" t="str">
        <f t="shared" si="15"/>
        <v>Vikram Verma</v>
      </c>
      <c r="C214" t="str">
        <f t="shared" si="16"/>
        <v>Engineering</v>
      </c>
      <c r="D214" s="30" t="str">
        <f t="shared" si="17"/>
        <v>L6</v>
      </c>
      <c r="E214" s="30" t="str">
        <f t="shared" si="18"/>
        <v>Active</v>
      </c>
      <c r="F214" t="s">
        <v>1726</v>
      </c>
      <c r="G214" s="22">
        <v>7</v>
      </c>
      <c r="H214" s="22">
        <v>42</v>
      </c>
      <c r="I214" s="34">
        <v>42000</v>
      </c>
      <c r="J214" s="22">
        <v>77</v>
      </c>
      <c r="K214" s="22" t="s">
        <v>1700</v>
      </c>
      <c r="L214" s="22" t="s">
        <v>1700</v>
      </c>
      <c r="M214" s="22" t="str">
        <f t="shared" si="19"/>
        <v>Compliant</v>
      </c>
      <c r="N214" s="22" t="s">
        <v>1700</v>
      </c>
    </row>
    <row r="215" spans="1:14" x14ac:dyDescent="0.3">
      <c r="A215" s="22" t="s">
        <v>835</v>
      </c>
      <c r="B215" t="str">
        <f t="shared" si="15"/>
        <v>Kunal Subramanian</v>
      </c>
      <c r="C215" t="str">
        <f t="shared" si="16"/>
        <v>Human Resources</v>
      </c>
      <c r="D215" s="30" t="str">
        <f t="shared" si="17"/>
        <v>L2</v>
      </c>
      <c r="E215" s="30" t="str">
        <f t="shared" si="18"/>
        <v>Exited</v>
      </c>
      <c r="F215" t="s">
        <v>1724</v>
      </c>
      <c r="G215" s="22">
        <v>6</v>
      </c>
      <c r="H215" s="22">
        <v>24</v>
      </c>
      <c r="I215" s="34">
        <v>24000</v>
      </c>
      <c r="J215" s="22">
        <v>70</v>
      </c>
      <c r="K215" s="22" t="s">
        <v>1700</v>
      </c>
      <c r="L215" s="22" t="s">
        <v>1700</v>
      </c>
      <c r="M215" s="22" t="str">
        <f t="shared" si="19"/>
        <v>Compliant</v>
      </c>
      <c r="N215" s="22" t="s">
        <v>1700</v>
      </c>
    </row>
    <row r="216" spans="1:14" x14ac:dyDescent="0.3">
      <c r="A216" s="22" t="s">
        <v>838</v>
      </c>
      <c r="B216" t="str">
        <f t="shared" si="15"/>
        <v>Krishna Siddiqui</v>
      </c>
      <c r="C216" t="str">
        <f t="shared" si="16"/>
        <v>Product</v>
      </c>
      <c r="D216" s="30" t="str">
        <f t="shared" si="17"/>
        <v>L2</v>
      </c>
      <c r="E216" s="30" t="str">
        <f t="shared" si="18"/>
        <v>Active</v>
      </c>
      <c r="F216" t="s">
        <v>1725</v>
      </c>
      <c r="G216" s="22">
        <v>4</v>
      </c>
      <c r="H216" s="22">
        <v>20</v>
      </c>
      <c r="I216" s="34">
        <v>9000</v>
      </c>
      <c r="J216" s="22">
        <v>96</v>
      </c>
      <c r="K216" s="22" t="s">
        <v>1700</v>
      </c>
      <c r="L216" s="22" t="s">
        <v>1700</v>
      </c>
      <c r="M216" s="22" t="str">
        <f t="shared" si="19"/>
        <v>Compliant</v>
      </c>
      <c r="N216" s="22" t="s">
        <v>1701</v>
      </c>
    </row>
    <row r="217" spans="1:14" x14ac:dyDescent="0.3">
      <c r="A217" s="22" t="s">
        <v>841</v>
      </c>
      <c r="B217" t="str">
        <f t="shared" si="15"/>
        <v>Bhavana Siddiqui</v>
      </c>
      <c r="C217" t="str">
        <f t="shared" si="16"/>
        <v>Engineering</v>
      </c>
      <c r="D217" s="30" t="str">
        <f t="shared" si="17"/>
        <v>L2</v>
      </c>
      <c r="E217" s="30" t="str">
        <f t="shared" si="18"/>
        <v>Active</v>
      </c>
      <c r="F217" t="s">
        <v>1727</v>
      </c>
      <c r="G217" s="22">
        <v>1</v>
      </c>
      <c r="H217" s="22">
        <v>7</v>
      </c>
      <c r="I217" s="34">
        <v>3150</v>
      </c>
      <c r="J217" s="22">
        <v>58</v>
      </c>
      <c r="K217" s="22" t="s">
        <v>1700</v>
      </c>
      <c r="L217" s="22" t="s">
        <v>1700</v>
      </c>
      <c r="M217" s="22" t="str">
        <f t="shared" si="19"/>
        <v>Compliant</v>
      </c>
      <c r="N217" s="22" t="s">
        <v>1700</v>
      </c>
    </row>
    <row r="218" spans="1:14" x14ac:dyDescent="0.3">
      <c r="A218" s="22" t="s">
        <v>844</v>
      </c>
      <c r="B218" t="str">
        <f t="shared" si="15"/>
        <v>Krishna Pillai</v>
      </c>
      <c r="C218" t="str">
        <f t="shared" si="16"/>
        <v>Sales</v>
      </c>
      <c r="D218" s="30" t="str">
        <f t="shared" si="17"/>
        <v>L3</v>
      </c>
      <c r="E218" s="30" t="str">
        <f t="shared" si="18"/>
        <v>Active</v>
      </c>
      <c r="F218" t="s">
        <v>1729</v>
      </c>
      <c r="G218" s="22">
        <v>1</v>
      </c>
      <c r="H218" s="22">
        <v>5</v>
      </c>
      <c r="I218" s="34">
        <v>5000</v>
      </c>
      <c r="J218" s="22">
        <v>62</v>
      </c>
      <c r="K218" s="22" t="s">
        <v>1700</v>
      </c>
      <c r="L218" s="22" t="s">
        <v>1700</v>
      </c>
      <c r="M218" s="22" t="str">
        <f t="shared" si="19"/>
        <v>Compliant</v>
      </c>
      <c r="N218" s="22" t="s">
        <v>1701</v>
      </c>
    </row>
    <row r="219" spans="1:14" x14ac:dyDescent="0.3">
      <c r="A219" s="22" t="s">
        <v>847</v>
      </c>
      <c r="B219" t="str">
        <f t="shared" si="15"/>
        <v>Nisha Subramanian</v>
      </c>
      <c r="C219" t="str">
        <f t="shared" si="16"/>
        <v>Customer Support</v>
      </c>
      <c r="D219" s="30" t="str">
        <f t="shared" si="17"/>
        <v>L3</v>
      </c>
      <c r="E219" s="30" t="str">
        <f t="shared" si="18"/>
        <v>Active</v>
      </c>
      <c r="F219" t="s">
        <v>1728</v>
      </c>
      <c r="G219" s="22">
        <v>3</v>
      </c>
      <c r="H219" s="22">
        <v>12</v>
      </c>
      <c r="I219" s="34">
        <v>12000</v>
      </c>
      <c r="J219" s="22">
        <v>96</v>
      </c>
      <c r="K219" s="22" t="s">
        <v>1700</v>
      </c>
      <c r="L219" s="22" t="s">
        <v>1700</v>
      </c>
      <c r="M219" s="22" t="str">
        <f t="shared" si="19"/>
        <v>Compliant</v>
      </c>
      <c r="N219" s="22" t="s">
        <v>1700</v>
      </c>
    </row>
    <row r="220" spans="1:14" x14ac:dyDescent="0.3">
      <c r="A220" s="22" t="s">
        <v>850</v>
      </c>
      <c r="B220" t="str">
        <f t="shared" si="15"/>
        <v>Neha Patel</v>
      </c>
      <c r="C220" t="str">
        <f t="shared" si="16"/>
        <v>Customer Support</v>
      </c>
      <c r="D220" s="30" t="str">
        <f t="shared" si="17"/>
        <v>L3</v>
      </c>
      <c r="E220" s="30" t="str">
        <f t="shared" si="18"/>
        <v>Active</v>
      </c>
      <c r="F220" t="s">
        <v>1728</v>
      </c>
      <c r="G220" s="22">
        <v>6</v>
      </c>
      <c r="H220" s="22">
        <v>42</v>
      </c>
      <c r="I220" s="34">
        <v>25200</v>
      </c>
      <c r="J220" s="22">
        <v>90</v>
      </c>
      <c r="K220" s="22" t="s">
        <v>1700</v>
      </c>
      <c r="L220" s="22" t="s">
        <v>1700</v>
      </c>
      <c r="M220" s="22" t="str">
        <f t="shared" si="19"/>
        <v>Compliant</v>
      </c>
      <c r="N220" s="22" t="s">
        <v>1701</v>
      </c>
    </row>
    <row r="221" spans="1:14" x14ac:dyDescent="0.3">
      <c r="A221" s="22" t="s">
        <v>853</v>
      </c>
      <c r="B221" t="str">
        <f t="shared" si="15"/>
        <v>Madhuri Choudhary</v>
      </c>
      <c r="C221" t="str">
        <f t="shared" si="16"/>
        <v>Finance</v>
      </c>
      <c r="D221" s="30" t="str">
        <f t="shared" si="17"/>
        <v>L3</v>
      </c>
      <c r="E221" s="30" t="str">
        <f t="shared" si="18"/>
        <v>Active</v>
      </c>
      <c r="F221" t="s">
        <v>1726</v>
      </c>
      <c r="G221" s="22">
        <v>3</v>
      </c>
      <c r="H221" s="22">
        <v>18</v>
      </c>
      <c r="I221" s="34">
        <v>8100</v>
      </c>
      <c r="J221" s="22">
        <v>77</v>
      </c>
      <c r="K221" s="22" t="s">
        <v>1700</v>
      </c>
      <c r="L221" s="22" t="s">
        <v>1701</v>
      </c>
      <c r="M221" s="22" t="str">
        <f t="shared" si="19"/>
        <v>Pending</v>
      </c>
      <c r="N221" s="22" t="s">
        <v>1701</v>
      </c>
    </row>
    <row r="222" spans="1:14" x14ac:dyDescent="0.3">
      <c r="A222" s="22" t="s">
        <v>856</v>
      </c>
      <c r="B222" t="str">
        <f t="shared" si="15"/>
        <v>Sai Khanna</v>
      </c>
      <c r="C222" t="str">
        <f t="shared" si="16"/>
        <v>Engineering</v>
      </c>
      <c r="D222" s="30" t="str">
        <f t="shared" si="17"/>
        <v>L2</v>
      </c>
      <c r="E222" s="30" t="str">
        <f t="shared" si="18"/>
        <v>Active</v>
      </c>
      <c r="F222" t="s">
        <v>1726</v>
      </c>
      <c r="G222" s="22">
        <v>5</v>
      </c>
      <c r="H222" s="22">
        <v>15</v>
      </c>
      <c r="I222" s="34">
        <v>12000</v>
      </c>
      <c r="J222" s="22">
        <v>89</v>
      </c>
      <c r="K222" s="22" t="s">
        <v>1700</v>
      </c>
      <c r="L222" s="22" t="s">
        <v>1700</v>
      </c>
      <c r="M222" s="22" t="str">
        <f t="shared" si="19"/>
        <v>Compliant</v>
      </c>
      <c r="N222" s="22" t="s">
        <v>1700</v>
      </c>
    </row>
    <row r="223" spans="1:14" x14ac:dyDescent="0.3">
      <c r="A223" s="22" t="s">
        <v>859</v>
      </c>
      <c r="B223" t="str">
        <f t="shared" si="15"/>
        <v>Karan Varghese</v>
      </c>
      <c r="C223" t="str">
        <f t="shared" si="16"/>
        <v>Operations</v>
      </c>
      <c r="D223" s="30" t="str">
        <f t="shared" si="17"/>
        <v>L4</v>
      </c>
      <c r="E223" s="30" t="str">
        <f t="shared" si="18"/>
        <v>Active</v>
      </c>
      <c r="F223" t="s">
        <v>1727</v>
      </c>
      <c r="G223" s="22">
        <v>4</v>
      </c>
      <c r="H223" s="22">
        <v>28</v>
      </c>
      <c r="I223" s="34">
        <v>16800</v>
      </c>
      <c r="J223" s="22">
        <v>82</v>
      </c>
      <c r="K223" s="22" t="s">
        <v>1701</v>
      </c>
      <c r="L223" s="22" t="s">
        <v>1701</v>
      </c>
      <c r="M223" s="22" t="str">
        <f t="shared" si="19"/>
        <v>Pending</v>
      </c>
      <c r="N223" s="22" t="s">
        <v>1701</v>
      </c>
    </row>
    <row r="224" spans="1:14" x14ac:dyDescent="0.3">
      <c r="A224" s="22" t="s">
        <v>862</v>
      </c>
      <c r="B224" t="str">
        <f t="shared" si="15"/>
        <v>Meera Kumar</v>
      </c>
      <c r="C224" t="str">
        <f t="shared" si="16"/>
        <v>Marketing</v>
      </c>
      <c r="D224" s="30" t="str">
        <f t="shared" si="17"/>
        <v>L2</v>
      </c>
      <c r="E224" s="30" t="str">
        <f t="shared" si="18"/>
        <v>Active</v>
      </c>
      <c r="F224" t="s">
        <v>1730</v>
      </c>
      <c r="G224" s="22">
        <v>8</v>
      </c>
      <c r="H224" s="22">
        <v>24</v>
      </c>
      <c r="I224" s="34">
        <v>10800</v>
      </c>
      <c r="J224" s="22">
        <v>70</v>
      </c>
      <c r="K224" s="22" t="s">
        <v>1700</v>
      </c>
      <c r="L224" s="22" t="s">
        <v>1700</v>
      </c>
      <c r="M224" s="22" t="str">
        <f t="shared" si="19"/>
        <v>Compliant</v>
      </c>
      <c r="N224" s="22" t="s">
        <v>1700</v>
      </c>
    </row>
    <row r="225" spans="1:14" x14ac:dyDescent="0.3">
      <c r="A225" s="22" t="s">
        <v>865</v>
      </c>
      <c r="B225" t="str">
        <f t="shared" si="15"/>
        <v>Aditya Bose</v>
      </c>
      <c r="C225" t="str">
        <f t="shared" si="16"/>
        <v>Data &amp; Analytics</v>
      </c>
      <c r="D225" s="30" t="str">
        <f t="shared" si="17"/>
        <v>L2</v>
      </c>
      <c r="E225" s="30" t="str">
        <f t="shared" si="18"/>
        <v>Active</v>
      </c>
      <c r="F225" t="s">
        <v>1731</v>
      </c>
      <c r="G225" s="22">
        <v>7</v>
      </c>
      <c r="H225" s="22">
        <v>21</v>
      </c>
      <c r="I225" s="34">
        <v>16800</v>
      </c>
      <c r="J225" s="22">
        <v>64</v>
      </c>
      <c r="K225" s="22" t="s">
        <v>1700</v>
      </c>
      <c r="L225" s="22" t="s">
        <v>1701</v>
      </c>
      <c r="M225" s="22" t="str">
        <f t="shared" si="19"/>
        <v>Pending</v>
      </c>
      <c r="N225" s="22" t="s">
        <v>1701</v>
      </c>
    </row>
    <row r="226" spans="1:14" x14ac:dyDescent="0.3">
      <c r="A226" s="22" t="s">
        <v>384</v>
      </c>
      <c r="B226" t="str">
        <f t="shared" si="15"/>
        <v>Nandini Fernandes</v>
      </c>
      <c r="C226" t="str">
        <f t="shared" si="16"/>
        <v>Operations</v>
      </c>
      <c r="D226" s="30" t="str">
        <f t="shared" si="17"/>
        <v>L5</v>
      </c>
      <c r="E226" s="30" t="str">
        <f t="shared" si="18"/>
        <v>Active</v>
      </c>
      <c r="F226" t="s">
        <v>1727</v>
      </c>
      <c r="G226" s="22">
        <v>9</v>
      </c>
      <c r="H226" s="22">
        <v>27</v>
      </c>
      <c r="I226" s="34">
        <v>21600</v>
      </c>
      <c r="J226" s="22">
        <v>83</v>
      </c>
      <c r="K226" s="22" t="s">
        <v>1700</v>
      </c>
      <c r="L226" s="22" t="s">
        <v>1700</v>
      </c>
      <c r="M226" s="22" t="str">
        <f t="shared" si="19"/>
        <v>Compliant</v>
      </c>
      <c r="N226" s="22" t="s">
        <v>1701</v>
      </c>
    </row>
    <row r="227" spans="1:14" x14ac:dyDescent="0.3">
      <c r="A227" s="22" t="s">
        <v>869</v>
      </c>
      <c r="B227" t="str">
        <f t="shared" si="15"/>
        <v>Revathi Thomas</v>
      </c>
      <c r="C227" t="str">
        <f t="shared" si="16"/>
        <v>Operations</v>
      </c>
      <c r="D227" s="30" t="str">
        <f t="shared" si="17"/>
        <v>L2</v>
      </c>
      <c r="E227" s="30" t="str">
        <f t="shared" si="18"/>
        <v>Active</v>
      </c>
      <c r="F227" t="s">
        <v>1723</v>
      </c>
      <c r="G227" s="22">
        <v>9</v>
      </c>
      <c r="H227" s="22">
        <v>72</v>
      </c>
      <c r="I227" s="34">
        <v>43200</v>
      </c>
      <c r="J227" s="22">
        <v>98</v>
      </c>
      <c r="K227" s="22" t="s">
        <v>1700</v>
      </c>
      <c r="L227" s="22" t="s">
        <v>1700</v>
      </c>
      <c r="M227" s="22" t="str">
        <f t="shared" si="19"/>
        <v>Compliant</v>
      </c>
      <c r="N227" s="22" t="s">
        <v>1701</v>
      </c>
    </row>
    <row r="228" spans="1:14" x14ac:dyDescent="0.3">
      <c r="A228" s="22" t="s">
        <v>872</v>
      </c>
      <c r="B228" t="str">
        <f t="shared" si="15"/>
        <v>Akash Bose</v>
      </c>
      <c r="C228" t="str">
        <f t="shared" si="16"/>
        <v>Engineering</v>
      </c>
      <c r="D228" s="30" t="str">
        <f t="shared" si="17"/>
        <v>L4</v>
      </c>
      <c r="E228" s="30" t="str">
        <f t="shared" si="18"/>
        <v>Active</v>
      </c>
      <c r="F228" t="s">
        <v>1729</v>
      </c>
      <c r="G228" s="22">
        <v>7</v>
      </c>
      <c r="H228" s="22">
        <v>42</v>
      </c>
      <c r="I228" s="34">
        <v>42000</v>
      </c>
      <c r="J228" s="22">
        <v>93</v>
      </c>
      <c r="K228" s="22" t="s">
        <v>1700</v>
      </c>
      <c r="L228" s="22" t="s">
        <v>1700</v>
      </c>
      <c r="M228" s="22" t="str">
        <f t="shared" si="19"/>
        <v>Compliant</v>
      </c>
      <c r="N228" s="22" t="s">
        <v>1701</v>
      </c>
    </row>
    <row r="229" spans="1:14" x14ac:dyDescent="0.3">
      <c r="A229" s="22" t="s">
        <v>875</v>
      </c>
      <c r="B229" t="str">
        <f t="shared" si="15"/>
        <v>Venkat Menon</v>
      </c>
      <c r="C229" t="str">
        <f t="shared" si="16"/>
        <v>Operations</v>
      </c>
      <c r="D229" s="30" t="str">
        <f t="shared" si="17"/>
        <v>L3</v>
      </c>
      <c r="E229" s="30" t="str">
        <f t="shared" si="18"/>
        <v>Active</v>
      </c>
      <c r="F229" t="s">
        <v>1725</v>
      </c>
      <c r="G229" s="22">
        <v>8</v>
      </c>
      <c r="H229" s="22">
        <v>56</v>
      </c>
      <c r="I229" s="34">
        <v>56000</v>
      </c>
      <c r="J229" s="22">
        <v>91</v>
      </c>
      <c r="K229" s="22" t="s">
        <v>1700</v>
      </c>
      <c r="L229" s="22" t="s">
        <v>1701</v>
      </c>
      <c r="M229" s="22" t="str">
        <f t="shared" si="19"/>
        <v>Pending</v>
      </c>
      <c r="N229" s="22" t="s">
        <v>1701</v>
      </c>
    </row>
    <row r="230" spans="1:14" x14ac:dyDescent="0.3">
      <c r="A230" s="22" t="s">
        <v>878</v>
      </c>
      <c r="B230" t="str">
        <f t="shared" si="15"/>
        <v>Vikram Shah</v>
      </c>
      <c r="C230" t="str">
        <f t="shared" si="16"/>
        <v>Customer Support</v>
      </c>
      <c r="D230" s="30" t="str">
        <f t="shared" si="17"/>
        <v>L3</v>
      </c>
      <c r="E230" s="30" t="str">
        <f t="shared" si="18"/>
        <v>Active</v>
      </c>
      <c r="F230" t="s">
        <v>1727</v>
      </c>
      <c r="G230" s="22">
        <v>1</v>
      </c>
      <c r="H230" s="22">
        <v>4</v>
      </c>
      <c r="I230" s="34">
        <v>1800</v>
      </c>
      <c r="J230" s="22">
        <v>69</v>
      </c>
      <c r="K230" s="22" t="s">
        <v>1700</v>
      </c>
      <c r="L230" s="22" t="s">
        <v>1700</v>
      </c>
      <c r="M230" s="22" t="str">
        <f t="shared" si="19"/>
        <v>Compliant</v>
      </c>
      <c r="N230" s="22" t="s">
        <v>1701</v>
      </c>
    </row>
    <row r="231" spans="1:14" x14ac:dyDescent="0.3">
      <c r="A231" s="22" t="s">
        <v>881</v>
      </c>
      <c r="B231" t="str">
        <f t="shared" si="15"/>
        <v>Sneha Chatterjee</v>
      </c>
      <c r="C231" t="str">
        <f t="shared" si="16"/>
        <v>Sales</v>
      </c>
      <c r="D231" s="30" t="str">
        <f t="shared" si="17"/>
        <v>L2</v>
      </c>
      <c r="E231" s="30" t="str">
        <f t="shared" si="18"/>
        <v>Active</v>
      </c>
      <c r="F231" t="s">
        <v>1722</v>
      </c>
      <c r="G231" s="22">
        <v>6</v>
      </c>
      <c r="H231" s="22">
        <v>48</v>
      </c>
      <c r="I231" s="34">
        <v>21600</v>
      </c>
      <c r="J231" s="22">
        <v>80</v>
      </c>
      <c r="K231" s="22" t="s">
        <v>1700</v>
      </c>
      <c r="L231" s="22" t="s">
        <v>1700</v>
      </c>
      <c r="M231" s="22" t="str">
        <f t="shared" si="19"/>
        <v>Compliant</v>
      </c>
      <c r="N231" s="22" t="s">
        <v>1700</v>
      </c>
    </row>
    <row r="232" spans="1:14" x14ac:dyDescent="0.3">
      <c r="A232" s="22" t="s">
        <v>884</v>
      </c>
      <c r="B232" t="str">
        <f t="shared" si="15"/>
        <v>Lakshmi Raghavan</v>
      </c>
      <c r="C232" t="str">
        <f t="shared" si="16"/>
        <v>Engineering</v>
      </c>
      <c r="D232" s="30" t="str">
        <f t="shared" si="17"/>
        <v>L3</v>
      </c>
      <c r="E232" s="30" t="str">
        <f t="shared" si="18"/>
        <v>Active</v>
      </c>
      <c r="F232" t="s">
        <v>1729</v>
      </c>
      <c r="G232" s="22">
        <v>9</v>
      </c>
      <c r="H232" s="22">
        <v>27</v>
      </c>
      <c r="I232" s="34">
        <v>27000</v>
      </c>
      <c r="J232" s="22">
        <v>60</v>
      </c>
      <c r="K232" s="22" t="s">
        <v>1700</v>
      </c>
      <c r="L232" s="22" t="s">
        <v>1700</v>
      </c>
      <c r="M232" s="22" t="str">
        <f t="shared" si="19"/>
        <v>Compliant</v>
      </c>
      <c r="N232" s="22" t="s">
        <v>1700</v>
      </c>
    </row>
    <row r="233" spans="1:14" x14ac:dyDescent="0.3">
      <c r="A233" s="22" t="s">
        <v>887</v>
      </c>
      <c r="B233" t="str">
        <f t="shared" si="15"/>
        <v>Nisha Reddy</v>
      </c>
      <c r="C233" t="str">
        <f t="shared" si="16"/>
        <v>Customer Support</v>
      </c>
      <c r="D233" s="30" t="str">
        <f t="shared" si="17"/>
        <v>L1</v>
      </c>
      <c r="E233" s="30" t="str">
        <f t="shared" si="18"/>
        <v>Active</v>
      </c>
      <c r="F233" t="s">
        <v>1726</v>
      </c>
      <c r="G233" s="22">
        <v>4</v>
      </c>
      <c r="H233" s="22">
        <v>12</v>
      </c>
      <c r="I233" s="34">
        <v>12000</v>
      </c>
      <c r="J233" s="22">
        <v>71</v>
      </c>
      <c r="K233" s="22" t="s">
        <v>1701</v>
      </c>
      <c r="L233" s="22" t="s">
        <v>1700</v>
      </c>
      <c r="M233" s="22" t="str">
        <f t="shared" si="19"/>
        <v>Pending</v>
      </c>
      <c r="N233" s="22" t="s">
        <v>1701</v>
      </c>
    </row>
    <row r="234" spans="1:14" x14ac:dyDescent="0.3">
      <c r="A234" s="22" t="s">
        <v>891</v>
      </c>
      <c r="B234" t="str">
        <f t="shared" si="15"/>
        <v>Anand Yadav</v>
      </c>
      <c r="C234" t="str">
        <f t="shared" si="16"/>
        <v>Product</v>
      </c>
      <c r="D234" s="30" t="str">
        <f t="shared" si="17"/>
        <v>L1</v>
      </c>
      <c r="E234" s="30" t="str">
        <f t="shared" si="18"/>
        <v>Active</v>
      </c>
      <c r="F234" t="s">
        <v>1726</v>
      </c>
      <c r="G234" s="22">
        <v>8</v>
      </c>
      <c r="H234" s="22">
        <v>32</v>
      </c>
      <c r="I234" s="34">
        <v>14400</v>
      </c>
      <c r="J234" s="22">
        <v>76</v>
      </c>
      <c r="K234" s="22" t="s">
        <v>1700</v>
      </c>
      <c r="L234" s="22" t="s">
        <v>1700</v>
      </c>
      <c r="M234" s="22" t="str">
        <f t="shared" si="19"/>
        <v>Compliant</v>
      </c>
      <c r="N234" s="22" t="s">
        <v>1701</v>
      </c>
    </row>
    <row r="235" spans="1:14" x14ac:dyDescent="0.3">
      <c r="A235" s="22" t="s">
        <v>895</v>
      </c>
      <c r="B235" t="str">
        <f t="shared" si="15"/>
        <v>Arun Gupta</v>
      </c>
      <c r="C235" t="str">
        <f t="shared" si="16"/>
        <v>Marketing</v>
      </c>
      <c r="D235" s="30" t="str">
        <f t="shared" si="17"/>
        <v>L1</v>
      </c>
      <c r="E235" s="30" t="str">
        <f t="shared" si="18"/>
        <v>Exited</v>
      </c>
      <c r="F235" t="s">
        <v>1729</v>
      </c>
      <c r="G235" s="22">
        <v>1</v>
      </c>
      <c r="H235" s="22">
        <v>4</v>
      </c>
      <c r="I235" s="34">
        <v>3200</v>
      </c>
      <c r="J235" s="22">
        <v>83</v>
      </c>
      <c r="K235" s="22" t="s">
        <v>1701</v>
      </c>
      <c r="L235" s="22" t="s">
        <v>1701</v>
      </c>
      <c r="M235" s="22" t="str">
        <f t="shared" si="19"/>
        <v>Pending</v>
      </c>
      <c r="N235" s="22" t="s">
        <v>1701</v>
      </c>
    </row>
    <row r="236" spans="1:14" x14ac:dyDescent="0.3">
      <c r="A236" s="22" t="s">
        <v>899</v>
      </c>
      <c r="B236" t="str">
        <f t="shared" si="15"/>
        <v>Sanjay Chatterjee</v>
      </c>
      <c r="C236" t="str">
        <f t="shared" si="16"/>
        <v>Operations</v>
      </c>
      <c r="D236" s="30" t="str">
        <f t="shared" si="17"/>
        <v>L1</v>
      </c>
      <c r="E236" s="30" t="str">
        <f t="shared" si="18"/>
        <v>Active</v>
      </c>
      <c r="F236" t="s">
        <v>1724</v>
      </c>
      <c r="G236" s="22">
        <v>1</v>
      </c>
      <c r="H236" s="22">
        <v>4</v>
      </c>
      <c r="I236" s="34">
        <v>2400</v>
      </c>
      <c r="J236" s="22">
        <v>94</v>
      </c>
      <c r="K236" s="22" t="s">
        <v>1700</v>
      </c>
      <c r="L236" s="22" t="s">
        <v>1700</v>
      </c>
      <c r="M236" s="22" t="str">
        <f t="shared" si="19"/>
        <v>Compliant</v>
      </c>
      <c r="N236" s="22" t="s">
        <v>1700</v>
      </c>
    </row>
    <row r="237" spans="1:14" x14ac:dyDescent="0.3">
      <c r="A237" s="22" t="s">
        <v>514</v>
      </c>
      <c r="B237" t="str">
        <f t="shared" si="15"/>
        <v>Sachin Shetty</v>
      </c>
      <c r="C237" t="str">
        <f t="shared" si="16"/>
        <v>Product</v>
      </c>
      <c r="D237" s="30" t="str">
        <f t="shared" si="17"/>
        <v>L5</v>
      </c>
      <c r="E237" s="30" t="str">
        <f t="shared" si="18"/>
        <v>Active</v>
      </c>
      <c r="F237" t="s">
        <v>1724</v>
      </c>
      <c r="G237" s="22">
        <v>5</v>
      </c>
      <c r="H237" s="22">
        <v>20</v>
      </c>
      <c r="I237" s="34">
        <v>16000</v>
      </c>
      <c r="J237" s="22">
        <v>75</v>
      </c>
      <c r="K237" s="22" t="s">
        <v>1700</v>
      </c>
      <c r="L237" s="22" t="s">
        <v>1700</v>
      </c>
      <c r="M237" s="22" t="str">
        <f t="shared" si="19"/>
        <v>Compliant</v>
      </c>
      <c r="N237" s="22" t="s">
        <v>1701</v>
      </c>
    </row>
    <row r="238" spans="1:14" x14ac:dyDescent="0.3">
      <c r="A238" s="22" t="s">
        <v>904</v>
      </c>
      <c r="B238" t="str">
        <f t="shared" si="15"/>
        <v>Sanjana Mukherjee</v>
      </c>
      <c r="C238" t="str">
        <f t="shared" si="16"/>
        <v>Engineering</v>
      </c>
      <c r="D238" s="30" t="str">
        <f t="shared" si="17"/>
        <v>L2</v>
      </c>
      <c r="E238" s="30" t="str">
        <f t="shared" si="18"/>
        <v>Active</v>
      </c>
      <c r="F238" t="s">
        <v>1730</v>
      </c>
      <c r="G238" s="22">
        <v>4</v>
      </c>
      <c r="H238" s="22">
        <v>24</v>
      </c>
      <c r="I238" s="34">
        <v>19200</v>
      </c>
      <c r="J238" s="22">
        <v>66</v>
      </c>
      <c r="K238" s="22" t="s">
        <v>1700</v>
      </c>
      <c r="L238" s="22" t="s">
        <v>1700</v>
      </c>
      <c r="M238" s="22" t="str">
        <f t="shared" si="19"/>
        <v>Compliant</v>
      </c>
      <c r="N238" s="22" t="s">
        <v>1701</v>
      </c>
    </row>
    <row r="239" spans="1:14" x14ac:dyDescent="0.3">
      <c r="A239" s="22" t="s">
        <v>129</v>
      </c>
      <c r="B239" t="str">
        <f t="shared" si="15"/>
        <v>Nandini Iyer</v>
      </c>
      <c r="C239" t="str">
        <f t="shared" si="16"/>
        <v>Marketing</v>
      </c>
      <c r="D239" s="30" t="str">
        <f t="shared" si="17"/>
        <v>L5</v>
      </c>
      <c r="E239" s="30" t="str">
        <f t="shared" si="18"/>
        <v>Active</v>
      </c>
      <c r="F239" t="s">
        <v>1728</v>
      </c>
      <c r="G239" s="22">
        <v>4</v>
      </c>
      <c r="H239" s="22">
        <v>12</v>
      </c>
      <c r="I239" s="34">
        <v>5400</v>
      </c>
      <c r="J239" s="22">
        <v>92</v>
      </c>
      <c r="K239" s="22" t="s">
        <v>1700</v>
      </c>
      <c r="L239" s="22" t="s">
        <v>1701</v>
      </c>
      <c r="M239" s="22" t="str">
        <f t="shared" si="19"/>
        <v>Pending</v>
      </c>
      <c r="N239" s="22" t="s">
        <v>1701</v>
      </c>
    </row>
    <row r="240" spans="1:14" x14ac:dyDescent="0.3">
      <c r="A240" s="22" t="s">
        <v>908</v>
      </c>
      <c r="B240" t="str">
        <f t="shared" si="15"/>
        <v>Sakshi Mukherjee</v>
      </c>
      <c r="C240" t="str">
        <f t="shared" si="16"/>
        <v>Engineering</v>
      </c>
      <c r="D240" s="30" t="str">
        <f t="shared" si="17"/>
        <v>L1</v>
      </c>
      <c r="E240" s="30" t="str">
        <f t="shared" si="18"/>
        <v>Exited</v>
      </c>
      <c r="F240" t="s">
        <v>1723</v>
      </c>
      <c r="G240" s="22">
        <v>6</v>
      </c>
      <c r="H240" s="22">
        <v>24</v>
      </c>
      <c r="I240" s="34">
        <v>19200</v>
      </c>
      <c r="J240" s="22">
        <v>92</v>
      </c>
      <c r="K240" s="22" t="s">
        <v>1701</v>
      </c>
      <c r="L240" s="22" t="s">
        <v>1700</v>
      </c>
      <c r="M240" s="22" t="str">
        <f t="shared" si="19"/>
        <v>Pending</v>
      </c>
      <c r="N240" s="22" t="s">
        <v>1701</v>
      </c>
    </row>
    <row r="241" spans="1:14" x14ac:dyDescent="0.3">
      <c r="A241" s="22" t="s">
        <v>912</v>
      </c>
      <c r="B241" t="str">
        <f t="shared" si="15"/>
        <v>Ramya Khan</v>
      </c>
      <c r="C241" t="str">
        <f t="shared" si="16"/>
        <v>Legal &amp; Compliance</v>
      </c>
      <c r="D241" s="30" t="str">
        <f t="shared" si="17"/>
        <v>L4</v>
      </c>
      <c r="E241" s="30" t="str">
        <f t="shared" si="18"/>
        <v>Active</v>
      </c>
      <c r="F241" t="s">
        <v>1722</v>
      </c>
      <c r="G241" s="22">
        <v>5</v>
      </c>
      <c r="H241" s="22">
        <v>25</v>
      </c>
      <c r="I241" s="34">
        <v>20000</v>
      </c>
      <c r="J241" s="22">
        <v>63</v>
      </c>
      <c r="K241" s="22" t="s">
        <v>1700</v>
      </c>
      <c r="L241" s="22" t="s">
        <v>1700</v>
      </c>
      <c r="M241" s="22" t="str">
        <f t="shared" si="19"/>
        <v>Compliant</v>
      </c>
      <c r="N241" s="22" t="s">
        <v>1701</v>
      </c>
    </row>
    <row r="242" spans="1:14" x14ac:dyDescent="0.3">
      <c r="A242" s="22" t="s">
        <v>727</v>
      </c>
      <c r="B242" t="str">
        <f t="shared" si="15"/>
        <v>Imran Joshi</v>
      </c>
      <c r="C242" t="str">
        <f t="shared" si="16"/>
        <v>Customer Support</v>
      </c>
      <c r="D242" s="30" t="str">
        <f t="shared" si="17"/>
        <v>L5</v>
      </c>
      <c r="E242" s="30" t="str">
        <f t="shared" si="18"/>
        <v>Active</v>
      </c>
      <c r="F242" t="s">
        <v>1726</v>
      </c>
      <c r="G242" s="22">
        <v>9</v>
      </c>
      <c r="H242" s="22">
        <v>54</v>
      </c>
      <c r="I242" s="34">
        <v>32400</v>
      </c>
      <c r="J242" s="22">
        <v>65</v>
      </c>
      <c r="K242" s="22" t="s">
        <v>1700</v>
      </c>
      <c r="L242" s="22" t="s">
        <v>1701</v>
      </c>
      <c r="M242" s="22" t="str">
        <f t="shared" si="19"/>
        <v>Pending</v>
      </c>
      <c r="N242" s="22" t="s">
        <v>1701</v>
      </c>
    </row>
    <row r="243" spans="1:14" x14ac:dyDescent="0.3">
      <c r="A243" s="22" t="s">
        <v>917</v>
      </c>
      <c r="B243" t="str">
        <f t="shared" si="15"/>
        <v>Aarav Das</v>
      </c>
      <c r="C243" t="str">
        <f t="shared" si="16"/>
        <v>Engineering</v>
      </c>
      <c r="D243" s="30" t="str">
        <f t="shared" si="17"/>
        <v>L2</v>
      </c>
      <c r="E243" s="30" t="str">
        <f t="shared" si="18"/>
        <v>Active</v>
      </c>
      <c r="F243" t="s">
        <v>1722</v>
      </c>
      <c r="G243" s="22">
        <v>4</v>
      </c>
      <c r="H243" s="22">
        <v>12</v>
      </c>
      <c r="I243" s="34">
        <v>12000</v>
      </c>
      <c r="J243" s="22">
        <v>85</v>
      </c>
      <c r="K243" s="22" t="s">
        <v>1700</v>
      </c>
      <c r="L243" s="22" t="s">
        <v>1700</v>
      </c>
      <c r="M243" s="22" t="str">
        <f t="shared" si="19"/>
        <v>Compliant</v>
      </c>
      <c r="N243" s="22" t="s">
        <v>1701</v>
      </c>
    </row>
    <row r="244" spans="1:14" x14ac:dyDescent="0.3">
      <c r="A244" s="22" t="s">
        <v>920</v>
      </c>
      <c r="B244" t="str">
        <f t="shared" si="15"/>
        <v>Tanvi Yadav</v>
      </c>
      <c r="C244" t="str">
        <f t="shared" si="16"/>
        <v>Customer Support</v>
      </c>
      <c r="D244" s="30" t="str">
        <f t="shared" si="17"/>
        <v>L4</v>
      </c>
      <c r="E244" s="30" t="str">
        <f t="shared" si="18"/>
        <v>Active</v>
      </c>
      <c r="F244" t="s">
        <v>1727</v>
      </c>
      <c r="G244" s="22">
        <v>6</v>
      </c>
      <c r="H244" s="22">
        <v>36</v>
      </c>
      <c r="I244" s="34">
        <v>21600</v>
      </c>
      <c r="J244" s="22">
        <v>70</v>
      </c>
      <c r="K244" s="22" t="s">
        <v>1700</v>
      </c>
      <c r="L244" s="22" t="s">
        <v>1700</v>
      </c>
      <c r="M244" s="22" t="str">
        <f t="shared" si="19"/>
        <v>Compliant</v>
      </c>
      <c r="N244" s="22" t="s">
        <v>1701</v>
      </c>
    </row>
    <row r="245" spans="1:14" x14ac:dyDescent="0.3">
      <c r="A245" s="22" t="s">
        <v>923</v>
      </c>
      <c r="B245" t="str">
        <f t="shared" si="15"/>
        <v>Yash Joshi</v>
      </c>
      <c r="C245" t="str">
        <f t="shared" si="16"/>
        <v>Operations</v>
      </c>
      <c r="D245" s="30" t="str">
        <f t="shared" si="17"/>
        <v>L1</v>
      </c>
      <c r="E245" s="30" t="str">
        <f t="shared" si="18"/>
        <v>Active</v>
      </c>
      <c r="F245" t="s">
        <v>1723</v>
      </c>
      <c r="G245" s="22">
        <v>4</v>
      </c>
      <c r="H245" s="22">
        <v>32</v>
      </c>
      <c r="I245" s="34">
        <v>25600</v>
      </c>
      <c r="J245" s="22">
        <v>69</v>
      </c>
      <c r="K245" s="22" t="s">
        <v>1700</v>
      </c>
      <c r="L245" s="22" t="s">
        <v>1700</v>
      </c>
      <c r="M245" s="22" t="str">
        <f t="shared" si="19"/>
        <v>Compliant</v>
      </c>
      <c r="N245" s="22" t="s">
        <v>1700</v>
      </c>
    </row>
    <row r="246" spans="1:14" x14ac:dyDescent="0.3">
      <c r="A246" s="22" t="s">
        <v>926</v>
      </c>
      <c r="B246" t="str">
        <f t="shared" si="15"/>
        <v>Rajesh Raghavan</v>
      </c>
      <c r="C246" t="str">
        <f t="shared" si="16"/>
        <v>Legal &amp; Compliance</v>
      </c>
      <c r="D246" s="30" t="str">
        <f t="shared" si="17"/>
        <v>L3</v>
      </c>
      <c r="E246" s="30" t="str">
        <f t="shared" si="18"/>
        <v>Exited</v>
      </c>
      <c r="F246" t="s">
        <v>1723</v>
      </c>
      <c r="G246" s="22">
        <v>6</v>
      </c>
      <c r="H246" s="22">
        <v>36</v>
      </c>
      <c r="I246" s="34">
        <v>21600</v>
      </c>
      <c r="J246" s="22">
        <v>90</v>
      </c>
      <c r="K246" s="22" t="s">
        <v>1700</v>
      </c>
      <c r="L246" s="22" t="s">
        <v>1700</v>
      </c>
      <c r="M246" s="22" t="str">
        <f t="shared" si="19"/>
        <v>Compliant</v>
      </c>
      <c r="N246" s="22" t="s">
        <v>1701</v>
      </c>
    </row>
    <row r="247" spans="1:14" x14ac:dyDescent="0.3">
      <c r="A247" s="22" t="s">
        <v>929</v>
      </c>
      <c r="B247" t="str">
        <f t="shared" si="15"/>
        <v>Pranav Gupta</v>
      </c>
      <c r="C247" t="str">
        <f t="shared" si="16"/>
        <v>Marketing</v>
      </c>
      <c r="D247" s="30" t="str">
        <f t="shared" si="17"/>
        <v>L1</v>
      </c>
      <c r="E247" s="30" t="str">
        <f t="shared" si="18"/>
        <v>Active</v>
      </c>
      <c r="F247" t="s">
        <v>1725</v>
      </c>
      <c r="G247" s="22">
        <v>2</v>
      </c>
      <c r="H247" s="22">
        <v>8</v>
      </c>
      <c r="I247" s="34">
        <v>4800</v>
      </c>
      <c r="J247" s="22">
        <v>86</v>
      </c>
      <c r="K247" s="22" t="s">
        <v>1700</v>
      </c>
      <c r="L247" s="22" t="s">
        <v>1700</v>
      </c>
      <c r="M247" s="22" t="str">
        <f t="shared" si="19"/>
        <v>Compliant</v>
      </c>
      <c r="N247" s="22" t="s">
        <v>1701</v>
      </c>
    </row>
    <row r="248" spans="1:14" x14ac:dyDescent="0.3">
      <c r="A248" s="22" t="s">
        <v>104</v>
      </c>
      <c r="B248" t="str">
        <f t="shared" si="15"/>
        <v>Yamini Nair</v>
      </c>
      <c r="C248" t="str">
        <f t="shared" si="16"/>
        <v>Engineering</v>
      </c>
      <c r="D248" s="30" t="str">
        <f t="shared" si="17"/>
        <v>L6</v>
      </c>
      <c r="E248" s="30" t="str">
        <f t="shared" si="18"/>
        <v>Active</v>
      </c>
      <c r="F248" t="s">
        <v>1725</v>
      </c>
      <c r="G248" s="22">
        <v>2</v>
      </c>
      <c r="H248" s="22">
        <v>8</v>
      </c>
      <c r="I248" s="34">
        <v>6400</v>
      </c>
      <c r="J248" s="22">
        <v>65</v>
      </c>
      <c r="K248" s="22" t="s">
        <v>1700</v>
      </c>
      <c r="L248" s="22" t="s">
        <v>1700</v>
      </c>
      <c r="M248" s="22" t="str">
        <f t="shared" si="19"/>
        <v>Compliant</v>
      </c>
      <c r="N248" s="22" t="s">
        <v>1701</v>
      </c>
    </row>
    <row r="249" spans="1:14" x14ac:dyDescent="0.3">
      <c r="A249" s="22" t="s">
        <v>933</v>
      </c>
      <c r="B249" t="str">
        <f t="shared" si="15"/>
        <v>Ravi Khanna</v>
      </c>
      <c r="C249" t="str">
        <f t="shared" si="16"/>
        <v>Human Resources</v>
      </c>
      <c r="D249" s="30" t="str">
        <f t="shared" si="17"/>
        <v>L1</v>
      </c>
      <c r="E249" s="30" t="str">
        <f t="shared" si="18"/>
        <v>Active</v>
      </c>
      <c r="F249" t="s">
        <v>1729</v>
      </c>
      <c r="G249" s="22">
        <v>2</v>
      </c>
      <c r="H249" s="22">
        <v>12</v>
      </c>
      <c r="I249" s="34">
        <v>5400</v>
      </c>
      <c r="J249" s="22">
        <v>60</v>
      </c>
      <c r="K249" s="22" t="s">
        <v>1700</v>
      </c>
      <c r="L249" s="22" t="s">
        <v>1700</v>
      </c>
      <c r="M249" s="22" t="str">
        <f t="shared" si="19"/>
        <v>Compliant</v>
      </c>
      <c r="N249" s="22" t="s">
        <v>1701</v>
      </c>
    </row>
    <row r="250" spans="1:14" x14ac:dyDescent="0.3">
      <c r="A250" s="22" t="s">
        <v>937</v>
      </c>
      <c r="B250" t="str">
        <f t="shared" si="15"/>
        <v>Vishal Kamath</v>
      </c>
      <c r="C250" t="str">
        <f t="shared" si="16"/>
        <v>Operations</v>
      </c>
      <c r="D250" s="30" t="str">
        <f t="shared" si="17"/>
        <v>L3</v>
      </c>
      <c r="E250" s="30" t="str">
        <f t="shared" si="18"/>
        <v>Active</v>
      </c>
      <c r="F250" t="s">
        <v>1724</v>
      </c>
      <c r="G250" s="22">
        <v>3</v>
      </c>
      <c r="H250" s="22">
        <v>9</v>
      </c>
      <c r="I250" s="34">
        <v>5400</v>
      </c>
      <c r="J250" s="22">
        <v>94</v>
      </c>
      <c r="K250" s="22" t="s">
        <v>1700</v>
      </c>
      <c r="L250" s="22" t="s">
        <v>1700</v>
      </c>
      <c r="M250" s="22" t="str">
        <f t="shared" si="19"/>
        <v>Compliant</v>
      </c>
      <c r="N250" s="22" t="s">
        <v>1700</v>
      </c>
    </row>
    <row r="251" spans="1:14" x14ac:dyDescent="0.3">
      <c r="A251" s="22" t="s">
        <v>940</v>
      </c>
      <c r="B251" t="str">
        <f t="shared" si="15"/>
        <v>Arjun Mishra</v>
      </c>
      <c r="C251" t="str">
        <f t="shared" si="16"/>
        <v>Finance</v>
      </c>
      <c r="D251" s="30" t="str">
        <f t="shared" si="17"/>
        <v>L1</v>
      </c>
      <c r="E251" s="30" t="str">
        <f t="shared" si="18"/>
        <v>Active</v>
      </c>
      <c r="F251" t="s">
        <v>1730</v>
      </c>
      <c r="G251" s="22">
        <v>2</v>
      </c>
      <c r="H251" s="22">
        <v>8</v>
      </c>
      <c r="I251" s="34">
        <v>3600</v>
      </c>
      <c r="J251" s="22">
        <v>94</v>
      </c>
      <c r="K251" s="22" t="s">
        <v>1700</v>
      </c>
      <c r="L251" s="22" t="s">
        <v>1700</v>
      </c>
      <c r="M251" s="22" t="str">
        <f t="shared" si="19"/>
        <v>Compliant</v>
      </c>
      <c r="N251" s="22" t="s">
        <v>1701</v>
      </c>
    </row>
    <row r="252" spans="1:14" x14ac:dyDescent="0.3">
      <c r="A252" s="22" t="s">
        <v>944</v>
      </c>
      <c r="B252" t="str">
        <f t="shared" si="15"/>
        <v>Manish Shetty</v>
      </c>
      <c r="C252" t="str">
        <f t="shared" si="16"/>
        <v>Data &amp; Analytics</v>
      </c>
      <c r="D252" s="30" t="str">
        <f t="shared" si="17"/>
        <v>L1</v>
      </c>
      <c r="E252" s="30" t="str">
        <f t="shared" si="18"/>
        <v>Active</v>
      </c>
      <c r="F252" t="s">
        <v>1731</v>
      </c>
      <c r="G252" s="22">
        <v>7</v>
      </c>
      <c r="H252" s="22">
        <v>35</v>
      </c>
      <c r="I252" s="34">
        <v>35000</v>
      </c>
      <c r="J252" s="22">
        <v>74</v>
      </c>
      <c r="K252" s="22" t="s">
        <v>1700</v>
      </c>
      <c r="L252" s="22" t="s">
        <v>1700</v>
      </c>
      <c r="M252" s="22" t="str">
        <f t="shared" si="19"/>
        <v>Compliant</v>
      </c>
      <c r="N252" s="22" t="s">
        <v>1701</v>
      </c>
    </row>
    <row r="253" spans="1:14" x14ac:dyDescent="0.3">
      <c r="A253" s="22" t="s">
        <v>948</v>
      </c>
      <c r="B253" t="str">
        <f t="shared" si="15"/>
        <v>Anusha Verma</v>
      </c>
      <c r="C253" t="str">
        <f t="shared" si="16"/>
        <v>Marketing</v>
      </c>
      <c r="D253" s="30" t="str">
        <f t="shared" si="17"/>
        <v>L1</v>
      </c>
      <c r="E253" s="30" t="str">
        <f t="shared" si="18"/>
        <v>Active</v>
      </c>
      <c r="F253" t="s">
        <v>1729</v>
      </c>
      <c r="G253" s="22">
        <v>6</v>
      </c>
      <c r="H253" s="22">
        <v>48</v>
      </c>
      <c r="I253" s="34">
        <v>48000</v>
      </c>
      <c r="J253" s="22">
        <v>72</v>
      </c>
      <c r="K253" s="22" t="s">
        <v>1700</v>
      </c>
      <c r="L253" s="22" t="s">
        <v>1700</v>
      </c>
      <c r="M253" s="22" t="str">
        <f t="shared" si="19"/>
        <v>Compliant</v>
      </c>
      <c r="N253" s="22" t="s">
        <v>1701</v>
      </c>
    </row>
    <row r="254" spans="1:14" x14ac:dyDescent="0.3">
      <c r="A254" s="22" t="s">
        <v>951</v>
      </c>
      <c r="B254" t="str">
        <f t="shared" si="15"/>
        <v>Swathi Banerjee</v>
      </c>
      <c r="C254" t="str">
        <f t="shared" si="16"/>
        <v>Engineering</v>
      </c>
      <c r="D254" s="30" t="str">
        <f t="shared" si="17"/>
        <v>L2</v>
      </c>
      <c r="E254" s="30" t="str">
        <f t="shared" si="18"/>
        <v>Exited</v>
      </c>
      <c r="F254" t="s">
        <v>1728</v>
      </c>
      <c r="G254" s="22">
        <v>3</v>
      </c>
      <c r="H254" s="22">
        <v>15</v>
      </c>
      <c r="I254" s="34">
        <v>9000</v>
      </c>
      <c r="J254" s="22">
        <v>81</v>
      </c>
      <c r="K254" s="22" t="s">
        <v>1701</v>
      </c>
      <c r="L254" s="22" t="s">
        <v>1700</v>
      </c>
      <c r="M254" s="22" t="str">
        <f t="shared" si="19"/>
        <v>Pending</v>
      </c>
      <c r="N254" s="22" t="s">
        <v>1700</v>
      </c>
    </row>
    <row r="255" spans="1:14" x14ac:dyDescent="0.3">
      <c r="A255" s="22" t="s">
        <v>954</v>
      </c>
      <c r="B255" t="str">
        <f t="shared" si="15"/>
        <v>Aniket Bansal</v>
      </c>
      <c r="C255" t="str">
        <f t="shared" si="16"/>
        <v>Operations</v>
      </c>
      <c r="D255" s="30" t="str">
        <f t="shared" si="17"/>
        <v>L2</v>
      </c>
      <c r="E255" s="30" t="str">
        <f t="shared" si="18"/>
        <v>Active</v>
      </c>
      <c r="F255" t="s">
        <v>1727</v>
      </c>
      <c r="G255" s="22">
        <v>1</v>
      </c>
      <c r="H255" s="22">
        <v>6</v>
      </c>
      <c r="I255" s="34">
        <v>4800</v>
      </c>
      <c r="J255" s="22">
        <v>72</v>
      </c>
      <c r="K255" s="22" t="s">
        <v>1700</v>
      </c>
      <c r="L255" s="22" t="s">
        <v>1700</v>
      </c>
      <c r="M255" s="22" t="str">
        <f t="shared" si="19"/>
        <v>Compliant</v>
      </c>
      <c r="N255" s="22" t="s">
        <v>1701</v>
      </c>
    </row>
    <row r="256" spans="1:14" x14ac:dyDescent="0.3">
      <c r="A256" s="22" t="s">
        <v>957</v>
      </c>
      <c r="B256" t="str">
        <f t="shared" si="15"/>
        <v>Sneha Desai</v>
      </c>
      <c r="C256" t="str">
        <f t="shared" si="16"/>
        <v>Product</v>
      </c>
      <c r="D256" s="30" t="str">
        <f t="shared" si="17"/>
        <v>L1</v>
      </c>
      <c r="E256" s="30" t="str">
        <f t="shared" si="18"/>
        <v>Active</v>
      </c>
      <c r="F256" t="s">
        <v>1730</v>
      </c>
      <c r="G256" s="22">
        <v>7</v>
      </c>
      <c r="H256" s="22">
        <v>28</v>
      </c>
      <c r="I256" s="34">
        <v>22400</v>
      </c>
      <c r="J256" s="22">
        <v>86</v>
      </c>
      <c r="K256" s="22" t="s">
        <v>1700</v>
      </c>
      <c r="L256" s="22" t="s">
        <v>1700</v>
      </c>
      <c r="M256" s="22" t="str">
        <f t="shared" si="19"/>
        <v>Compliant</v>
      </c>
      <c r="N256" s="22" t="s">
        <v>1701</v>
      </c>
    </row>
    <row r="257" spans="1:14" x14ac:dyDescent="0.3">
      <c r="A257" s="22" t="s">
        <v>960</v>
      </c>
      <c r="B257" t="str">
        <f t="shared" si="15"/>
        <v>Deepak Chatterjee</v>
      </c>
      <c r="C257" t="str">
        <f t="shared" si="16"/>
        <v>Operations</v>
      </c>
      <c r="D257" s="30" t="str">
        <f t="shared" si="17"/>
        <v>L2</v>
      </c>
      <c r="E257" s="30" t="str">
        <f t="shared" si="18"/>
        <v>Active</v>
      </c>
      <c r="F257" t="s">
        <v>1727</v>
      </c>
      <c r="G257" s="22">
        <v>8</v>
      </c>
      <c r="H257" s="22">
        <v>48</v>
      </c>
      <c r="I257" s="34">
        <v>48000</v>
      </c>
      <c r="J257" s="22">
        <v>71</v>
      </c>
      <c r="K257" s="22" t="s">
        <v>1700</v>
      </c>
      <c r="L257" s="22" t="s">
        <v>1700</v>
      </c>
      <c r="M257" s="22" t="str">
        <f t="shared" si="19"/>
        <v>Compliant</v>
      </c>
      <c r="N257" s="22" t="s">
        <v>1701</v>
      </c>
    </row>
    <row r="258" spans="1:14" x14ac:dyDescent="0.3">
      <c r="A258" s="22" t="s">
        <v>963</v>
      </c>
      <c r="B258" t="str">
        <f t="shared" ref="B258:B321" si="20">INDEX(M_Name,MATCH($A258,M_ID,0))</f>
        <v>Ankit Menon</v>
      </c>
      <c r="C258" t="str">
        <f t="shared" ref="C258:C321" si="21">INDEX(M_Dept,MATCH($A258,M_ID,0))</f>
        <v>Product</v>
      </c>
      <c r="D258" s="30" t="str">
        <f t="shared" ref="D258:D321" si="22">INDEX(M_Level,MATCH($A258,M_ID,0))</f>
        <v>L2</v>
      </c>
      <c r="E258" s="30" t="str">
        <f t="shared" ref="E258:E321" si="23">INDEX(M_Status,MATCH($A258,M_ID,0))</f>
        <v>Active</v>
      </c>
      <c r="F258" t="s">
        <v>1731</v>
      </c>
      <c r="G258" s="22">
        <v>4</v>
      </c>
      <c r="H258" s="22">
        <v>16</v>
      </c>
      <c r="I258" s="34">
        <v>9600</v>
      </c>
      <c r="J258" s="22">
        <v>81</v>
      </c>
      <c r="K258" s="22" t="s">
        <v>1700</v>
      </c>
      <c r="L258" s="22" t="s">
        <v>1701</v>
      </c>
      <c r="M258" s="22" t="str">
        <f t="shared" ref="M258:M321" si="24">IF(AND(K258="Yes",L258="Yes"),"Compliant","Pending")</f>
        <v>Pending</v>
      </c>
      <c r="N258" s="22" t="s">
        <v>1701</v>
      </c>
    </row>
    <row r="259" spans="1:14" x14ac:dyDescent="0.3">
      <c r="A259" s="22" t="s">
        <v>966</v>
      </c>
      <c r="B259" t="str">
        <f t="shared" si="20"/>
        <v>Abhishek Choudhary</v>
      </c>
      <c r="C259" t="str">
        <f t="shared" si="21"/>
        <v>Data &amp; Analytics</v>
      </c>
      <c r="D259" s="30" t="str">
        <f t="shared" si="22"/>
        <v>L1</v>
      </c>
      <c r="E259" s="30" t="str">
        <f t="shared" si="23"/>
        <v>Active</v>
      </c>
      <c r="F259" t="s">
        <v>1730</v>
      </c>
      <c r="G259" s="22">
        <v>8</v>
      </c>
      <c r="H259" s="22">
        <v>56</v>
      </c>
      <c r="I259" s="34">
        <v>56000</v>
      </c>
      <c r="J259" s="22">
        <v>64</v>
      </c>
      <c r="K259" s="22" t="s">
        <v>1700</v>
      </c>
      <c r="L259" s="22" t="s">
        <v>1700</v>
      </c>
      <c r="M259" s="22" t="str">
        <f t="shared" si="24"/>
        <v>Compliant</v>
      </c>
      <c r="N259" s="22" t="s">
        <v>1701</v>
      </c>
    </row>
    <row r="260" spans="1:14" x14ac:dyDescent="0.3">
      <c r="A260" s="22" t="s">
        <v>969</v>
      </c>
      <c r="B260" t="str">
        <f t="shared" si="20"/>
        <v>Priyanka Gowda</v>
      </c>
      <c r="C260" t="str">
        <f t="shared" si="21"/>
        <v>Engineering</v>
      </c>
      <c r="D260" s="30" t="str">
        <f t="shared" si="22"/>
        <v>L2</v>
      </c>
      <c r="E260" s="30" t="str">
        <f t="shared" si="23"/>
        <v>Active</v>
      </c>
      <c r="F260" t="s">
        <v>1731</v>
      </c>
      <c r="G260" s="22">
        <v>9</v>
      </c>
      <c r="H260" s="22">
        <v>72</v>
      </c>
      <c r="I260" s="34">
        <v>72000</v>
      </c>
      <c r="J260" s="22">
        <v>84</v>
      </c>
      <c r="K260" s="22" t="s">
        <v>1700</v>
      </c>
      <c r="L260" s="22" t="s">
        <v>1700</v>
      </c>
      <c r="M260" s="22" t="str">
        <f t="shared" si="24"/>
        <v>Compliant</v>
      </c>
      <c r="N260" s="22" t="s">
        <v>1701</v>
      </c>
    </row>
    <row r="261" spans="1:14" x14ac:dyDescent="0.3">
      <c r="A261" s="22" t="s">
        <v>643</v>
      </c>
      <c r="B261" t="str">
        <f t="shared" si="20"/>
        <v>Pooja Khanna</v>
      </c>
      <c r="C261" t="str">
        <f t="shared" si="21"/>
        <v>Customer Support</v>
      </c>
      <c r="D261" s="30" t="str">
        <f t="shared" si="22"/>
        <v>L6</v>
      </c>
      <c r="E261" s="30" t="str">
        <f t="shared" si="23"/>
        <v>Active</v>
      </c>
      <c r="F261" t="s">
        <v>1727</v>
      </c>
      <c r="G261" s="22">
        <v>1</v>
      </c>
      <c r="H261" s="22">
        <v>4</v>
      </c>
      <c r="I261" s="34">
        <v>2400</v>
      </c>
      <c r="J261" s="22">
        <v>85</v>
      </c>
      <c r="K261" s="22" t="s">
        <v>1700</v>
      </c>
      <c r="L261" s="22" t="s">
        <v>1700</v>
      </c>
      <c r="M261" s="22" t="str">
        <f t="shared" si="24"/>
        <v>Compliant</v>
      </c>
      <c r="N261" s="22" t="s">
        <v>1701</v>
      </c>
    </row>
    <row r="262" spans="1:14" x14ac:dyDescent="0.3">
      <c r="A262" s="22" t="s">
        <v>973</v>
      </c>
      <c r="B262" t="str">
        <f t="shared" si="20"/>
        <v>Priya Krishnan</v>
      </c>
      <c r="C262" t="str">
        <f t="shared" si="21"/>
        <v>Operations</v>
      </c>
      <c r="D262" s="30" t="str">
        <f t="shared" si="22"/>
        <v>L2</v>
      </c>
      <c r="E262" s="30" t="str">
        <f t="shared" si="23"/>
        <v>Active</v>
      </c>
      <c r="F262" t="s">
        <v>1723</v>
      </c>
      <c r="G262" s="22">
        <v>3</v>
      </c>
      <c r="H262" s="22">
        <v>18</v>
      </c>
      <c r="I262" s="34">
        <v>8100</v>
      </c>
      <c r="J262" s="22">
        <v>94</v>
      </c>
      <c r="K262" s="22" t="s">
        <v>1700</v>
      </c>
      <c r="L262" s="22" t="s">
        <v>1700</v>
      </c>
      <c r="M262" s="22" t="str">
        <f t="shared" si="24"/>
        <v>Compliant</v>
      </c>
      <c r="N262" s="22" t="s">
        <v>1701</v>
      </c>
    </row>
    <row r="263" spans="1:14" x14ac:dyDescent="0.3">
      <c r="A263" s="22" t="s">
        <v>976</v>
      </c>
      <c r="B263" t="str">
        <f t="shared" si="20"/>
        <v>Kritika Bose</v>
      </c>
      <c r="C263" t="str">
        <f t="shared" si="21"/>
        <v>Marketing</v>
      </c>
      <c r="D263" s="30" t="str">
        <f t="shared" si="22"/>
        <v>L2</v>
      </c>
      <c r="E263" s="30" t="str">
        <f t="shared" si="23"/>
        <v>Active</v>
      </c>
      <c r="F263" t="s">
        <v>1729</v>
      </c>
      <c r="G263" s="22">
        <v>3</v>
      </c>
      <c r="H263" s="22">
        <v>24</v>
      </c>
      <c r="I263" s="34">
        <v>24000</v>
      </c>
      <c r="J263" s="22">
        <v>87</v>
      </c>
      <c r="K263" s="22" t="s">
        <v>1700</v>
      </c>
      <c r="L263" s="22" t="s">
        <v>1700</v>
      </c>
      <c r="M263" s="22" t="str">
        <f t="shared" si="24"/>
        <v>Compliant</v>
      </c>
      <c r="N263" s="22" t="s">
        <v>1700</v>
      </c>
    </row>
    <row r="264" spans="1:14" x14ac:dyDescent="0.3">
      <c r="A264" s="22" t="s">
        <v>979</v>
      </c>
      <c r="B264" t="str">
        <f t="shared" si="20"/>
        <v>Trisha Hegde</v>
      </c>
      <c r="C264" t="str">
        <f t="shared" si="21"/>
        <v>Sales</v>
      </c>
      <c r="D264" s="30" t="str">
        <f t="shared" si="22"/>
        <v>L3</v>
      </c>
      <c r="E264" s="30" t="str">
        <f t="shared" si="23"/>
        <v>Active</v>
      </c>
      <c r="F264" t="s">
        <v>1731</v>
      </c>
      <c r="G264" s="22">
        <v>4</v>
      </c>
      <c r="H264" s="22">
        <v>32</v>
      </c>
      <c r="I264" s="34">
        <v>19200</v>
      </c>
      <c r="J264" s="22">
        <v>91</v>
      </c>
      <c r="K264" s="22" t="s">
        <v>1700</v>
      </c>
      <c r="L264" s="22" t="s">
        <v>1700</v>
      </c>
      <c r="M264" s="22" t="str">
        <f t="shared" si="24"/>
        <v>Compliant</v>
      </c>
      <c r="N264" s="22" t="s">
        <v>1701</v>
      </c>
    </row>
    <row r="265" spans="1:14" x14ac:dyDescent="0.3">
      <c r="A265" s="22" t="s">
        <v>982</v>
      </c>
      <c r="B265" t="str">
        <f t="shared" si="20"/>
        <v>Manish Mukherjee</v>
      </c>
      <c r="C265" t="str">
        <f t="shared" si="21"/>
        <v>Engineering</v>
      </c>
      <c r="D265" s="30" t="str">
        <f t="shared" si="22"/>
        <v>L2</v>
      </c>
      <c r="E265" s="30" t="str">
        <f t="shared" si="23"/>
        <v>Active</v>
      </c>
      <c r="F265" t="s">
        <v>1725</v>
      </c>
      <c r="G265" s="22">
        <v>1</v>
      </c>
      <c r="H265" s="22">
        <v>8</v>
      </c>
      <c r="I265" s="34">
        <v>3600</v>
      </c>
      <c r="J265" s="22">
        <v>79</v>
      </c>
      <c r="K265" s="22" t="s">
        <v>1700</v>
      </c>
      <c r="L265" s="22" t="s">
        <v>1700</v>
      </c>
      <c r="M265" s="22" t="str">
        <f t="shared" si="24"/>
        <v>Compliant</v>
      </c>
      <c r="N265" s="22" t="s">
        <v>1700</v>
      </c>
    </row>
    <row r="266" spans="1:14" x14ac:dyDescent="0.3">
      <c r="A266" s="22" t="s">
        <v>502</v>
      </c>
      <c r="B266" t="str">
        <f t="shared" si="20"/>
        <v>Kritika Pandey</v>
      </c>
      <c r="C266" t="str">
        <f t="shared" si="21"/>
        <v>Finance</v>
      </c>
      <c r="D266" s="30" t="str">
        <f t="shared" si="22"/>
        <v>L5</v>
      </c>
      <c r="E266" s="30" t="str">
        <f t="shared" si="23"/>
        <v>Active</v>
      </c>
      <c r="F266" t="s">
        <v>1726</v>
      </c>
      <c r="G266" s="22">
        <v>2</v>
      </c>
      <c r="H266" s="22">
        <v>10</v>
      </c>
      <c r="I266" s="34">
        <v>8000</v>
      </c>
      <c r="J266" s="22">
        <v>81</v>
      </c>
      <c r="K266" s="22" t="s">
        <v>1700</v>
      </c>
      <c r="L266" s="22" t="s">
        <v>1700</v>
      </c>
      <c r="M266" s="22" t="str">
        <f t="shared" si="24"/>
        <v>Compliant</v>
      </c>
      <c r="N266" s="22" t="s">
        <v>1700</v>
      </c>
    </row>
    <row r="267" spans="1:14" x14ac:dyDescent="0.3">
      <c r="A267" s="22" t="s">
        <v>987</v>
      </c>
      <c r="B267" t="str">
        <f t="shared" si="20"/>
        <v>Manish Krishnan</v>
      </c>
      <c r="C267" t="str">
        <f t="shared" si="21"/>
        <v>Finance</v>
      </c>
      <c r="D267" s="30" t="str">
        <f t="shared" si="22"/>
        <v>L2</v>
      </c>
      <c r="E267" s="30" t="str">
        <f t="shared" si="23"/>
        <v>Active</v>
      </c>
      <c r="F267" t="s">
        <v>1726</v>
      </c>
      <c r="G267" s="22">
        <v>6</v>
      </c>
      <c r="H267" s="22">
        <v>42</v>
      </c>
      <c r="I267" s="34">
        <v>42000</v>
      </c>
      <c r="J267" s="22">
        <v>93</v>
      </c>
      <c r="K267" s="22" t="s">
        <v>1700</v>
      </c>
      <c r="L267" s="22" t="s">
        <v>1700</v>
      </c>
      <c r="M267" s="22" t="str">
        <f t="shared" si="24"/>
        <v>Compliant</v>
      </c>
      <c r="N267" s="22" t="s">
        <v>1700</v>
      </c>
    </row>
    <row r="268" spans="1:14" x14ac:dyDescent="0.3">
      <c r="A268" s="22" t="s">
        <v>990</v>
      </c>
      <c r="B268" t="str">
        <f t="shared" si="20"/>
        <v>Abhishek Malhotra</v>
      </c>
      <c r="C268" t="str">
        <f t="shared" si="21"/>
        <v>Engineering</v>
      </c>
      <c r="D268" s="30" t="str">
        <f t="shared" si="22"/>
        <v>L2</v>
      </c>
      <c r="E268" s="30" t="str">
        <f t="shared" si="23"/>
        <v>Active</v>
      </c>
      <c r="F268" t="s">
        <v>1728</v>
      </c>
      <c r="G268" s="22">
        <v>3</v>
      </c>
      <c r="H268" s="22">
        <v>12</v>
      </c>
      <c r="I268" s="34">
        <v>7200</v>
      </c>
      <c r="J268" s="22">
        <v>93</v>
      </c>
      <c r="K268" s="22" t="s">
        <v>1700</v>
      </c>
      <c r="L268" s="22" t="s">
        <v>1700</v>
      </c>
      <c r="M268" s="22" t="str">
        <f t="shared" si="24"/>
        <v>Compliant</v>
      </c>
      <c r="N268" s="22" t="s">
        <v>1701</v>
      </c>
    </row>
    <row r="269" spans="1:14" x14ac:dyDescent="0.3">
      <c r="A269" s="22" t="s">
        <v>993</v>
      </c>
      <c r="B269" t="str">
        <f t="shared" si="20"/>
        <v>Kunal Agarwal</v>
      </c>
      <c r="C269" t="str">
        <f t="shared" si="21"/>
        <v>Engineering</v>
      </c>
      <c r="D269" s="30" t="str">
        <f t="shared" si="22"/>
        <v>L2</v>
      </c>
      <c r="E269" s="30" t="str">
        <f t="shared" si="23"/>
        <v>Exited</v>
      </c>
      <c r="F269" t="s">
        <v>1722</v>
      </c>
      <c r="G269" s="22">
        <v>9</v>
      </c>
      <c r="H269" s="22">
        <v>72</v>
      </c>
      <c r="I269" s="34">
        <v>72000</v>
      </c>
      <c r="J269" s="22">
        <v>65</v>
      </c>
      <c r="K269" s="22" t="s">
        <v>1700</v>
      </c>
      <c r="L269" s="22" t="s">
        <v>1700</v>
      </c>
      <c r="M269" s="22" t="str">
        <f t="shared" si="24"/>
        <v>Compliant</v>
      </c>
      <c r="N269" s="22" t="s">
        <v>1701</v>
      </c>
    </row>
    <row r="270" spans="1:14" x14ac:dyDescent="0.3">
      <c r="A270" s="22" t="s">
        <v>996</v>
      </c>
      <c r="B270" t="str">
        <f t="shared" si="20"/>
        <v>Kunal Pillai</v>
      </c>
      <c r="C270" t="str">
        <f t="shared" si="21"/>
        <v>Engineering</v>
      </c>
      <c r="D270" s="30" t="str">
        <f t="shared" si="22"/>
        <v>L1</v>
      </c>
      <c r="E270" s="30" t="str">
        <f t="shared" si="23"/>
        <v>Active</v>
      </c>
      <c r="F270" t="s">
        <v>1724</v>
      </c>
      <c r="G270" s="22">
        <v>3</v>
      </c>
      <c r="H270" s="22">
        <v>18</v>
      </c>
      <c r="I270" s="34">
        <v>8100</v>
      </c>
      <c r="J270" s="22">
        <v>88</v>
      </c>
      <c r="K270" s="22" t="s">
        <v>1700</v>
      </c>
      <c r="L270" s="22" t="s">
        <v>1700</v>
      </c>
      <c r="M270" s="22" t="str">
        <f t="shared" si="24"/>
        <v>Compliant</v>
      </c>
      <c r="N270" s="22" t="s">
        <v>1701</v>
      </c>
    </row>
    <row r="271" spans="1:14" x14ac:dyDescent="0.3">
      <c r="A271" s="22" t="s">
        <v>999</v>
      </c>
      <c r="B271" t="str">
        <f t="shared" si="20"/>
        <v>Varsha Patel</v>
      </c>
      <c r="C271" t="str">
        <f t="shared" si="21"/>
        <v>Customer Support</v>
      </c>
      <c r="D271" s="30" t="str">
        <f t="shared" si="22"/>
        <v>L2</v>
      </c>
      <c r="E271" s="30" t="str">
        <f t="shared" si="23"/>
        <v>Active</v>
      </c>
      <c r="F271" t="s">
        <v>1725</v>
      </c>
      <c r="G271" s="22">
        <v>3</v>
      </c>
      <c r="H271" s="22">
        <v>9</v>
      </c>
      <c r="I271" s="34">
        <v>7200</v>
      </c>
      <c r="J271" s="22">
        <v>89</v>
      </c>
      <c r="K271" s="22" t="s">
        <v>1701</v>
      </c>
      <c r="L271" s="22" t="s">
        <v>1700</v>
      </c>
      <c r="M271" s="22" t="str">
        <f t="shared" si="24"/>
        <v>Pending</v>
      </c>
      <c r="N271" s="22" t="s">
        <v>1700</v>
      </c>
    </row>
    <row r="272" spans="1:14" x14ac:dyDescent="0.3">
      <c r="A272" s="22" t="s">
        <v>1002</v>
      </c>
      <c r="B272" t="str">
        <f t="shared" si="20"/>
        <v>Ananya Desai</v>
      </c>
      <c r="C272" t="str">
        <f t="shared" si="21"/>
        <v>Marketing</v>
      </c>
      <c r="D272" s="30" t="str">
        <f t="shared" si="22"/>
        <v>L2</v>
      </c>
      <c r="E272" s="30" t="str">
        <f t="shared" si="23"/>
        <v>Active</v>
      </c>
      <c r="F272" t="s">
        <v>1723</v>
      </c>
      <c r="G272" s="22">
        <v>6</v>
      </c>
      <c r="H272" s="22">
        <v>30</v>
      </c>
      <c r="I272" s="34">
        <v>13500</v>
      </c>
      <c r="J272" s="22">
        <v>83</v>
      </c>
      <c r="K272" s="22" t="s">
        <v>1700</v>
      </c>
      <c r="L272" s="22" t="s">
        <v>1700</v>
      </c>
      <c r="M272" s="22" t="str">
        <f t="shared" si="24"/>
        <v>Compliant</v>
      </c>
      <c r="N272" s="22" t="s">
        <v>1700</v>
      </c>
    </row>
    <row r="273" spans="1:14" x14ac:dyDescent="0.3">
      <c r="A273" s="22" t="s">
        <v>1005</v>
      </c>
      <c r="B273" t="str">
        <f t="shared" si="20"/>
        <v>Vinay Agarwal</v>
      </c>
      <c r="C273" t="str">
        <f t="shared" si="21"/>
        <v>Sales</v>
      </c>
      <c r="D273" s="30" t="str">
        <f t="shared" si="22"/>
        <v>L2</v>
      </c>
      <c r="E273" s="30" t="str">
        <f t="shared" si="23"/>
        <v>Active</v>
      </c>
      <c r="F273" t="s">
        <v>1726</v>
      </c>
      <c r="G273" s="22">
        <v>3</v>
      </c>
      <c r="H273" s="22">
        <v>9</v>
      </c>
      <c r="I273" s="34">
        <v>5400</v>
      </c>
      <c r="J273" s="22">
        <v>80</v>
      </c>
      <c r="K273" s="22" t="s">
        <v>1701</v>
      </c>
      <c r="L273" s="22" t="s">
        <v>1700</v>
      </c>
      <c r="M273" s="22" t="str">
        <f t="shared" si="24"/>
        <v>Pending</v>
      </c>
      <c r="N273" s="22" t="s">
        <v>1701</v>
      </c>
    </row>
    <row r="274" spans="1:14" x14ac:dyDescent="0.3">
      <c r="A274" s="22" t="s">
        <v>308</v>
      </c>
      <c r="B274" t="str">
        <f t="shared" si="20"/>
        <v>Aishwarya Fernandes</v>
      </c>
      <c r="C274" t="str">
        <f t="shared" si="21"/>
        <v>Data &amp; Analytics</v>
      </c>
      <c r="D274" s="30" t="str">
        <f t="shared" si="22"/>
        <v>L7</v>
      </c>
      <c r="E274" s="30" t="str">
        <f t="shared" si="23"/>
        <v>Active</v>
      </c>
      <c r="F274" t="s">
        <v>1727</v>
      </c>
      <c r="G274" s="22">
        <v>8</v>
      </c>
      <c r="H274" s="22">
        <v>24</v>
      </c>
      <c r="I274" s="34">
        <v>24000</v>
      </c>
      <c r="J274" s="22">
        <v>75</v>
      </c>
      <c r="K274" s="22" t="s">
        <v>1701</v>
      </c>
      <c r="L274" s="22" t="s">
        <v>1700</v>
      </c>
      <c r="M274" s="22" t="str">
        <f t="shared" si="24"/>
        <v>Pending</v>
      </c>
      <c r="N274" s="22" t="s">
        <v>1700</v>
      </c>
    </row>
    <row r="275" spans="1:14" x14ac:dyDescent="0.3">
      <c r="A275" s="22" t="s">
        <v>1010</v>
      </c>
      <c r="B275" t="str">
        <f t="shared" si="20"/>
        <v>Joseph Gowda</v>
      </c>
      <c r="C275" t="str">
        <f t="shared" si="21"/>
        <v>Operations</v>
      </c>
      <c r="D275" s="30" t="str">
        <f t="shared" si="22"/>
        <v>L1</v>
      </c>
      <c r="E275" s="30" t="str">
        <f t="shared" si="23"/>
        <v>Active</v>
      </c>
      <c r="F275" t="s">
        <v>1723</v>
      </c>
      <c r="G275" s="22">
        <v>9</v>
      </c>
      <c r="H275" s="22">
        <v>27</v>
      </c>
      <c r="I275" s="34">
        <v>27000</v>
      </c>
      <c r="J275" s="22">
        <v>74</v>
      </c>
      <c r="K275" s="22" t="s">
        <v>1700</v>
      </c>
      <c r="L275" s="22" t="s">
        <v>1700</v>
      </c>
      <c r="M275" s="22" t="str">
        <f t="shared" si="24"/>
        <v>Compliant</v>
      </c>
      <c r="N275" s="22" t="s">
        <v>1701</v>
      </c>
    </row>
    <row r="276" spans="1:14" x14ac:dyDescent="0.3">
      <c r="A276" s="22" t="s">
        <v>1013</v>
      </c>
      <c r="B276" t="str">
        <f t="shared" si="20"/>
        <v>Akash Patel</v>
      </c>
      <c r="C276" t="str">
        <f t="shared" si="21"/>
        <v>Customer Support</v>
      </c>
      <c r="D276" s="30" t="str">
        <f t="shared" si="22"/>
        <v>L2</v>
      </c>
      <c r="E276" s="30" t="str">
        <f t="shared" si="23"/>
        <v>Active</v>
      </c>
      <c r="F276" t="s">
        <v>1730</v>
      </c>
      <c r="G276" s="22">
        <v>8</v>
      </c>
      <c r="H276" s="22">
        <v>48</v>
      </c>
      <c r="I276" s="34">
        <v>38400</v>
      </c>
      <c r="J276" s="22">
        <v>63</v>
      </c>
      <c r="K276" s="22" t="s">
        <v>1700</v>
      </c>
      <c r="L276" s="22" t="s">
        <v>1700</v>
      </c>
      <c r="M276" s="22" t="str">
        <f t="shared" si="24"/>
        <v>Compliant</v>
      </c>
      <c r="N276" s="22" t="s">
        <v>1701</v>
      </c>
    </row>
    <row r="277" spans="1:14" x14ac:dyDescent="0.3">
      <c r="A277" s="22" t="s">
        <v>1016</v>
      </c>
      <c r="B277" t="str">
        <f t="shared" si="20"/>
        <v>Pooja Kamath</v>
      </c>
      <c r="C277" t="str">
        <f t="shared" si="21"/>
        <v>Customer Support</v>
      </c>
      <c r="D277" s="30" t="str">
        <f t="shared" si="22"/>
        <v>L2</v>
      </c>
      <c r="E277" s="30" t="str">
        <f t="shared" si="23"/>
        <v>Active</v>
      </c>
      <c r="F277" t="s">
        <v>1731</v>
      </c>
      <c r="G277" s="22">
        <v>6</v>
      </c>
      <c r="H277" s="22">
        <v>42</v>
      </c>
      <c r="I277" s="34">
        <v>18900</v>
      </c>
      <c r="J277" s="22">
        <v>59</v>
      </c>
      <c r="K277" s="22" t="s">
        <v>1700</v>
      </c>
      <c r="L277" s="22" t="s">
        <v>1701</v>
      </c>
      <c r="M277" s="22" t="str">
        <f t="shared" si="24"/>
        <v>Pending</v>
      </c>
      <c r="N277" s="22" t="s">
        <v>1701</v>
      </c>
    </row>
    <row r="278" spans="1:14" x14ac:dyDescent="0.3">
      <c r="A278" s="22" t="s">
        <v>1019</v>
      </c>
      <c r="B278" t="str">
        <f t="shared" si="20"/>
        <v>Ankit Joshi</v>
      </c>
      <c r="C278" t="str">
        <f t="shared" si="21"/>
        <v>Customer Support</v>
      </c>
      <c r="D278" s="30" t="str">
        <f t="shared" si="22"/>
        <v>L1</v>
      </c>
      <c r="E278" s="30" t="str">
        <f t="shared" si="23"/>
        <v>Active</v>
      </c>
      <c r="F278" t="s">
        <v>1723</v>
      </c>
      <c r="G278" s="22">
        <v>5</v>
      </c>
      <c r="H278" s="22">
        <v>30</v>
      </c>
      <c r="I278" s="34">
        <v>18000</v>
      </c>
      <c r="J278" s="22">
        <v>82</v>
      </c>
      <c r="K278" s="22" t="s">
        <v>1700</v>
      </c>
      <c r="L278" s="22" t="s">
        <v>1700</v>
      </c>
      <c r="M278" s="22" t="str">
        <f t="shared" si="24"/>
        <v>Compliant</v>
      </c>
      <c r="N278" s="22" t="s">
        <v>1700</v>
      </c>
    </row>
    <row r="279" spans="1:14" x14ac:dyDescent="0.3">
      <c r="A279" s="22" t="s">
        <v>1022</v>
      </c>
      <c r="B279" t="str">
        <f t="shared" si="20"/>
        <v>Vikas Raghavan</v>
      </c>
      <c r="C279" t="str">
        <f t="shared" si="21"/>
        <v>Operations</v>
      </c>
      <c r="D279" s="30" t="str">
        <f t="shared" si="22"/>
        <v>L1</v>
      </c>
      <c r="E279" s="30" t="str">
        <f t="shared" si="23"/>
        <v>Active</v>
      </c>
      <c r="F279" t="s">
        <v>1723</v>
      </c>
      <c r="G279" s="22">
        <v>6</v>
      </c>
      <c r="H279" s="22">
        <v>30</v>
      </c>
      <c r="I279" s="34">
        <v>30000</v>
      </c>
      <c r="J279" s="22">
        <v>93</v>
      </c>
      <c r="K279" s="22" t="s">
        <v>1700</v>
      </c>
      <c r="L279" s="22" t="s">
        <v>1700</v>
      </c>
      <c r="M279" s="22" t="str">
        <f t="shared" si="24"/>
        <v>Compliant</v>
      </c>
      <c r="N279" s="22" t="s">
        <v>1701</v>
      </c>
    </row>
    <row r="280" spans="1:14" x14ac:dyDescent="0.3">
      <c r="A280" s="22" t="s">
        <v>434</v>
      </c>
      <c r="B280" t="str">
        <f t="shared" si="20"/>
        <v>Karan Verma</v>
      </c>
      <c r="C280" t="str">
        <f t="shared" si="21"/>
        <v>Data &amp; Analytics</v>
      </c>
      <c r="D280" s="30" t="str">
        <f t="shared" si="22"/>
        <v>L5</v>
      </c>
      <c r="E280" s="30" t="str">
        <f t="shared" si="23"/>
        <v>Active</v>
      </c>
      <c r="F280" t="s">
        <v>1726</v>
      </c>
      <c r="G280" s="22">
        <v>4</v>
      </c>
      <c r="H280" s="22">
        <v>24</v>
      </c>
      <c r="I280" s="34">
        <v>19200</v>
      </c>
      <c r="J280" s="22">
        <v>78</v>
      </c>
      <c r="K280" s="22" t="s">
        <v>1700</v>
      </c>
      <c r="L280" s="22" t="s">
        <v>1701</v>
      </c>
      <c r="M280" s="22" t="str">
        <f t="shared" si="24"/>
        <v>Pending</v>
      </c>
      <c r="N280" s="22" t="s">
        <v>1701</v>
      </c>
    </row>
    <row r="281" spans="1:14" x14ac:dyDescent="0.3">
      <c r="A281" s="22" t="s">
        <v>1026</v>
      </c>
      <c r="B281" t="str">
        <f t="shared" si="20"/>
        <v>Tanvi Kamath</v>
      </c>
      <c r="C281" t="str">
        <f t="shared" si="21"/>
        <v>Finance</v>
      </c>
      <c r="D281" s="30" t="str">
        <f t="shared" si="22"/>
        <v>L3</v>
      </c>
      <c r="E281" s="30" t="str">
        <f t="shared" si="23"/>
        <v>Exited</v>
      </c>
      <c r="F281" t="s">
        <v>1726</v>
      </c>
      <c r="G281" s="22">
        <v>9</v>
      </c>
      <c r="H281" s="22">
        <v>27</v>
      </c>
      <c r="I281" s="34">
        <v>12150</v>
      </c>
      <c r="J281" s="22">
        <v>69</v>
      </c>
      <c r="K281" s="22" t="s">
        <v>1700</v>
      </c>
      <c r="L281" s="22" t="s">
        <v>1700</v>
      </c>
      <c r="M281" s="22" t="str">
        <f t="shared" si="24"/>
        <v>Compliant</v>
      </c>
      <c r="N281" s="22" t="s">
        <v>1700</v>
      </c>
    </row>
    <row r="282" spans="1:14" x14ac:dyDescent="0.3">
      <c r="A282" s="22" t="s">
        <v>1029</v>
      </c>
      <c r="B282" t="str">
        <f t="shared" si="20"/>
        <v>Srinivas Nair</v>
      </c>
      <c r="C282" t="str">
        <f t="shared" si="21"/>
        <v>Customer Support</v>
      </c>
      <c r="D282" s="30" t="str">
        <f t="shared" si="22"/>
        <v>L2</v>
      </c>
      <c r="E282" s="30" t="str">
        <f t="shared" si="23"/>
        <v>Active</v>
      </c>
      <c r="F282" t="s">
        <v>1726</v>
      </c>
      <c r="G282" s="22">
        <v>6</v>
      </c>
      <c r="H282" s="22">
        <v>18</v>
      </c>
      <c r="I282" s="34">
        <v>10800</v>
      </c>
      <c r="J282" s="22">
        <v>58</v>
      </c>
      <c r="K282" s="22" t="s">
        <v>1700</v>
      </c>
      <c r="L282" s="22" t="s">
        <v>1700</v>
      </c>
      <c r="M282" s="22" t="str">
        <f t="shared" si="24"/>
        <v>Compliant</v>
      </c>
      <c r="N282" s="22" t="s">
        <v>1700</v>
      </c>
    </row>
    <row r="283" spans="1:14" x14ac:dyDescent="0.3">
      <c r="A283" s="22" t="s">
        <v>1032</v>
      </c>
      <c r="B283" t="str">
        <f t="shared" si="20"/>
        <v>Priya Mishra</v>
      </c>
      <c r="C283" t="str">
        <f t="shared" si="21"/>
        <v>Customer Support</v>
      </c>
      <c r="D283" s="30" t="str">
        <f t="shared" si="22"/>
        <v>L2</v>
      </c>
      <c r="E283" s="30" t="str">
        <f t="shared" si="23"/>
        <v>Active</v>
      </c>
      <c r="F283" t="s">
        <v>1730</v>
      </c>
      <c r="G283" s="22">
        <v>1</v>
      </c>
      <c r="H283" s="22">
        <v>8</v>
      </c>
      <c r="I283" s="34">
        <v>6400</v>
      </c>
      <c r="J283" s="22">
        <v>98</v>
      </c>
      <c r="K283" s="22" t="s">
        <v>1700</v>
      </c>
      <c r="L283" s="22" t="s">
        <v>1700</v>
      </c>
      <c r="M283" s="22" t="str">
        <f t="shared" si="24"/>
        <v>Compliant</v>
      </c>
      <c r="N283" s="22" t="s">
        <v>1700</v>
      </c>
    </row>
    <row r="284" spans="1:14" x14ac:dyDescent="0.3">
      <c r="A284" s="22" t="s">
        <v>1035</v>
      </c>
      <c r="B284" t="str">
        <f t="shared" si="20"/>
        <v>Isha Khanna</v>
      </c>
      <c r="C284" t="str">
        <f t="shared" si="21"/>
        <v>Product</v>
      </c>
      <c r="D284" s="30" t="str">
        <f t="shared" si="22"/>
        <v>L2</v>
      </c>
      <c r="E284" s="30" t="str">
        <f t="shared" si="23"/>
        <v>Exited</v>
      </c>
      <c r="F284" t="s">
        <v>1726</v>
      </c>
      <c r="G284" s="22">
        <v>6</v>
      </c>
      <c r="H284" s="22">
        <v>48</v>
      </c>
      <c r="I284" s="34">
        <v>21600</v>
      </c>
      <c r="J284" s="22">
        <v>69</v>
      </c>
      <c r="K284" s="22" t="s">
        <v>1700</v>
      </c>
      <c r="L284" s="22" t="s">
        <v>1700</v>
      </c>
      <c r="M284" s="22" t="str">
        <f t="shared" si="24"/>
        <v>Compliant</v>
      </c>
      <c r="N284" s="22" t="s">
        <v>1700</v>
      </c>
    </row>
    <row r="285" spans="1:14" x14ac:dyDescent="0.3">
      <c r="A285" s="22" t="s">
        <v>1038</v>
      </c>
      <c r="B285" t="str">
        <f t="shared" si="20"/>
        <v>Kunal Fernandes</v>
      </c>
      <c r="C285" t="str">
        <f t="shared" si="21"/>
        <v>Customer Support</v>
      </c>
      <c r="D285" s="30" t="str">
        <f t="shared" si="22"/>
        <v>L4</v>
      </c>
      <c r="E285" s="30" t="str">
        <f t="shared" si="23"/>
        <v>Exited</v>
      </c>
      <c r="F285" t="s">
        <v>1725</v>
      </c>
      <c r="G285" s="22">
        <v>2</v>
      </c>
      <c r="H285" s="22">
        <v>16</v>
      </c>
      <c r="I285" s="34">
        <v>7200</v>
      </c>
      <c r="J285" s="22">
        <v>63</v>
      </c>
      <c r="K285" s="22" t="s">
        <v>1700</v>
      </c>
      <c r="L285" s="22" t="s">
        <v>1700</v>
      </c>
      <c r="M285" s="22" t="str">
        <f t="shared" si="24"/>
        <v>Compliant</v>
      </c>
      <c r="N285" s="22" t="s">
        <v>1700</v>
      </c>
    </row>
    <row r="286" spans="1:14" x14ac:dyDescent="0.3">
      <c r="A286" s="22" t="s">
        <v>1041</v>
      </c>
      <c r="B286" t="str">
        <f t="shared" si="20"/>
        <v>Tarun Siddiqui</v>
      </c>
      <c r="C286" t="str">
        <f t="shared" si="21"/>
        <v>Finance</v>
      </c>
      <c r="D286" s="30" t="str">
        <f t="shared" si="22"/>
        <v>L1</v>
      </c>
      <c r="E286" s="30" t="str">
        <f t="shared" si="23"/>
        <v>Active</v>
      </c>
      <c r="F286" t="s">
        <v>1731</v>
      </c>
      <c r="G286" s="22">
        <v>7</v>
      </c>
      <c r="H286" s="22">
        <v>35</v>
      </c>
      <c r="I286" s="34">
        <v>21000</v>
      </c>
      <c r="J286" s="22">
        <v>69</v>
      </c>
      <c r="K286" s="22" t="s">
        <v>1700</v>
      </c>
      <c r="L286" s="22" t="s">
        <v>1700</v>
      </c>
      <c r="M286" s="22" t="str">
        <f t="shared" si="24"/>
        <v>Compliant</v>
      </c>
      <c r="N286" s="22" t="s">
        <v>1701</v>
      </c>
    </row>
    <row r="287" spans="1:14" x14ac:dyDescent="0.3">
      <c r="A287" s="22" t="s">
        <v>1044</v>
      </c>
      <c r="B287" t="str">
        <f t="shared" si="20"/>
        <v>Farhan Thomas</v>
      </c>
      <c r="C287" t="str">
        <f t="shared" si="21"/>
        <v>Engineering</v>
      </c>
      <c r="D287" s="30" t="str">
        <f t="shared" si="22"/>
        <v>L1</v>
      </c>
      <c r="E287" s="30" t="str">
        <f t="shared" si="23"/>
        <v>Active</v>
      </c>
      <c r="F287" t="s">
        <v>1722</v>
      </c>
      <c r="G287" s="22">
        <v>8</v>
      </c>
      <c r="H287" s="22">
        <v>40</v>
      </c>
      <c r="I287" s="34">
        <v>18000</v>
      </c>
      <c r="J287" s="22">
        <v>74</v>
      </c>
      <c r="K287" s="22" t="s">
        <v>1700</v>
      </c>
      <c r="L287" s="22" t="s">
        <v>1700</v>
      </c>
      <c r="M287" s="22" t="str">
        <f t="shared" si="24"/>
        <v>Compliant</v>
      </c>
      <c r="N287" s="22" t="s">
        <v>1700</v>
      </c>
    </row>
    <row r="288" spans="1:14" x14ac:dyDescent="0.3">
      <c r="A288" s="22" t="s">
        <v>1047</v>
      </c>
      <c r="B288" t="str">
        <f t="shared" si="20"/>
        <v>Sai Iyer</v>
      </c>
      <c r="C288" t="str">
        <f t="shared" si="21"/>
        <v>Sales</v>
      </c>
      <c r="D288" s="30" t="str">
        <f t="shared" si="22"/>
        <v>L2</v>
      </c>
      <c r="E288" s="30" t="str">
        <f t="shared" si="23"/>
        <v>Active</v>
      </c>
      <c r="F288" t="s">
        <v>1728</v>
      </c>
      <c r="G288" s="22">
        <v>3</v>
      </c>
      <c r="H288" s="22">
        <v>21</v>
      </c>
      <c r="I288" s="34">
        <v>12600</v>
      </c>
      <c r="J288" s="22">
        <v>78</v>
      </c>
      <c r="K288" s="22" t="s">
        <v>1700</v>
      </c>
      <c r="L288" s="22" t="s">
        <v>1700</v>
      </c>
      <c r="M288" s="22" t="str">
        <f t="shared" si="24"/>
        <v>Compliant</v>
      </c>
      <c r="N288" s="22" t="s">
        <v>1700</v>
      </c>
    </row>
    <row r="289" spans="1:14" x14ac:dyDescent="0.3">
      <c r="A289" s="22" t="s">
        <v>1050</v>
      </c>
      <c r="B289" t="str">
        <f t="shared" si="20"/>
        <v>Joseph Pandey</v>
      </c>
      <c r="C289" t="str">
        <f t="shared" si="21"/>
        <v>Operations</v>
      </c>
      <c r="D289" s="30" t="str">
        <f t="shared" si="22"/>
        <v>L1</v>
      </c>
      <c r="E289" s="30" t="str">
        <f t="shared" si="23"/>
        <v>Active</v>
      </c>
      <c r="F289" t="s">
        <v>1727</v>
      </c>
      <c r="G289" s="22">
        <v>4</v>
      </c>
      <c r="H289" s="22">
        <v>16</v>
      </c>
      <c r="I289" s="34">
        <v>16000</v>
      </c>
      <c r="J289" s="22">
        <v>98</v>
      </c>
      <c r="K289" s="22" t="s">
        <v>1700</v>
      </c>
      <c r="L289" s="22" t="s">
        <v>1700</v>
      </c>
      <c r="M289" s="22" t="str">
        <f t="shared" si="24"/>
        <v>Compliant</v>
      </c>
      <c r="N289" s="22" t="s">
        <v>1701</v>
      </c>
    </row>
    <row r="290" spans="1:14" x14ac:dyDescent="0.3">
      <c r="A290" s="22" t="s">
        <v>1053</v>
      </c>
      <c r="B290" t="str">
        <f t="shared" si="20"/>
        <v>Tanvi Verma</v>
      </c>
      <c r="C290" t="str">
        <f t="shared" si="21"/>
        <v>Customer Support</v>
      </c>
      <c r="D290" s="30" t="str">
        <f t="shared" si="22"/>
        <v>L2</v>
      </c>
      <c r="E290" s="30" t="str">
        <f t="shared" si="23"/>
        <v>Active</v>
      </c>
      <c r="F290" t="s">
        <v>1725</v>
      </c>
      <c r="G290" s="22">
        <v>5</v>
      </c>
      <c r="H290" s="22">
        <v>20</v>
      </c>
      <c r="I290" s="34">
        <v>20000</v>
      </c>
      <c r="J290" s="22">
        <v>74</v>
      </c>
      <c r="K290" s="22" t="s">
        <v>1700</v>
      </c>
      <c r="L290" s="22" t="s">
        <v>1700</v>
      </c>
      <c r="M290" s="22" t="str">
        <f t="shared" si="24"/>
        <v>Compliant</v>
      </c>
      <c r="N290" s="22" t="s">
        <v>1700</v>
      </c>
    </row>
    <row r="291" spans="1:14" x14ac:dyDescent="0.3">
      <c r="A291" s="22" t="s">
        <v>1056</v>
      </c>
      <c r="B291" t="str">
        <f t="shared" si="20"/>
        <v>Revathi Das</v>
      </c>
      <c r="C291" t="str">
        <f t="shared" si="21"/>
        <v>Product</v>
      </c>
      <c r="D291" s="30" t="str">
        <f t="shared" si="22"/>
        <v>L1</v>
      </c>
      <c r="E291" s="30" t="str">
        <f t="shared" si="23"/>
        <v>Active</v>
      </c>
      <c r="F291" t="s">
        <v>1725</v>
      </c>
      <c r="G291" s="22">
        <v>5</v>
      </c>
      <c r="H291" s="22">
        <v>20</v>
      </c>
      <c r="I291" s="34">
        <v>9000</v>
      </c>
      <c r="J291" s="22">
        <v>97</v>
      </c>
      <c r="K291" s="22" t="s">
        <v>1700</v>
      </c>
      <c r="L291" s="22" t="s">
        <v>1700</v>
      </c>
      <c r="M291" s="22" t="str">
        <f t="shared" si="24"/>
        <v>Compliant</v>
      </c>
      <c r="N291" s="22" t="s">
        <v>1701</v>
      </c>
    </row>
    <row r="292" spans="1:14" x14ac:dyDescent="0.3">
      <c r="A292" s="22" t="s">
        <v>1059</v>
      </c>
      <c r="B292" t="str">
        <f t="shared" si="20"/>
        <v>Swathi Fernandes</v>
      </c>
      <c r="C292" t="str">
        <f t="shared" si="21"/>
        <v>Sales</v>
      </c>
      <c r="D292" s="30" t="str">
        <f t="shared" si="22"/>
        <v>L1</v>
      </c>
      <c r="E292" s="30" t="str">
        <f t="shared" si="23"/>
        <v>Active</v>
      </c>
      <c r="F292" t="s">
        <v>1731</v>
      </c>
      <c r="G292" s="22">
        <v>7</v>
      </c>
      <c r="H292" s="22">
        <v>21</v>
      </c>
      <c r="I292" s="34">
        <v>21000</v>
      </c>
      <c r="J292" s="22">
        <v>81</v>
      </c>
      <c r="K292" s="22" t="s">
        <v>1700</v>
      </c>
      <c r="L292" s="22" t="s">
        <v>1700</v>
      </c>
      <c r="M292" s="22" t="str">
        <f t="shared" si="24"/>
        <v>Compliant</v>
      </c>
      <c r="N292" s="22" t="s">
        <v>1700</v>
      </c>
    </row>
    <row r="293" spans="1:14" x14ac:dyDescent="0.3">
      <c r="A293" s="22" t="s">
        <v>1063</v>
      </c>
      <c r="B293" t="str">
        <f t="shared" si="20"/>
        <v>Arjun Shetty</v>
      </c>
      <c r="C293" t="str">
        <f t="shared" si="21"/>
        <v>Engineering</v>
      </c>
      <c r="D293" s="30" t="str">
        <f t="shared" si="22"/>
        <v>L1</v>
      </c>
      <c r="E293" s="30" t="str">
        <f t="shared" si="23"/>
        <v>Active</v>
      </c>
      <c r="F293" t="s">
        <v>1730</v>
      </c>
      <c r="G293" s="22">
        <v>2</v>
      </c>
      <c r="H293" s="22">
        <v>14</v>
      </c>
      <c r="I293" s="34">
        <v>11200</v>
      </c>
      <c r="J293" s="22">
        <v>81</v>
      </c>
      <c r="K293" s="22" t="s">
        <v>1700</v>
      </c>
      <c r="L293" s="22" t="s">
        <v>1700</v>
      </c>
      <c r="M293" s="22" t="str">
        <f t="shared" si="24"/>
        <v>Compliant</v>
      </c>
      <c r="N293" s="22" t="s">
        <v>1701</v>
      </c>
    </row>
    <row r="294" spans="1:14" x14ac:dyDescent="0.3">
      <c r="A294" s="22" t="s">
        <v>1066</v>
      </c>
      <c r="B294" t="str">
        <f t="shared" si="20"/>
        <v>Ajay Jain</v>
      </c>
      <c r="C294" t="str">
        <f t="shared" si="21"/>
        <v>Customer Support</v>
      </c>
      <c r="D294" s="30" t="str">
        <f t="shared" si="22"/>
        <v>L2</v>
      </c>
      <c r="E294" s="30" t="str">
        <f t="shared" si="23"/>
        <v>Exited</v>
      </c>
      <c r="F294" t="s">
        <v>1731</v>
      </c>
      <c r="G294" s="22">
        <v>8</v>
      </c>
      <c r="H294" s="22">
        <v>40</v>
      </c>
      <c r="I294" s="34">
        <v>40000</v>
      </c>
      <c r="J294" s="22">
        <v>68</v>
      </c>
      <c r="K294" s="22" t="s">
        <v>1700</v>
      </c>
      <c r="L294" s="22" t="s">
        <v>1701</v>
      </c>
      <c r="M294" s="22" t="str">
        <f t="shared" si="24"/>
        <v>Pending</v>
      </c>
      <c r="N294" s="22" t="s">
        <v>1700</v>
      </c>
    </row>
    <row r="295" spans="1:14" x14ac:dyDescent="0.3">
      <c r="A295" s="22" t="s">
        <v>1069</v>
      </c>
      <c r="B295" t="str">
        <f t="shared" si="20"/>
        <v>Rakesh Desai</v>
      </c>
      <c r="C295" t="str">
        <f t="shared" si="21"/>
        <v>Legal &amp; Compliance</v>
      </c>
      <c r="D295" s="30" t="str">
        <f t="shared" si="22"/>
        <v>L4</v>
      </c>
      <c r="E295" s="30" t="str">
        <f t="shared" si="23"/>
        <v>Active</v>
      </c>
      <c r="F295" t="s">
        <v>1724</v>
      </c>
      <c r="G295" s="22">
        <v>1</v>
      </c>
      <c r="H295" s="22">
        <v>8</v>
      </c>
      <c r="I295" s="34">
        <v>6400</v>
      </c>
      <c r="J295" s="22">
        <v>87</v>
      </c>
      <c r="K295" s="22" t="s">
        <v>1700</v>
      </c>
      <c r="L295" s="22" t="s">
        <v>1700</v>
      </c>
      <c r="M295" s="22" t="str">
        <f t="shared" si="24"/>
        <v>Compliant</v>
      </c>
      <c r="N295" s="22" t="s">
        <v>1700</v>
      </c>
    </row>
    <row r="296" spans="1:14" x14ac:dyDescent="0.3">
      <c r="A296" s="22" t="s">
        <v>1072</v>
      </c>
      <c r="B296" t="str">
        <f t="shared" si="20"/>
        <v>Sindhu Gowda</v>
      </c>
      <c r="C296" t="str">
        <f t="shared" si="21"/>
        <v>Customer Support</v>
      </c>
      <c r="D296" s="30" t="str">
        <f t="shared" si="22"/>
        <v>L2</v>
      </c>
      <c r="E296" s="30" t="str">
        <f t="shared" si="23"/>
        <v>Exited</v>
      </c>
      <c r="F296" t="s">
        <v>1725</v>
      </c>
      <c r="G296" s="22">
        <v>8</v>
      </c>
      <c r="H296" s="22">
        <v>48</v>
      </c>
      <c r="I296" s="34">
        <v>28800</v>
      </c>
      <c r="J296" s="22">
        <v>66</v>
      </c>
      <c r="K296" s="22" t="s">
        <v>1700</v>
      </c>
      <c r="L296" s="22" t="s">
        <v>1700</v>
      </c>
      <c r="M296" s="22" t="str">
        <f t="shared" si="24"/>
        <v>Compliant</v>
      </c>
      <c r="N296" s="22" t="s">
        <v>1701</v>
      </c>
    </row>
    <row r="297" spans="1:14" x14ac:dyDescent="0.3">
      <c r="A297" s="22" t="s">
        <v>1075</v>
      </c>
      <c r="B297" t="str">
        <f t="shared" si="20"/>
        <v>Farhan Shetty</v>
      </c>
      <c r="C297" t="str">
        <f t="shared" si="21"/>
        <v>Engineering</v>
      </c>
      <c r="D297" s="30" t="str">
        <f t="shared" si="22"/>
        <v>L2</v>
      </c>
      <c r="E297" s="30" t="str">
        <f t="shared" si="23"/>
        <v>Exited</v>
      </c>
      <c r="F297" t="s">
        <v>1728</v>
      </c>
      <c r="G297" s="22">
        <v>6</v>
      </c>
      <c r="H297" s="22">
        <v>36</v>
      </c>
      <c r="I297" s="34">
        <v>21600</v>
      </c>
      <c r="J297" s="22">
        <v>67</v>
      </c>
      <c r="K297" s="22" t="s">
        <v>1700</v>
      </c>
      <c r="L297" s="22" t="s">
        <v>1700</v>
      </c>
      <c r="M297" s="22" t="str">
        <f t="shared" si="24"/>
        <v>Compliant</v>
      </c>
      <c r="N297" s="22" t="s">
        <v>1701</v>
      </c>
    </row>
    <row r="298" spans="1:14" x14ac:dyDescent="0.3">
      <c r="A298" s="22" t="s">
        <v>1078</v>
      </c>
      <c r="B298" t="str">
        <f t="shared" si="20"/>
        <v>Rakesh Patel</v>
      </c>
      <c r="C298" t="str">
        <f t="shared" si="21"/>
        <v>Customer Support</v>
      </c>
      <c r="D298" s="30" t="str">
        <f t="shared" si="22"/>
        <v>L3</v>
      </c>
      <c r="E298" s="30" t="str">
        <f t="shared" si="23"/>
        <v>Active</v>
      </c>
      <c r="F298" t="s">
        <v>1722</v>
      </c>
      <c r="G298" s="22">
        <v>3</v>
      </c>
      <c r="H298" s="22">
        <v>12</v>
      </c>
      <c r="I298" s="34">
        <v>5400</v>
      </c>
      <c r="J298" s="22">
        <v>59</v>
      </c>
      <c r="K298" s="22" t="s">
        <v>1700</v>
      </c>
      <c r="L298" s="22" t="s">
        <v>1700</v>
      </c>
      <c r="M298" s="22" t="str">
        <f t="shared" si="24"/>
        <v>Compliant</v>
      </c>
      <c r="N298" s="22" t="s">
        <v>1700</v>
      </c>
    </row>
    <row r="299" spans="1:14" x14ac:dyDescent="0.3">
      <c r="A299" s="22" t="s">
        <v>1081</v>
      </c>
      <c r="B299" t="str">
        <f t="shared" si="20"/>
        <v>Vikram Bose</v>
      </c>
      <c r="C299" t="str">
        <f t="shared" si="21"/>
        <v>Sales</v>
      </c>
      <c r="D299" s="30" t="str">
        <f t="shared" si="22"/>
        <v>L2</v>
      </c>
      <c r="E299" s="30" t="str">
        <f t="shared" si="23"/>
        <v>Active</v>
      </c>
      <c r="F299" t="s">
        <v>1722</v>
      </c>
      <c r="G299" s="22">
        <v>8</v>
      </c>
      <c r="H299" s="22">
        <v>48</v>
      </c>
      <c r="I299" s="34">
        <v>28800</v>
      </c>
      <c r="J299" s="22">
        <v>70</v>
      </c>
      <c r="K299" s="22" t="s">
        <v>1700</v>
      </c>
      <c r="L299" s="22" t="s">
        <v>1701</v>
      </c>
      <c r="M299" s="22" t="str">
        <f t="shared" si="24"/>
        <v>Pending</v>
      </c>
      <c r="N299" s="22" t="s">
        <v>1701</v>
      </c>
    </row>
    <row r="300" spans="1:14" x14ac:dyDescent="0.3">
      <c r="A300" s="22" t="s">
        <v>1084</v>
      </c>
      <c r="B300" t="str">
        <f t="shared" si="20"/>
        <v>Sachin Singh</v>
      </c>
      <c r="C300" t="str">
        <f t="shared" si="21"/>
        <v>Human Resources</v>
      </c>
      <c r="D300" s="30" t="str">
        <f t="shared" si="22"/>
        <v>L2</v>
      </c>
      <c r="E300" s="30" t="str">
        <f t="shared" si="23"/>
        <v>Active</v>
      </c>
      <c r="F300" t="s">
        <v>1725</v>
      </c>
      <c r="G300" s="22">
        <v>8</v>
      </c>
      <c r="H300" s="22">
        <v>56</v>
      </c>
      <c r="I300" s="34">
        <v>56000</v>
      </c>
      <c r="J300" s="22">
        <v>80</v>
      </c>
      <c r="K300" s="22" t="s">
        <v>1700</v>
      </c>
      <c r="L300" s="22" t="s">
        <v>1701</v>
      </c>
      <c r="M300" s="22" t="str">
        <f t="shared" si="24"/>
        <v>Pending</v>
      </c>
      <c r="N300" s="22" t="s">
        <v>1700</v>
      </c>
    </row>
    <row r="301" spans="1:14" x14ac:dyDescent="0.3">
      <c r="A301" s="22" t="s">
        <v>1087</v>
      </c>
      <c r="B301" t="str">
        <f t="shared" si="20"/>
        <v>Rajesh Krishnan</v>
      </c>
      <c r="C301" t="str">
        <f t="shared" si="21"/>
        <v>Operations</v>
      </c>
      <c r="D301" s="30" t="str">
        <f t="shared" si="22"/>
        <v>L3</v>
      </c>
      <c r="E301" s="30" t="str">
        <f t="shared" si="23"/>
        <v>Active</v>
      </c>
      <c r="F301" t="s">
        <v>1727</v>
      </c>
      <c r="G301" s="22">
        <v>2</v>
      </c>
      <c r="H301" s="22">
        <v>6</v>
      </c>
      <c r="I301" s="34">
        <v>4800</v>
      </c>
      <c r="J301" s="22">
        <v>89</v>
      </c>
      <c r="K301" s="22" t="s">
        <v>1700</v>
      </c>
      <c r="L301" s="22" t="s">
        <v>1700</v>
      </c>
      <c r="M301" s="22" t="str">
        <f t="shared" si="24"/>
        <v>Compliant</v>
      </c>
      <c r="N301" s="22" t="s">
        <v>1700</v>
      </c>
    </row>
    <row r="302" spans="1:14" x14ac:dyDescent="0.3">
      <c r="A302" s="22" t="s">
        <v>1090</v>
      </c>
      <c r="B302" t="str">
        <f t="shared" si="20"/>
        <v>Gaurav Nair</v>
      </c>
      <c r="C302" t="str">
        <f t="shared" si="21"/>
        <v>Engineering</v>
      </c>
      <c r="D302" s="30" t="str">
        <f t="shared" si="22"/>
        <v>L1</v>
      </c>
      <c r="E302" s="30" t="str">
        <f t="shared" si="23"/>
        <v>Active</v>
      </c>
      <c r="F302" t="s">
        <v>1723</v>
      </c>
      <c r="G302" s="22">
        <v>4</v>
      </c>
      <c r="H302" s="22">
        <v>24</v>
      </c>
      <c r="I302" s="34">
        <v>24000</v>
      </c>
      <c r="J302" s="22">
        <v>97</v>
      </c>
      <c r="K302" s="22" t="s">
        <v>1700</v>
      </c>
      <c r="L302" s="22" t="s">
        <v>1700</v>
      </c>
      <c r="M302" s="22" t="str">
        <f t="shared" si="24"/>
        <v>Compliant</v>
      </c>
      <c r="N302" s="22" t="s">
        <v>1700</v>
      </c>
    </row>
    <row r="303" spans="1:14" x14ac:dyDescent="0.3">
      <c r="A303" s="22" t="s">
        <v>1093</v>
      </c>
      <c r="B303" t="str">
        <f t="shared" si="20"/>
        <v>Shreya Thomas</v>
      </c>
      <c r="C303" t="str">
        <f t="shared" si="21"/>
        <v>Marketing</v>
      </c>
      <c r="D303" s="30" t="str">
        <f t="shared" si="22"/>
        <v>L3</v>
      </c>
      <c r="E303" s="30" t="str">
        <f t="shared" si="23"/>
        <v>Active</v>
      </c>
      <c r="F303" t="s">
        <v>1729</v>
      </c>
      <c r="G303" s="22">
        <v>7</v>
      </c>
      <c r="H303" s="22">
        <v>49</v>
      </c>
      <c r="I303" s="34">
        <v>22050</v>
      </c>
      <c r="J303" s="22">
        <v>66</v>
      </c>
      <c r="K303" s="22" t="s">
        <v>1700</v>
      </c>
      <c r="L303" s="22" t="s">
        <v>1700</v>
      </c>
      <c r="M303" s="22" t="str">
        <f t="shared" si="24"/>
        <v>Compliant</v>
      </c>
      <c r="N303" s="22" t="s">
        <v>1700</v>
      </c>
    </row>
    <row r="304" spans="1:14" x14ac:dyDescent="0.3">
      <c r="A304" s="22" t="s">
        <v>1096</v>
      </c>
      <c r="B304" t="str">
        <f t="shared" si="20"/>
        <v>Rakesh Thomas</v>
      </c>
      <c r="C304" t="str">
        <f t="shared" si="21"/>
        <v>Engineering</v>
      </c>
      <c r="D304" s="30" t="str">
        <f t="shared" si="22"/>
        <v>L1</v>
      </c>
      <c r="E304" s="30" t="str">
        <f t="shared" si="23"/>
        <v>Active</v>
      </c>
      <c r="F304" t="s">
        <v>1722</v>
      </c>
      <c r="G304" s="22">
        <v>6</v>
      </c>
      <c r="H304" s="22">
        <v>42</v>
      </c>
      <c r="I304" s="34">
        <v>42000</v>
      </c>
      <c r="J304" s="22">
        <v>78</v>
      </c>
      <c r="K304" s="22" t="s">
        <v>1700</v>
      </c>
      <c r="L304" s="22" t="s">
        <v>1700</v>
      </c>
      <c r="M304" s="22" t="str">
        <f t="shared" si="24"/>
        <v>Compliant</v>
      </c>
      <c r="N304" s="22" t="s">
        <v>1701</v>
      </c>
    </row>
    <row r="305" spans="1:14" x14ac:dyDescent="0.3">
      <c r="A305" s="22" t="s">
        <v>1099</v>
      </c>
      <c r="B305" t="str">
        <f t="shared" si="20"/>
        <v>Harini Khan</v>
      </c>
      <c r="C305" t="str">
        <f t="shared" si="21"/>
        <v>Sales</v>
      </c>
      <c r="D305" s="30" t="str">
        <f t="shared" si="22"/>
        <v>L2</v>
      </c>
      <c r="E305" s="30" t="str">
        <f t="shared" si="23"/>
        <v>Active</v>
      </c>
      <c r="F305" t="s">
        <v>1729</v>
      </c>
      <c r="G305" s="22">
        <v>4</v>
      </c>
      <c r="H305" s="22">
        <v>20</v>
      </c>
      <c r="I305" s="34">
        <v>20000</v>
      </c>
      <c r="J305" s="22">
        <v>70</v>
      </c>
      <c r="K305" s="22" t="s">
        <v>1700</v>
      </c>
      <c r="L305" s="22" t="s">
        <v>1700</v>
      </c>
      <c r="M305" s="22" t="str">
        <f t="shared" si="24"/>
        <v>Compliant</v>
      </c>
      <c r="N305" s="22" t="s">
        <v>1701</v>
      </c>
    </row>
    <row r="306" spans="1:14" x14ac:dyDescent="0.3">
      <c r="A306" s="22" t="s">
        <v>1102</v>
      </c>
      <c r="B306" t="str">
        <f t="shared" si="20"/>
        <v>Abhishek Sharma</v>
      </c>
      <c r="C306" t="str">
        <f t="shared" si="21"/>
        <v>Operations</v>
      </c>
      <c r="D306" s="30" t="str">
        <f t="shared" si="22"/>
        <v>L4</v>
      </c>
      <c r="E306" s="30" t="str">
        <f t="shared" si="23"/>
        <v>Active</v>
      </c>
      <c r="F306" t="s">
        <v>1722</v>
      </c>
      <c r="G306" s="22">
        <v>3</v>
      </c>
      <c r="H306" s="22">
        <v>15</v>
      </c>
      <c r="I306" s="34">
        <v>9000</v>
      </c>
      <c r="J306" s="22">
        <v>89</v>
      </c>
      <c r="K306" s="22" t="s">
        <v>1700</v>
      </c>
      <c r="L306" s="22" t="s">
        <v>1700</v>
      </c>
      <c r="M306" s="22" t="str">
        <f t="shared" si="24"/>
        <v>Compliant</v>
      </c>
      <c r="N306" s="22" t="s">
        <v>1701</v>
      </c>
    </row>
    <row r="307" spans="1:14" x14ac:dyDescent="0.3">
      <c r="A307" s="22" t="s">
        <v>1105</v>
      </c>
      <c r="B307" t="str">
        <f t="shared" si="20"/>
        <v>Ravi Pandey</v>
      </c>
      <c r="C307" t="str">
        <f t="shared" si="21"/>
        <v>Data &amp; Analytics</v>
      </c>
      <c r="D307" s="30" t="str">
        <f t="shared" si="22"/>
        <v>L3</v>
      </c>
      <c r="E307" s="30" t="str">
        <f t="shared" si="23"/>
        <v>Active</v>
      </c>
      <c r="F307" t="s">
        <v>1731</v>
      </c>
      <c r="G307" s="22">
        <v>8</v>
      </c>
      <c r="H307" s="22">
        <v>24</v>
      </c>
      <c r="I307" s="34">
        <v>19200</v>
      </c>
      <c r="J307" s="22">
        <v>78</v>
      </c>
      <c r="K307" s="22" t="s">
        <v>1700</v>
      </c>
      <c r="L307" s="22" t="s">
        <v>1700</v>
      </c>
      <c r="M307" s="22" t="str">
        <f t="shared" si="24"/>
        <v>Compliant</v>
      </c>
      <c r="N307" s="22" t="s">
        <v>1701</v>
      </c>
    </row>
    <row r="308" spans="1:14" x14ac:dyDescent="0.3">
      <c r="A308" s="22" t="s">
        <v>1108</v>
      </c>
      <c r="B308" t="str">
        <f t="shared" si="20"/>
        <v>Anjali Mehta</v>
      </c>
      <c r="C308" t="str">
        <f t="shared" si="21"/>
        <v>Engineering</v>
      </c>
      <c r="D308" s="30" t="str">
        <f t="shared" si="22"/>
        <v>L3</v>
      </c>
      <c r="E308" s="30" t="str">
        <f t="shared" si="23"/>
        <v>Active</v>
      </c>
      <c r="F308" t="s">
        <v>1723</v>
      </c>
      <c r="G308" s="22">
        <v>2</v>
      </c>
      <c r="H308" s="22">
        <v>14</v>
      </c>
      <c r="I308" s="34">
        <v>14000</v>
      </c>
      <c r="J308" s="22">
        <v>62</v>
      </c>
      <c r="K308" s="22" t="s">
        <v>1700</v>
      </c>
      <c r="L308" s="22" t="s">
        <v>1701</v>
      </c>
      <c r="M308" s="22" t="str">
        <f t="shared" si="24"/>
        <v>Pending</v>
      </c>
      <c r="N308" s="22" t="s">
        <v>1701</v>
      </c>
    </row>
    <row r="309" spans="1:14" x14ac:dyDescent="0.3">
      <c r="A309" s="22" t="s">
        <v>1111</v>
      </c>
      <c r="B309" t="str">
        <f t="shared" si="20"/>
        <v>Sanjay Saxena</v>
      </c>
      <c r="C309" t="str">
        <f t="shared" si="21"/>
        <v>Customer Support</v>
      </c>
      <c r="D309" s="30" t="str">
        <f t="shared" si="22"/>
        <v>L1</v>
      </c>
      <c r="E309" s="30" t="str">
        <f t="shared" si="23"/>
        <v>Active</v>
      </c>
      <c r="F309" t="s">
        <v>1725</v>
      </c>
      <c r="G309" s="22">
        <v>8</v>
      </c>
      <c r="H309" s="22">
        <v>48</v>
      </c>
      <c r="I309" s="34">
        <v>28800</v>
      </c>
      <c r="J309" s="22">
        <v>88</v>
      </c>
      <c r="K309" s="22" t="s">
        <v>1700</v>
      </c>
      <c r="L309" s="22" t="s">
        <v>1700</v>
      </c>
      <c r="M309" s="22" t="str">
        <f t="shared" si="24"/>
        <v>Compliant</v>
      </c>
      <c r="N309" s="22" t="s">
        <v>1700</v>
      </c>
    </row>
    <row r="310" spans="1:14" x14ac:dyDescent="0.3">
      <c r="A310" s="22" t="s">
        <v>1114</v>
      </c>
      <c r="B310" t="str">
        <f t="shared" si="20"/>
        <v>Kunal Mukherjee</v>
      </c>
      <c r="C310" t="str">
        <f t="shared" si="21"/>
        <v>Engineering</v>
      </c>
      <c r="D310" s="30" t="str">
        <f t="shared" si="22"/>
        <v>L1</v>
      </c>
      <c r="E310" s="30" t="str">
        <f t="shared" si="23"/>
        <v>Active</v>
      </c>
      <c r="F310" t="s">
        <v>1728</v>
      </c>
      <c r="G310" s="22">
        <v>4</v>
      </c>
      <c r="H310" s="22">
        <v>16</v>
      </c>
      <c r="I310" s="34">
        <v>7200</v>
      </c>
      <c r="J310" s="22">
        <v>75</v>
      </c>
      <c r="K310" s="22" t="s">
        <v>1700</v>
      </c>
      <c r="L310" s="22" t="s">
        <v>1700</v>
      </c>
      <c r="M310" s="22" t="str">
        <f t="shared" si="24"/>
        <v>Compliant</v>
      </c>
      <c r="N310" s="22" t="s">
        <v>1701</v>
      </c>
    </row>
    <row r="311" spans="1:14" x14ac:dyDescent="0.3">
      <c r="A311" s="22" t="s">
        <v>685</v>
      </c>
      <c r="B311" t="str">
        <f t="shared" si="20"/>
        <v>Swathi Mukherjee</v>
      </c>
      <c r="C311" t="str">
        <f t="shared" si="21"/>
        <v>Legal &amp; Compliance</v>
      </c>
      <c r="D311" s="30" t="str">
        <f t="shared" si="22"/>
        <v>L5</v>
      </c>
      <c r="E311" s="30" t="str">
        <f t="shared" si="23"/>
        <v>Active</v>
      </c>
      <c r="F311" t="s">
        <v>1722</v>
      </c>
      <c r="G311" s="22">
        <v>6</v>
      </c>
      <c r="H311" s="22">
        <v>36</v>
      </c>
      <c r="I311" s="34">
        <v>28800</v>
      </c>
      <c r="J311" s="22">
        <v>96</v>
      </c>
      <c r="K311" s="22" t="s">
        <v>1700</v>
      </c>
      <c r="L311" s="22" t="s">
        <v>1700</v>
      </c>
      <c r="M311" s="22" t="str">
        <f t="shared" si="24"/>
        <v>Compliant</v>
      </c>
      <c r="N311" s="22" t="s">
        <v>1701</v>
      </c>
    </row>
    <row r="312" spans="1:14" x14ac:dyDescent="0.3">
      <c r="A312" s="22" t="s">
        <v>1118</v>
      </c>
      <c r="B312" t="str">
        <f t="shared" si="20"/>
        <v>Tarun Tiwari</v>
      </c>
      <c r="C312" t="str">
        <f t="shared" si="21"/>
        <v>Sales</v>
      </c>
      <c r="D312" s="30" t="str">
        <f t="shared" si="22"/>
        <v>L2</v>
      </c>
      <c r="E312" s="30" t="str">
        <f t="shared" si="23"/>
        <v>Active</v>
      </c>
      <c r="F312" t="s">
        <v>1723</v>
      </c>
      <c r="G312" s="22">
        <v>2</v>
      </c>
      <c r="H312" s="22">
        <v>10</v>
      </c>
      <c r="I312" s="34">
        <v>4500</v>
      </c>
      <c r="J312" s="22">
        <v>73</v>
      </c>
      <c r="K312" s="22" t="s">
        <v>1700</v>
      </c>
      <c r="L312" s="22" t="s">
        <v>1700</v>
      </c>
      <c r="M312" s="22" t="str">
        <f t="shared" si="24"/>
        <v>Compliant</v>
      </c>
      <c r="N312" s="22" t="s">
        <v>1701</v>
      </c>
    </row>
    <row r="313" spans="1:14" x14ac:dyDescent="0.3">
      <c r="A313" s="22" t="s">
        <v>1121</v>
      </c>
      <c r="B313" t="str">
        <f t="shared" si="20"/>
        <v>Ritu Chatterjee</v>
      </c>
      <c r="C313" t="str">
        <f t="shared" si="21"/>
        <v>Operations</v>
      </c>
      <c r="D313" s="30" t="str">
        <f t="shared" si="22"/>
        <v>L1</v>
      </c>
      <c r="E313" s="30" t="str">
        <f t="shared" si="23"/>
        <v>Active</v>
      </c>
      <c r="F313" t="s">
        <v>1725</v>
      </c>
      <c r="G313" s="22">
        <v>7</v>
      </c>
      <c r="H313" s="22">
        <v>42</v>
      </c>
      <c r="I313" s="34">
        <v>18900</v>
      </c>
      <c r="J313" s="22">
        <v>84</v>
      </c>
      <c r="K313" s="22" t="s">
        <v>1700</v>
      </c>
      <c r="L313" s="22" t="s">
        <v>1700</v>
      </c>
      <c r="M313" s="22" t="str">
        <f t="shared" si="24"/>
        <v>Compliant</v>
      </c>
      <c r="N313" s="22" t="s">
        <v>1700</v>
      </c>
    </row>
    <row r="314" spans="1:14" x14ac:dyDescent="0.3">
      <c r="A314" s="22" t="s">
        <v>1124</v>
      </c>
      <c r="B314" t="str">
        <f t="shared" si="20"/>
        <v>Mohit Bose</v>
      </c>
      <c r="C314" t="str">
        <f t="shared" si="21"/>
        <v>Customer Support</v>
      </c>
      <c r="D314" s="30" t="str">
        <f t="shared" si="22"/>
        <v>L1</v>
      </c>
      <c r="E314" s="30" t="str">
        <f t="shared" si="23"/>
        <v>Active</v>
      </c>
      <c r="F314" t="s">
        <v>1724</v>
      </c>
      <c r="G314" s="22">
        <v>2</v>
      </c>
      <c r="H314" s="22">
        <v>10</v>
      </c>
      <c r="I314" s="34">
        <v>10000</v>
      </c>
      <c r="J314" s="22">
        <v>93</v>
      </c>
      <c r="K314" s="22" t="s">
        <v>1700</v>
      </c>
      <c r="L314" s="22" t="s">
        <v>1701</v>
      </c>
      <c r="M314" s="22" t="str">
        <f t="shared" si="24"/>
        <v>Pending</v>
      </c>
      <c r="N314" s="22" t="s">
        <v>1701</v>
      </c>
    </row>
    <row r="315" spans="1:14" x14ac:dyDescent="0.3">
      <c r="A315" s="22" t="s">
        <v>1127</v>
      </c>
      <c r="B315" t="str">
        <f t="shared" si="20"/>
        <v>Sanjay Thomas</v>
      </c>
      <c r="C315" t="str">
        <f t="shared" si="21"/>
        <v>Legal &amp; Compliance</v>
      </c>
      <c r="D315" s="30" t="str">
        <f t="shared" si="22"/>
        <v>L1</v>
      </c>
      <c r="E315" s="30" t="str">
        <f t="shared" si="23"/>
        <v>Active</v>
      </c>
      <c r="F315" t="s">
        <v>1723</v>
      </c>
      <c r="G315" s="22">
        <v>3</v>
      </c>
      <c r="H315" s="22">
        <v>21</v>
      </c>
      <c r="I315" s="34">
        <v>21000</v>
      </c>
      <c r="J315" s="22">
        <v>70</v>
      </c>
      <c r="K315" s="22" t="s">
        <v>1700</v>
      </c>
      <c r="L315" s="22" t="s">
        <v>1700</v>
      </c>
      <c r="M315" s="22" t="str">
        <f t="shared" si="24"/>
        <v>Compliant</v>
      </c>
      <c r="N315" s="22" t="s">
        <v>1700</v>
      </c>
    </row>
    <row r="316" spans="1:14" x14ac:dyDescent="0.3">
      <c r="A316" s="22" t="s">
        <v>1131</v>
      </c>
      <c r="B316" t="str">
        <f t="shared" si="20"/>
        <v>Revathi Fernandes</v>
      </c>
      <c r="C316" t="str">
        <f t="shared" si="21"/>
        <v>Legal &amp; Compliance</v>
      </c>
      <c r="D316" s="30" t="str">
        <f t="shared" si="22"/>
        <v>L2</v>
      </c>
      <c r="E316" s="30" t="str">
        <f t="shared" si="23"/>
        <v>Active</v>
      </c>
      <c r="F316" t="s">
        <v>1725</v>
      </c>
      <c r="G316" s="22">
        <v>8</v>
      </c>
      <c r="H316" s="22">
        <v>40</v>
      </c>
      <c r="I316" s="34">
        <v>24000</v>
      </c>
      <c r="J316" s="22">
        <v>78</v>
      </c>
      <c r="K316" s="22" t="s">
        <v>1700</v>
      </c>
      <c r="L316" s="22" t="s">
        <v>1700</v>
      </c>
      <c r="M316" s="22" t="str">
        <f t="shared" si="24"/>
        <v>Compliant</v>
      </c>
      <c r="N316" s="22" t="s">
        <v>1700</v>
      </c>
    </row>
    <row r="317" spans="1:14" x14ac:dyDescent="0.3">
      <c r="A317" s="22" t="s">
        <v>1134</v>
      </c>
      <c r="B317" t="str">
        <f t="shared" si="20"/>
        <v>Fatima Patel</v>
      </c>
      <c r="C317" t="str">
        <f t="shared" si="21"/>
        <v>Sales</v>
      </c>
      <c r="D317" s="30" t="str">
        <f t="shared" si="22"/>
        <v>L1</v>
      </c>
      <c r="E317" s="30" t="str">
        <f t="shared" si="23"/>
        <v>Active</v>
      </c>
      <c r="F317" t="s">
        <v>1725</v>
      </c>
      <c r="G317" s="22">
        <v>9</v>
      </c>
      <c r="H317" s="22">
        <v>54</v>
      </c>
      <c r="I317" s="34">
        <v>43200</v>
      </c>
      <c r="J317" s="22">
        <v>98</v>
      </c>
      <c r="K317" s="22" t="s">
        <v>1700</v>
      </c>
      <c r="L317" s="22" t="s">
        <v>1700</v>
      </c>
      <c r="M317" s="22" t="str">
        <f t="shared" si="24"/>
        <v>Compliant</v>
      </c>
      <c r="N317" s="22" t="s">
        <v>1701</v>
      </c>
    </row>
    <row r="318" spans="1:14" x14ac:dyDescent="0.3">
      <c r="A318" s="22" t="s">
        <v>1137</v>
      </c>
      <c r="B318" t="str">
        <f t="shared" si="20"/>
        <v>Nisha Choudhary</v>
      </c>
      <c r="C318" t="str">
        <f t="shared" si="21"/>
        <v>Finance</v>
      </c>
      <c r="D318" s="30" t="str">
        <f t="shared" si="22"/>
        <v>L2</v>
      </c>
      <c r="E318" s="30" t="str">
        <f t="shared" si="23"/>
        <v>Active</v>
      </c>
      <c r="F318" t="s">
        <v>1725</v>
      </c>
      <c r="G318" s="22">
        <v>7</v>
      </c>
      <c r="H318" s="22">
        <v>56</v>
      </c>
      <c r="I318" s="34">
        <v>44800</v>
      </c>
      <c r="J318" s="22">
        <v>76</v>
      </c>
      <c r="K318" s="22" t="s">
        <v>1700</v>
      </c>
      <c r="L318" s="22" t="s">
        <v>1700</v>
      </c>
      <c r="M318" s="22" t="str">
        <f t="shared" si="24"/>
        <v>Compliant</v>
      </c>
      <c r="N318" s="22" t="s">
        <v>1701</v>
      </c>
    </row>
    <row r="319" spans="1:14" x14ac:dyDescent="0.3">
      <c r="A319" s="22" t="s">
        <v>1140</v>
      </c>
      <c r="B319" t="str">
        <f t="shared" si="20"/>
        <v>Amit Desai</v>
      </c>
      <c r="C319" t="str">
        <f t="shared" si="21"/>
        <v>Engineering</v>
      </c>
      <c r="D319" s="30" t="str">
        <f t="shared" si="22"/>
        <v>L2</v>
      </c>
      <c r="E319" s="30" t="str">
        <f t="shared" si="23"/>
        <v>Active</v>
      </c>
      <c r="F319" t="s">
        <v>1728</v>
      </c>
      <c r="G319" s="22">
        <v>6</v>
      </c>
      <c r="H319" s="22">
        <v>42</v>
      </c>
      <c r="I319" s="34">
        <v>18900</v>
      </c>
      <c r="J319" s="22">
        <v>89</v>
      </c>
      <c r="K319" s="22" t="s">
        <v>1700</v>
      </c>
      <c r="L319" s="22" t="s">
        <v>1700</v>
      </c>
      <c r="M319" s="22" t="str">
        <f t="shared" si="24"/>
        <v>Compliant</v>
      </c>
      <c r="N319" s="22" t="s">
        <v>1701</v>
      </c>
    </row>
    <row r="320" spans="1:14" x14ac:dyDescent="0.3">
      <c r="A320" s="22" t="s">
        <v>1143</v>
      </c>
      <c r="B320" t="str">
        <f t="shared" si="20"/>
        <v>Neha Siddiqui</v>
      </c>
      <c r="C320" t="str">
        <f t="shared" si="21"/>
        <v>Engineering</v>
      </c>
      <c r="D320" s="30" t="str">
        <f t="shared" si="22"/>
        <v>L2</v>
      </c>
      <c r="E320" s="30" t="str">
        <f t="shared" si="23"/>
        <v>Active</v>
      </c>
      <c r="F320" t="s">
        <v>1722</v>
      </c>
      <c r="G320" s="22">
        <v>2</v>
      </c>
      <c r="H320" s="22">
        <v>6</v>
      </c>
      <c r="I320" s="34">
        <v>3600</v>
      </c>
      <c r="J320" s="22">
        <v>63</v>
      </c>
      <c r="K320" s="22" t="s">
        <v>1700</v>
      </c>
      <c r="L320" s="22" t="s">
        <v>1700</v>
      </c>
      <c r="M320" s="22" t="str">
        <f t="shared" si="24"/>
        <v>Compliant</v>
      </c>
      <c r="N320" s="22" t="s">
        <v>1701</v>
      </c>
    </row>
    <row r="321" spans="1:14" x14ac:dyDescent="0.3">
      <c r="A321" s="22" t="s">
        <v>1146</v>
      </c>
      <c r="B321" t="str">
        <f t="shared" si="20"/>
        <v>Prakash Raghavan</v>
      </c>
      <c r="C321" t="str">
        <f t="shared" si="21"/>
        <v>Operations</v>
      </c>
      <c r="D321" s="30" t="str">
        <f t="shared" si="22"/>
        <v>L2</v>
      </c>
      <c r="E321" s="30" t="str">
        <f t="shared" si="23"/>
        <v>Active</v>
      </c>
      <c r="F321" t="s">
        <v>1724</v>
      </c>
      <c r="G321" s="22">
        <v>6</v>
      </c>
      <c r="H321" s="22">
        <v>30</v>
      </c>
      <c r="I321" s="34">
        <v>24000</v>
      </c>
      <c r="J321" s="22">
        <v>92</v>
      </c>
      <c r="K321" s="22" t="s">
        <v>1700</v>
      </c>
      <c r="L321" s="22" t="s">
        <v>1700</v>
      </c>
      <c r="M321" s="22" t="str">
        <f t="shared" si="24"/>
        <v>Compliant</v>
      </c>
      <c r="N321" s="22" t="s">
        <v>1700</v>
      </c>
    </row>
    <row r="322" spans="1:14" x14ac:dyDescent="0.3">
      <c r="A322" s="22" t="s">
        <v>1149</v>
      </c>
      <c r="B322" t="str">
        <f t="shared" ref="B322:B385" si="25">INDEX(M_Name,MATCH($A322,M_ID,0))</f>
        <v>Imran Gupta</v>
      </c>
      <c r="C322" t="str">
        <f t="shared" ref="C322:C385" si="26">INDEX(M_Dept,MATCH($A322,M_ID,0))</f>
        <v>Sales</v>
      </c>
      <c r="D322" s="30" t="str">
        <f t="shared" ref="D322:D385" si="27">INDEX(M_Level,MATCH($A322,M_ID,0))</f>
        <v>L4</v>
      </c>
      <c r="E322" s="30" t="str">
        <f t="shared" ref="E322:E385" si="28">INDEX(M_Status,MATCH($A322,M_ID,0))</f>
        <v>Active</v>
      </c>
      <c r="F322" t="s">
        <v>1726</v>
      </c>
      <c r="G322" s="22">
        <v>1</v>
      </c>
      <c r="H322" s="22">
        <v>7</v>
      </c>
      <c r="I322" s="34">
        <v>7000</v>
      </c>
      <c r="J322" s="22">
        <v>71</v>
      </c>
      <c r="K322" s="22" t="s">
        <v>1700</v>
      </c>
      <c r="L322" s="22" t="s">
        <v>1700</v>
      </c>
      <c r="M322" s="22" t="str">
        <f t="shared" ref="M322:M385" si="29">IF(AND(K322="Yes",L322="Yes"),"Compliant","Pending")</f>
        <v>Compliant</v>
      </c>
      <c r="N322" s="22" t="s">
        <v>1700</v>
      </c>
    </row>
    <row r="323" spans="1:14" x14ac:dyDescent="0.3">
      <c r="A323" s="22" t="s">
        <v>1152</v>
      </c>
      <c r="B323" t="str">
        <f t="shared" si="25"/>
        <v>Radhika Kapoor</v>
      </c>
      <c r="C323" t="str">
        <f t="shared" si="26"/>
        <v>Product</v>
      </c>
      <c r="D323" s="30" t="str">
        <f t="shared" si="27"/>
        <v>L1</v>
      </c>
      <c r="E323" s="30" t="str">
        <f t="shared" si="28"/>
        <v>Active</v>
      </c>
      <c r="F323" t="s">
        <v>1725</v>
      </c>
      <c r="G323" s="22">
        <v>8</v>
      </c>
      <c r="H323" s="22">
        <v>32</v>
      </c>
      <c r="I323" s="34">
        <v>14400</v>
      </c>
      <c r="J323" s="22">
        <v>93</v>
      </c>
      <c r="K323" s="22" t="s">
        <v>1700</v>
      </c>
      <c r="L323" s="22" t="s">
        <v>1700</v>
      </c>
      <c r="M323" s="22" t="str">
        <f t="shared" si="29"/>
        <v>Compliant</v>
      </c>
      <c r="N323" s="22" t="s">
        <v>1700</v>
      </c>
    </row>
    <row r="324" spans="1:14" x14ac:dyDescent="0.3">
      <c r="A324" s="22" t="s">
        <v>1155</v>
      </c>
      <c r="B324" t="str">
        <f t="shared" si="25"/>
        <v>Dev Bansal</v>
      </c>
      <c r="C324" t="str">
        <f t="shared" si="26"/>
        <v>Sales</v>
      </c>
      <c r="D324" s="30" t="str">
        <f t="shared" si="27"/>
        <v>L1</v>
      </c>
      <c r="E324" s="30" t="str">
        <f t="shared" si="28"/>
        <v>Active</v>
      </c>
      <c r="F324" t="s">
        <v>1728</v>
      </c>
      <c r="G324" s="22">
        <v>1</v>
      </c>
      <c r="H324" s="22">
        <v>3</v>
      </c>
      <c r="I324" s="34">
        <v>1800</v>
      </c>
      <c r="J324" s="22">
        <v>66</v>
      </c>
      <c r="K324" s="22" t="s">
        <v>1700</v>
      </c>
      <c r="L324" s="22" t="s">
        <v>1700</v>
      </c>
      <c r="M324" s="22" t="str">
        <f t="shared" si="29"/>
        <v>Compliant</v>
      </c>
      <c r="N324" s="22" t="s">
        <v>1701</v>
      </c>
    </row>
    <row r="325" spans="1:14" x14ac:dyDescent="0.3">
      <c r="A325" s="22" t="s">
        <v>1158</v>
      </c>
      <c r="B325" t="str">
        <f t="shared" si="25"/>
        <v>Divya Banerjee</v>
      </c>
      <c r="C325" t="str">
        <f t="shared" si="26"/>
        <v>Operations</v>
      </c>
      <c r="D325" s="30" t="str">
        <f t="shared" si="27"/>
        <v>L2</v>
      </c>
      <c r="E325" s="30" t="str">
        <f t="shared" si="28"/>
        <v>Active</v>
      </c>
      <c r="F325" t="s">
        <v>1727</v>
      </c>
      <c r="G325" s="22">
        <v>9</v>
      </c>
      <c r="H325" s="22">
        <v>45</v>
      </c>
      <c r="I325" s="34">
        <v>36000</v>
      </c>
      <c r="J325" s="22">
        <v>76</v>
      </c>
      <c r="K325" s="22" t="s">
        <v>1700</v>
      </c>
      <c r="L325" s="22" t="s">
        <v>1700</v>
      </c>
      <c r="M325" s="22" t="str">
        <f t="shared" si="29"/>
        <v>Compliant</v>
      </c>
      <c r="N325" s="22" t="s">
        <v>1701</v>
      </c>
    </row>
    <row r="326" spans="1:14" x14ac:dyDescent="0.3">
      <c r="A326" s="22" t="s">
        <v>1161</v>
      </c>
      <c r="B326" t="str">
        <f t="shared" si="25"/>
        <v>Aditya Nair</v>
      </c>
      <c r="C326" t="str">
        <f t="shared" si="26"/>
        <v>Customer Support</v>
      </c>
      <c r="D326" s="30" t="str">
        <f t="shared" si="27"/>
        <v>L3</v>
      </c>
      <c r="E326" s="30" t="str">
        <f t="shared" si="28"/>
        <v>Active</v>
      </c>
      <c r="F326" t="s">
        <v>1722</v>
      </c>
      <c r="G326" s="22">
        <v>8</v>
      </c>
      <c r="H326" s="22">
        <v>24</v>
      </c>
      <c r="I326" s="34">
        <v>24000</v>
      </c>
      <c r="J326" s="22">
        <v>72</v>
      </c>
      <c r="K326" s="22" t="s">
        <v>1700</v>
      </c>
      <c r="L326" s="22" t="s">
        <v>1700</v>
      </c>
      <c r="M326" s="22" t="str">
        <f t="shared" si="29"/>
        <v>Compliant</v>
      </c>
      <c r="N326" s="22" t="s">
        <v>1701</v>
      </c>
    </row>
    <row r="327" spans="1:14" x14ac:dyDescent="0.3">
      <c r="A327" s="22" t="s">
        <v>1164</v>
      </c>
      <c r="B327" t="str">
        <f t="shared" si="25"/>
        <v>Ramya Verma</v>
      </c>
      <c r="C327" t="str">
        <f t="shared" si="26"/>
        <v>Data &amp; Analytics</v>
      </c>
      <c r="D327" s="30" t="str">
        <f t="shared" si="27"/>
        <v>L2</v>
      </c>
      <c r="E327" s="30" t="str">
        <f t="shared" si="28"/>
        <v>Active</v>
      </c>
      <c r="F327" t="s">
        <v>1728</v>
      </c>
      <c r="G327" s="22">
        <v>8</v>
      </c>
      <c r="H327" s="22">
        <v>24</v>
      </c>
      <c r="I327" s="34">
        <v>19200</v>
      </c>
      <c r="J327" s="22">
        <v>83</v>
      </c>
      <c r="K327" s="22" t="s">
        <v>1700</v>
      </c>
      <c r="L327" s="22" t="s">
        <v>1700</v>
      </c>
      <c r="M327" s="22" t="str">
        <f t="shared" si="29"/>
        <v>Compliant</v>
      </c>
      <c r="N327" s="22" t="s">
        <v>1701</v>
      </c>
    </row>
    <row r="328" spans="1:14" x14ac:dyDescent="0.3">
      <c r="A328" s="22" t="s">
        <v>1167</v>
      </c>
      <c r="B328" t="str">
        <f t="shared" si="25"/>
        <v>Keerthi Agarwal</v>
      </c>
      <c r="C328" t="str">
        <f t="shared" si="26"/>
        <v>Operations</v>
      </c>
      <c r="D328" s="30" t="str">
        <f t="shared" si="27"/>
        <v>L4</v>
      </c>
      <c r="E328" s="30" t="str">
        <f t="shared" si="28"/>
        <v>Active</v>
      </c>
      <c r="F328" t="s">
        <v>1727</v>
      </c>
      <c r="G328" s="22">
        <v>4</v>
      </c>
      <c r="H328" s="22">
        <v>16</v>
      </c>
      <c r="I328" s="34">
        <v>7200</v>
      </c>
      <c r="J328" s="22">
        <v>81</v>
      </c>
      <c r="K328" s="22" t="s">
        <v>1700</v>
      </c>
      <c r="L328" s="22" t="s">
        <v>1700</v>
      </c>
      <c r="M328" s="22" t="str">
        <f t="shared" si="29"/>
        <v>Compliant</v>
      </c>
      <c r="N328" s="22" t="s">
        <v>1700</v>
      </c>
    </row>
    <row r="329" spans="1:14" x14ac:dyDescent="0.3">
      <c r="A329" s="22" t="s">
        <v>1170</v>
      </c>
      <c r="B329" t="str">
        <f t="shared" si="25"/>
        <v>Vishal Subramanian</v>
      </c>
      <c r="C329" t="str">
        <f t="shared" si="26"/>
        <v>Operations</v>
      </c>
      <c r="D329" s="30" t="str">
        <f t="shared" si="27"/>
        <v>L1</v>
      </c>
      <c r="E329" s="30" t="str">
        <f t="shared" si="28"/>
        <v>Active</v>
      </c>
      <c r="F329" t="s">
        <v>1722</v>
      </c>
      <c r="G329" s="22">
        <v>9</v>
      </c>
      <c r="H329" s="22">
        <v>54</v>
      </c>
      <c r="I329" s="34">
        <v>32400</v>
      </c>
      <c r="J329" s="22">
        <v>78</v>
      </c>
      <c r="K329" s="22" t="s">
        <v>1700</v>
      </c>
      <c r="L329" s="22" t="s">
        <v>1700</v>
      </c>
      <c r="M329" s="22" t="str">
        <f t="shared" si="29"/>
        <v>Compliant</v>
      </c>
      <c r="N329" s="22" t="s">
        <v>1700</v>
      </c>
    </row>
    <row r="330" spans="1:14" x14ac:dyDescent="0.3">
      <c r="A330" s="22" t="s">
        <v>1173</v>
      </c>
      <c r="B330" t="str">
        <f t="shared" si="25"/>
        <v>Akash Fernandes</v>
      </c>
      <c r="C330" t="str">
        <f t="shared" si="26"/>
        <v>Engineering</v>
      </c>
      <c r="D330" s="30" t="str">
        <f t="shared" si="27"/>
        <v>L2</v>
      </c>
      <c r="E330" s="30" t="str">
        <f t="shared" si="28"/>
        <v>Active</v>
      </c>
      <c r="F330" t="s">
        <v>1727</v>
      </c>
      <c r="G330" s="22">
        <v>5</v>
      </c>
      <c r="H330" s="22">
        <v>30</v>
      </c>
      <c r="I330" s="34">
        <v>13500</v>
      </c>
      <c r="J330" s="22">
        <v>83</v>
      </c>
      <c r="K330" s="22" t="s">
        <v>1700</v>
      </c>
      <c r="L330" s="22" t="s">
        <v>1700</v>
      </c>
      <c r="M330" s="22" t="str">
        <f t="shared" si="29"/>
        <v>Compliant</v>
      </c>
      <c r="N330" s="22" t="s">
        <v>1701</v>
      </c>
    </row>
    <row r="331" spans="1:14" x14ac:dyDescent="0.3">
      <c r="A331" s="22" t="s">
        <v>1176</v>
      </c>
      <c r="B331" t="str">
        <f t="shared" si="25"/>
        <v>Prakash Singh</v>
      </c>
      <c r="C331" t="str">
        <f t="shared" si="26"/>
        <v>Sales</v>
      </c>
      <c r="D331" s="30" t="str">
        <f t="shared" si="27"/>
        <v>L3</v>
      </c>
      <c r="E331" s="30" t="str">
        <f t="shared" si="28"/>
        <v>Active</v>
      </c>
      <c r="F331" t="s">
        <v>1722</v>
      </c>
      <c r="G331" s="22">
        <v>4</v>
      </c>
      <c r="H331" s="22">
        <v>16</v>
      </c>
      <c r="I331" s="34">
        <v>7200</v>
      </c>
      <c r="J331" s="22">
        <v>70</v>
      </c>
      <c r="K331" s="22" t="s">
        <v>1700</v>
      </c>
      <c r="L331" s="22" t="s">
        <v>1700</v>
      </c>
      <c r="M331" s="22" t="str">
        <f t="shared" si="29"/>
        <v>Compliant</v>
      </c>
      <c r="N331" s="22" t="s">
        <v>1701</v>
      </c>
    </row>
    <row r="332" spans="1:14" x14ac:dyDescent="0.3">
      <c r="A332" s="22" t="s">
        <v>1179</v>
      </c>
      <c r="B332" t="str">
        <f t="shared" si="25"/>
        <v>Sindhu Kapoor</v>
      </c>
      <c r="C332" t="str">
        <f t="shared" si="26"/>
        <v>Data &amp; Analytics</v>
      </c>
      <c r="D332" s="30" t="str">
        <f t="shared" si="27"/>
        <v>L4</v>
      </c>
      <c r="E332" s="30" t="str">
        <f t="shared" si="28"/>
        <v>Active</v>
      </c>
      <c r="F332" t="s">
        <v>1725</v>
      </c>
      <c r="G332" s="22">
        <v>5</v>
      </c>
      <c r="H332" s="22">
        <v>40</v>
      </c>
      <c r="I332" s="34">
        <v>24000</v>
      </c>
      <c r="J332" s="22">
        <v>98</v>
      </c>
      <c r="K332" s="22" t="s">
        <v>1700</v>
      </c>
      <c r="L332" s="22" t="s">
        <v>1700</v>
      </c>
      <c r="M332" s="22" t="str">
        <f t="shared" si="29"/>
        <v>Compliant</v>
      </c>
      <c r="N332" s="22" t="s">
        <v>1701</v>
      </c>
    </row>
    <row r="333" spans="1:14" x14ac:dyDescent="0.3">
      <c r="A333" s="22" t="s">
        <v>1182</v>
      </c>
      <c r="B333" t="str">
        <f t="shared" si="25"/>
        <v>Swathi Khanna</v>
      </c>
      <c r="C333" t="str">
        <f t="shared" si="26"/>
        <v>Engineering</v>
      </c>
      <c r="D333" s="30" t="str">
        <f t="shared" si="27"/>
        <v>L2</v>
      </c>
      <c r="E333" s="30" t="str">
        <f t="shared" si="28"/>
        <v>Active</v>
      </c>
      <c r="F333" t="s">
        <v>1728</v>
      </c>
      <c r="G333" s="22">
        <v>4</v>
      </c>
      <c r="H333" s="22">
        <v>28</v>
      </c>
      <c r="I333" s="34">
        <v>22400</v>
      </c>
      <c r="J333" s="22">
        <v>79</v>
      </c>
      <c r="K333" s="22" t="s">
        <v>1700</v>
      </c>
      <c r="L333" s="22" t="s">
        <v>1700</v>
      </c>
      <c r="M333" s="22" t="str">
        <f t="shared" si="29"/>
        <v>Compliant</v>
      </c>
      <c r="N333" s="22" t="s">
        <v>1700</v>
      </c>
    </row>
    <row r="334" spans="1:14" x14ac:dyDescent="0.3">
      <c r="A334" s="22" t="s">
        <v>1185</v>
      </c>
      <c r="B334" t="str">
        <f t="shared" si="25"/>
        <v>Siddharth Reddy</v>
      </c>
      <c r="C334" t="str">
        <f t="shared" si="26"/>
        <v>Marketing</v>
      </c>
      <c r="D334" s="30" t="str">
        <f t="shared" si="27"/>
        <v>L3</v>
      </c>
      <c r="E334" s="30" t="str">
        <f t="shared" si="28"/>
        <v>Active</v>
      </c>
      <c r="F334" t="s">
        <v>1728</v>
      </c>
      <c r="G334" s="22">
        <v>4</v>
      </c>
      <c r="H334" s="22">
        <v>24</v>
      </c>
      <c r="I334" s="34">
        <v>24000</v>
      </c>
      <c r="J334" s="22">
        <v>89</v>
      </c>
      <c r="K334" s="22" t="s">
        <v>1700</v>
      </c>
      <c r="L334" s="22" t="s">
        <v>1700</v>
      </c>
      <c r="M334" s="22" t="str">
        <f t="shared" si="29"/>
        <v>Compliant</v>
      </c>
      <c r="N334" s="22" t="s">
        <v>1701</v>
      </c>
    </row>
    <row r="335" spans="1:14" x14ac:dyDescent="0.3">
      <c r="A335" s="22" t="s">
        <v>1188</v>
      </c>
      <c r="B335" t="str">
        <f t="shared" si="25"/>
        <v>Megha Subramanian</v>
      </c>
      <c r="C335" t="str">
        <f t="shared" si="26"/>
        <v>Customer Support</v>
      </c>
      <c r="D335" s="30" t="str">
        <f t="shared" si="27"/>
        <v>L1</v>
      </c>
      <c r="E335" s="30" t="str">
        <f t="shared" si="28"/>
        <v>Exited</v>
      </c>
      <c r="F335" t="s">
        <v>1726</v>
      </c>
      <c r="G335" s="22">
        <v>8</v>
      </c>
      <c r="H335" s="22">
        <v>56</v>
      </c>
      <c r="I335" s="34">
        <v>44800</v>
      </c>
      <c r="J335" s="22">
        <v>97</v>
      </c>
      <c r="K335" s="22" t="s">
        <v>1700</v>
      </c>
      <c r="L335" s="22" t="s">
        <v>1700</v>
      </c>
      <c r="M335" s="22" t="str">
        <f t="shared" si="29"/>
        <v>Compliant</v>
      </c>
      <c r="N335" s="22" t="s">
        <v>1701</v>
      </c>
    </row>
    <row r="336" spans="1:14" x14ac:dyDescent="0.3">
      <c r="A336" s="22" t="s">
        <v>1191</v>
      </c>
      <c r="B336" t="str">
        <f t="shared" si="25"/>
        <v>Farhan Kamath</v>
      </c>
      <c r="C336" t="str">
        <f t="shared" si="26"/>
        <v>Operations</v>
      </c>
      <c r="D336" s="30" t="str">
        <f t="shared" si="27"/>
        <v>L2</v>
      </c>
      <c r="E336" s="30" t="str">
        <f t="shared" si="28"/>
        <v>Active</v>
      </c>
      <c r="F336" t="s">
        <v>1725</v>
      </c>
      <c r="G336" s="22">
        <v>2</v>
      </c>
      <c r="H336" s="22">
        <v>6</v>
      </c>
      <c r="I336" s="34">
        <v>2700</v>
      </c>
      <c r="J336" s="22">
        <v>77</v>
      </c>
      <c r="K336" s="22" t="s">
        <v>1700</v>
      </c>
      <c r="L336" s="22" t="s">
        <v>1700</v>
      </c>
      <c r="M336" s="22" t="str">
        <f t="shared" si="29"/>
        <v>Compliant</v>
      </c>
      <c r="N336" s="22" t="s">
        <v>1701</v>
      </c>
    </row>
    <row r="337" spans="1:14" x14ac:dyDescent="0.3">
      <c r="A337" s="22" t="s">
        <v>1194</v>
      </c>
      <c r="B337" t="str">
        <f t="shared" si="25"/>
        <v>Rahul Siddiqui</v>
      </c>
      <c r="C337" t="str">
        <f t="shared" si="26"/>
        <v>Customer Support</v>
      </c>
      <c r="D337" s="30" t="str">
        <f t="shared" si="27"/>
        <v>L3</v>
      </c>
      <c r="E337" s="30" t="str">
        <f t="shared" si="28"/>
        <v>Active</v>
      </c>
      <c r="F337" t="s">
        <v>1724</v>
      </c>
      <c r="G337" s="22">
        <v>8</v>
      </c>
      <c r="H337" s="22">
        <v>48</v>
      </c>
      <c r="I337" s="34">
        <v>28800</v>
      </c>
      <c r="J337" s="22">
        <v>81</v>
      </c>
      <c r="K337" s="22" t="s">
        <v>1700</v>
      </c>
      <c r="L337" s="22" t="s">
        <v>1700</v>
      </c>
      <c r="M337" s="22" t="str">
        <f t="shared" si="29"/>
        <v>Compliant</v>
      </c>
      <c r="N337" s="22" t="s">
        <v>1701</v>
      </c>
    </row>
    <row r="338" spans="1:14" x14ac:dyDescent="0.3">
      <c r="A338" s="22" t="s">
        <v>1197</v>
      </c>
      <c r="B338" t="str">
        <f t="shared" si="25"/>
        <v>Ajay Naidu</v>
      </c>
      <c r="C338" t="str">
        <f t="shared" si="26"/>
        <v>Engineering</v>
      </c>
      <c r="D338" s="30" t="str">
        <f t="shared" si="27"/>
        <v>L3</v>
      </c>
      <c r="E338" s="30" t="str">
        <f t="shared" si="28"/>
        <v>Active</v>
      </c>
      <c r="F338" t="s">
        <v>1726</v>
      </c>
      <c r="G338" s="22">
        <v>2</v>
      </c>
      <c r="H338" s="22">
        <v>10</v>
      </c>
      <c r="I338" s="34">
        <v>10000</v>
      </c>
      <c r="J338" s="22">
        <v>77</v>
      </c>
      <c r="K338" s="22" t="s">
        <v>1700</v>
      </c>
      <c r="L338" s="22" t="s">
        <v>1700</v>
      </c>
      <c r="M338" s="22" t="str">
        <f t="shared" si="29"/>
        <v>Compliant</v>
      </c>
      <c r="N338" s="22" t="s">
        <v>1700</v>
      </c>
    </row>
    <row r="339" spans="1:14" x14ac:dyDescent="0.3">
      <c r="A339" s="22" t="s">
        <v>1200</v>
      </c>
      <c r="B339" t="str">
        <f t="shared" si="25"/>
        <v>Sai Kulkarni</v>
      </c>
      <c r="C339" t="str">
        <f t="shared" si="26"/>
        <v>Operations</v>
      </c>
      <c r="D339" s="30" t="str">
        <f t="shared" si="27"/>
        <v>L1</v>
      </c>
      <c r="E339" s="30" t="str">
        <f t="shared" si="28"/>
        <v>Exited</v>
      </c>
      <c r="F339" t="s">
        <v>1722</v>
      </c>
      <c r="G339" s="22">
        <v>3</v>
      </c>
      <c r="H339" s="22">
        <v>15</v>
      </c>
      <c r="I339" s="34">
        <v>15000</v>
      </c>
      <c r="J339" s="22">
        <v>65</v>
      </c>
      <c r="K339" s="22" t="s">
        <v>1701</v>
      </c>
      <c r="L339" s="22" t="s">
        <v>1700</v>
      </c>
      <c r="M339" s="22" t="str">
        <f t="shared" si="29"/>
        <v>Pending</v>
      </c>
      <c r="N339" s="22" t="s">
        <v>1701</v>
      </c>
    </row>
    <row r="340" spans="1:14" x14ac:dyDescent="0.3">
      <c r="A340" s="22" t="s">
        <v>161</v>
      </c>
      <c r="B340" t="str">
        <f t="shared" si="25"/>
        <v>Lakshmi Subramanian</v>
      </c>
      <c r="C340" t="str">
        <f t="shared" si="26"/>
        <v>Legal &amp; Compliance</v>
      </c>
      <c r="D340" s="30" t="str">
        <f t="shared" si="27"/>
        <v>L6</v>
      </c>
      <c r="E340" s="30" t="str">
        <f t="shared" si="28"/>
        <v>Active</v>
      </c>
      <c r="F340" t="s">
        <v>1731</v>
      </c>
      <c r="G340" s="22">
        <v>1</v>
      </c>
      <c r="H340" s="22">
        <v>6</v>
      </c>
      <c r="I340" s="34">
        <v>3600</v>
      </c>
      <c r="J340" s="22">
        <v>93</v>
      </c>
      <c r="K340" s="22" t="s">
        <v>1700</v>
      </c>
      <c r="L340" s="22" t="s">
        <v>1700</v>
      </c>
      <c r="M340" s="22" t="str">
        <f t="shared" si="29"/>
        <v>Compliant</v>
      </c>
      <c r="N340" s="22" t="s">
        <v>1700</v>
      </c>
    </row>
    <row r="341" spans="1:14" x14ac:dyDescent="0.3">
      <c r="A341" s="22" t="s">
        <v>1207</v>
      </c>
      <c r="B341" t="str">
        <f t="shared" si="25"/>
        <v>Rohan Raghavan</v>
      </c>
      <c r="C341" t="str">
        <f t="shared" si="26"/>
        <v>Engineering</v>
      </c>
      <c r="D341" s="30" t="str">
        <f t="shared" si="27"/>
        <v>L1</v>
      </c>
      <c r="E341" s="30" t="str">
        <f t="shared" si="28"/>
        <v>Active</v>
      </c>
      <c r="F341" t="s">
        <v>1728</v>
      </c>
      <c r="G341" s="22">
        <v>5</v>
      </c>
      <c r="H341" s="22">
        <v>25</v>
      </c>
      <c r="I341" s="34">
        <v>11250</v>
      </c>
      <c r="J341" s="22">
        <v>71</v>
      </c>
      <c r="K341" s="22" t="s">
        <v>1700</v>
      </c>
      <c r="L341" s="22" t="s">
        <v>1700</v>
      </c>
      <c r="M341" s="22" t="str">
        <f t="shared" si="29"/>
        <v>Compliant</v>
      </c>
      <c r="N341" s="22" t="s">
        <v>1701</v>
      </c>
    </row>
    <row r="342" spans="1:14" x14ac:dyDescent="0.3">
      <c r="A342" s="22" t="s">
        <v>1210</v>
      </c>
      <c r="B342" t="str">
        <f t="shared" si="25"/>
        <v>Gayatri Naidu</v>
      </c>
      <c r="C342" t="str">
        <f t="shared" si="26"/>
        <v>Customer Support</v>
      </c>
      <c r="D342" s="30" t="str">
        <f t="shared" si="27"/>
        <v>L4</v>
      </c>
      <c r="E342" s="30" t="str">
        <f t="shared" si="28"/>
        <v>Exited</v>
      </c>
      <c r="F342" t="s">
        <v>1724</v>
      </c>
      <c r="G342" s="22">
        <v>2</v>
      </c>
      <c r="H342" s="22">
        <v>12</v>
      </c>
      <c r="I342" s="34">
        <v>12000</v>
      </c>
      <c r="J342" s="22">
        <v>69</v>
      </c>
      <c r="K342" s="22" t="s">
        <v>1700</v>
      </c>
      <c r="L342" s="22" t="s">
        <v>1700</v>
      </c>
      <c r="M342" s="22" t="str">
        <f t="shared" si="29"/>
        <v>Compliant</v>
      </c>
      <c r="N342" s="22" t="s">
        <v>1701</v>
      </c>
    </row>
    <row r="343" spans="1:14" x14ac:dyDescent="0.3">
      <c r="A343" s="22" t="s">
        <v>1213</v>
      </c>
      <c r="B343" t="str">
        <f t="shared" si="25"/>
        <v>Kiran Bose</v>
      </c>
      <c r="C343" t="str">
        <f t="shared" si="26"/>
        <v>Sales</v>
      </c>
      <c r="D343" s="30" t="str">
        <f t="shared" si="27"/>
        <v>L1</v>
      </c>
      <c r="E343" s="30" t="str">
        <f t="shared" si="28"/>
        <v>Active</v>
      </c>
      <c r="F343" t="s">
        <v>1723</v>
      </c>
      <c r="G343" s="22">
        <v>1</v>
      </c>
      <c r="H343" s="22">
        <v>7</v>
      </c>
      <c r="I343" s="34">
        <v>3150</v>
      </c>
      <c r="J343" s="22">
        <v>88</v>
      </c>
      <c r="K343" s="22" t="s">
        <v>1700</v>
      </c>
      <c r="L343" s="22" t="s">
        <v>1701</v>
      </c>
      <c r="M343" s="22" t="str">
        <f t="shared" si="29"/>
        <v>Pending</v>
      </c>
      <c r="N343" s="22" t="s">
        <v>1701</v>
      </c>
    </row>
    <row r="344" spans="1:14" x14ac:dyDescent="0.3">
      <c r="A344" s="22" t="s">
        <v>1216</v>
      </c>
      <c r="B344" t="str">
        <f t="shared" si="25"/>
        <v>Trisha Gowda</v>
      </c>
      <c r="C344" t="str">
        <f t="shared" si="26"/>
        <v>Operations</v>
      </c>
      <c r="D344" s="30" t="str">
        <f t="shared" si="27"/>
        <v>L3</v>
      </c>
      <c r="E344" s="30" t="str">
        <f t="shared" si="28"/>
        <v>Exited</v>
      </c>
      <c r="F344" t="s">
        <v>1730</v>
      </c>
      <c r="G344" s="22">
        <v>4</v>
      </c>
      <c r="H344" s="22">
        <v>20</v>
      </c>
      <c r="I344" s="34">
        <v>9000</v>
      </c>
      <c r="J344" s="22">
        <v>58</v>
      </c>
      <c r="K344" s="22" t="s">
        <v>1700</v>
      </c>
      <c r="L344" s="22" t="s">
        <v>1701</v>
      </c>
      <c r="M344" s="22" t="str">
        <f t="shared" si="29"/>
        <v>Pending</v>
      </c>
      <c r="N344" s="22" t="s">
        <v>1700</v>
      </c>
    </row>
    <row r="345" spans="1:14" x14ac:dyDescent="0.3">
      <c r="A345" s="22" t="s">
        <v>1219</v>
      </c>
      <c r="B345" t="str">
        <f t="shared" si="25"/>
        <v>Pooja Subramanian</v>
      </c>
      <c r="C345" t="str">
        <f t="shared" si="26"/>
        <v>Operations</v>
      </c>
      <c r="D345" s="30" t="str">
        <f t="shared" si="27"/>
        <v>L3</v>
      </c>
      <c r="E345" s="30" t="str">
        <f t="shared" si="28"/>
        <v>Active</v>
      </c>
      <c r="F345" t="s">
        <v>1725</v>
      </c>
      <c r="G345" s="22">
        <v>1</v>
      </c>
      <c r="H345" s="22">
        <v>7</v>
      </c>
      <c r="I345" s="34">
        <v>7000</v>
      </c>
      <c r="J345" s="22">
        <v>76</v>
      </c>
      <c r="K345" s="22" t="s">
        <v>1700</v>
      </c>
      <c r="L345" s="22" t="s">
        <v>1700</v>
      </c>
      <c r="M345" s="22" t="str">
        <f t="shared" si="29"/>
        <v>Compliant</v>
      </c>
      <c r="N345" s="22" t="s">
        <v>1701</v>
      </c>
    </row>
    <row r="346" spans="1:14" x14ac:dyDescent="0.3">
      <c r="A346" s="22" t="s">
        <v>1222</v>
      </c>
      <c r="B346" t="str">
        <f t="shared" si="25"/>
        <v>Nikhil Nair</v>
      </c>
      <c r="C346" t="str">
        <f t="shared" si="26"/>
        <v>Data &amp; Analytics</v>
      </c>
      <c r="D346" s="30" t="str">
        <f t="shared" si="27"/>
        <v>L1</v>
      </c>
      <c r="E346" s="30" t="str">
        <f t="shared" si="28"/>
        <v>Active</v>
      </c>
      <c r="F346" t="s">
        <v>1729</v>
      </c>
      <c r="G346" s="22">
        <v>6</v>
      </c>
      <c r="H346" s="22">
        <v>18</v>
      </c>
      <c r="I346" s="34">
        <v>14400</v>
      </c>
      <c r="J346" s="22">
        <v>93</v>
      </c>
      <c r="K346" s="22" t="s">
        <v>1700</v>
      </c>
      <c r="L346" s="22" t="s">
        <v>1700</v>
      </c>
      <c r="M346" s="22" t="str">
        <f t="shared" si="29"/>
        <v>Compliant</v>
      </c>
      <c r="N346" s="22" t="s">
        <v>1700</v>
      </c>
    </row>
    <row r="347" spans="1:14" x14ac:dyDescent="0.3">
      <c r="A347" s="22" t="s">
        <v>1225</v>
      </c>
      <c r="B347" t="str">
        <f t="shared" si="25"/>
        <v>Imran Mukherjee</v>
      </c>
      <c r="C347" t="str">
        <f t="shared" si="26"/>
        <v>Engineering</v>
      </c>
      <c r="D347" s="30" t="str">
        <f t="shared" si="27"/>
        <v>L3</v>
      </c>
      <c r="E347" s="30" t="str">
        <f t="shared" si="28"/>
        <v>Active</v>
      </c>
      <c r="F347" t="s">
        <v>1724</v>
      </c>
      <c r="G347" s="22">
        <v>9</v>
      </c>
      <c r="H347" s="22">
        <v>36</v>
      </c>
      <c r="I347" s="34">
        <v>28800</v>
      </c>
      <c r="J347" s="22">
        <v>81</v>
      </c>
      <c r="K347" s="22" t="s">
        <v>1700</v>
      </c>
      <c r="L347" s="22" t="s">
        <v>1700</v>
      </c>
      <c r="M347" s="22" t="str">
        <f t="shared" si="29"/>
        <v>Compliant</v>
      </c>
      <c r="N347" s="22" t="s">
        <v>1700</v>
      </c>
    </row>
    <row r="348" spans="1:14" x14ac:dyDescent="0.3">
      <c r="A348" s="22" t="s">
        <v>1228</v>
      </c>
      <c r="B348" t="str">
        <f t="shared" si="25"/>
        <v>Vinay Krishnan</v>
      </c>
      <c r="C348" t="str">
        <f t="shared" si="26"/>
        <v>Customer Support</v>
      </c>
      <c r="D348" s="30" t="str">
        <f t="shared" si="27"/>
        <v>L1</v>
      </c>
      <c r="E348" s="30" t="str">
        <f t="shared" si="28"/>
        <v>Active</v>
      </c>
      <c r="F348" t="s">
        <v>1727</v>
      </c>
      <c r="G348" s="22">
        <v>8</v>
      </c>
      <c r="H348" s="22">
        <v>40</v>
      </c>
      <c r="I348" s="34">
        <v>32000</v>
      </c>
      <c r="J348" s="22">
        <v>84</v>
      </c>
      <c r="K348" s="22" t="s">
        <v>1700</v>
      </c>
      <c r="L348" s="22" t="s">
        <v>1700</v>
      </c>
      <c r="M348" s="22" t="str">
        <f t="shared" si="29"/>
        <v>Compliant</v>
      </c>
      <c r="N348" s="22" t="s">
        <v>1701</v>
      </c>
    </row>
    <row r="349" spans="1:14" x14ac:dyDescent="0.3">
      <c r="A349" s="22" t="s">
        <v>1231</v>
      </c>
      <c r="B349" t="str">
        <f t="shared" si="25"/>
        <v>Tarun Mehta</v>
      </c>
      <c r="C349" t="str">
        <f t="shared" si="26"/>
        <v>Customer Support</v>
      </c>
      <c r="D349" s="30" t="str">
        <f t="shared" si="27"/>
        <v>L1</v>
      </c>
      <c r="E349" s="30" t="str">
        <f t="shared" si="28"/>
        <v>Active</v>
      </c>
      <c r="F349" t="s">
        <v>1729</v>
      </c>
      <c r="G349" s="22">
        <v>6</v>
      </c>
      <c r="H349" s="22">
        <v>36</v>
      </c>
      <c r="I349" s="34">
        <v>16200</v>
      </c>
      <c r="J349" s="22">
        <v>87</v>
      </c>
      <c r="K349" s="22" t="s">
        <v>1700</v>
      </c>
      <c r="L349" s="22" t="s">
        <v>1700</v>
      </c>
      <c r="M349" s="22" t="str">
        <f t="shared" si="29"/>
        <v>Compliant</v>
      </c>
      <c r="N349" s="22" t="s">
        <v>1700</v>
      </c>
    </row>
    <row r="350" spans="1:14" x14ac:dyDescent="0.3">
      <c r="A350" s="22" t="s">
        <v>1234</v>
      </c>
      <c r="B350" t="str">
        <f t="shared" si="25"/>
        <v>Mohit Nair</v>
      </c>
      <c r="C350" t="str">
        <f t="shared" si="26"/>
        <v>Data &amp; Analytics</v>
      </c>
      <c r="D350" s="30" t="str">
        <f t="shared" si="27"/>
        <v>L2</v>
      </c>
      <c r="E350" s="30" t="str">
        <f t="shared" si="28"/>
        <v>Exited</v>
      </c>
      <c r="F350" t="s">
        <v>1728</v>
      </c>
      <c r="G350" s="22">
        <v>8</v>
      </c>
      <c r="H350" s="22">
        <v>56</v>
      </c>
      <c r="I350" s="34">
        <v>33600</v>
      </c>
      <c r="J350" s="22">
        <v>96</v>
      </c>
      <c r="K350" s="22" t="s">
        <v>1700</v>
      </c>
      <c r="L350" s="22" t="s">
        <v>1700</v>
      </c>
      <c r="M350" s="22" t="str">
        <f t="shared" si="29"/>
        <v>Compliant</v>
      </c>
      <c r="N350" s="22" t="s">
        <v>1701</v>
      </c>
    </row>
    <row r="351" spans="1:14" x14ac:dyDescent="0.3">
      <c r="A351" s="22" t="s">
        <v>1237</v>
      </c>
      <c r="B351" t="str">
        <f t="shared" si="25"/>
        <v>Akash Naidu</v>
      </c>
      <c r="C351" t="str">
        <f t="shared" si="26"/>
        <v>Engineering</v>
      </c>
      <c r="D351" s="30" t="str">
        <f t="shared" si="27"/>
        <v>L2</v>
      </c>
      <c r="E351" s="30" t="str">
        <f t="shared" si="28"/>
        <v>Active</v>
      </c>
      <c r="F351" t="s">
        <v>1722</v>
      </c>
      <c r="G351" s="22">
        <v>6</v>
      </c>
      <c r="H351" s="22">
        <v>42</v>
      </c>
      <c r="I351" s="34">
        <v>25200</v>
      </c>
      <c r="J351" s="22">
        <v>83</v>
      </c>
      <c r="K351" s="22" t="s">
        <v>1700</v>
      </c>
      <c r="L351" s="22" t="s">
        <v>1700</v>
      </c>
      <c r="M351" s="22" t="str">
        <f t="shared" si="29"/>
        <v>Compliant</v>
      </c>
      <c r="N351" s="22" t="s">
        <v>1701</v>
      </c>
    </row>
    <row r="352" spans="1:14" x14ac:dyDescent="0.3">
      <c r="A352" s="22" t="s">
        <v>1240</v>
      </c>
      <c r="B352" t="str">
        <f t="shared" si="25"/>
        <v>Pallavi Desai</v>
      </c>
      <c r="C352" t="str">
        <f t="shared" si="26"/>
        <v>Customer Support</v>
      </c>
      <c r="D352" s="30" t="str">
        <f t="shared" si="27"/>
        <v>L3</v>
      </c>
      <c r="E352" s="30" t="str">
        <f t="shared" si="28"/>
        <v>Active</v>
      </c>
      <c r="F352" t="s">
        <v>1731</v>
      </c>
      <c r="G352" s="22">
        <v>2</v>
      </c>
      <c r="H352" s="22">
        <v>12</v>
      </c>
      <c r="I352" s="34">
        <v>5400</v>
      </c>
      <c r="J352" s="22">
        <v>58</v>
      </c>
      <c r="K352" s="22" t="s">
        <v>1701</v>
      </c>
      <c r="L352" s="22" t="s">
        <v>1700</v>
      </c>
      <c r="M352" s="22" t="str">
        <f t="shared" si="29"/>
        <v>Pending</v>
      </c>
      <c r="N352" s="22" t="s">
        <v>1701</v>
      </c>
    </row>
    <row r="353" spans="1:14" x14ac:dyDescent="0.3">
      <c r="A353" s="22" t="s">
        <v>1243</v>
      </c>
      <c r="B353" t="str">
        <f t="shared" si="25"/>
        <v>Imran Das</v>
      </c>
      <c r="C353" t="str">
        <f t="shared" si="26"/>
        <v>Finance</v>
      </c>
      <c r="D353" s="30" t="str">
        <f t="shared" si="27"/>
        <v>L1</v>
      </c>
      <c r="E353" s="30" t="str">
        <f t="shared" si="28"/>
        <v>Exited</v>
      </c>
      <c r="F353" t="s">
        <v>1730</v>
      </c>
      <c r="G353" s="22">
        <v>5</v>
      </c>
      <c r="H353" s="22">
        <v>35</v>
      </c>
      <c r="I353" s="34">
        <v>21000</v>
      </c>
      <c r="J353" s="22">
        <v>65</v>
      </c>
      <c r="K353" s="22" t="s">
        <v>1700</v>
      </c>
      <c r="L353" s="22" t="s">
        <v>1700</v>
      </c>
      <c r="M353" s="22" t="str">
        <f t="shared" si="29"/>
        <v>Compliant</v>
      </c>
      <c r="N353" s="22" t="s">
        <v>1701</v>
      </c>
    </row>
    <row r="354" spans="1:14" x14ac:dyDescent="0.3">
      <c r="A354" s="22" t="s">
        <v>1246</v>
      </c>
      <c r="B354" t="str">
        <f t="shared" si="25"/>
        <v>Anusha Das</v>
      </c>
      <c r="C354" t="str">
        <f t="shared" si="26"/>
        <v>Finance</v>
      </c>
      <c r="D354" s="30" t="str">
        <f t="shared" si="27"/>
        <v>L4</v>
      </c>
      <c r="E354" s="30" t="str">
        <f t="shared" si="28"/>
        <v>Active</v>
      </c>
      <c r="F354" t="s">
        <v>1724</v>
      </c>
      <c r="G354" s="22">
        <v>6</v>
      </c>
      <c r="H354" s="22">
        <v>48</v>
      </c>
      <c r="I354" s="34">
        <v>38400</v>
      </c>
      <c r="J354" s="22">
        <v>72</v>
      </c>
      <c r="K354" s="22" t="s">
        <v>1700</v>
      </c>
      <c r="L354" s="22" t="s">
        <v>1700</v>
      </c>
      <c r="M354" s="22" t="str">
        <f t="shared" si="29"/>
        <v>Compliant</v>
      </c>
      <c r="N354" s="22" t="s">
        <v>1701</v>
      </c>
    </row>
    <row r="355" spans="1:14" x14ac:dyDescent="0.3">
      <c r="A355" s="22" t="s">
        <v>1249</v>
      </c>
      <c r="B355" t="str">
        <f t="shared" si="25"/>
        <v>Imran Thomas</v>
      </c>
      <c r="C355" t="str">
        <f t="shared" si="26"/>
        <v>Operations</v>
      </c>
      <c r="D355" s="30" t="str">
        <f t="shared" si="27"/>
        <v>L3</v>
      </c>
      <c r="E355" s="30" t="str">
        <f t="shared" si="28"/>
        <v>Exited</v>
      </c>
      <c r="F355" t="s">
        <v>1730</v>
      </c>
      <c r="G355" s="22">
        <v>6</v>
      </c>
      <c r="H355" s="22">
        <v>48</v>
      </c>
      <c r="I355" s="34">
        <v>48000</v>
      </c>
      <c r="J355" s="22">
        <v>67</v>
      </c>
      <c r="K355" s="22" t="s">
        <v>1700</v>
      </c>
      <c r="L355" s="22" t="s">
        <v>1701</v>
      </c>
      <c r="M355" s="22" t="str">
        <f t="shared" si="29"/>
        <v>Pending</v>
      </c>
      <c r="N355" s="22" t="s">
        <v>1700</v>
      </c>
    </row>
    <row r="356" spans="1:14" x14ac:dyDescent="0.3">
      <c r="A356" s="22" t="s">
        <v>1252</v>
      </c>
      <c r="B356" t="str">
        <f t="shared" si="25"/>
        <v>Vinay Nair</v>
      </c>
      <c r="C356" t="str">
        <f t="shared" si="26"/>
        <v>Engineering</v>
      </c>
      <c r="D356" s="30" t="str">
        <f t="shared" si="27"/>
        <v>L3</v>
      </c>
      <c r="E356" s="30" t="str">
        <f t="shared" si="28"/>
        <v>Active</v>
      </c>
      <c r="F356" t="s">
        <v>1730</v>
      </c>
      <c r="G356" s="22">
        <v>4</v>
      </c>
      <c r="H356" s="22">
        <v>32</v>
      </c>
      <c r="I356" s="34">
        <v>14400</v>
      </c>
      <c r="J356" s="22">
        <v>67</v>
      </c>
      <c r="K356" s="22" t="s">
        <v>1700</v>
      </c>
      <c r="L356" s="22" t="s">
        <v>1701</v>
      </c>
      <c r="M356" s="22" t="str">
        <f t="shared" si="29"/>
        <v>Pending</v>
      </c>
      <c r="N356" s="22" t="s">
        <v>1701</v>
      </c>
    </row>
    <row r="357" spans="1:14" x14ac:dyDescent="0.3">
      <c r="A357" s="22" t="s">
        <v>1255</v>
      </c>
      <c r="B357" t="str">
        <f t="shared" si="25"/>
        <v>Trisha Menon</v>
      </c>
      <c r="C357" t="str">
        <f t="shared" si="26"/>
        <v>Engineering</v>
      </c>
      <c r="D357" s="30" t="str">
        <f t="shared" si="27"/>
        <v>L1</v>
      </c>
      <c r="E357" s="30" t="str">
        <f t="shared" si="28"/>
        <v>Active</v>
      </c>
      <c r="F357" t="s">
        <v>1727</v>
      </c>
      <c r="G357" s="22">
        <v>2</v>
      </c>
      <c r="H357" s="22">
        <v>16</v>
      </c>
      <c r="I357" s="34">
        <v>12800</v>
      </c>
      <c r="J357" s="22">
        <v>98</v>
      </c>
      <c r="K357" s="22" t="s">
        <v>1700</v>
      </c>
      <c r="L357" s="22" t="s">
        <v>1700</v>
      </c>
      <c r="M357" s="22" t="str">
        <f t="shared" si="29"/>
        <v>Compliant</v>
      </c>
      <c r="N357" s="22" t="s">
        <v>1701</v>
      </c>
    </row>
    <row r="358" spans="1:14" x14ac:dyDescent="0.3">
      <c r="A358" s="22" t="s">
        <v>1258</v>
      </c>
      <c r="B358" t="str">
        <f t="shared" si="25"/>
        <v>Abhishek Kapoor</v>
      </c>
      <c r="C358" t="str">
        <f t="shared" si="26"/>
        <v>Operations</v>
      </c>
      <c r="D358" s="30" t="str">
        <f t="shared" si="27"/>
        <v>L2</v>
      </c>
      <c r="E358" s="30" t="str">
        <f t="shared" si="28"/>
        <v>Active</v>
      </c>
      <c r="F358" t="s">
        <v>1726</v>
      </c>
      <c r="G358" s="22">
        <v>2</v>
      </c>
      <c r="H358" s="22">
        <v>8</v>
      </c>
      <c r="I358" s="34">
        <v>3600</v>
      </c>
      <c r="J358" s="22">
        <v>62</v>
      </c>
      <c r="K358" s="22" t="s">
        <v>1700</v>
      </c>
      <c r="L358" s="22" t="s">
        <v>1700</v>
      </c>
      <c r="M358" s="22" t="str">
        <f t="shared" si="29"/>
        <v>Compliant</v>
      </c>
      <c r="N358" s="22" t="s">
        <v>1700</v>
      </c>
    </row>
    <row r="359" spans="1:14" x14ac:dyDescent="0.3">
      <c r="A359" s="22" t="s">
        <v>1261</v>
      </c>
      <c r="B359" t="str">
        <f t="shared" si="25"/>
        <v>Rohit Patel</v>
      </c>
      <c r="C359" t="str">
        <f t="shared" si="26"/>
        <v>Engineering</v>
      </c>
      <c r="D359" s="30" t="str">
        <f t="shared" si="27"/>
        <v>L3</v>
      </c>
      <c r="E359" s="30" t="str">
        <f t="shared" si="28"/>
        <v>Active</v>
      </c>
      <c r="F359" t="s">
        <v>1731</v>
      </c>
      <c r="G359" s="22">
        <v>5</v>
      </c>
      <c r="H359" s="22">
        <v>30</v>
      </c>
      <c r="I359" s="34">
        <v>13500</v>
      </c>
      <c r="J359" s="22">
        <v>77</v>
      </c>
      <c r="K359" s="22" t="s">
        <v>1700</v>
      </c>
      <c r="L359" s="22" t="s">
        <v>1700</v>
      </c>
      <c r="M359" s="22" t="str">
        <f t="shared" si="29"/>
        <v>Compliant</v>
      </c>
      <c r="N359" s="22" t="s">
        <v>1701</v>
      </c>
    </row>
    <row r="360" spans="1:14" x14ac:dyDescent="0.3">
      <c r="A360" s="22" t="s">
        <v>1264</v>
      </c>
      <c r="B360" t="str">
        <f t="shared" si="25"/>
        <v>Rohan Banerjee</v>
      </c>
      <c r="C360" t="str">
        <f t="shared" si="26"/>
        <v>Engineering</v>
      </c>
      <c r="D360" s="30" t="str">
        <f t="shared" si="27"/>
        <v>L3</v>
      </c>
      <c r="E360" s="30" t="str">
        <f t="shared" si="28"/>
        <v>Active</v>
      </c>
      <c r="F360" t="s">
        <v>1730</v>
      </c>
      <c r="G360" s="22">
        <v>6</v>
      </c>
      <c r="H360" s="22">
        <v>36</v>
      </c>
      <c r="I360" s="34">
        <v>28800</v>
      </c>
      <c r="J360" s="22">
        <v>98</v>
      </c>
      <c r="K360" s="22" t="s">
        <v>1700</v>
      </c>
      <c r="L360" s="22" t="s">
        <v>1700</v>
      </c>
      <c r="M360" s="22" t="str">
        <f t="shared" si="29"/>
        <v>Compliant</v>
      </c>
      <c r="N360" s="22" t="s">
        <v>1701</v>
      </c>
    </row>
    <row r="361" spans="1:14" x14ac:dyDescent="0.3">
      <c r="A361" s="22" t="s">
        <v>1267</v>
      </c>
      <c r="B361" t="str">
        <f t="shared" si="25"/>
        <v>Amit Nair</v>
      </c>
      <c r="C361" t="str">
        <f t="shared" si="26"/>
        <v>Engineering</v>
      </c>
      <c r="D361" s="30" t="str">
        <f t="shared" si="27"/>
        <v>L3</v>
      </c>
      <c r="E361" s="30" t="str">
        <f t="shared" si="28"/>
        <v>Active</v>
      </c>
      <c r="F361" t="s">
        <v>1723</v>
      </c>
      <c r="G361" s="22">
        <v>1</v>
      </c>
      <c r="H361" s="22">
        <v>8</v>
      </c>
      <c r="I361" s="34">
        <v>8000</v>
      </c>
      <c r="J361" s="22">
        <v>88</v>
      </c>
      <c r="K361" s="22" t="s">
        <v>1701</v>
      </c>
      <c r="L361" s="22" t="s">
        <v>1700</v>
      </c>
      <c r="M361" s="22" t="str">
        <f t="shared" si="29"/>
        <v>Pending</v>
      </c>
      <c r="N361" s="22" t="s">
        <v>1701</v>
      </c>
    </row>
    <row r="362" spans="1:14" x14ac:dyDescent="0.3">
      <c r="A362" s="22" t="s">
        <v>1270</v>
      </c>
      <c r="B362" t="str">
        <f t="shared" si="25"/>
        <v>Ritu Joshi</v>
      </c>
      <c r="C362" t="str">
        <f t="shared" si="26"/>
        <v>Data &amp; Analytics</v>
      </c>
      <c r="D362" s="30" t="str">
        <f t="shared" si="27"/>
        <v>L1</v>
      </c>
      <c r="E362" s="30" t="str">
        <f t="shared" si="28"/>
        <v>Active</v>
      </c>
      <c r="F362" t="s">
        <v>1730</v>
      </c>
      <c r="G362" s="22">
        <v>7</v>
      </c>
      <c r="H362" s="22">
        <v>49</v>
      </c>
      <c r="I362" s="34">
        <v>22050</v>
      </c>
      <c r="J362" s="22">
        <v>59</v>
      </c>
      <c r="K362" s="22" t="s">
        <v>1700</v>
      </c>
      <c r="L362" s="22" t="s">
        <v>1700</v>
      </c>
      <c r="M362" s="22" t="str">
        <f t="shared" si="29"/>
        <v>Compliant</v>
      </c>
      <c r="N362" s="22" t="s">
        <v>1701</v>
      </c>
    </row>
    <row r="363" spans="1:14" x14ac:dyDescent="0.3">
      <c r="A363" s="22" t="s">
        <v>1273</v>
      </c>
      <c r="B363" t="str">
        <f t="shared" si="25"/>
        <v>Ashish Rao</v>
      </c>
      <c r="C363" t="str">
        <f t="shared" si="26"/>
        <v>Operations</v>
      </c>
      <c r="D363" s="30" t="str">
        <f t="shared" si="27"/>
        <v>L1</v>
      </c>
      <c r="E363" s="30" t="str">
        <f t="shared" si="28"/>
        <v>Active</v>
      </c>
      <c r="F363" t="s">
        <v>1726</v>
      </c>
      <c r="G363" s="22">
        <v>7</v>
      </c>
      <c r="H363" s="22">
        <v>21</v>
      </c>
      <c r="I363" s="34">
        <v>21000</v>
      </c>
      <c r="J363" s="22">
        <v>63</v>
      </c>
      <c r="K363" s="22" t="s">
        <v>1700</v>
      </c>
      <c r="L363" s="22" t="s">
        <v>1700</v>
      </c>
      <c r="M363" s="22" t="str">
        <f t="shared" si="29"/>
        <v>Compliant</v>
      </c>
      <c r="N363" s="22" t="s">
        <v>1700</v>
      </c>
    </row>
    <row r="364" spans="1:14" x14ac:dyDescent="0.3">
      <c r="A364" s="22" t="s">
        <v>1276</v>
      </c>
      <c r="B364" t="str">
        <f t="shared" si="25"/>
        <v>Nikhil Singh</v>
      </c>
      <c r="C364" t="str">
        <f t="shared" si="26"/>
        <v>Sales</v>
      </c>
      <c r="D364" s="30" t="str">
        <f t="shared" si="27"/>
        <v>L2</v>
      </c>
      <c r="E364" s="30" t="str">
        <f t="shared" si="28"/>
        <v>Exited</v>
      </c>
      <c r="F364" t="s">
        <v>1730</v>
      </c>
      <c r="G364" s="22">
        <v>4</v>
      </c>
      <c r="H364" s="22">
        <v>32</v>
      </c>
      <c r="I364" s="34">
        <v>14400</v>
      </c>
      <c r="J364" s="22">
        <v>60</v>
      </c>
      <c r="K364" s="22" t="s">
        <v>1700</v>
      </c>
      <c r="L364" s="22" t="s">
        <v>1700</v>
      </c>
      <c r="M364" s="22" t="str">
        <f t="shared" si="29"/>
        <v>Compliant</v>
      </c>
      <c r="N364" s="22" t="s">
        <v>1700</v>
      </c>
    </row>
    <row r="365" spans="1:14" x14ac:dyDescent="0.3">
      <c r="A365" s="22" t="s">
        <v>523</v>
      </c>
      <c r="B365" t="str">
        <f t="shared" si="25"/>
        <v>Arun Khan</v>
      </c>
      <c r="C365" t="str">
        <f t="shared" si="26"/>
        <v>Marketing</v>
      </c>
      <c r="D365" s="30" t="str">
        <f t="shared" si="27"/>
        <v>L7</v>
      </c>
      <c r="E365" s="30" t="str">
        <f t="shared" si="28"/>
        <v>Active</v>
      </c>
      <c r="F365" t="s">
        <v>1728</v>
      </c>
      <c r="G365" s="22">
        <v>6</v>
      </c>
      <c r="H365" s="22">
        <v>30</v>
      </c>
      <c r="I365" s="34">
        <v>30000</v>
      </c>
      <c r="J365" s="22">
        <v>95</v>
      </c>
      <c r="K365" s="22" t="s">
        <v>1700</v>
      </c>
      <c r="L365" s="22" t="s">
        <v>1700</v>
      </c>
      <c r="M365" s="22" t="str">
        <f t="shared" si="29"/>
        <v>Compliant</v>
      </c>
      <c r="N365" s="22" t="s">
        <v>1700</v>
      </c>
    </row>
    <row r="366" spans="1:14" x14ac:dyDescent="0.3">
      <c r="A366" s="22" t="s">
        <v>1281</v>
      </c>
      <c r="B366" t="str">
        <f t="shared" si="25"/>
        <v>Rashmi Mishra</v>
      </c>
      <c r="C366" t="str">
        <f t="shared" si="26"/>
        <v>Engineering</v>
      </c>
      <c r="D366" s="30" t="str">
        <f t="shared" si="27"/>
        <v>L1</v>
      </c>
      <c r="E366" s="30" t="str">
        <f t="shared" si="28"/>
        <v>Exited</v>
      </c>
      <c r="F366" t="s">
        <v>1731</v>
      </c>
      <c r="G366" s="22">
        <v>1</v>
      </c>
      <c r="H366" s="22">
        <v>7</v>
      </c>
      <c r="I366" s="34">
        <v>7000</v>
      </c>
      <c r="J366" s="22">
        <v>82</v>
      </c>
      <c r="K366" s="22" t="s">
        <v>1700</v>
      </c>
      <c r="L366" s="22" t="s">
        <v>1700</v>
      </c>
      <c r="M366" s="22" t="str">
        <f t="shared" si="29"/>
        <v>Compliant</v>
      </c>
      <c r="N366" s="22" t="s">
        <v>1700</v>
      </c>
    </row>
    <row r="367" spans="1:14" x14ac:dyDescent="0.3">
      <c r="A367" s="22" t="s">
        <v>1284</v>
      </c>
      <c r="B367" t="str">
        <f t="shared" si="25"/>
        <v>Anjali Gupta</v>
      </c>
      <c r="C367" t="str">
        <f t="shared" si="26"/>
        <v>Customer Support</v>
      </c>
      <c r="D367" s="30" t="str">
        <f t="shared" si="27"/>
        <v>L4</v>
      </c>
      <c r="E367" s="30" t="str">
        <f t="shared" si="28"/>
        <v>Active</v>
      </c>
      <c r="F367" t="s">
        <v>1728</v>
      </c>
      <c r="G367" s="22">
        <v>9</v>
      </c>
      <c r="H367" s="22">
        <v>72</v>
      </c>
      <c r="I367" s="34">
        <v>32400</v>
      </c>
      <c r="J367" s="22">
        <v>86</v>
      </c>
      <c r="K367" s="22" t="s">
        <v>1700</v>
      </c>
      <c r="L367" s="22" t="s">
        <v>1700</v>
      </c>
      <c r="M367" s="22" t="str">
        <f t="shared" si="29"/>
        <v>Compliant</v>
      </c>
      <c r="N367" s="22" t="s">
        <v>1701</v>
      </c>
    </row>
    <row r="368" spans="1:14" x14ac:dyDescent="0.3">
      <c r="A368" s="22" t="s">
        <v>1287</v>
      </c>
      <c r="B368" t="str">
        <f t="shared" si="25"/>
        <v>Mary Dsouza</v>
      </c>
      <c r="C368" t="str">
        <f t="shared" si="26"/>
        <v>Engineering</v>
      </c>
      <c r="D368" s="30" t="str">
        <f t="shared" si="27"/>
        <v>L2</v>
      </c>
      <c r="E368" s="30" t="str">
        <f t="shared" si="28"/>
        <v>Active</v>
      </c>
      <c r="F368" t="s">
        <v>1728</v>
      </c>
      <c r="G368" s="22">
        <v>5</v>
      </c>
      <c r="H368" s="22">
        <v>20</v>
      </c>
      <c r="I368" s="34">
        <v>9000</v>
      </c>
      <c r="J368" s="22">
        <v>62</v>
      </c>
      <c r="K368" s="22" t="s">
        <v>1700</v>
      </c>
      <c r="L368" s="22" t="s">
        <v>1700</v>
      </c>
      <c r="M368" s="22" t="str">
        <f t="shared" si="29"/>
        <v>Compliant</v>
      </c>
      <c r="N368" s="22" t="s">
        <v>1700</v>
      </c>
    </row>
    <row r="369" spans="1:14" x14ac:dyDescent="0.3">
      <c r="A369" s="22" t="s">
        <v>1290</v>
      </c>
      <c r="B369" t="str">
        <f t="shared" si="25"/>
        <v>Ravi Kamath</v>
      </c>
      <c r="C369" t="str">
        <f t="shared" si="26"/>
        <v>Human Resources</v>
      </c>
      <c r="D369" s="30" t="str">
        <f t="shared" si="27"/>
        <v>L1</v>
      </c>
      <c r="E369" s="30" t="str">
        <f t="shared" si="28"/>
        <v>Active</v>
      </c>
      <c r="F369" t="s">
        <v>1728</v>
      </c>
      <c r="G369" s="22">
        <v>4</v>
      </c>
      <c r="H369" s="22">
        <v>24</v>
      </c>
      <c r="I369" s="34">
        <v>24000</v>
      </c>
      <c r="J369" s="22">
        <v>82</v>
      </c>
      <c r="K369" s="22" t="s">
        <v>1700</v>
      </c>
      <c r="L369" s="22" t="s">
        <v>1700</v>
      </c>
      <c r="M369" s="22" t="str">
        <f t="shared" si="29"/>
        <v>Compliant</v>
      </c>
      <c r="N369" s="22" t="s">
        <v>1701</v>
      </c>
    </row>
    <row r="370" spans="1:14" x14ac:dyDescent="0.3">
      <c r="A370" s="22" t="s">
        <v>1205</v>
      </c>
      <c r="B370" t="str">
        <f t="shared" si="25"/>
        <v>Aditi Nair</v>
      </c>
      <c r="C370" t="str">
        <f t="shared" si="26"/>
        <v>Legal &amp; Compliance</v>
      </c>
      <c r="D370" s="30" t="str">
        <f t="shared" si="27"/>
        <v>L7</v>
      </c>
      <c r="E370" s="30" t="str">
        <f t="shared" si="28"/>
        <v>Active</v>
      </c>
      <c r="F370" t="s">
        <v>1730</v>
      </c>
      <c r="G370" s="22">
        <v>1</v>
      </c>
      <c r="H370" s="22">
        <v>5</v>
      </c>
      <c r="I370" s="34">
        <v>3000</v>
      </c>
      <c r="J370" s="22">
        <v>72</v>
      </c>
      <c r="K370" s="22" t="s">
        <v>1700</v>
      </c>
      <c r="L370" s="22" t="s">
        <v>1700</v>
      </c>
      <c r="M370" s="22" t="str">
        <f t="shared" si="29"/>
        <v>Compliant</v>
      </c>
      <c r="N370" s="22" t="s">
        <v>1701</v>
      </c>
    </row>
    <row r="371" spans="1:14" x14ac:dyDescent="0.3">
      <c r="A371" s="22" t="s">
        <v>1295</v>
      </c>
      <c r="B371" t="str">
        <f t="shared" si="25"/>
        <v>Venkat Bansal</v>
      </c>
      <c r="C371" t="str">
        <f t="shared" si="26"/>
        <v>Marketing</v>
      </c>
      <c r="D371" s="30" t="str">
        <f t="shared" si="27"/>
        <v>L1</v>
      </c>
      <c r="E371" s="30" t="str">
        <f t="shared" si="28"/>
        <v>Active</v>
      </c>
      <c r="F371" t="s">
        <v>1731</v>
      </c>
      <c r="G371" s="22">
        <v>8</v>
      </c>
      <c r="H371" s="22">
        <v>64</v>
      </c>
      <c r="I371" s="34">
        <v>28800</v>
      </c>
      <c r="J371" s="22">
        <v>94</v>
      </c>
      <c r="K371" s="22" t="s">
        <v>1700</v>
      </c>
      <c r="L371" s="22" t="s">
        <v>1700</v>
      </c>
      <c r="M371" s="22" t="str">
        <f t="shared" si="29"/>
        <v>Compliant</v>
      </c>
      <c r="N371" s="22" t="s">
        <v>1701</v>
      </c>
    </row>
    <row r="372" spans="1:14" x14ac:dyDescent="0.3">
      <c r="A372" s="22" t="s">
        <v>1298</v>
      </c>
      <c r="B372" t="str">
        <f t="shared" si="25"/>
        <v>Shreya Varghese</v>
      </c>
      <c r="C372" t="str">
        <f t="shared" si="26"/>
        <v>Sales</v>
      </c>
      <c r="D372" s="30" t="str">
        <f t="shared" si="27"/>
        <v>L1</v>
      </c>
      <c r="E372" s="30" t="str">
        <f t="shared" si="28"/>
        <v>Active</v>
      </c>
      <c r="F372" t="s">
        <v>1727</v>
      </c>
      <c r="G372" s="22">
        <v>1</v>
      </c>
      <c r="H372" s="22">
        <v>6</v>
      </c>
      <c r="I372" s="34">
        <v>6000</v>
      </c>
      <c r="J372" s="22">
        <v>81</v>
      </c>
      <c r="K372" s="22" t="s">
        <v>1700</v>
      </c>
      <c r="L372" s="22" t="s">
        <v>1700</v>
      </c>
      <c r="M372" s="22" t="str">
        <f t="shared" si="29"/>
        <v>Compliant</v>
      </c>
      <c r="N372" s="22" t="s">
        <v>1700</v>
      </c>
    </row>
    <row r="373" spans="1:14" x14ac:dyDescent="0.3">
      <c r="A373" s="22" t="s">
        <v>1301</v>
      </c>
      <c r="B373" t="str">
        <f t="shared" si="25"/>
        <v>Joseph Gupta</v>
      </c>
      <c r="C373" t="str">
        <f t="shared" si="26"/>
        <v>Data &amp; Analytics</v>
      </c>
      <c r="D373" s="30" t="str">
        <f t="shared" si="27"/>
        <v>L4</v>
      </c>
      <c r="E373" s="30" t="str">
        <f t="shared" si="28"/>
        <v>Exited</v>
      </c>
      <c r="F373" t="s">
        <v>1724</v>
      </c>
      <c r="G373" s="22">
        <v>9</v>
      </c>
      <c r="H373" s="22">
        <v>27</v>
      </c>
      <c r="I373" s="34">
        <v>27000</v>
      </c>
      <c r="J373" s="22">
        <v>62</v>
      </c>
      <c r="K373" s="22" t="s">
        <v>1700</v>
      </c>
      <c r="L373" s="22" t="s">
        <v>1700</v>
      </c>
      <c r="M373" s="22" t="str">
        <f t="shared" si="29"/>
        <v>Compliant</v>
      </c>
      <c r="N373" s="22" t="s">
        <v>1701</v>
      </c>
    </row>
    <row r="374" spans="1:14" x14ac:dyDescent="0.3">
      <c r="A374" s="22" t="s">
        <v>139</v>
      </c>
      <c r="B374" t="str">
        <f t="shared" si="25"/>
        <v>Imran Mishra</v>
      </c>
      <c r="C374" t="str">
        <f t="shared" si="26"/>
        <v>Operations</v>
      </c>
      <c r="D374" s="30" t="str">
        <f t="shared" si="27"/>
        <v>L6</v>
      </c>
      <c r="E374" s="30" t="str">
        <f t="shared" si="28"/>
        <v>Active</v>
      </c>
      <c r="F374" t="s">
        <v>1727</v>
      </c>
      <c r="G374" s="22">
        <v>2</v>
      </c>
      <c r="H374" s="22">
        <v>6</v>
      </c>
      <c r="I374" s="34">
        <v>4800</v>
      </c>
      <c r="J374" s="22">
        <v>73</v>
      </c>
      <c r="K374" s="22" t="s">
        <v>1700</v>
      </c>
      <c r="L374" s="22" t="s">
        <v>1700</v>
      </c>
      <c r="M374" s="22" t="str">
        <f t="shared" si="29"/>
        <v>Compliant</v>
      </c>
      <c r="N374" s="22" t="s">
        <v>1701</v>
      </c>
    </row>
    <row r="375" spans="1:14" x14ac:dyDescent="0.3">
      <c r="A375" s="22" t="s">
        <v>1305</v>
      </c>
      <c r="B375" t="str">
        <f t="shared" si="25"/>
        <v>Isha Choudhary</v>
      </c>
      <c r="C375" t="str">
        <f t="shared" si="26"/>
        <v>Engineering</v>
      </c>
      <c r="D375" s="30" t="str">
        <f t="shared" si="27"/>
        <v>L4</v>
      </c>
      <c r="E375" s="30" t="str">
        <f t="shared" si="28"/>
        <v>Exited</v>
      </c>
      <c r="F375" t="s">
        <v>1730</v>
      </c>
      <c r="G375" s="22">
        <v>3</v>
      </c>
      <c r="H375" s="22">
        <v>9</v>
      </c>
      <c r="I375" s="34">
        <v>4050</v>
      </c>
      <c r="J375" s="22">
        <v>92</v>
      </c>
      <c r="K375" s="22" t="s">
        <v>1700</v>
      </c>
      <c r="L375" s="22" t="s">
        <v>1700</v>
      </c>
      <c r="M375" s="22" t="str">
        <f t="shared" si="29"/>
        <v>Compliant</v>
      </c>
      <c r="N375" s="22" t="s">
        <v>1701</v>
      </c>
    </row>
    <row r="376" spans="1:14" x14ac:dyDescent="0.3">
      <c r="A376" s="22" t="s">
        <v>1308</v>
      </c>
      <c r="B376" t="str">
        <f t="shared" si="25"/>
        <v>Rakesh Jain</v>
      </c>
      <c r="C376" t="str">
        <f t="shared" si="26"/>
        <v>Sales</v>
      </c>
      <c r="D376" s="30" t="str">
        <f t="shared" si="27"/>
        <v>L1</v>
      </c>
      <c r="E376" s="30" t="str">
        <f t="shared" si="28"/>
        <v>Exited</v>
      </c>
      <c r="F376" t="s">
        <v>1731</v>
      </c>
      <c r="G376" s="22">
        <v>6</v>
      </c>
      <c r="H376" s="22">
        <v>42</v>
      </c>
      <c r="I376" s="34">
        <v>33600</v>
      </c>
      <c r="J376" s="22">
        <v>84</v>
      </c>
      <c r="K376" s="22" t="s">
        <v>1700</v>
      </c>
      <c r="L376" s="22" t="s">
        <v>1701</v>
      </c>
      <c r="M376" s="22" t="str">
        <f t="shared" si="29"/>
        <v>Pending</v>
      </c>
      <c r="N376" s="22" t="s">
        <v>1701</v>
      </c>
    </row>
    <row r="377" spans="1:14" x14ac:dyDescent="0.3">
      <c r="A377" s="22" t="s">
        <v>1311</v>
      </c>
      <c r="B377" t="str">
        <f t="shared" si="25"/>
        <v>Mary Prabhu</v>
      </c>
      <c r="C377" t="str">
        <f t="shared" si="26"/>
        <v>Operations</v>
      </c>
      <c r="D377" s="30" t="str">
        <f t="shared" si="27"/>
        <v>L1</v>
      </c>
      <c r="E377" s="30" t="str">
        <f t="shared" si="28"/>
        <v>Active</v>
      </c>
      <c r="F377" t="s">
        <v>1724</v>
      </c>
      <c r="G377" s="22">
        <v>2</v>
      </c>
      <c r="H377" s="22">
        <v>14</v>
      </c>
      <c r="I377" s="34">
        <v>6300</v>
      </c>
      <c r="J377" s="22">
        <v>58</v>
      </c>
      <c r="K377" s="22" t="s">
        <v>1700</v>
      </c>
      <c r="L377" s="22" t="s">
        <v>1700</v>
      </c>
      <c r="M377" s="22" t="str">
        <f t="shared" si="29"/>
        <v>Compliant</v>
      </c>
      <c r="N377" s="22" t="s">
        <v>1700</v>
      </c>
    </row>
    <row r="378" spans="1:14" x14ac:dyDescent="0.3">
      <c r="A378" s="22" t="s">
        <v>1314</v>
      </c>
      <c r="B378" t="str">
        <f t="shared" si="25"/>
        <v>Anand Siddiqui</v>
      </c>
      <c r="C378" t="str">
        <f t="shared" si="26"/>
        <v>Engineering</v>
      </c>
      <c r="D378" s="30" t="str">
        <f t="shared" si="27"/>
        <v>L4</v>
      </c>
      <c r="E378" s="30" t="str">
        <f t="shared" si="28"/>
        <v>Active</v>
      </c>
      <c r="F378" t="s">
        <v>1725</v>
      </c>
      <c r="G378" s="22">
        <v>6</v>
      </c>
      <c r="H378" s="22">
        <v>18</v>
      </c>
      <c r="I378" s="34">
        <v>8100</v>
      </c>
      <c r="J378" s="22">
        <v>77</v>
      </c>
      <c r="K378" s="22" t="s">
        <v>1700</v>
      </c>
      <c r="L378" s="22" t="s">
        <v>1700</v>
      </c>
      <c r="M378" s="22" t="str">
        <f t="shared" si="29"/>
        <v>Compliant</v>
      </c>
      <c r="N378" s="22" t="s">
        <v>1701</v>
      </c>
    </row>
    <row r="379" spans="1:14" x14ac:dyDescent="0.3">
      <c r="A379" s="22" t="s">
        <v>1317</v>
      </c>
      <c r="B379" t="str">
        <f t="shared" si="25"/>
        <v>Sachin Raghavan</v>
      </c>
      <c r="C379" t="str">
        <f t="shared" si="26"/>
        <v>Engineering</v>
      </c>
      <c r="D379" s="30" t="str">
        <f t="shared" si="27"/>
        <v>L2</v>
      </c>
      <c r="E379" s="30" t="str">
        <f t="shared" si="28"/>
        <v>Active</v>
      </c>
      <c r="F379" t="s">
        <v>1730</v>
      </c>
      <c r="G379" s="22">
        <v>3</v>
      </c>
      <c r="H379" s="22">
        <v>15</v>
      </c>
      <c r="I379" s="34">
        <v>9000</v>
      </c>
      <c r="J379" s="22">
        <v>88</v>
      </c>
      <c r="K379" s="22" t="s">
        <v>1700</v>
      </c>
      <c r="L379" s="22" t="s">
        <v>1700</v>
      </c>
      <c r="M379" s="22" t="str">
        <f t="shared" si="29"/>
        <v>Compliant</v>
      </c>
      <c r="N379" s="22" t="s">
        <v>1700</v>
      </c>
    </row>
    <row r="380" spans="1:14" x14ac:dyDescent="0.3">
      <c r="A380" s="22" t="s">
        <v>1320</v>
      </c>
      <c r="B380" t="str">
        <f t="shared" si="25"/>
        <v>Dev Saxena</v>
      </c>
      <c r="C380" t="str">
        <f t="shared" si="26"/>
        <v>Customer Support</v>
      </c>
      <c r="D380" s="30" t="str">
        <f t="shared" si="27"/>
        <v>L2</v>
      </c>
      <c r="E380" s="30" t="str">
        <f t="shared" si="28"/>
        <v>Active</v>
      </c>
      <c r="F380" t="s">
        <v>1726</v>
      </c>
      <c r="G380" s="22">
        <v>8</v>
      </c>
      <c r="H380" s="22">
        <v>32</v>
      </c>
      <c r="I380" s="34">
        <v>14400</v>
      </c>
      <c r="J380" s="22">
        <v>67</v>
      </c>
      <c r="K380" s="22" t="s">
        <v>1700</v>
      </c>
      <c r="L380" s="22" t="s">
        <v>1700</v>
      </c>
      <c r="M380" s="22" t="str">
        <f t="shared" si="29"/>
        <v>Compliant</v>
      </c>
      <c r="N380" s="22" t="s">
        <v>1701</v>
      </c>
    </row>
    <row r="381" spans="1:14" x14ac:dyDescent="0.3">
      <c r="A381" s="22" t="s">
        <v>1323</v>
      </c>
      <c r="B381" t="str">
        <f t="shared" si="25"/>
        <v>Siddharth Malhotra</v>
      </c>
      <c r="C381" t="str">
        <f t="shared" si="26"/>
        <v>Data &amp; Analytics</v>
      </c>
      <c r="D381" s="30" t="str">
        <f t="shared" si="27"/>
        <v>L1</v>
      </c>
      <c r="E381" s="30" t="str">
        <f t="shared" si="28"/>
        <v>Active</v>
      </c>
      <c r="F381" t="s">
        <v>1726</v>
      </c>
      <c r="G381" s="22">
        <v>3</v>
      </c>
      <c r="H381" s="22">
        <v>21</v>
      </c>
      <c r="I381" s="34">
        <v>12600</v>
      </c>
      <c r="J381" s="22">
        <v>94</v>
      </c>
      <c r="K381" s="22" t="s">
        <v>1700</v>
      </c>
      <c r="L381" s="22" t="s">
        <v>1700</v>
      </c>
      <c r="M381" s="22" t="str">
        <f t="shared" si="29"/>
        <v>Compliant</v>
      </c>
      <c r="N381" s="22" t="s">
        <v>1701</v>
      </c>
    </row>
    <row r="382" spans="1:14" x14ac:dyDescent="0.3">
      <c r="A382" s="22" t="s">
        <v>1326</v>
      </c>
      <c r="B382" t="str">
        <f t="shared" si="25"/>
        <v>Ravi Gupta</v>
      </c>
      <c r="C382" t="str">
        <f t="shared" si="26"/>
        <v>Marketing</v>
      </c>
      <c r="D382" s="30" t="str">
        <f t="shared" si="27"/>
        <v>L2</v>
      </c>
      <c r="E382" s="30" t="str">
        <f t="shared" si="28"/>
        <v>Active</v>
      </c>
      <c r="F382" t="s">
        <v>1723</v>
      </c>
      <c r="G382" s="22">
        <v>3</v>
      </c>
      <c r="H382" s="22">
        <v>12</v>
      </c>
      <c r="I382" s="34">
        <v>12000</v>
      </c>
      <c r="J382" s="22">
        <v>84</v>
      </c>
      <c r="K382" s="22" t="s">
        <v>1700</v>
      </c>
      <c r="L382" s="22" t="s">
        <v>1700</v>
      </c>
      <c r="M382" s="22" t="str">
        <f t="shared" si="29"/>
        <v>Compliant</v>
      </c>
      <c r="N382" s="22" t="s">
        <v>1700</v>
      </c>
    </row>
    <row r="383" spans="1:14" x14ac:dyDescent="0.3">
      <c r="A383" s="22" t="s">
        <v>1329</v>
      </c>
      <c r="B383" t="str">
        <f t="shared" si="25"/>
        <v>Ritu Nair</v>
      </c>
      <c r="C383" t="str">
        <f t="shared" si="26"/>
        <v>Sales</v>
      </c>
      <c r="D383" s="30" t="str">
        <f t="shared" si="27"/>
        <v>L4</v>
      </c>
      <c r="E383" s="30" t="str">
        <f t="shared" si="28"/>
        <v>Active</v>
      </c>
      <c r="F383" t="s">
        <v>1729</v>
      </c>
      <c r="G383" s="22">
        <v>1</v>
      </c>
      <c r="H383" s="22">
        <v>6</v>
      </c>
      <c r="I383" s="34">
        <v>2700</v>
      </c>
      <c r="J383" s="22">
        <v>83</v>
      </c>
      <c r="K383" s="22" t="s">
        <v>1700</v>
      </c>
      <c r="L383" s="22" t="s">
        <v>1700</v>
      </c>
      <c r="M383" s="22" t="str">
        <f t="shared" si="29"/>
        <v>Compliant</v>
      </c>
      <c r="N383" s="22" t="s">
        <v>1700</v>
      </c>
    </row>
    <row r="384" spans="1:14" x14ac:dyDescent="0.3">
      <c r="A384" s="22" t="s">
        <v>1332</v>
      </c>
      <c r="B384" t="str">
        <f t="shared" si="25"/>
        <v>Keerthi Kamath</v>
      </c>
      <c r="C384" t="str">
        <f t="shared" si="26"/>
        <v>Sales</v>
      </c>
      <c r="D384" s="30" t="str">
        <f t="shared" si="27"/>
        <v>L1</v>
      </c>
      <c r="E384" s="30" t="str">
        <f t="shared" si="28"/>
        <v>Exited</v>
      </c>
      <c r="F384" t="s">
        <v>1727</v>
      </c>
      <c r="G384" s="22">
        <v>8</v>
      </c>
      <c r="H384" s="22">
        <v>56</v>
      </c>
      <c r="I384" s="34">
        <v>33600</v>
      </c>
      <c r="J384" s="22">
        <v>84</v>
      </c>
      <c r="K384" s="22" t="s">
        <v>1700</v>
      </c>
      <c r="L384" s="22" t="s">
        <v>1700</v>
      </c>
      <c r="M384" s="22" t="str">
        <f t="shared" si="29"/>
        <v>Compliant</v>
      </c>
      <c r="N384" s="22" t="s">
        <v>1701</v>
      </c>
    </row>
    <row r="385" spans="1:14" x14ac:dyDescent="0.3">
      <c r="A385" s="22" t="s">
        <v>1335</v>
      </c>
      <c r="B385" t="str">
        <f t="shared" si="25"/>
        <v>Sakshi Varghese</v>
      </c>
      <c r="C385" t="str">
        <f t="shared" si="26"/>
        <v>Sales</v>
      </c>
      <c r="D385" s="30" t="str">
        <f t="shared" si="27"/>
        <v>L2</v>
      </c>
      <c r="E385" s="30" t="str">
        <f t="shared" si="28"/>
        <v>Active</v>
      </c>
      <c r="F385" t="s">
        <v>1724</v>
      </c>
      <c r="G385" s="22">
        <v>3</v>
      </c>
      <c r="H385" s="22">
        <v>12</v>
      </c>
      <c r="I385" s="34">
        <v>9600</v>
      </c>
      <c r="J385" s="22">
        <v>62</v>
      </c>
      <c r="K385" s="22" t="s">
        <v>1700</v>
      </c>
      <c r="L385" s="22" t="s">
        <v>1700</v>
      </c>
      <c r="M385" s="22" t="str">
        <f t="shared" si="29"/>
        <v>Compliant</v>
      </c>
      <c r="N385" s="22" t="s">
        <v>1701</v>
      </c>
    </row>
    <row r="386" spans="1:14" x14ac:dyDescent="0.3">
      <c r="A386" s="22" t="s">
        <v>1338</v>
      </c>
      <c r="B386" t="str">
        <f t="shared" ref="B386:B449" si="30">INDEX(M_Name,MATCH($A386,M_ID,0))</f>
        <v>Mohit Desai</v>
      </c>
      <c r="C386" t="str">
        <f t="shared" ref="C386:C449" si="31">INDEX(M_Dept,MATCH($A386,M_ID,0))</f>
        <v>Legal &amp; Compliance</v>
      </c>
      <c r="D386" s="30" t="str">
        <f t="shared" ref="D386:D449" si="32">INDEX(M_Level,MATCH($A386,M_ID,0))</f>
        <v>L2</v>
      </c>
      <c r="E386" s="30" t="str">
        <f t="shared" ref="E386:E449" si="33">INDEX(M_Status,MATCH($A386,M_ID,0))</f>
        <v>Active</v>
      </c>
      <c r="F386" t="s">
        <v>1723</v>
      </c>
      <c r="G386" s="22">
        <v>9</v>
      </c>
      <c r="H386" s="22">
        <v>27</v>
      </c>
      <c r="I386" s="34">
        <v>16200</v>
      </c>
      <c r="J386" s="22">
        <v>87</v>
      </c>
      <c r="K386" s="22" t="s">
        <v>1700</v>
      </c>
      <c r="L386" s="22" t="s">
        <v>1700</v>
      </c>
      <c r="M386" s="22" t="str">
        <f t="shared" ref="M386:M449" si="34">IF(AND(K386="Yes",L386="Yes"),"Compliant","Pending")</f>
        <v>Compliant</v>
      </c>
      <c r="N386" s="22" t="s">
        <v>1700</v>
      </c>
    </row>
    <row r="387" spans="1:14" x14ac:dyDescent="0.3">
      <c r="A387" s="22" t="s">
        <v>1341</v>
      </c>
      <c r="B387" t="str">
        <f t="shared" si="30"/>
        <v>Ajay Bose</v>
      </c>
      <c r="C387" t="str">
        <f t="shared" si="31"/>
        <v>Legal &amp; Compliance</v>
      </c>
      <c r="D387" s="30" t="str">
        <f t="shared" si="32"/>
        <v>L1</v>
      </c>
      <c r="E387" s="30" t="str">
        <f t="shared" si="33"/>
        <v>Active</v>
      </c>
      <c r="F387" t="s">
        <v>1730</v>
      </c>
      <c r="G387" s="22">
        <v>6</v>
      </c>
      <c r="H387" s="22">
        <v>30</v>
      </c>
      <c r="I387" s="34">
        <v>24000</v>
      </c>
      <c r="J387" s="22">
        <v>82</v>
      </c>
      <c r="K387" s="22" t="s">
        <v>1700</v>
      </c>
      <c r="L387" s="22" t="s">
        <v>1700</v>
      </c>
      <c r="M387" s="22" t="str">
        <f t="shared" si="34"/>
        <v>Compliant</v>
      </c>
      <c r="N387" s="22" t="s">
        <v>1701</v>
      </c>
    </row>
    <row r="388" spans="1:14" x14ac:dyDescent="0.3">
      <c r="A388" s="22" t="s">
        <v>1344</v>
      </c>
      <c r="B388" t="str">
        <f t="shared" si="30"/>
        <v>Rakesh Khanna</v>
      </c>
      <c r="C388" t="str">
        <f t="shared" si="31"/>
        <v>Marketing</v>
      </c>
      <c r="D388" s="30" t="str">
        <f t="shared" si="32"/>
        <v>L1</v>
      </c>
      <c r="E388" s="30" t="str">
        <f t="shared" si="33"/>
        <v>Active</v>
      </c>
      <c r="F388" t="s">
        <v>1729</v>
      </c>
      <c r="G388" s="22">
        <v>9</v>
      </c>
      <c r="H388" s="22">
        <v>72</v>
      </c>
      <c r="I388" s="34">
        <v>43200</v>
      </c>
      <c r="J388" s="22">
        <v>92</v>
      </c>
      <c r="K388" s="22" t="s">
        <v>1700</v>
      </c>
      <c r="L388" s="22" t="s">
        <v>1700</v>
      </c>
      <c r="M388" s="22" t="str">
        <f t="shared" si="34"/>
        <v>Compliant</v>
      </c>
      <c r="N388" s="22" t="s">
        <v>1701</v>
      </c>
    </row>
    <row r="389" spans="1:14" x14ac:dyDescent="0.3">
      <c r="A389" s="22" t="s">
        <v>1347</v>
      </c>
      <c r="B389" t="str">
        <f t="shared" si="30"/>
        <v>Shreya Jain</v>
      </c>
      <c r="C389" t="str">
        <f t="shared" si="31"/>
        <v>Engineering</v>
      </c>
      <c r="D389" s="30" t="str">
        <f t="shared" si="32"/>
        <v>L2</v>
      </c>
      <c r="E389" s="30" t="str">
        <f t="shared" si="33"/>
        <v>Active</v>
      </c>
      <c r="F389" t="s">
        <v>1723</v>
      </c>
      <c r="G389" s="22">
        <v>9</v>
      </c>
      <c r="H389" s="22">
        <v>63</v>
      </c>
      <c r="I389" s="34">
        <v>28350</v>
      </c>
      <c r="J389" s="22">
        <v>96</v>
      </c>
      <c r="K389" s="22" t="s">
        <v>1700</v>
      </c>
      <c r="L389" s="22" t="s">
        <v>1700</v>
      </c>
      <c r="M389" s="22" t="str">
        <f t="shared" si="34"/>
        <v>Compliant</v>
      </c>
      <c r="N389" s="22" t="s">
        <v>1700</v>
      </c>
    </row>
    <row r="390" spans="1:14" x14ac:dyDescent="0.3">
      <c r="A390" s="22" t="s">
        <v>1350</v>
      </c>
      <c r="B390" t="str">
        <f t="shared" si="30"/>
        <v>Sneha Yadav</v>
      </c>
      <c r="C390" t="str">
        <f t="shared" si="31"/>
        <v>Engineering</v>
      </c>
      <c r="D390" s="30" t="str">
        <f t="shared" si="32"/>
        <v>L3</v>
      </c>
      <c r="E390" s="30" t="str">
        <f t="shared" si="33"/>
        <v>Active</v>
      </c>
      <c r="F390" t="s">
        <v>1722</v>
      </c>
      <c r="G390" s="22">
        <v>9</v>
      </c>
      <c r="H390" s="22">
        <v>36</v>
      </c>
      <c r="I390" s="34">
        <v>28800</v>
      </c>
      <c r="J390" s="22">
        <v>80</v>
      </c>
      <c r="K390" s="22" t="s">
        <v>1700</v>
      </c>
      <c r="L390" s="22" t="s">
        <v>1700</v>
      </c>
      <c r="M390" s="22" t="str">
        <f t="shared" si="34"/>
        <v>Compliant</v>
      </c>
      <c r="N390" s="22" t="s">
        <v>1700</v>
      </c>
    </row>
    <row r="391" spans="1:14" x14ac:dyDescent="0.3">
      <c r="A391" s="22" t="s">
        <v>1353</v>
      </c>
      <c r="B391" t="str">
        <f t="shared" si="30"/>
        <v>Harsh Kapoor</v>
      </c>
      <c r="C391" t="str">
        <f t="shared" si="31"/>
        <v>Operations</v>
      </c>
      <c r="D391" s="30" t="str">
        <f t="shared" si="32"/>
        <v>L3</v>
      </c>
      <c r="E391" s="30" t="str">
        <f t="shared" si="33"/>
        <v>Active</v>
      </c>
      <c r="F391" t="s">
        <v>1724</v>
      </c>
      <c r="G391" s="22">
        <v>5</v>
      </c>
      <c r="H391" s="22">
        <v>20</v>
      </c>
      <c r="I391" s="34">
        <v>16000</v>
      </c>
      <c r="J391" s="22">
        <v>70</v>
      </c>
      <c r="K391" s="22" t="s">
        <v>1700</v>
      </c>
      <c r="L391" s="22" t="s">
        <v>1700</v>
      </c>
      <c r="M391" s="22" t="str">
        <f t="shared" si="34"/>
        <v>Compliant</v>
      </c>
      <c r="N391" s="22" t="s">
        <v>1700</v>
      </c>
    </row>
    <row r="392" spans="1:14" x14ac:dyDescent="0.3">
      <c r="A392" s="22" t="s">
        <v>1356</v>
      </c>
      <c r="B392" t="str">
        <f t="shared" si="30"/>
        <v>Venkat Iyer</v>
      </c>
      <c r="C392" t="str">
        <f t="shared" si="31"/>
        <v>Data &amp; Analytics</v>
      </c>
      <c r="D392" s="30" t="str">
        <f t="shared" si="32"/>
        <v>L2</v>
      </c>
      <c r="E392" s="30" t="str">
        <f t="shared" si="33"/>
        <v>Exited</v>
      </c>
      <c r="F392" t="s">
        <v>1727</v>
      </c>
      <c r="G392" s="22">
        <v>3</v>
      </c>
      <c r="H392" s="22">
        <v>24</v>
      </c>
      <c r="I392" s="34">
        <v>19200</v>
      </c>
      <c r="J392" s="22">
        <v>78</v>
      </c>
      <c r="K392" s="22" t="s">
        <v>1700</v>
      </c>
      <c r="L392" s="22" t="s">
        <v>1700</v>
      </c>
      <c r="M392" s="22" t="str">
        <f t="shared" si="34"/>
        <v>Compliant</v>
      </c>
      <c r="N392" s="22" t="s">
        <v>1701</v>
      </c>
    </row>
    <row r="393" spans="1:14" x14ac:dyDescent="0.3">
      <c r="A393" s="22" t="s">
        <v>1359</v>
      </c>
      <c r="B393" t="str">
        <f t="shared" si="30"/>
        <v>Sowmya Khan</v>
      </c>
      <c r="C393" t="str">
        <f t="shared" si="31"/>
        <v>Legal &amp; Compliance</v>
      </c>
      <c r="D393" s="30" t="str">
        <f t="shared" si="32"/>
        <v>L1</v>
      </c>
      <c r="E393" s="30" t="str">
        <f t="shared" si="33"/>
        <v>Active</v>
      </c>
      <c r="F393" t="s">
        <v>1722</v>
      </c>
      <c r="G393" s="22">
        <v>4</v>
      </c>
      <c r="H393" s="22">
        <v>24</v>
      </c>
      <c r="I393" s="34">
        <v>14400</v>
      </c>
      <c r="J393" s="22">
        <v>71</v>
      </c>
      <c r="K393" s="22" t="s">
        <v>1700</v>
      </c>
      <c r="L393" s="22" t="s">
        <v>1700</v>
      </c>
      <c r="M393" s="22" t="str">
        <f t="shared" si="34"/>
        <v>Compliant</v>
      </c>
      <c r="N393" s="22" t="s">
        <v>1700</v>
      </c>
    </row>
    <row r="394" spans="1:14" x14ac:dyDescent="0.3">
      <c r="A394" s="22" t="s">
        <v>1362</v>
      </c>
      <c r="B394" t="str">
        <f t="shared" si="30"/>
        <v>Suresh Chatterjee</v>
      </c>
      <c r="C394" t="str">
        <f t="shared" si="31"/>
        <v>Product</v>
      </c>
      <c r="D394" s="30" t="str">
        <f t="shared" si="32"/>
        <v>L4</v>
      </c>
      <c r="E394" s="30" t="str">
        <f t="shared" si="33"/>
        <v>Active</v>
      </c>
      <c r="F394" t="s">
        <v>1731</v>
      </c>
      <c r="G394" s="22">
        <v>6</v>
      </c>
      <c r="H394" s="22">
        <v>24</v>
      </c>
      <c r="I394" s="34">
        <v>24000</v>
      </c>
      <c r="J394" s="22">
        <v>87</v>
      </c>
      <c r="K394" s="22" t="s">
        <v>1700</v>
      </c>
      <c r="L394" s="22" t="s">
        <v>1700</v>
      </c>
      <c r="M394" s="22" t="str">
        <f t="shared" si="34"/>
        <v>Compliant</v>
      </c>
      <c r="N394" s="22" t="s">
        <v>1701</v>
      </c>
    </row>
    <row r="395" spans="1:14" x14ac:dyDescent="0.3">
      <c r="A395" s="22" t="s">
        <v>1365</v>
      </c>
      <c r="B395" t="str">
        <f t="shared" si="30"/>
        <v>Aditya Das</v>
      </c>
      <c r="C395" t="str">
        <f t="shared" si="31"/>
        <v>Engineering</v>
      </c>
      <c r="D395" s="30" t="str">
        <f t="shared" si="32"/>
        <v>L1</v>
      </c>
      <c r="E395" s="30" t="str">
        <f t="shared" si="33"/>
        <v>Exited</v>
      </c>
      <c r="F395" t="s">
        <v>1724</v>
      </c>
      <c r="G395" s="22">
        <v>9</v>
      </c>
      <c r="H395" s="22">
        <v>45</v>
      </c>
      <c r="I395" s="34">
        <v>27000</v>
      </c>
      <c r="J395" s="22">
        <v>93</v>
      </c>
      <c r="K395" s="22" t="s">
        <v>1700</v>
      </c>
      <c r="L395" s="22" t="s">
        <v>1700</v>
      </c>
      <c r="M395" s="22" t="str">
        <f t="shared" si="34"/>
        <v>Compliant</v>
      </c>
      <c r="N395" s="22" t="s">
        <v>1700</v>
      </c>
    </row>
    <row r="396" spans="1:14" x14ac:dyDescent="0.3">
      <c r="A396" s="22" t="s">
        <v>1368</v>
      </c>
      <c r="B396" t="str">
        <f t="shared" si="30"/>
        <v>Ankit Banerjee</v>
      </c>
      <c r="C396" t="str">
        <f t="shared" si="31"/>
        <v>Operations</v>
      </c>
      <c r="D396" s="30" t="str">
        <f t="shared" si="32"/>
        <v>L2</v>
      </c>
      <c r="E396" s="30" t="str">
        <f t="shared" si="33"/>
        <v>Active</v>
      </c>
      <c r="F396" t="s">
        <v>1730</v>
      </c>
      <c r="G396" s="22">
        <v>7</v>
      </c>
      <c r="H396" s="22">
        <v>21</v>
      </c>
      <c r="I396" s="34">
        <v>9450</v>
      </c>
      <c r="J396" s="22">
        <v>93</v>
      </c>
      <c r="K396" s="22" t="s">
        <v>1700</v>
      </c>
      <c r="L396" s="22" t="s">
        <v>1701</v>
      </c>
      <c r="M396" s="22" t="str">
        <f t="shared" si="34"/>
        <v>Pending</v>
      </c>
      <c r="N396" s="22" t="s">
        <v>1701</v>
      </c>
    </row>
    <row r="397" spans="1:14" x14ac:dyDescent="0.3">
      <c r="A397" s="22" t="s">
        <v>1371</v>
      </c>
      <c r="B397" t="str">
        <f t="shared" si="30"/>
        <v>Aniket Hegde</v>
      </c>
      <c r="C397" t="str">
        <f t="shared" si="31"/>
        <v>Marketing</v>
      </c>
      <c r="D397" s="30" t="str">
        <f t="shared" si="32"/>
        <v>L3</v>
      </c>
      <c r="E397" s="30" t="str">
        <f t="shared" si="33"/>
        <v>Active</v>
      </c>
      <c r="F397" t="s">
        <v>1730</v>
      </c>
      <c r="G397" s="22">
        <v>5</v>
      </c>
      <c r="H397" s="22">
        <v>35</v>
      </c>
      <c r="I397" s="34">
        <v>35000</v>
      </c>
      <c r="J397" s="22">
        <v>96</v>
      </c>
      <c r="K397" s="22" t="s">
        <v>1700</v>
      </c>
      <c r="L397" s="22" t="s">
        <v>1700</v>
      </c>
      <c r="M397" s="22" t="str">
        <f t="shared" si="34"/>
        <v>Compliant</v>
      </c>
      <c r="N397" s="22" t="s">
        <v>1701</v>
      </c>
    </row>
    <row r="398" spans="1:14" x14ac:dyDescent="0.3">
      <c r="A398" s="22" t="s">
        <v>1374</v>
      </c>
      <c r="B398" t="str">
        <f t="shared" si="30"/>
        <v>Bhavana Dsouza</v>
      </c>
      <c r="C398" t="str">
        <f t="shared" si="31"/>
        <v>Product</v>
      </c>
      <c r="D398" s="30" t="str">
        <f t="shared" si="32"/>
        <v>L3</v>
      </c>
      <c r="E398" s="30" t="str">
        <f t="shared" si="33"/>
        <v>Active</v>
      </c>
      <c r="F398" t="s">
        <v>1729</v>
      </c>
      <c r="G398" s="22">
        <v>2</v>
      </c>
      <c r="H398" s="22">
        <v>12</v>
      </c>
      <c r="I398" s="34">
        <v>12000</v>
      </c>
      <c r="J398" s="22">
        <v>61</v>
      </c>
      <c r="K398" s="22" t="s">
        <v>1700</v>
      </c>
      <c r="L398" s="22" t="s">
        <v>1700</v>
      </c>
      <c r="M398" s="22" t="str">
        <f t="shared" si="34"/>
        <v>Compliant</v>
      </c>
      <c r="N398" s="22" t="s">
        <v>1700</v>
      </c>
    </row>
    <row r="399" spans="1:14" x14ac:dyDescent="0.3">
      <c r="A399" s="22" t="s">
        <v>1377</v>
      </c>
      <c r="B399" t="str">
        <f t="shared" si="30"/>
        <v>Vidya Desai</v>
      </c>
      <c r="C399" t="str">
        <f t="shared" si="31"/>
        <v>Customer Support</v>
      </c>
      <c r="D399" s="30" t="str">
        <f t="shared" si="32"/>
        <v>L2</v>
      </c>
      <c r="E399" s="30" t="str">
        <f t="shared" si="33"/>
        <v>Active</v>
      </c>
      <c r="F399" t="s">
        <v>1726</v>
      </c>
      <c r="G399" s="22">
        <v>1</v>
      </c>
      <c r="H399" s="22">
        <v>3</v>
      </c>
      <c r="I399" s="34">
        <v>2400</v>
      </c>
      <c r="J399" s="22">
        <v>85</v>
      </c>
      <c r="K399" s="22" t="s">
        <v>1700</v>
      </c>
      <c r="L399" s="22" t="s">
        <v>1700</v>
      </c>
      <c r="M399" s="22" t="str">
        <f t="shared" si="34"/>
        <v>Compliant</v>
      </c>
      <c r="N399" s="22" t="s">
        <v>1700</v>
      </c>
    </row>
    <row r="400" spans="1:14" x14ac:dyDescent="0.3">
      <c r="A400" s="22" t="s">
        <v>1380</v>
      </c>
      <c r="B400" t="str">
        <f t="shared" si="30"/>
        <v>Vishal Kumar</v>
      </c>
      <c r="C400" t="str">
        <f t="shared" si="31"/>
        <v>Legal &amp; Compliance</v>
      </c>
      <c r="D400" s="30" t="str">
        <f t="shared" si="32"/>
        <v>L4</v>
      </c>
      <c r="E400" s="30" t="str">
        <f t="shared" si="33"/>
        <v>Active</v>
      </c>
      <c r="F400" t="s">
        <v>1723</v>
      </c>
      <c r="G400" s="22">
        <v>4</v>
      </c>
      <c r="H400" s="22">
        <v>12</v>
      </c>
      <c r="I400" s="34">
        <v>5400</v>
      </c>
      <c r="J400" s="22">
        <v>76</v>
      </c>
      <c r="K400" s="22" t="s">
        <v>1700</v>
      </c>
      <c r="L400" s="22" t="s">
        <v>1700</v>
      </c>
      <c r="M400" s="22" t="str">
        <f t="shared" si="34"/>
        <v>Compliant</v>
      </c>
      <c r="N400" s="22" t="s">
        <v>1701</v>
      </c>
    </row>
    <row r="401" spans="1:14" x14ac:dyDescent="0.3">
      <c r="A401" s="22" t="s">
        <v>1383</v>
      </c>
      <c r="B401" t="str">
        <f t="shared" si="30"/>
        <v>Suresh Singh</v>
      </c>
      <c r="C401" t="str">
        <f t="shared" si="31"/>
        <v>Customer Support</v>
      </c>
      <c r="D401" s="30" t="str">
        <f t="shared" si="32"/>
        <v>L2</v>
      </c>
      <c r="E401" s="30" t="str">
        <f t="shared" si="33"/>
        <v>Active</v>
      </c>
      <c r="F401" t="s">
        <v>1727</v>
      </c>
      <c r="G401" s="22">
        <v>7</v>
      </c>
      <c r="H401" s="22">
        <v>28</v>
      </c>
      <c r="I401" s="34">
        <v>16800</v>
      </c>
      <c r="J401" s="22">
        <v>80</v>
      </c>
      <c r="K401" s="22" t="s">
        <v>1700</v>
      </c>
      <c r="L401" s="22" t="s">
        <v>1700</v>
      </c>
      <c r="M401" s="22" t="str">
        <f t="shared" si="34"/>
        <v>Compliant</v>
      </c>
      <c r="N401" s="22" t="s">
        <v>1701</v>
      </c>
    </row>
    <row r="402" spans="1:14" x14ac:dyDescent="0.3">
      <c r="A402" s="22" t="s">
        <v>1386</v>
      </c>
      <c r="B402" t="str">
        <f t="shared" si="30"/>
        <v>Mansi Yadav</v>
      </c>
      <c r="C402" t="str">
        <f t="shared" si="31"/>
        <v>Engineering</v>
      </c>
      <c r="D402" s="30" t="str">
        <f t="shared" si="32"/>
        <v>L1</v>
      </c>
      <c r="E402" s="30" t="str">
        <f t="shared" si="33"/>
        <v>Active</v>
      </c>
      <c r="F402" t="s">
        <v>1724</v>
      </c>
      <c r="G402" s="22">
        <v>4</v>
      </c>
      <c r="H402" s="22">
        <v>16</v>
      </c>
      <c r="I402" s="34">
        <v>7200</v>
      </c>
      <c r="J402" s="22">
        <v>71</v>
      </c>
      <c r="K402" s="22" t="s">
        <v>1700</v>
      </c>
      <c r="L402" s="22" t="s">
        <v>1700</v>
      </c>
      <c r="M402" s="22" t="str">
        <f t="shared" si="34"/>
        <v>Compliant</v>
      </c>
      <c r="N402" s="22" t="s">
        <v>1700</v>
      </c>
    </row>
    <row r="403" spans="1:14" x14ac:dyDescent="0.3">
      <c r="A403" s="22" t="s">
        <v>1389</v>
      </c>
      <c r="B403" t="str">
        <f t="shared" si="30"/>
        <v>Tarun Prabhu</v>
      </c>
      <c r="C403" t="str">
        <f t="shared" si="31"/>
        <v>Product</v>
      </c>
      <c r="D403" s="30" t="str">
        <f t="shared" si="32"/>
        <v>L1</v>
      </c>
      <c r="E403" s="30" t="str">
        <f t="shared" si="33"/>
        <v>Active</v>
      </c>
      <c r="F403" t="s">
        <v>1723</v>
      </c>
      <c r="G403" s="22">
        <v>9</v>
      </c>
      <c r="H403" s="22">
        <v>63</v>
      </c>
      <c r="I403" s="34">
        <v>28350</v>
      </c>
      <c r="J403" s="22">
        <v>89</v>
      </c>
      <c r="K403" s="22" t="s">
        <v>1701</v>
      </c>
      <c r="L403" s="22" t="s">
        <v>1700</v>
      </c>
      <c r="M403" s="22" t="str">
        <f t="shared" si="34"/>
        <v>Pending</v>
      </c>
      <c r="N403" s="22" t="s">
        <v>1701</v>
      </c>
    </row>
    <row r="404" spans="1:14" x14ac:dyDescent="0.3">
      <c r="A404" s="22" t="s">
        <v>1392</v>
      </c>
      <c r="B404" t="str">
        <f t="shared" si="30"/>
        <v>Tarun Naidu</v>
      </c>
      <c r="C404" t="str">
        <f t="shared" si="31"/>
        <v>Sales</v>
      </c>
      <c r="D404" s="30" t="str">
        <f t="shared" si="32"/>
        <v>L2</v>
      </c>
      <c r="E404" s="30" t="str">
        <f t="shared" si="33"/>
        <v>Exited</v>
      </c>
      <c r="F404" t="s">
        <v>1728</v>
      </c>
      <c r="G404" s="22">
        <v>2</v>
      </c>
      <c r="H404" s="22">
        <v>6</v>
      </c>
      <c r="I404" s="34">
        <v>3600</v>
      </c>
      <c r="J404" s="22">
        <v>69</v>
      </c>
      <c r="K404" s="22" t="s">
        <v>1700</v>
      </c>
      <c r="L404" s="22" t="s">
        <v>1700</v>
      </c>
      <c r="M404" s="22" t="str">
        <f t="shared" si="34"/>
        <v>Compliant</v>
      </c>
      <c r="N404" s="22" t="s">
        <v>1701</v>
      </c>
    </row>
    <row r="405" spans="1:14" x14ac:dyDescent="0.3">
      <c r="A405" s="22" t="s">
        <v>1395</v>
      </c>
      <c r="B405" t="str">
        <f t="shared" si="30"/>
        <v>Meera Khanna</v>
      </c>
      <c r="C405" t="str">
        <f t="shared" si="31"/>
        <v>Operations</v>
      </c>
      <c r="D405" s="30" t="str">
        <f t="shared" si="32"/>
        <v>L1</v>
      </c>
      <c r="E405" s="30" t="str">
        <f t="shared" si="33"/>
        <v>Active</v>
      </c>
      <c r="F405" t="s">
        <v>1731</v>
      </c>
      <c r="G405" s="22">
        <v>4</v>
      </c>
      <c r="H405" s="22">
        <v>20</v>
      </c>
      <c r="I405" s="34">
        <v>9000</v>
      </c>
      <c r="J405" s="22">
        <v>82</v>
      </c>
      <c r="K405" s="22" t="s">
        <v>1700</v>
      </c>
      <c r="L405" s="22" t="s">
        <v>1700</v>
      </c>
      <c r="M405" s="22" t="str">
        <f t="shared" si="34"/>
        <v>Compliant</v>
      </c>
      <c r="N405" s="22" t="s">
        <v>1701</v>
      </c>
    </row>
    <row r="406" spans="1:14" x14ac:dyDescent="0.3">
      <c r="A406" s="22" t="s">
        <v>1398</v>
      </c>
      <c r="B406" t="str">
        <f t="shared" si="30"/>
        <v>Rashmi Banerjee</v>
      </c>
      <c r="C406" t="str">
        <f t="shared" si="31"/>
        <v>Human Resources</v>
      </c>
      <c r="D406" s="30" t="str">
        <f t="shared" si="32"/>
        <v>L1</v>
      </c>
      <c r="E406" s="30" t="str">
        <f t="shared" si="33"/>
        <v>Active</v>
      </c>
      <c r="F406" t="s">
        <v>1730</v>
      </c>
      <c r="G406" s="22">
        <v>8</v>
      </c>
      <c r="H406" s="22">
        <v>32</v>
      </c>
      <c r="I406" s="34">
        <v>19200</v>
      </c>
      <c r="J406" s="22">
        <v>67</v>
      </c>
      <c r="K406" s="22" t="s">
        <v>1700</v>
      </c>
      <c r="L406" s="22" t="s">
        <v>1700</v>
      </c>
      <c r="M406" s="22" t="str">
        <f t="shared" si="34"/>
        <v>Compliant</v>
      </c>
      <c r="N406" s="22" t="s">
        <v>1701</v>
      </c>
    </row>
    <row r="407" spans="1:14" x14ac:dyDescent="0.3">
      <c r="A407" s="22" t="s">
        <v>1401</v>
      </c>
      <c r="B407" t="str">
        <f t="shared" si="30"/>
        <v>Anand Bose</v>
      </c>
      <c r="C407" t="str">
        <f t="shared" si="31"/>
        <v>Operations</v>
      </c>
      <c r="D407" s="30" t="str">
        <f t="shared" si="32"/>
        <v>L2</v>
      </c>
      <c r="E407" s="30" t="str">
        <f t="shared" si="33"/>
        <v>Exited</v>
      </c>
      <c r="F407" t="s">
        <v>1730</v>
      </c>
      <c r="G407" s="22">
        <v>7</v>
      </c>
      <c r="H407" s="22">
        <v>49</v>
      </c>
      <c r="I407" s="34">
        <v>49000</v>
      </c>
      <c r="J407" s="22">
        <v>85</v>
      </c>
      <c r="K407" s="22" t="s">
        <v>1700</v>
      </c>
      <c r="L407" s="22" t="s">
        <v>1700</v>
      </c>
      <c r="M407" s="22" t="str">
        <f t="shared" si="34"/>
        <v>Compliant</v>
      </c>
      <c r="N407" s="22" t="s">
        <v>1700</v>
      </c>
    </row>
    <row r="408" spans="1:14" x14ac:dyDescent="0.3">
      <c r="A408" s="22" t="s">
        <v>823</v>
      </c>
      <c r="B408" t="str">
        <f t="shared" si="30"/>
        <v>Anand Naidu</v>
      </c>
      <c r="C408" t="str">
        <f t="shared" si="31"/>
        <v>Customer Support</v>
      </c>
      <c r="D408" s="30" t="str">
        <f t="shared" si="32"/>
        <v>L5</v>
      </c>
      <c r="E408" s="30" t="str">
        <f t="shared" si="33"/>
        <v>Active</v>
      </c>
      <c r="F408" t="s">
        <v>1730</v>
      </c>
      <c r="G408" s="22">
        <v>9</v>
      </c>
      <c r="H408" s="22">
        <v>45</v>
      </c>
      <c r="I408" s="34">
        <v>36000</v>
      </c>
      <c r="J408" s="22">
        <v>96</v>
      </c>
      <c r="K408" s="22" t="s">
        <v>1700</v>
      </c>
      <c r="L408" s="22" t="s">
        <v>1700</v>
      </c>
      <c r="M408" s="22" t="str">
        <f t="shared" si="34"/>
        <v>Compliant</v>
      </c>
      <c r="N408" s="22" t="s">
        <v>1701</v>
      </c>
    </row>
    <row r="409" spans="1:14" x14ac:dyDescent="0.3">
      <c r="A409" s="22" t="s">
        <v>1405</v>
      </c>
      <c r="B409" t="str">
        <f t="shared" si="30"/>
        <v>Rashmi Kamath</v>
      </c>
      <c r="C409" t="str">
        <f t="shared" si="31"/>
        <v>Customer Support</v>
      </c>
      <c r="D409" s="30" t="str">
        <f t="shared" si="32"/>
        <v>L2</v>
      </c>
      <c r="E409" s="30" t="str">
        <f t="shared" si="33"/>
        <v>Active</v>
      </c>
      <c r="F409" t="s">
        <v>1724</v>
      </c>
      <c r="G409" s="22">
        <v>4</v>
      </c>
      <c r="H409" s="22">
        <v>20</v>
      </c>
      <c r="I409" s="34">
        <v>12000</v>
      </c>
      <c r="J409" s="22">
        <v>68</v>
      </c>
      <c r="K409" s="22" t="s">
        <v>1700</v>
      </c>
      <c r="L409" s="22" t="s">
        <v>1700</v>
      </c>
      <c r="M409" s="22" t="str">
        <f t="shared" si="34"/>
        <v>Compliant</v>
      </c>
      <c r="N409" s="22" t="s">
        <v>1701</v>
      </c>
    </row>
    <row r="410" spans="1:14" x14ac:dyDescent="0.3">
      <c r="A410" s="22" t="s">
        <v>1408</v>
      </c>
      <c r="B410" t="str">
        <f t="shared" si="30"/>
        <v>Radhika Menon</v>
      </c>
      <c r="C410" t="str">
        <f t="shared" si="31"/>
        <v>Operations</v>
      </c>
      <c r="D410" s="30" t="str">
        <f t="shared" si="32"/>
        <v>L2</v>
      </c>
      <c r="E410" s="30" t="str">
        <f t="shared" si="33"/>
        <v>Active</v>
      </c>
      <c r="F410" t="s">
        <v>1723</v>
      </c>
      <c r="G410" s="22">
        <v>7</v>
      </c>
      <c r="H410" s="22">
        <v>28</v>
      </c>
      <c r="I410" s="34">
        <v>16800</v>
      </c>
      <c r="J410" s="22">
        <v>72</v>
      </c>
      <c r="K410" s="22" t="s">
        <v>1700</v>
      </c>
      <c r="L410" s="22" t="s">
        <v>1700</v>
      </c>
      <c r="M410" s="22" t="str">
        <f t="shared" si="34"/>
        <v>Compliant</v>
      </c>
      <c r="N410" s="22" t="s">
        <v>1700</v>
      </c>
    </row>
    <row r="411" spans="1:14" x14ac:dyDescent="0.3">
      <c r="A411" s="22" t="s">
        <v>258</v>
      </c>
      <c r="B411" t="str">
        <f t="shared" si="30"/>
        <v>Ravi Prabhu</v>
      </c>
      <c r="C411" t="str">
        <f t="shared" si="31"/>
        <v>Finance</v>
      </c>
      <c r="D411" s="30" t="str">
        <f t="shared" si="32"/>
        <v>L5</v>
      </c>
      <c r="E411" s="30" t="str">
        <f t="shared" si="33"/>
        <v>Active</v>
      </c>
      <c r="F411" t="s">
        <v>1726</v>
      </c>
      <c r="G411" s="22">
        <v>7</v>
      </c>
      <c r="H411" s="22">
        <v>49</v>
      </c>
      <c r="I411" s="34">
        <v>49000</v>
      </c>
      <c r="J411" s="22">
        <v>86</v>
      </c>
      <c r="K411" s="22" t="s">
        <v>1701</v>
      </c>
      <c r="L411" s="22" t="s">
        <v>1700</v>
      </c>
      <c r="M411" s="22" t="str">
        <f t="shared" si="34"/>
        <v>Pending</v>
      </c>
      <c r="N411" s="22" t="s">
        <v>1701</v>
      </c>
    </row>
    <row r="412" spans="1:14" x14ac:dyDescent="0.3">
      <c r="A412" s="22" t="s">
        <v>1412</v>
      </c>
      <c r="B412" t="str">
        <f t="shared" si="30"/>
        <v>Kunal Joshi</v>
      </c>
      <c r="C412" t="str">
        <f t="shared" si="31"/>
        <v>Engineering</v>
      </c>
      <c r="D412" s="30" t="str">
        <f t="shared" si="32"/>
        <v>L2</v>
      </c>
      <c r="E412" s="30" t="str">
        <f t="shared" si="33"/>
        <v>Active</v>
      </c>
      <c r="F412" t="s">
        <v>1730</v>
      </c>
      <c r="G412" s="22">
        <v>1</v>
      </c>
      <c r="H412" s="22">
        <v>6</v>
      </c>
      <c r="I412" s="34">
        <v>4800</v>
      </c>
      <c r="J412" s="22">
        <v>85</v>
      </c>
      <c r="K412" s="22" t="s">
        <v>1700</v>
      </c>
      <c r="L412" s="22" t="s">
        <v>1700</v>
      </c>
      <c r="M412" s="22" t="str">
        <f t="shared" si="34"/>
        <v>Compliant</v>
      </c>
      <c r="N412" s="22" t="s">
        <v>1701</v>
      </c>
    </row>
    <row r="413" spans="1:14" x14ac:dyDescent="0.3">
      <c r="A413" s="22" t="s">
        <v>1415</v>
      </c>
      <c r="B413" t="str">
        <f t="shared" si="30"/>
        <v>Ritu Varghese</v>
      </c>
      <c r="C413" t="str">
        <f t="shared" si="31"/>
        <v>Marketing</v>
      </c>
      <c r="D413" s="30" t="str">
        <f t="shared" si="32"/>
        <v>L1</v>
      </c>
      <c r="E413" s="30" t="str">
        <f t="shared" si="33"/>
        <v>Active</v>
      </c>
      <c r="F413" t="s">
        <v>1723</v>
      </c>
      <c r="G413" s="22">
        <v>2</v>
      </c>
      <c r="H413" s="22">
        <v>12</v>
      </c>
      <c r="I413" s="34">
        <v>9600</v>
      </c>
      <c r="J413" s="22">
        <v>88</v>
      </c>
      <c r="K413" s="22" t="s">
        <v>1700</v>
      </c>
      <c r="L413" s="22" t="s">
        <v>1700</v>
      </c>
      <c r="M413" s="22" t="str">
        <f t="shared" si="34"/>
        <v>Compliant</v>
      </c>
      <c r="N413" s="22" t="s">
        <v>1701</v>
      </c>
    </row>
    <row r="414" spans="1:14" x14ac:dyDescent="0.3">
      <c r="A414" s="22" t="s">
        <v>1418</v>
      </c>
      <c r="B414" t="str">
        <f t="shared" si="30"/>
        <v>Joseph Ansari</v>
      </c>
      <c r="C414" t="str">
        <f t="shared" si="31"/>
        <v>Marketing</v>
      </c>
      <c r="D414" s="30" t="str">
        <f t="shared" si="32"/>
        <v>L2</v>
      </c>
      <c r="E414" s="30" t="str">
        <f t="shared" si="33"/>
        <v>Active</v>
      </c>
      <c r="F414" t="s">
        <v>1722</v>
      </c>
      <c r="G414" s="22">
        <v>3</v>
      </c>
      <c r="H414" s="22">
        <v>12</v>
      </c>
      <c r="I414" s="34">
        <v>7200</v>
      </c>
      <c r="J414" s="22">
        <v>60</v>
      </c>
      <c r="K414" s="22" t="s">
        <v>1700</v>
      </c>
      <c r="L414" s="22" t="s">
        <v>1700</v>
      </c>
      <c r="M414" s="22" t="str">
        <f t="shared" si="34"/>
        <v>Compliant</v>
      </c>
      <c r="N414" s="22" t="s">
        <v>1701</v>
      </c>
    </row>
    <row r="415" spans="1:14" x14ac:dyDescent="0.3">
      <c r="A415" s="22" t="s">
        <v>1421</v>
      </c>
      <c r="B415" t="str">
        <f t="shared" si="30"/>
        <v>Nisha Saxena</v>
      </c>
      <c r="C415" t="str">
        <f t="shared" si="31"/>
        <v>Customer Support</v>
      </c>
      <c r="D415" s="30" t="str">
        <f t="shared" si="32"/>
        <v>L1</v>
      </c>
      <c r="E415" s="30" t="str">
        <f t="shared" si="33"/>
        <v>Active</v>
      </c>
      <c r="F415" t="s">
        <v>1726</v>
      </c>
      <c r="G415" s="22">
        <v>7</v>
      </c>
      <c r="H415" s="22">
        <v>35</v>
      </c>
      <c r="I415" s="34">
        <v>15750</v>
      </c>
      <c r="J415" s="22">
        <v>97</v>
      </c>
      <c r="K415" s="22" t="s">
        <v>1700</v>
      </c>
      <c r="L415" s="22" t="s">
        <v>1700</v>
      </c>
      <c r="M415" s="22" t="str">
        <f t="shared" si="34"/>
        <v>Compliant</v>
      </c>
      <c r="N415" s="22" t="s">
        <v>1701</v>
      </c>
    </row>
    <row r="416" spans="1:14" x14ac:dyDescent="0.3">
      <c r="A416" s="22" t="s">
        <v>1424</v>
      </c>
      <c r="B416" t="str">
        <f t="shared" si="30"/>
        <v>Arun Dsouza</v>
      </c>
      <c r="C416" t="str">
        <f t="shared" si="31"/>
        <v>Engineering</v>
      </c>
      <c r="D416" s="30" t="str">
        <f t="shared" si="32"/>
        <v>L3</v>
      </c>
      <c r="E416" s="30" t="str">
        <f t="shared" si="33"/>
        <v>Active</v>
      </c>
      <c r="F416" t="s">
        <v>1723</v>
      </c>
      <c r="G416" s="22">
        <v>9</v>
      </c>
      <c r="H416" s="22">
        <v>27</v>
      </c>
      <c r="I416" s="34">
        <v>21600</v>
      </c>
      <c r="J416" s="22">
        <v>67</v>
      </c>
      <c r="K416" s="22" t="s">
        <v>1700</v>
      </c>
      <c r="L416" s="22" t="s">
        <v>1701</v>
      </c>
      <c r="M416" s="22" t="str">
        <f t="shared" si="34"/>
        <v>Pending</v>
      </c>
      <c r="N416" s="22" t="s">
        <v>1701</v>
      </c>
    </row>
    <row r="417" spans="1:14" x14ac:dyDescent="0.3">
      <c r="A417" s="22" t="s">
        <v>1427</v>
      </c>
      <c r="B417" t="str">
        <f t="shared" si="30"/>
        <v>Yash Varghese</v>
      </c>
      <c r="C417" t="str">
        <f t="shared" si="31"/>
        <v>Sales</v>
      </c>
      <c r="D417" s="30" t="str">
        <f t="shared" si="32"/>
        <v>L1</v>
      </c>
      <c r="E417" s="30" t="str">
        <f t="shared" si="33"/>
        <v>Active</v>
      </c>
      <c r="F417" t="s">
        <v>1722</v>
      </c>
      <c r="G417" s="22">
        <v>7</v>
      </c>
      <c r="H417" s="22">
        <v>35</v>
      </c>
      <c r="I417" s="34">
        <v>21000</v>
      </c>
      <c r="J417" s="22">
        <v>63</v>
      </c>
      <c r="K417" s="22" t="s">
        <v>1700</v>
      </c>
      <c r="L417" s="22" t="s">
        <v>1700</v>
      </c>
      <c r="M417" s="22" t="str">
        <f t="shared" si="34"/>
        <v>Compliant</v>
      </c>
      <c r="N417" s="22" t="s">
        <v>1701</v>
      </c>
    </row>
    <row r="418" spans="1:14" x14ac:dyDescent="0.3">
      <c r="A418" s="22" t="s">
        <v>1430</v>
      </c>
      <c r="B418" t="str">
        <f t="shared" si="30"/>
        <v>Prakash Pillai</v>
      </c>
      <c r="C418" t="str">
        <f t="shared" si="31"/>
        <v>Engineering</v>
      </c>
      <c r="D418" s="30" t="str">
        <f t="shared" si="32"/>
        <v>L1</v>
      </c>
      <c r="E418" s="30" t="str">
        <f t="shared" si="33"/>
        <v>Active</v>
      </c>
      <c r="F418" t="s">
        <v>1728</v>
      </c>
      <c r="G418" s="22">
        <v>1</v>
      </c>
      <c r="H418" s="22">
        <v>7</v>
      </c>
      <c r="I418" s="34">
        <v>4200</v>
      </c>
      <c r="J418" s="22">
        <v>73</v>
      </c>
      <c r="K418" s="22" t="s">
        <v>1700</v>
      </c>
      <c r="L418" s="22" t="s">
        <v>1700</v>
      </c>
      <c r="M418" s="22" t="str">
        <f t="shared" si="34"/>
        <v>Compliant</v>
      </c>
      <c r="N418" s="22" t="s">
        <v>1701</v>
      </c>
    </row>
    <row r="419" spans="1:14" x14ac:dyDescent="0.3">
      <c r="A419" s="22" t="s">
        <v>1433</v>
      </c>
      <c r="B419" t="str">
        <f t="shared" si="30"/>
        <v>Imran Iyer</v>
      </c>
      <c r="C419" t="str">
        <f t="shared" si="31"/>
        <v>Operations</v>
      </c>
      <c r="D419" s="30" t="str">
        <f t="shared" si="32"/>
        <v>L3</v>
      </c>
      <c r="E419" s="30" t="str">
        <f t="shared" si="33"/>
        <v>Exited</v>
      </c>
      <c r="F419" t="s">
        <v>1728</v>
      </c>
      <c r="G419" s="22">
        <v>1</v>
      </c>
      <c r="H419" s="22">
        <v>4</v>
      </c>
      <c r="I419" s="34">
        <v>1800</v>
      </c>
      <c r="J419" s="22">
        <v>92</v>
      </c>
      <c r="K419" s="22" t="s">
        <v>1700</v>
      </c>
      <c r="L419" s="22" t="s">
        <v>1700</v>
      </c>
      <c r="M419" s="22" t="str">
        <f t="shared" si="34"/>
        <v>Compliant</v>
      </c>
      <c r="N419" s="22" t="s">
        <v>1701</v>
      </c>
    </row>
    <row r="420" spans="1:14" x14ac:dyDescent="0.3">
      <c r="A420" s="22" t="s">
        <v>1436</v>
      </c>
      <c r="B420" t="str">
        <f t="shared" si="30"/>
        <v>Kiran Raghavan</v>
      </c>
      <c r="C420" t="str">
        <f t="shared" si="31"/>
        <v>Sales</v>
      </c>
      <c r="D420" s="30" t="str">
        <f t="shared" si="32"/>
        <v>L1</v>
      </c>
      <c r="E420" s="30" t="str">
        <f t="shared" si="33"/>
        <v>Exited</v>
      </c>
      <c r="F420" t="s">
        <v>1722</v>
      </c>
      <c r="G420" s="22">
        <v>2</v>
      </c>
      <c r="H420" s="22">
        <v>12</v>
      </c>
      <c r="I420" s="34">
        <v>9600</v>
      </c>
      <c r="J420" s="22">
        <v>58</v>
      </c>
      <c r="K420" s="22" t="s">
        <v>1700</v>
      </c>
      <c r="L420" s="22" t="s">
        <v>1700</v>
      </c>
      <c r="M420" s="22" t="str">
        <f t="shared" si="34"/>
        <v>Compliant</v>
      </c>
      <c r="N420" s="22" t="s">
        <v>1701</v>
      </c>
    </row>
    <row r="421" spans="1:14" x14ac:dyDescent="0.3">
      <c r="A421" s="22" t="s">
        <v>1439</v>
      </c>
      <c r="B421" t="str">
        <f t="shared" si="30"/>
        <v>Abhishek Krishnan</v>
      </c>
      <c r="C421" t="str">
        <f t="shared" si="31"/>
        <v>Data &amp; Analytics</v>
      </c>
      <c r="D421" s="30" t="str">
        <f t="shared" si="32"/>
        <v>L2</v>
      </c>
      <c r="E421" s="30" t="str">
        <f t="shared" si="33"/>
        <v>Exited</v>
      </c>
      <c r="F421" t="s">
        <v>1725</v>
      </c>
      <c r="G421" s="22">
        <v>6</v>
      </c>
      <c r="H421" s="22">
        <v>24</v>
      </c>
      <c r="I421" s="34">
        <v>19200</v>
      </c>
      <c r="J421" s="22">
        <v>83</v>
      </c>
      <c r="K421" s="22" t="s">
        <v>1700</v>
      </c>
      <c r="L421" s="22" t="s">
        <v>1700</v>
      </c>
      <c r="M421" s="22" t="str">
        <f t="shared" si="34"/>
        <v>Compliant</v>
      </c>
      <c r="N421" s="22" t="s">
        <v>1701</v>
      </c>
    </row>
    <row r="422" spans="1:14" x14ac:dyDescent="0.3">
      <c r="A422" s="22" t="s">
        <v>1442</v>
      </c>
      <c r="B422" t="str">
        <f t="shared" si="30"/>
        <v>Aditya Rao</v>
      </c>
      <c r="C422" t="str">
        <f t="shared" si="31"/>
        <v>Operations</v>
      </c>
      <c r="D422" s="30" t="str">
        <f t="shared" si="32"/>
        <v>L3</v>
      </c>
      <c r="E422" s="30" t="str">
        <f t="shared" si="33"/>
        <v>Active</v>
      </c>
      <c r="F422" t="s">
        <v>1731</v>
      </c>
      <c r="G422" s="22">
        <v>3</v>
      </c>
      <c r="H422" s="22">
        <v>12</v>
      </c>
      <c r="I422" s="34">
        <v>5400</v>
      </c>
      <c r="J422" s="22">
        <v>81</v>
      </c>
      <c r="K422" s="22" t="s">
        <v>1700</v>
      </c>
      <c r="L422" s="22" t="s">
        <v>1700</v>
      </c>
      <c r="M422" s="22" t="str">
        <f t="shared" si="34"/>
        <v>Compliant</v>
      </c>
      <c r="N422" s="22" t="s">
        <v>1700</v>
      </c>
    </row>
    <row r="423" spans="1:14" x14ac:dyDescent="0.3">
      <c r="A423" s="22" t="s">
        <v>1445</v>
      </c>
      <c r="B423" t="str">
        <f t="shared" si="30"/>
        <v>Anand Mukherjee</v>
      </c>
      <c r="C423" t="str">
        <f t="shared" si="31"/>
        <v>Sales</v>
      </c>
      <c r="D423" s="30" t="str">
        <f t="shared" si="32"/>
        <v>L2</v>
      </c>
      <c r="E423" s="30" t="str">
        <f t="shared" si="33"/>
        <v>Active</v>
      </c>
      <c r="F423" t="s">
        <v>1728</v>
      </c>
      <c r="G423" s="22">
        <v>5</v>
      </c>
      <c r="H423" s="22">
        <v>30</v>
      </c>
      <c r="I423" s="34">
        <v>18000</v>
      </c>
      <c r="J423" s="22">
        <v>98</v>
      </c>
      <c r="K423" s="22" t="s">
        <v>1700</v>
      </c>
      <c r="L423" s="22" t="s">
        <v>1700</v>
      </c>
      <c r="M423" s="22" t="str">
        <f t="shared" si="34"/>
        <v>Compliant</v>
      </c>
      <c r="N423" s="22" t="s">
        <v>1701</v>
      </c>
    </row>
    <row r="424" spans="1:14" x14ac:dyDescent="0.3">
      <c r="A424" s="22" t="s">
        <v>1448</v>
      </c>
      <c r="B424" t="str">
        <f t="shared" si="30"/>
        <v>Lakshmi Rao</v>
      </c>
      <c r="C424" t="str">
        <f t="shared" si="31"/>
        <v>Product</v>
      </c>
      <c r="D424" s="30" t="str">
        <f t="shared" si="32"/>
        <v>L4</v>
      </c>
      <c r="E424" s="30" t="str">
        <f t="shared" si="33"/>
        <v>Active</v>
      </c>
      <c r="F424" t="s">
        <v>1730</v>
      </c>
      <c r="G424" s="22">
        <v>1</v>
      </c>
      <c r="H424" s="22">
        <v>3</v>
      </c>
      <c r="I424" s="34">
        <v>3000</v>
      </c>
      <c r="J424" s="22">
        <v>83</v>
      </c>
      <c r="K424" s="22" t="s">
        <v>1700</v>
      </c>
      <c r="L424" s="22" t="s">
        <v>1700</v>
      </c>
      <c r="M424" s="22" t="str">
        <f t="shared" si="34"/>
        <v>Compliant</v>
      </c>
      <c r="N424" s="22" t="s">
        <v>1701</v>
      </c>
    </row>
    <row r="425" spans="1:14" x14ac:dyDescent="0.3">
      <c r="A425" s="22" t="s">
        <v>1451</v>
      </c>
      <c r="B425" t="str">
        <f t="shared" si="30"/>
        <v>Naveen Kapoor</v>
      </c>
      <c r="C425" t="str">
        <f t="shared" si="31"/>
        <v>Engineering</v>
      </c>
      <c r="D425" s="30" t="str">
        <f t="shared" si="32"/>
        <v>L2</v>
      </c>
      <c r="E425" s="30" t="str">
        <f t="shared" si="33"/>
        <v>Active</v>
      </c>
      <c r="F425" t="s">
        <v>1727</v>
      </c>
      <c r="G425" s="22">
        <v>9</v>
      </c>
      <c r="H425" s="22">
        <v>63</v>
      </c>
      <c r="I425" s="34">
        <v>63000</v>
      </c>
      <c r="J425" s="22">
        <v>80</v>
      </c>
      <c r="K425" s="22" t="s">
        <v>1700</v>
      </c>
      <c r="L425" s="22" t="s">
        <v>1700</v>
      </c>
      <c r="M425" s="22" t="str">
        <f t="shared" si="34"/>
        <v>Compliant</v>
      </c>
      <c r="N425" s="22" t="s">
        <v>1701</v>
      </c>
    </row>
    <row r="426" spans="1:14" x14ac:dyDescent="0.3">
      <c r="A426" s="22" t="s">
        <v>1454</v>
      </c>
      <c r="B426" t="str">
        <f t="shared" si="30"/>
        <v>Pallavi Prabhu</v>
      </c>
      <c r="C426" t="str">
        <f t="shared" si="31"/>
        <v>Finance</v>
      </c>
      <c r="D426" s="30" t="str">
        <f t="shared" si="32"/>
        <v>L2</v>
      </c>
      <c r="E426" s="30" t="str">
        <f t="shared" si="33"/>
        <v>Active</v>
      </c>
      <c r="F426" t="s">
        <v>1725</v>
      </c>
      <c r="G426" s="22">
        <v>7</v>
      </c>
      <c r="H426" s="22">
        <v>35</v>
      </c>
      <c r="I426" s="34">
        <v>35000</v>
      </c>
      <c r="J426" s="22">
        <v>71</v>
      </c>
      <c r="K426" s="22" t="s">
        <v>1700</v>
      </c>
      <c r="L426" s="22" t="s">
        <v>1700</v>
      </c>
      <c r="M426" s="22" t="str">
        <f t="shared" si="34"/>
        <v>Compliant</v>
      </c>
      <c r="N426" s="22" t="s">
        <v>1700</v>
      </c>
    </row>
    <row r="427" spans="1:14" x14ac:dyDescent="0.3">
      <c r="A427" s="22" t="s">
        <v>1457</v>
      </c>
      <c r="B427" t="str">
        <f t="shared" si="30"/>
        <v>Deepak Bansal</v>
      </c>
      <c r="C427" t="str">
        <f t="shared" si="31"/>
        <v>Customer Support</v>
      </c>
      <c r="D427" s="30" t="str">
        <f t="shared" si="32"/>
        <v>L1</v>
      </c>
      <c r="E427" s="30" t="str">
        <f t="shared" si="33"/>
        <v>Active</v>
      </c>
      <c r="F427" t="s">
        <v>1724</v>
      </c>
      <c r="G427" s="22">
        <v>2</v>
      </c>
      <c r="H427" s="22">
        <v>14</v>
      </c>
      <c r="I427" s="34">
        <v>11200</v>
      </c>
      <c r="J427" s="22">
        <v>82</v>
      </c>
      <c r="K427" s="22" t="s">
        <v>1700</v>
      </c>
      <c r="L427" s="22" t="s">
        <v>1700</v>
      </c>
      <c r="M427" s="22" t="str">
        <f t="shared" si="34"/>
        <v>Compliant</v>
      </c>
      <c r="N427" s="22" t="s">
        <v>1701</v>
      </c>
    </row>
    <row r="428" spans="1:14" x14ac:dyDescent="0.3">
      <c r="A428" s="22" t="s">
        <v>1460</v>
      </c>
      <c r="B428" t="str">
        <f t="shared" si="30"/>
        <v>Shreya Tiwari</v>
      </c>
      <c r="C428" t="str">
        <f t="shared" si="31"/>
        <v>Customer Support</v>
      </c>
      <c r="D428" s="30" t="str">
        <f t="shared" si="32"/>
        <v>L2</v>
      </c>
      <c r="E428" s="30" t="str">
        <f t="shared" si="33"/>
        <v>Active</v>
      </c>
      <c r="F428" t="s">
        <v>1724</v>
      </c>
      <c r="G428" s="22">
        <v>5</v>
      </c>
      <c r="H428" s="22">
        <v>25</v>
      </c>
      <c r="I428" s="34">
        <v>11250</v>
      </c>
      <c r="J428" s="22">
        <v>98</v>
      </c>
      <c r="K428" s="22" t="s">
        <v>1700</v>
      </c>
      <c r="L428" s="22" t="s">
        <v>1700</v>
      </c>
      <c r="M428" s="22" t="str">
        <f t="shared" si="34"/>
        <v>Compliant</v>
      </c>
      <c r="N428" s="22" t="s">
        <v>1700</v>
      </c>
    </row>
    <row r="429" spans="1:14" x14ac:dyDescent="0.3">
      <c r="A429" s="22" t="s">
        <v>1463</v>
      </c>
      <c r="B429" t="str">
        <f t="shared" si="30"/>
        <v>Anusha Kamath</v>
      </c>
      <c r="C429" t="str">
        <f t="shared" si="31"/>
        <v>Engineering</v>
      </c>
      <c r="D429" s="30" t="str">
        <f t="shared" si="32"/>
        <v>L1</v>
      </c>
      <c r="E429" s="30" t="str">
        <f t="shared" si="33"/>
        <v>Active</v>
      </c>
      <c r="F429" t="s">
        <v>1725</v>
      </c>
      <c r="G429" s="22">
        <v>3</v>
      </c>
      <c r="H429" s="22">
        <v>18</v>
      </c>
      <c r="I429" s="34">
        <v>10800</v>
      </c>
      <c r="J429" s="22">
        <v>72</v>
      </c>
      <c r="K429" s="22" t="s">
        <v>1700</v>
      </c>
      <c r="L429" s="22" t="s">
        <v>1700</v>
      </c>
      <c r="M429" s="22" t="str">
        <f t="shared" si="34"/>
        <v>Compliant</v>
      </c>
      <c r="N429" s="22" t="s">
        <v>1700</v>
      </c>
    </row>
    <row r="430" spans="1:14" x14ac:dyDescent="0.3">
      <c r="A430" s="22" t="s">
        <v>148</v>
      </c>
      <c r="B430" t="str">
        <f t="shared" si="30"/>
        <v>Dev Bose</v>
      </c>
      <c r="C430" t="str">
        <f t="shared" si="31"/>
        <v>Product</v>
      </c>
      <c r="D430" s="30" t="str">
        <f t="shared" si="32"/>
        <v>L7</v>
      </c>
      <c r="E430" s="30" t="str">
        <f t="shared" si="33"/>
        <v>Active</v>
      </c>
      <c r="F430" t="s">
        <v>1722</v>
      </c>
      <c r="G430" s="22">
        <v>8</v>
      </c>
      <c r="H430" s="22">
        <v>40</v>
      </c>
      <c r="I430" s="34">
        <v>40000</v>
      </c>
      <c r="J430" s="22">
        <v>87</v>
      </c>
      <c r="K430" s="22" t="s">
        <v>1700</v>
      </c>
      <c r="L430" s="22" t="s">
        <v>1700</v>
      </c>
      <c r="M430" s="22" t="str">
        <f t="shared" si="34"/>
        <v>Compliant</v>
      </c>
      <c r="N430" s="22" t="s">
        <v>1701</v>
      </c>
    </row>
    <row r="431" spans="1:14" x14ac:dyDescent="0.3">
      <c r="A431" s="22" t="s">
        <v>1468</v>
      </c>
      <c r="B431" t="str">
        <f t="shared" si="30"/>
        <v>Divya Patel</v>
      </c>
      <c r="C431" t="str">
        <f t="shared" si="31"/>
        <v>Human Resources</v>
      </c>
      <c r="D431" s="30" t="str">
        <f t="shared" si="32"/>
        <v>L1</v>
      </c>
      <c r="E431" s="30" t="str">
        <f t="shared" si="33"/>
        <v>Active</v>
      </c>
      <c r="F431" t="s">
        <v>1726</v>
      </c>
      <c r="G431" s="22">
        <v>3</v>
      </c>
      <c r="H431" s="22">
        <v>18</v>
      </c>
      <c r="I431" s="34">
        <v>8100</v>
      </c>
      <c r="J431" s="22">
        <v>76</v>
      </c>
      <c r="K431" s="22" t="s">
        <v>1700</v>
      </c>
      <c r="L431" s="22" t="s">
        <v>1700</v>
      </c>
      <c r="M431" s="22" t="str">
        <f t="shared" si="34"/>
        <v>Compliant</v>
      </c>
      <c r="N431" s="22" t="s">
        <v>1701</v>
      </c>
    </row>
    <row r="432" spans="1:14" x14ac:dyDescent="0.3">
      <c r="A432" s="22" t="s">
        <v>1471</v>
      </c>
      <c r="B432" t="str">
        <f t="shared" si="30"/>
        <v>Nisha Kapoor</v>
      </c>
      <c r="C432" t="str">
        <f t="shared" si="31"/>
        <v>Engineering</v>
      </c>
      <c r="D432" s="30" t="str">
        <f t="shared" si="32"/>
        <v>L3</v>
      </c>
      <c r="E432" s="30" t="str">
        <f t="shared" si="33"/>
        <v>Active</v>
      </c>
      <c r="F432" t="s">
        <v>1724</v>
      </c>
      <c r="G432" s="22">
        <v>6</v>
      </c>
      <c r="H432" s="22">
        <v>18</v>
      </c>
      <c r="I432" s="34">
        <v>14400</v>
      </c>
      <c r="J432" s="22">
        <v>62</v>
      </c>
      <c r="K432" s="22" t="s">
        <v>1700</v>
      </c>
      <c r="L432" s="22" t="s">
        <v>1700</v>
      </c>
      <c r="M432" s="22" t="str">
        <f t="shared" si="34"/>
        <v>Compliant</v>
      </c>
      <c r="N432" s="22" t="s">
        <v>1701</v>
      </c>
    </row>
    <row r="433" spans="1:14" x14ac:dyDescent="0.3">
      <c r="A433" s="22" t="s">
        <v>1474</v>
      </c>
      <c r="B433" t="str">
        <f t="shared" si="30"/>
        <v>Gayatri Raghavan</v>
      </c>
      <c r="C433" t="str">
        <f t="shared" si="31"/>
        <v>Operations</v>
      </c>
      <c r="D433" s="30" t="str">
        <f t="shared" si="32"/>
        <v>L1</v>
      </c>
      <c r="E433" s="30" t="str">
        <f t="shared" si="33"/>
        <v>Exited</v>
      </c>
      <c r="F433" t="s">
        <v>1726</v>
      </c>
      <c r="G433" s="22">
        <v>5</v>
      </c>
      <c r="H433" s="22">
        <v>25</v>
      </c>
      <c r="I433" s="34">
        <v>25000</v>
      </c>
      <c r="J433" s="22">
        <v>80</v>
      </c>
      <c r="K433" s="22" t="s">
        <v>1700</v>
      </c>
      <c r="L433" s="22" t="s">
        <v>1701</v>
      </c>
      <c r="M433" s="22" t="str">
        <f t="shared" si="34"/>
        <v>Pending</v>
      </c>
      <c r="N433" s="22" t="s">
        <v>1701</v>
      </c>
    </row>
    <row r="434" spans="1:14" x14ac:dyDescent="0.3">
      <c r="A434" s="22" t="s">
        <v>1477</v>
      </c>
      <c r="B434" t="str">
        <f t="shared" si="30"/>
        <v>Mary Mishra</v>
      </c>
      <c r="C434" t="str">
        <f t="shared" si="31"/>
        <v>Sales</v>
      </c>
      <c r="D434" s="30" t="str">
        <f t="shared" si="32"/>
        <v>L3</v>
      </c>
      <c r="E434" s="30" t="str">
        <f t="shared" si="33"/>
        <v>Active</v>
      </c>
      <c r="F434" t="s">
        <v>1728</v>
      </c>
      <c r="G434" s="22">
        <v>6</v>
      </c>
      <c r="H434" s="22">
        <v>24</v>
      </c>
      <c r="I434" s="34">
        <v>19200</v>
      </c>
      <c r="J434" s="22">
        <v>93</v>
      </c>
      <c r="K434" s="22" t="s">
        <v>1700</v>
      </c>
      <c r="L434" s="22" t="s">
        <v>1700</v>
      </c>
      <c r="M434" s="22" t="str">
        <f t="shared" si="34"/>
        <v>Compliant</v>
      </c>
      <c r="N434" s="22" t="s">
        <v>1701</v>
      </c>
    </row>
    <row r="435" spans="1:14" x14ac:dyDescent="0.3">
      <c r="A435" s="22" t="s">
        <v>1480</v>
      </c>
      <c r="B435" t="str">
        <f t="shared" si="30"/>
        <v>Ritu Saxena</v>
      </c>
      <c r="C435" t="str">
        <f t="shared" si="31"/>
        <v>Product</v>
      </c>
      <c r="D435" s="30" t="str">
        <f t="shared" si="32"/>
        <v>L3</v>
      </c>
      <c r="E435" s="30" t="str">
        <f t="shared" si="33"/>
        <v>Active</v>
      </c>
      <c r="F435" t="s">
        <v>1730</v>
      </c>
      <c r="G435" s="22">
        <v>5</v>
      </c>
      <c r="H435" s="22">
        <v>15</v>
      </c>
      <c r="I435" s="34">
        <v>6750</v>
      </c>
      <c r="J435" s="22">
        <v>83</v>
      </c>
      <c r="K435" s="22" t="s">
        <v>1700</v>
      </c>
      <c r="L435" s="22" t="s">
        <v>1700</v>
      </c>
      <c r="M435" s="22" t="str">
        <f t="shared" si="34"/>
        <v>Compliant</v>
      </c>
      <c r="N435" s="22" t="s">
        <v>1701</v>
      </c>
    </row>
    <row r="436" spans="1:14" x14ac:dyDescent="0.3">
      <c r="A436" s="22" t="s">
        <v>1483</v>
      </c>
      <c r="B436" t="str">
        <f t="shared" si="30"/>
        <v>Rohan Hegde</v>
      </c>
      <c r="C436" t="str">
        <f t="shared" si="31"/>
        <v>Operations</v>
      </c>
      <c r="D436" s="30" t="str">
        <f t="shared" si="32"/>
        <v>L2</v>
      </c>
      <c r="E436" s="30" t="str">
        <f t="shared" si="33"/>
        <v>Active</v>
      </c>
      <c r="F436" t="s">
        <v>1727</v>
      </c>
      <c r="G436" s="22">
        <v>6</v>
      </c>
      <c r="H436" s="22">
        <v>42</v>
      </c>
      <c r="I436" s="34">
        <v>42000</v>
      </c>
      <c r="J436" s="22">
        <v>95</v>
      </c>
      <c r="K436" s="22" t="s">
        <v>1700</v>
      </c>
      <c r="L436" s="22" t="s">
        <v>1700</v>
      </c>
      <c r="M436" s="22" t="str">
        <f t="shared" si="34"/>
        <v>Compliant</v>
      </c>
      <c r="N436" s="22" t="s">
        <v>1701</v>
      </c>
    </row>
    <row r="437" spans="1:14" x14ac:dyDescent="0.3">
      <c r="A437" s="22" t="s">
        <v>1486</v>
      </c>
      <c r="B437" t="str">
        <f t="shared" si="30"/>
        <v>Gayatri Prabhu</v>
      </c>
      <c r="C437" t="str">
        <f t="shared" si="31"/>
        <v>Operations</v>
      </c>
      <c r="D437" s="30" t="str">
        <f t="shared" si="32"/>
        <v>L1</v>
      </c>
      <c r="E437" s="30" t="str">
        <f t="shared" si="33"/>
        <v>Exited</v>
      </c>
      <c r="F437" t="s">
        <v>1727</v>
      </c>
      <c r="G437" s="22">
        <v>2</v>
      </c>
      <c r="H437" s="22">
        <v>12</v>
      </c>
      <c r="I437" s="34">
        <v>12000</v>
      </c>
      <c r="J437" s="22">
        <v>94</v>
      </c>
      <c r="K437" s="22" t="s">
        <v>1700</v>
      </c>
      <c r="L437" s="22" t="s">
        <v>1700</v>
      </c>
      <c r="M437" s="22" t="str">
        <f t="shared" si="34"/>
        <v>Compliant</v>
      </c>
      <c r="N437" s="22" t="s">
        <v>1701</v>
      </c>
    </row>
    <row r="438" spans="1:14" x14ac:dyDescent="0.3">
      <c r="A438" s="22" t="s">
        <v>1489</v>
      </c>
      <c r="B438" t="str">
        <f t="shared" si="30"/>
        <v>Ajay Bansal</v>
      </c>
      <c r="C438" t="str">
        <f t="shared" si="31"/>
        <v>Product</v>
      </c>
      <c r="D438" s="30" t="str">
        <f t="shared" si="32"/>
        <v>L3</v>
      </c>
      <c r="E438" s="30" t="str">
        <f t="shared" si="33"/>
        <v>Active</v>
      </c>
      <c r="F438" t="s">
        <v>1730</v>
      </c>
      <c r="G438" s="22">
        <v>9</v>
      </c>
      <c r="H438" s="22">
        <v>27</v>
      </c>
      <c r="I438" s="34">
        <v>16200</v>
      </c>
      <c r="J438" s="22">
        <v>98</v>
      </c>
      <c r="K438" s="22" t="s">
        <v>1701</v>
      </c>
      <c r="L438" s="22" t="s">
        <v>1700</v>
      </c>
      <c r="M438" s="22" t="str">
        <f t="shared" si="34"/>
        <v>Pending</v>
      </c>
      <c r="N438" s="22" t="s">
        <v>1701</v>
      </c>
    </row>
    <row r="439" spans="1:14" x14ac:dyDescent="0.3">
      <c r="A439" s="22" t="s">
        <v>1492</v>
      </c>
      <c r="B439" t="str">
        <f t="shared" si="30"/>
        <v>Sai Subramanian</v>
      </c>
      <c r="C439" t="str">
        <f t="shared" si="31"/>
        <v>Engineering</v>
      </c>
      <c r="D439" s="30" t="str">
        <f t="shared" si="32"/>
        <v>L1</v>
      </c>
      <c r="E439" s="30" t="str">
        <f t="shared" si="33"/>
        <v>Active</v>
      </c>
      <c r="F439" t="s">
        <v>1723</v>
      </c>
      <c r="G439" s="22">
        <v>5</v>
      </c>
      <c r="H439" s="22">
        <v>20</v>
      </c>
      <c r="I439" s="34">
        <v>12000</v>
      </c>
      <c r="J439" s="22">
        <v>83</v>
      </c>
      <c r="K439" s="22" t="s">
        <v>1700</v>
      </c>
      <c r="L439" s="22" t="s">
        <v>1700</v>
      </c>
      <c r="M439" s="22" t="str">
        <f t="shared" si="34"/>
        <v>Compliant</v>
      </c>
      <c r="N439" s="22" t="s">
        <v>1701</v>
      </c>
    </row>
    <row r="440" spans="1:14" x14ac:dyDescent="0.3">
      <c r="A440" s="22" t="s">
        <v>1495</v>
      </c>
      <c r="B440" t="str">
        <f t="shared" si="30"/>
        <v>Priyanka Dsouza</v>
      </c>
      <c r="C440" t="str">
        <f t="shared" si="31"/>
        <v>Finance</v>
      </c>
      <c r="D440" s="30" t="str">
        <f t="shared" si="32"/>
        <v>L1</v>
      </c>
      <c r="E440" s="30" t="str">
        <f t="shared" si="33"/>
        <v>Active</v>
      </c>
      <c r="F440" t="s">
        <v>1731</v>
      </c>
      <c r="G440" s="22">
        <v>4</v>
      </c>
      <c r="H440" s="22">
        <v>12</v>
      </c>
      <c r="I440" s="34">
        <v>5400</v>
      </c>
      <c r="J440" s="22">
        <v>70</v>
      </c>
      <c r="K440" s="22" t="s">
        <v>1700</v>
      </c>
      <c r="L440" s="22" t="s">
        <v>1701</v>
      </c>
      <c r="M440" s="22" t="str">
        <f t="shared" si="34"/>
        <v>Pending</v>
      </c>
      <c r="N440" s="22" t="s">
        <v>1700</v>
      </c>
    </row>
    <row r="441" spans="1:14" x14ac:dyDescent="0.3">
      <c r="A441" s="22" t="s">
        <v>1498</v>
      </c>
      <c r="B441" t="str">
        <f t="shared" si="30"/>
        <v>Ravi Mukherjee</v>
      </c>
      <c r="C441" t="str">
        <f t="shared" si="31"/>
        <v>Customer Support</v>
      </c>
      <c r="D441" s="30" t="str">
        <f t="shared" si="32"/>
        <v>L1</v>
      </c>
      <c r="E441" s="30" t="str">
        <f t="shared" si="33"/>
        <v>Active</v>
      </c>
      <c r="F441" t="s">
        <v>1725</v>
      </c>
      <c r="G441" s="22">
        <v>7</v>
      </c>
      <c r="H441" s="22">
        <v>28</v>
      </c>
      <c r="I441" s="34">
        <v>28000</v>
      </c>
      <c r="J441" s="22">
        <v>62</v>
      </c>
      <c r="K441" s="22" t="s">
        <v>1700</v>
      </c>
      <c r="L441" s="22" t="s">
        <v>1700</v>
      </c>
      <c r="M441" s="22" t="str">
        <f t="shared" si="34"/>
        <v>Compliant</v>
      </c>
      <c r="N441" s="22" t="s">
        <v>1701</v>
      </c>
    </row>
    <row r="442" spans="1:14" x14ac:dyDescent="0.3">
      <c r="A442" s="22" t="s">
        <v>1501</v>
      </c>
      <c r="B442" t="str">
        <f t="shared" si="30"/>
        <v>Ananya Menon</v>
      </c>
      <c r="C442" t="str">
        <f t="shared" si="31"/>
        <v>Product</v>
      </c>
      <c r="D442" s="30" t="str">
        <f t="shared" si="32"/>
        <v>L2</v>
      </c>
      <c r="E442" s="30" t="str">
        <f t="shared" si="33"/>
        <v>Active</v>
      </c>
      <c r="F442" t="s">
        <v>1728</v>
      </c>
      <c r="G442" s="22">
        <v>3</v>
      </c>
      <c r="H442" s="22">
        <v>9</v>
      </c>
      <c r="I442" s="34">
        <v>7200</v>
      </c>
      <c r="J442" s="22">
        <v>89</v>
      </c>
      <c r="K442" s="22" t="s">
        <v>1700</v>
      </c>
      <c r="L442" s="22" t="s">
        <v>1700</v>
      </c>
      <c r="M442" s="22" t="str">
        <f t="shared" si="34"/>
        <v>Compliant</v>
      </c>
      <c r="N442" s="22" t="s">
        <v>1700</v>
      </c>
    </row>
    <row r="443" spans="1:14" x14ac:dyDescent="0.3">
      <c r="A443" s="22" t="s">
        <v>1504</v>
      </c>
      <c r="B443" t="str">
        <f t="shared" si="30"/>
        <v>Vidya Pandey</v>
      </c>
      <c r="C443" t="str">
        <f t="shared" si="31"/>
        <v>Engineering</v>
      </c>
      <c r="D443" s="30" t="str">
        <f t="shared" si="32"/>
        <v>L2</v>
      </c>
      <c r="E443" s="30" t="str">
        <f t="shared" si="33"/>
        <v>Active</v>
      </c>
      <c r="F443" t="s">
        <v>1729</v>
      </c>
      <c r="G443" s="22">
        <v>2</v>
      </c>
      <c r="H443" s="22">
        <v>6</v>
      </c>
      <c r="I443" s="34">
        <v>6000</v>
      </c>
      <c r="J443" s="22">
        <v>88</v>
      </c>
      <c r="K443" s="22" t="s">
        <v>1700</v>
      </c>
      <c r="L443" s="22" t="s">
        <v>1700</v>
      </c>
      <c r="M443" s="22" t="str">
        <f t="shared" si="34"/>
        <v>Compliant</v>
      </c>
      <c r="N443" s="22" t="s">
        <v>1701</v>
      </c>
    </row>
    <row r="444" spans="1:14" x14ac:dyDescent="0.3">
      <c r="A444" s="22" t="s">
        <v>1507</v>
      </c>
      <c r="B444" t="str">
        <f t="shared" si="30"/>
        <v>Vikram Khan</v>
      </c>
      <c r="C444" t="str">
        <f t="shared" si="31"/>
        <v>Engineering</v>
      </c>
      <c r="D444" s="30" t="str">
        <f t="shared" si="32"/>
        <v>L1</v>
      </c>
      <c r="E444" s="30" t="str">
        <f t="shared" si="33"/>
        <v>Exited</v>
      </c>
      <c r="F444" t="s">
        <v>1731</v>
      </c>
      <c r="G444" s="22">
        <v>5</v>
      </c>
      <c r="H444" s="22">
        <v>35</v>
      </c>
      <c r="I444" s="34">
        <v>28000</v>
      </c>
      <c r="J444" s="22">
        <v>91</v>
      </c>
      <c r="K444" s="22" t="s">
        <v>1700</v>
      </c>
      <c r="L444" s="22" t="s">
        <v>1700</v>
      </c>
      <c r="M444" s="22" t="str">
        <f t="shared" si="34"/>
        <v>Compliant</v>
      </c>
      <c r="N444" s="22" t="s">
        <v>1700</v>
      </c>
    </row>
    <row r="445" spans="1:14" x14ac:dyDescent="0.3">
      <c r="A445" s="22" t="s">
        <v>350</v>
      </c>
      <c r="B445" t="str">
        <f t="shared" si="30"/>
        <v>Prakash Desai</v>
      </c>
      <c r="C445" t="str">
        <f t="shared" si="31"/>
        <v>Engineering</v>
      </c>
      <c r="D445" s="30" t="str">
        <f t="shared" si="32"/>
        <v>L5</v>
      </c>
      <c r="E445" s="30" t="str">
        <f t="shared" si="33"/>
        <v>Active</v>
      </c>
      <c r="F445" t="s">
        <v>1729</v>
      </c>
      <c r="G445" s="22">
        <v>5</v>
      </c>
      <c r="H445" s="22">
        <v>35</v>
      </c>
      <c r="I445" s="34">
        <v>21000</v>
      </c>
      <c r="J445" s="22">
        <v>90</v>
      </c>
      <c r="K445" s="22" t="s">
        <v>1700</v>
      </c>
      <c r="L445" s="22" t="s">
        <v>1700</v>
      </c>
      <c r="M445" s="22" t="str">
        <f t="shared" si="34"/>
        <v>Compliant</v>
      </c>
      <c r="N445" s="22" t="s">
        <v>1701</v>
      </c>
    </row>
    <row r="446" spans="1:14" x14ac:dyDescent="0.3">
      <c r="A446" s="22" t="s">
        <v>1511</v>
      </c>
      <c r="B446" t="str">
        <f t="shared" si="30"/>
        <v>Sindhu Thomas</v>
      </c>
      <c r="C446" t="str">
        <f t="shared" si="31"/>
        <v>Customer Support</v>
      </c>
      <c r="D446" s="30" t="str">
        <f t="shared" si="32"/>
        <v>L2</v>
      </c>
      <c r="E446" s="30" t="str">
        <f t="shared" si="33"/>
        <v>Exited</v>
      </c>
      <c r="F446" t="s">
        <v>1723</v>
      </c>
      <c r="G446" s="22">
        <v>5</v>
      </c>
      <c r="H446" s="22">
        <v>30</v>
      </c>
      <c r="I446" s="34">
        <v>30000</v>
      </c>
      <c r="J446" s="22">
        <v>64</v>
      </c>
      <c r="K446" s="22" t="s">
        <v>1700</v>
      </c>
      <c r="L446" s="22" t="s">
        <v>1700</v>
      </c>
      <c r="M446" s="22" t="str">
        <f t="shared" si="34"/>
        <v>Compliant</v>
      </c>
      <c r="N446" s="22" t="s">
        <v>1701</v>
      </c>
    </row>
    <row r="447" spans="1:14" x14ac:dyDescent="0.3">
      <c r="A447" s="22" t="s">
        <v>292</v>
      </c>
      <c r="B447" t="str">
        <f t="shared" si="30"/>
        <v>Anjali Iyer</v>
      </c>
      <c r="C447" t="str">
        <f t="shared" si="31"/>
        <v>Customer Support</v>
      </c>
      <c r="D447" s="30" t="str">
        <f t="shared" si="32"/>
        <v>L5</v>
      </c>
      <c r="E447" s="30" t="str">
        <f t="shared" si="33"/>
        <v>Active</v>
      </c>
      <c r="F447" t="s">
        <v>1730</v>
      </c>
      <c r="G447" s="22">
        <v>3</v>
      </c>
      <c r="H447" s="22">
        <v>21</v>
      </c>
      <c r="I447" s="34">
        <v>12600</v>
      </c>
      <c r="J447" s="22">
        <v>67</v>
      </c>
      <c r="K447" s="22" t="s">
        <v>1700</v>
      </c>
      <c r="L447" s="22" t="s">
        <v>1700</v>
      </c>
      <c r="M447" s="22" t="str">
        <f t="shared" si="34"/>
        <v>Compliant</v>
      </c>
      <c r="N447" s="22" t="s">
        <v>1701</v>
      </c>
    </row>
    <row r="448" spans="1:14" x14ac:dyDescent="0.3">
      <c r="A448" s="22" t="s">
        <v>1515</v>
      </c>
      <c r="B448" t="str">
        <f t="shared" si="30"/>
        <v>Meera Pandey</v>
      </c>
      <c r="C448" t="str">
        <f t="shared" si="31"/>
        <v>Operations</v>
      </c>
      <c r="D448" s="30" t="str">
        <f t="shared" si="32"/>
        <v>L4</v>
      </c>
      <c r="E448" s="30" t="str">
        <f t="shared" si="33"/>
        <v>Active</v>
      </c>
      <c r="F448" t="s">
        <v>1723</v>
      </c>
      <c r="G448" s="22">
        <v>2</v>
      </c>
      <c r="H448" s="22">
        <v>16</v>
      </c>
      <c r="I448" s="34">
        <v>12800</v>
      </c>
      <c r="J448" s="22">
        <v>63</v>
      </c>
      <c r="K448" s="22" t="s">
        <v>1700</v>
      </c>
      <c r="L448" s="22" t="s">
        <v>1700</v>
      </c>
      <c r="M448" s="22" t="str">
        <f t="shared" si="34"/>
        <v>Compliant</v>
      </c>
      <c r="N448" s="22" t="s">
        <v>1701</v>
      </c>
    </row>
    <row r="449" spans="1:14" x14ac:dyDescent="0.3">
      <c r="A449" s="22" t="s">
        <v>1518</v>
      </c>
      <c r="B449" t="str">
        <f t="shared" si="30"/>
        <v>Priya Verma</v>
      </c>
      <c r="C449" t="str">
        <f t="shared" si="31"/>
        <v>Sales</v>
      </c>
      <c r="D449" s="30" t="str">
        <f t="shared" si="32"/>
        <v>L2</v>
      </c>
      <c r="E449" s="30" t="str">
        <f t="shared" si="33"/>
        <v>Active</v>
      </c>
      <c r="F449" t="s">
        <v>1725</v>
      </c>
      <c r="G449" s="22">
        <v>4</v>
      </c>
      <c r="H449" s="22">
        <v>16</v>
      </c>
      <c r="I449" s="34">
        <v>16000</v>
      </c>
      <c r="J449" s="22">
        <v>85</v>
      </c>
      <c r="K449" s="22" t="s">
        <v>1701</v>
      </c>
      <c r="L449" s="22" t="s">
        <v>1700</v>
      </c>
      <c r="M449" s="22" t="str">
        <f t="shared" si="34"/>
        <v>Pending</v>
      </c>
      <c r="N449" s="22" t="s">
        <v>1701</v>
      </c>
    </row>
    <row r="450" spans="1:14" x14ac:dyDescent="0.3">
      <c r="A450" s="22" t="s">
        <v>1521</v>
      </c>
      <c r="B450" t="str">
        <f t="shared" ref="B450:B501" si="35">INDEX(M_Name,MATCH($A450,M_ID,0))</f>
        <v>Shruti Joshi</v>
      </c>
      <c r="C450" t="str">
        <f t="shared" ref="C450:C501" si="36">INDEX(M_Dept,MATCH($A450,M_ID,0))</f>
        <v>Engineering</v>
      </c>
      <c r="D450" s="30" t="str">
        <f t="shared" ref="D450:D501" si="37">INDEX(M_Level,MATCH($A450,M_ID,0))</f>
        <v>L1</v>
      </c>
      <c r="E450" s="30" t="str">
        <f t="shared" ref="E450:E501" si="38">INDEX(M_Status,MATCH($A450,M_ID,0))</f>
        <v>Exited</v>
      </c>
      <c r="F450" t="s">
        <v>1729</v>
      </c>
      <c r="G450" s="22">
        <v>7</v>
      </c>
      <c r="H450" s="22">
        <v>42</v>
      </c>
      <c r="I450" s="34">
        <v>25200</v>
      </c>
      <c r="J450" s="22">
        <v>65</v>
      </c>
      <c r="K450" s="22" t="s">
        <v>1700</v>
      </c>
      <c r="L450" s="22" t="s">
        <v>1701</v>
      </c>
      <c r="M450" s="22" t="str">
        <f t="shared" ref="M450:M501" si="39">IF(AND(K450="Yes",L450="Yes"),"Compliant","Pending")</f>
        <v>Pending</v>
      </c>
      <c r="N450" s="22" t="s">
        <v>1700</v>
      </c>
    </row>
    <row r="451" spans="1:14" x14ac:dyDescent="0.3">
      <c r="A451" s="22" t="s">
        <v>1524</v>
      </c>
      <c r="B451" t="str">
        <f t="shared" si="35"/>
        <v>Dev Sharma</v>
      </c>
      <c r="C451" t="str">
        <f t="shared" si="36"/>
        <v>Customer Support</v>
      </c>
      <c r="D451" s="30" t="str">
        <f t="shared" si="37"/>
        <v>L1</v>
      </c>
      <c r="E451" s="30" t="str">
        <f t="shared" si="38"/>
        <v>Active</v>
      </c>
      <c r="F451" t="s">
        <v>1731</v>
      </c>
      <c r="G451" s="22">
        <v>5</v>
      </c>
      <c r="H451" s="22">
        <v>20</v>
      </c>
      <c r="I451" s="34">
        <v>20000</v>
      </c>
      <c r="J451" s="22">
        <v>71</v>
      </c>
      <c r="K451" s="22" t="s">
        <v>1700</v>
      </c>
      <c r="L451" s="22" t="s">
        <v>1700</v>
      </c>
      <c r="M451" s="22" t="str">
        <f t="shared" si="39"/>
        <v>Compliant</v>
      </c>
      <c r="N451" s="22" t="s">
        <v>1701</v>
      </c>
    </row>
    <row r="452" spans="1:14" x14ac:dyDescent="0.3">
      <c r="A452" s="22" t="s">
        <v>1527</v>
      </c>
      <c r="B452" t="str">
        <f t="shared" si="35"/>
        <v>Madhuri Jain</v>
      </c>
      <c r="C452" t="str">
        <f t="shared" si="36"/>
        <v>Customer Support</v>
      </c>
      <c r="D452" s="30" t="str">
        <f t="shared" si="37"/>
        <v>L1</v>
      </c>
      <c r="E452" s="30" t="str">
        <f t="shared" si="38"/>
        <v>Active</v>
      </c>
      <c r="F452" t="s">
        <v>1728</v>
      </c>
      <c r="G452" s="22">
        <v>7</v>
      </c>
      <c r="H452" s="22">
        <v>42</v>
      </c>
      <c r="I452" s="34">
        <v>25200</v>
      </c>
      <c r="J452" s="22">
        <v>96</v>
      </c>
      <c r="K452" s="22" t="s">
        <v>1700</v>
      </c>
      <c r="L452" s="22" t="s">
        <v>1700</v>
      </c>
      <c r="M452" s="22" t="str">
        <f t="shared" si="39"/>
        <v>Compliant</v>
      </c>
      <c r="N452" s="22" t="s">
        <v>1700</v>
      </c>
    </row>
    <row r="453" spans="1:14" x14ac:dyDescent="0.3">
      <c r="A453" s="22" t="s">
        <v>1530</v>
      </c>
      <c r="B453" t="str">
        <f t="shared" si="35"/>
        <v>Vikas Jain</v>
      </c>
      <c r="C453" t="str">
        <f t="shared" si="36"/>
        <v>Legal &amp; Compliance</v>
      </c>
      <c r="D453" s="30" t="str">
        <f t="shared" si="37"/>
        <v>L1</v>
      </c>
      <c r="E453" s="30" t="str">
        <f t="shared" si="38"/>
        <v>Exited</v>
      </c>
      <c r="F453" t="s">
        <v>1725</v>
      </c>
      <c r="G453" s="22">
        <v>6</v>
      </c>
      <c r="H453" s="22">
        <v>42</v>
      </c>
      <c r="I453" s="34">
        <v>42000</v>
      </c>
      <c r="J453" s="22">
        <v>67</v>
      </c>
      <c r="K453" s="22" t="s">
        <v>1700</v>
      </c>
      <c r="L453" s="22" t="s">
        <v>1700</v>
      </c>
      <c r="M453" s="22" t="str">
        <f t="shared" si="39"/>
        <v>Compliant</v>
      </c>
      <c r="N453" s="22" t="s">
        <v>1700</v>
      </c>
    </row>
    <row r="454" spans="1:14" x14ac:dyDescent="0.3">
      <c r="A454" s="22" t="s">
        <v>1533</v>
      </c>
      <c r="B454" t="str">
        <f t="shared" si="35"/>
        <v>Revathi Bansal</v>
      </c>
      <c r="C454" t="str">
        <f t="shared" si="36"/>
        <v>Data &amp; Analytics</v>
      </c>
      <c r="D454" s="30" t="str">
        <f t="shared" si="37"/>
        <v>L4</v>
      </c>
      <c r="E454" s="30" t="str">
        <f t="shared" si="38"/>
        <v>Active</v>
      </c>
      <c r="F454" t="s">
        <v>1728</v>
      </c>
      <c r="G454" s="22">
        <v>9</v>
      </c>
      <c r="H454" s="22">
        <v>54</v>
      </c>
      <c r="I454" s="34">
        <v>54000</v>
      </c>
      <c r="J454" s="22">
        <v>61</v>
      </c>
      <c r="K454" s="22" t="s">
        <v>1700</v>
      </c>
      <c r="L454" s="22" t="s">
        <v>1701</v>
      </c>
      <c r="M454" s="22" t="str">
        <f t="shared" si="39"/>
        <v>Pending</v>
      </c>
      <c r="N454" s="22" t="s">
        <v>1701</v>
      </c>
    </row>
    <row r="455" spans="1:14" x14ac:dyDescent="0.3">
      <c r="A455" s="22" t="s">
        <v>1536</v>
      </c>
      <c r="B455" t="str">
        <f t="shared" si="35"/>
        <v>Prakash Kapoor</v>
      </c>
      <c r="C455" t="str">
        <f t="shared" si="36"/>
        <v>Engineering</v>
      </c>
      <c r="D455" s="30" t="str">
        <f t="shared" si="37"/>
        <v>L1</v>
      </c>
      <c r="E455" s="30" t="str">
        <f t="shared" si="38"/>
        <v>Active</v>
      </c>
      <c r="F455" t="s">
        <v>1729</v>
      </c>
      <c r="G455" s="22">
        <v>1</v>
      </c>
      <c r="H455" s="22">
        <v>6</v>
      </c>
      <c r="I455" s="34">
        <v>3600</v>
      </c>
      <c r="J455" s="22">
        <v>94</v>
      </c>
      <c r="K455" s="22" t="s">
        <v>1700</v>
      </c>
      <c r="L455" s="22" t="s">
        <v>1700</v>
      </c>
      <c r="M455" s="22" t="str">
        <f t="shared" si="39"/>
        <v>Compliant</v>
      </c>
      <c r="N455" s="22" t="s">
        <v>1701</v>
      </c>
    </row>
    <row r="456" spans="1:14" x14ac:dyDescent="0.3">
      <c r="A456" s="22" t="s">
        <v>1539</v>
      </c>
      <c r="B456" t="str">
        <f t="shared" si="35"/>
        <v>Joseph Hegde</v>
      </c>
      <c r="C456" t="str">
        <f t="shared" si="36"/>
        <v>Customer Support</v>
      </c>
      <c r="D456" s="30" t="str">
        <f t="shared" si="37"/>
        <v>L4</v>
      </c>
      <c r="E456" s="30" t="str">
        <f t="shared" si="38"/>
        <v>Active</v>
      </c>
      <c r="F456" t="s">
        <v>1731</v>
      </c>
      <c r="G456" s="22">
        <v>2</v>
      </c>
      <c r="H456" s="22">
        <v>6</v>
      </c>
      <c r="I456" s="34">
        <v>3600</v>
      </c>
      <c r="J456" s="22">
        <v>63</v>
      </c>
      <c r="K456" s="22" t="s">
        <v>1700</v>
      </c>
      <c r="L456" s="22" t="s">
        <v>1700</v>
      </c>
      <c r="M456" s="22" t="str">
        <f t="shared" si="39"/>
        <v>Compliant</v>
      </c>
      <c r="N456" s="22" t="s">
        <v>1700</v>
      </c>
    </row>
    <row r="457" spans="1:14" x14ac:dyDescent="0.3">
      <c r="A457" s="22" t="s">
        <v>1542</v>
      </c>
      <c r="B457" t="str">
        <f t="shared" si="35"/>
        <v>Ananya Krishnan</v>
      </c>
      <c r="C457" t="str">
        <f t="shared" si="36"/>
        <v>Legal &amp; Compliance</v>
      </c>
      <c r="D457" s="30" t="str">
        <f t="shared" si="37"/>
        <v>L4</v>
      </c>
      <c r="E457" s="30" t="str">
        <f t="shared" si="38"/>
        <v>Active</v>
      </c>
      <c r="F457" t="s">
        <v>1724</v>
      </c>
      <c r="G457" s="22">
        <v>1</v>
      </c>
      <c r="H457" s="22">
        <v>7</v>
      </c>
      <c r="I457" s="34">
        <v>3150</v>
      </c>
      <c r="J457" s="22">
        <v>89</v>
      </c>
      <c r="K457" s="22" t="s">
        <v>1700</v>
      </c>
      <c r="L457" s="22" t="s">
        <v>1700</v>
      </c>
      <c r="M457" s="22" t="str">
        <f t="shared" si="39"/>
        <v>Compliant</v>
      </c>
      <c r="N457" s="22" t="s">
        <v>1700</v>
      </c>
    </row>
    <row r="458" spans="1:14" x14ac:dyDescent="0.3">
      <c r="A458" s="22" t="s">
        <v>1545</v>
      </c>
      <c r="B458" t="str">
        <f t="shared" si="35"/>
        <v>Kiran Khanna</v>
      </c>
      <c r="C458" t="str">
        <f t="shared" si="36"/>
        <v>Customer Support</v>
      </c>
      <c r="D458" s="30" t="str">
        <f t="shared" si="37"/>
        <v>L1</v>
      </c>
      <c r="E458" s="30" t="str">
        <f t="shared" si="38"/>
        <v>Active</v>
      </c>
      <c r="F458" t="s">
        <v>1723</v>
      </c>
      <c r="G458" s="22">
        <v>2</v>
      </c>
      <c r="H458" s="22">
        <v>10</v>
      </c>
      <c r="I458" s="34">
        <v>8000</v>
      </c>
      <c r="J458" s="22">
        <v>66</v>
      </c>
      <c r="K458" s="22" t="s">
        <v>1700</v>
      </c>
      <c r="L458" s="22" t="s">
        <v>1700</v>
      </c>
      <c r="M458" s="22" t="str">
        <f t="shared" si="39"/>
        <v>Compliant</v>
      </c>
      <c r="N458" s="22" t="s">
        <v>1701</v>
      </c>
    </row>
    <row r="459" spans="1:14" x14ac:dyDescent="0.3">
      <c r="A459" s="22" t="s">
        <v>339</v>
      </c>
      <c r="B459" t="str">
        <f t="shared" si="35"/>
        <v>Kavya Krishnan</v>
      </c>
      <c r="C459" t="str">
        <f t="shared" si="36"/>
        <v>Sales</v>
      </c>
      <c r="D459" s="30" t="str">
        <f t="shared" si="37"/>
        <v>L5</v>
      </c>
      <c r="E459" s="30" t="str">
        <f t="shared" si="38"/>
        <v>Active</v>
      </c>
      <c r="F459" t="s">
        <v>1730</v>
      </c>
      <c r="G459" s="22">
        <v>2</v>
      </c>
      <c r="H459" s="22">
        <v>12</v>
      </c>
      <c r="I459" s="34">
        <v>9600</v>
      </c>
      <c r="J459" s="22">
        <v>96</v>
      </c>
      <c r="K459" s="22" t="s">
        <v>1700</v>
      </c>
      <c r="L459" s="22" t="s">
        <v>1700</v>
      </c>
      <c r="M459" s="22" t="str">
        <f t="shared" si="39"/>
        <v>Compliant</v>
      </c>
      <c r="N459" s="22" t="s">
        <v>1701</v>
      </c>
    </row>
    <row r="460" spans="1:14" x14ac:dyDescent="0.3">
      <c r="A460" s="22" t="s">
        <v>1549</v>
      </c>
      <c r="B460" t="str">
        <f t="shared" si="35"/>
        <v>Yamini Malhotra</v>
      </c>
      <c r="C460" t="str">
        <f t="shared" si="36"/>
        <v>Data &amp; Analytics</v>
      </c>
      <c r="D460" s="30" t="str">
        <f t="shared" si="37"/>
        <v>L1</v>
      </c>
      <c r="E460" s="30" t="str">
        <f t="shared" si="38"/>
        <v>Active</v>
      </c>
      <c r="F460" t="s">
        <v>1730</v>
      </c>
      <c r="G460" s="22">
        <v>4</v>
      </c>
      <c r="H460" s="22">
        <v>32</v>
      </c>
      <c r="I460" s="34">
        <v>25600</v>
      </c>
      <c r="J460" s="22">
        <v>86</v>
      </c>
      <c r="K460" s="22" t="s">
        <v>1700</v>
      </c>
      <c r="L460" s="22" t="s">
        <v>1700</v>
      </c>
      <c r="M460" s="22" t="str">
        <f t="shared" si="39"/>
        <v>Compliant</v>
      </c>
      <c r="N460" s="22" t="s">
        <v>1701</v>
      </c>
    </row>
    <row r="461" spans="1:14" x14ac:dyDescent="0.3">
      <c r="A461" s="22" t="s">
        <v>1552</v>
      </c>
      <c r="B461" t="str">
        <f t="shared" si="35"/>
        <v>Sowmya Yadav</v>
      </c>
      <c r="C461" t="str">
        <f t="shared" si="36"/>
        <v>Human Resources</v>
      </c>
      <c r="D461" s="30" t="str">
        <f t="shared" si="37"/>
        <v>L1</v>
      </c>
      <c r="E461" s="30" t="str">
        <f t="shared" si="38"/>
        <v>Active</v>
      </c>
      <c r="F461" t="s">
        <v>1722</v>
      </c>
      <c r="G461" s="22">
        <v>6</v>
      </c>
      <c r="H461" s="22">
        <v>42</v>
      </c>
      <c r="I461" s="34">
        <v>33600</v>
      </c>
      <c r="J461" s="22">
        <v>77</v>
      </c>
      <c r="K461" s="22" t="s">
        <v>1700</v>
      </c>
      <c r="L461" s="22" t="s">
        <v>1700</v>
      </c>
      <c r="M461" s="22" t="str">
        <f t="shared" si="39"/>
        <v>Compliant</v>
      </c>
      <c r="N461" s="22" t="s">
        <v>1701</v>
      </c>
    </row>
    <row r="462" spans="1:14" x14ac:dyDescent="0.3">
      <c r="A462" s="22" t="s">
        <v>1555</v>
      </c>
      <c r="B462" t="str">
        <f t="shared" si="35"/>
        <v>Deepika Tiwari</v>
      </c>
      <c r="C462" t="str">
        <f t="shared" si="36"/>
        <v>Operations</v>
      </c>
      <c r="D462" s="30" t="str">
        <f t="shared" si="37"/>
        <v>L1</v>
      </c>
      <c r="E462" s="30" t="str">
        <f t="shared" si="38"/>
        <v>Active</v>
      </c>
      <c r="F462" t="s">
        <v>1725</v>
      </c>
      <c r="G462" s="22">
        <v>6</v>
      </c>
      <c r="H462" s="22">
        <v>24</v>
      </c>
      <c r="I462" s="34">
        <v>14400</v>
      </c>
      <c r="J462" s="22">
        <v>95</v>
      </c>
      <c r="K462" s="22" t="s">
        <v>1700</v>
      </c>
      <c r="L462" s="22" t="s">
        <v>1700</v>
      </c>
      <c r="M462" s="22" t="str">
        <f t="shared" si="39"/>
        <v>Compliant</v>
      </c>
      <c r="N462" s="22" t="s">
        <v>1700</v>
      </c>
    </row>
    <row r="463" spans="1:14" x14ac:dyDescent="0.3">
      <c r="A463" s="22" t="s">
        <v>1558</v>
      </c>
      <c r="B463" t="str">
        <f t="shared" si="35"/>
        <v>Ashish Siddiqui</v>
      </c>
      <c r="C463" t="str">
        <f t="shared" si="36"/>
        <v>Operations</v>
      </c>
      <c r="D463" s="30" t="str">
        <f t="shared" si="37"/>
        <v>L2</v>
      </c>
      <c r="E463" s="30" t="str">
        <f t="shared" si="38"/>
        <v>Active</v>
      </c>
      <c r="F463" t="s">
        <v>1723</v>
      </c>
      <c r="G463" s="22">
        <v>2</v>
      </c>
      <c r="H463" s="22">
        <v>8</v>
      </c>
      <c r="I463" s="34">
        <v>3600</v>
      </c>
      <c r="J463" s="22">
        <v>79</v>
      </c>
      <c r="K463" s="22" t="s">
        <v>1701</v>
      </c>
      <c r="L463" s="22" t="s">
        <v>1700</v>
      </c>
      <c r="M463" s="22" t="str">
        <f t="shared" si="39"/>
        <v>Pending</v>
      </c>
      <c r="N463" s="22" t="s">
        <v>1701</v>
      </c>
    </row>
    <row r="464" spans="1:14" x14ac:dyDescent="0.3">
      <c r="A464" s="22" t="s">
        <v>1561</v>
      </c>
      <c r="B464" t="str">
        <f t="shared" si="35"/>
        <v>Rajesh Agarwal</v>
      </c>
      <c r="C464" t="str">
        <f t="shared" si="36"/>
        <v>Engineering</v>
      </c>
      <c r="D464" s="30" t="str">
        <f t="shared" si="37"/>
        <v>L4</v>
      </c>
      <c r="E464" s="30" t="str">
        <f t="shared" si="38"/>
        <v>Active</v>
      </c>
      <c r="F464" t="s">
        <v>1727</v>
      </c>
      <c r="G464" s="22">
        <v>6</v>
      </c>
      <c r="H464" s="22">
        <v>42</v>
      </c>
      <c r="I464" s="34">
        <v>25200</v>
      </c>
      <c r="J464" s="22">
        <v>95</v>
      </c>
      <c r="K464" s="22" t="s">
        <v>1700</v>
      </c>
      <c r="L464" s="22" t="s">
        <v>1700</v>
      </c>
      <c r="M464" s="22" t="str">
        <f t="shared" si="39"/>
        <v>Compliant</v>
      </c>
      <c r="N464" s="22" t="s">
        <v>1700</v>
      </c>
    </row>
    <row r="465" spans="1:14" x14ac:dyDescent="0.3">
      <c r="A465" s="22" t="s">
        <v>1564</v>
      </c>
      <c r="B465" t="str">
        <f t="shared" si="35"/>
        <v>Kritika Mehta</v>
      </c>
      <c r="C465" t="str">
        <f t="shared" si="36"/>
        <v>Engineering</v>
      </c>
      <c r="D465" s="30" t="str">
        <f t="shared" si="37"/>
        <v>L2</v>
      </c>
      <c r="E465" s="30" t="str">
        <f t="shared" si="38"/>
        <v>Active</v>
      </c>
      <c r="F465" t="s">
        <v>1724</v>
      </c>
      <c r="G465" s="22">
        <v>5</v>
      </c>
      <c r="H465" s="22">
        <v>40</v>
      </c>
      <c r="I465" s="34">
        <v>24000</v>
      </c>
      <c r="J465" s="22">
        <v>70</v>
      </c>
      <c r="K465" s="22" t="s">
        <v>1700</v>
      </c>
      <c r="L465" s="22" t="s">
        <v>1700</v>
      </c>
      <c r="M465" s="22" t="str">
        <f t="shared" si="39"/>
        <v>Compliant</v>
      </c>
      <c r="N465" s="22" t="s">
        <v>1701</v>
      </c>
    </row>
    <row r="466" spans="1:14" x14ac:dyDescent="0.3">
      <c r="A466" s="22" t="s">
        <v>1567</v>
      </c>
      <c r="B466" t="str">
        <f t="shared" si="35"/>
        <v>Yash Rao</v>
      </c>
      <c r="C466" t="str">
        <f t="shared" si="36"/>
        <v>Product</v>
      </c>
      <c r="D466" s="30" t="str">
        <f t="shared" si="37"/>
        <v>L1</v>
      </c>
      <c r="E466" s="30" t="str">
        <f t="shared" si="38"/>
        <v>Active</v>
      </c>
      <c r="F466" t="s">
        <v>1728</v>
      </c>
      <c r="G466" s="22">
        <v>6</v>
      </c>
      <c r="H466" s="22">
        <v>18</v>
      </c>
      <c r="I466" s="34">
        <v>8100</v>
      </c>
      <c r="J466" s="22">
        <v>89</v>
      </c>
      <c r="K466" s="22" t="s">
        <v>1700</v>
      </c>
      <c r="L466" s="22" t="s">
        <v>1700</v>
      </c>
      <c r="M466" s="22" t="str">
        <f t="shared" si="39"/>
        <v>Compliant</v>
      </c>
      <c r="N466" s="22" t="s">
        <v>1700</v>
      </c>
    </row>
    <row r="467" spans="1:14" x14ac:dyDescent="0.3">
      <c r="A467" s="22" t="s">
        <v>1570</v>
      </c>
      <c r="B467" t="str">
        <f t="shared" si="35"/>
        <v>Yamini Choudhary</v>
      </c>
      <c r="C467" t="str">
        <f t="shared" si="36"/>
        <v>Data &amp; Analytics</v>
      </c>
      <c r="D467" s="30" t="str">
        <f t="shared" si="37"/>
        <v>L2</v>
      </c>
      <c r="E467" s="30" t="str">
        <f t="shared" si="38"/>
        <v>Active</v>
      </c>
      <c r="F467" t="s">
        <v>1729</v>
      </c>
      <c r="G467" s="22">
        <v>8</v>
      </c>
      <c r="H467" s="22">
        <v>64</v>
      </c>
      <c r="I467" s="34">
        <v>64000</v>
      </c>
      <c r="J467" s="22">
        <v>85</v>
      </c>
      <c r="K467" s="22" t="s">
        <v>1700</v>
      </c>
      <c r="L467" s="22" t="s">
        <v>1700</v>
      </c>
      <c r="M467" s="22" t="str">
        <f t="shared" si="39"/>
        <v>Compliant</v>
      </c>
      <c r="N467" s="22" t="s">
        <v>1701</v>
      </c>
    </row>
    <row r="468" spans="1:14" x14ac:dyDescent="0.3">
      <c r="A468" s="22" t="s">
        <v>1573</v>
      </c>
      <c r="B468" t="str">
        <f t="shared" si="35"/>
        <v>Vikram Bansal</v>
      </c>
      <c r="C468" t="str">
        <f t="shared" si="36"/>
        <v>Finance</v>
      </c>
      <c r="D468" s="30" t="str">
        <f t="shared" si="37"/>
        <v>L2</v>
      </c>
      <c r="E468" s="30" t="str">
        <f t="shared" si="38"/>
        <v>Active</v>
      </c>
      <c r="F468" t="s">
        <v>1724</v>
      </c>
      <c r="G468" s="22">
        <v>6</v>
      </c>
      <c r="H468" s="22">
        <v>42</v>
      </c>
      <c r="I468" s="34">
        <v>25200</v>
      </c>
      <c r="J468" s="22">
        <v>63</v>
      </c>
      <c r="K468" s="22" t="s">
        <v>1700</v>
      </c>
      <c r="L468" s="22" t="s">
        <v>1700</v>
      </c>
      <c r="M468" s="22" t="str">
        <f t="shared" si="39"/>
        <v>Compliant</v>
      </c>
      <c r="N468" s="22" t="s">
        <v>1701</v>
      </c>
    </row>
    <row r="469" spans="1:14" x14ac:dyDescent="0.3">
      <c r="A469" s="22" t="s">
        <v>1576</v>
      </c>
      <c r="B469" t="str">
        <f t="shared" si="35"/>
        <v>Ramya Kapoor</v>
      </c>
      <c r="C469" t="str">
        <f t="shared" si="36"/>
        <v>Sales</v>
      </c>
      <c r="D469" s="30" t="str">
        <f t="shared" si="37"/>
        <v>L1</v>
      </c>
      <c r="E469" s="30" t="str">
        <f t="shared" si="38"/>
        <v>Active</v>
      </c>
      <c r="F469" t="s">
        <v>1730</v>
      </c>
      <c r="G469" s="22">
        <v>8</v>
      </c>
      <c r="H469" s="22">
        <v>40</v>
      </c>
      <c r="I469" s="34">
        <v>24000</v>
      </c>
      <c r="J469" s="22">
        <v>75</v>
      </c>
      <c r="K469" s="22" t="s">
        <v>1700</v>
      </c>
      <c r="L469" s="22" t="s">
        <v>1700</v>
      </c>
      <c r="M469" s="22" t="str">
        <f t="shared" si="39"/>
        <v>Compliant</v>
      </c>
      <c r="N469" s="22" t="s">
        <v>1701</v>
      </c>
    </row>
    <row r="470" spans="1:14" x14ac:dyDescent="0.3">
      <c r="A470" s="22" t="s">
        <v>1579</v>
      </c>
      <c r="B470" t="str">
        <f t="shared" si="35"/>
        <v>Aniket Chatterjee</v>
      </c>
      <c r="C470" t="str">
        <f t="shared" si="36"/>
        <v>Product</v>
      </c>
      <c r="D470" s="30" t="str">
        <f t="shared" si="37"/>
        <v>L2</v>
      </c>
      <c r="E470" s="30" t="str">
        <f t="shared" si="38"/>
        <v>Active</v>
      </c>
      <c r="F470" t="s">
        <v>1729</v>
      </c>
      <c r="G470" s="22">
        <v>4</v>
      </c>
      <c r="H470" s="22">
        <v>32</v>
      </c>
      <c r="I470" s="34">
        <v>19200</v>
      </c>
      <c r="J470" s="22">
        <v>97</v>
      </c>
      <c r="K470" s="22" t="s">
        <v>1700</v>
      </c>
      <c r="L470" s="22" t="s">
        <v>1700</v>
      </c>
      <c r="M470" s="22" t="str">
        <f t="shared" si="39"/>
        <v>Compliant</v>
      </c>
      <c r="N470" s="22" t="s">
        <v>1701</v>
      </c>
    </row>
    <row r="471" spans="1:14" x14ac:dyDescent="0.3">
      <c r="A471" s="22" t="s">
        <v>1582</v>
      </c>
      <c r="B471" t="str">
        <f t="shared" si="35"/>
        <v>Krishna Khan</v>
      </c>
      <c r="C471" t="str">
        <f t="shared" si="36"/>
        <v>Legal &amp; Compliance</v>
      </c>
      <c r="D471" s="30" t="str">
        <f t="shared" si="37"/>
        <v>L3</v>
      </c>
      <c r="E471" s="30" t="str">
        <f t="shared" si="38"/>
        <v>Active</v>
      </c>
      <c r="F471" t="s">
        <v>1722</v>
      </c>
      <c r="G471" s="22">
        <v>6</v>
      </c>
      <c r="H471" s="22">
        <v>30</v>
      </c>
      <c r="I471" s="34">
        <v>13500</v>
      </c>
      <c r="J471" s="22">
        <v>71</v>
      </c>
      <c r="K471" s="22" t="s">
        <v>1700</v>
      </c>
      <c r="L471" s="22" t="s">
        <v>1700</v>
      </c>
      <c r="M471" s="22" t="str">
        <f t="shared" si="39"/>
        <v>Compliant</v>
      </c>
      <c r="N471" s="22" t="s">
        <v>1701</v>
      </c>
    </row>
    <row r="472" spans="1:14" x14ac:dyDescent="0.3">
      <c r="A472" s="22" t="s">
        <v>1585</v>
      </c>
      <c r="B472" t="str">
        <f t="shared" si="35"/>
        <v>Sowmya Prabhu</v>
      </c>
      <c r="C472" t="str">
        <f t="shared" si="36"/>
        <v>Engineering</v>
      </c>
      <c r="D472" s="30" t="str">
        <f t="shared" si="37"/>
        <v>L1</v>
      </c>
      <c r="E472" s="30" t="str">
        <f t="shared" si="38"/>
        <v>Active</v>
      </c>
      <c r="F472" t="s">
        <v>1731</v>
      </c>
      <c r="G472" s="22">
        <v>3</v>
      </c>
      <c r="H472" s="22">
        <v>15</v>
      </c>
      <c r="I472" s="34">
        <v>12000</v>
      </c>
      <c r="J472" s="22">
        <v>97</v>
      </c>
      <c r="K472" s="22" t="s">
        <v>1700</v>
      </c>
      <c r="L472" s="22" t="s">
        <v>1700</v>
      </c>
      <c r="M472" s="22" t="str">
        <f t="shared" si="39"/>
        <v>Compliant</v>
      </c>
      <c r="N472" s="22" t="s">
        <v>1701</v>
      </c>
    </row>
    <row r="473" spans="1:14" x14ac:dyDescent="0.3">
      <c r="A473" s="22" t="s">
        <v>1588</v>
      </c>
      <c r="B473" t="str">
        <f t="shared" si="35"/>
        <v>Kritika Khan</v>
      </c>
      <c r="C473" t="str">
        <f t="shared" si="36"/>
        <v>Engineering</v>
      </c>
      <c r="D473" s="30" t="str">
        <f t="shared" si="37"/>
        <v>L2</v>
      </c>
      <c r="E473" s="30" t="str">
        <f t="shared" si="38"/>
        <v>Active</v>
      </c>
      <c r="F473" t="s">
        <v>1727</v>
      </c>
      <c r="G473" s="22">
        <v>4</v>
      </c>
      <c r="H473" s="22">
        <v>24</v>
      </c>
      <c r="I473" s="34">
        <v>10800</v>
      </c>
      <c r="J473" s="22">
        <v>87</v>
      </c>
      <c r="K473" s="22" t="s">
        <v>1700</v>
      </c>
      <c r="L473" s="22" t="s">
        <v>1700</v>
      </c>
      <c r="M473" s="22" t="str">
        <f t="shared" si="39"/>
        <v>Compliant</v>
      </c>
      <c r="N473" s="22" t="s">
        <v>1701</v>
      </c>
    </row>
    <row r="474" spans="1:14" x14ac:dyDescent="0.3">
      <c r="A474" s="22" t="s">
        <v>1591</v>
      </c>
      <c r="B474" t="str">
        <f t="shared" si="35"/>
        <v>Rashmi Gowda</v>
      </c>
      <c r="C474" t="str">
        <f t="shared" si="36"/>
        <v>Operations</v>
      </c>
      <c r="D474" s="30" t="str">
        <f t="shared" si="37"/>
        <v>L1</v>
      </c>
      <c r="E474" s="30" t="str">
        <f t="shared" si="38"/>
        <v>Active</v>
      </c>
      <c r="F474" t="s">
        <v>1726</v>
      </c>
      <c r="G474" s="22">
        <v>1</v>
      </c>
      <c r="H474" s="22">
        <v>5</v>
      </c>
      <c r="I474" s="34">
        <v>4000</v>
      </c>
      <c r="J474" s="22">
        <v>88</v>
      </c>
      <c r="K474" s="22" t="s">
        <v>1700</v>
      </c>
      <c r="L474" s="22" t="s">
        <v>1700</v>
      </c>
      <c r="M474" s="22" t="str">
        <f t="shared" si="39"/>
        <v>Compliant</v>
      </c>
      <c r="N474" s="22" t="s">
        <v>1701</v>
      </c>
    </row>
    <row r="475" spans="1:14" x14ac:dyDescent="0.3">
      <c r="A475" s="22" t="s">
        <v>1594</v>
      </c>
      <c r="B475" t="str">
        <f t="shared" si="35"/>
        <v>Ananya Khanna</v>
      </c>
      <c r="C475" t="str">
        <f t="shared" si="36"/>
        <v>Operations</v>
      </c>
      <c r="D475" s="30" t="str">
        <f t="shared" si="37"/>
        <v>L1</v>
      </c>
      <c r="E475" s="30" t="str">
        <f t="shared" si="38"/>
        <v>Active</v>
      </c>
      <c r="F475" t="s">
        <v>1723</v>
      </c>
      <c r="G475" s="22">
        <v>7</v>
      </c>
      <c r="H475" s="22">
        <v>42</v>
      </c>
      <c r="I475" s="34">
        <v>25200</v>
      </c>
      <c r="J475" s="22">
        <v>77</v>
      </c>
      <c r="K475" s="22" t="s">
        <v>1700</v>
      </c>
      <c r="L475" s="22" t="s">
        <v>1700</v>
      </c>
      <c r="M475" s="22" t="str">
        <f t="shared" si="39"/>
        <v>Compliant</v>
      </c>
      <c r="N475" s="22" t="s">
        <v>1700</v>
      </c>
    </row>
    <row r="476" spans="1:14" x14ac:dyDescent="0.3">
      <c r="A476" s="22" t="s">
        <v>1597</v>
      </c>
      <c r="B476" t="str">
        <f t="shared" si="35"/>
        <v>Ritu Thomas</v>
      </c>
      <c r="C476" t="str">
        <f t="shared" si="36"/>
        <v>Sales</v>
      </c>
      <c r="D476" s="30" t="str">
        <f t="shared" si="37"/>
        <v>L1</v>
      </c>
      <c r="E476" s="30" t="str">
        <f t="shared" si="38"/>
        <v>Active</v>
      </c>
      <c r="F476" t="s">
        <v>1722</v>
      </c>
      <c r="G476" s="22">
        <v>1</v>
      </c>
      <c r="H476" s="22">
        <v>4</v>
      </c>
      <c r="I476" s="34">
        <v>3200</v>
      </c>
      <c r="J476" s="22">
        <v>86</v>
      </c>
      <c r="K476" s="22" t="s">
        <v>1700</v>
      </c>
      <c r="L476" s="22" t="s">
        <v>1700</v>
      </c>
      <c r="M476" s="22" t="str">
        <f t="shared" si="39"/>
        <v>Compliant</v>
      </c>
      <c r="N476" s="22" t="s">
        <v>1700</v>
      </c>
    </row>
    <row r="477" spans="1:14" x14ac:dyDescent="0.3">
      <c r="A477" s="22" t="s">
        <v>1600</v>
      </c>
      <c r="B477" t="str">
        <f t="shared" si="35"/>
        <v>Gayatri Subramanian</v>
      </c>
      <c r="C477" t="str">
        <f t="shared" si="36"/>
        <v>Product</v>
      </c>
      <c r="D477" s="30" t="str">
        <f t="shared" si="37"/>
        <v>L2</v>
      </c>
      <c r="E477" s="30" t="str">
        <f t="shared" si="38"/>
        <v>Active</v>
      </c>
      <c r="F477" t="s">
        <v>1723</v>
      </c>
      <c r="G477" s="22">
        <v>4</v>
      </c>
      <c r="H477" s="22">
        <v>24</v>
      </c>
      <c r="I477" s="34">
        <v>10800</v>
      </c>
      <c r="J477" s="22">
        <v>92</v>
      </c>
      <c r="K477" s="22" t="s">
        <v>1700</v>
      </c>
      <c r="L477" s="22" t="s">
        <v>1701</v>
      </c>
      <c r="M477" s="22" t="str">
        <f t="shared" si="39"/>
        <v>Pending</v>
      </c>
      <c r="N477" s="22" t="s">
        <v>1701</v>
      </c>
    </row>
    <row r="478" spans="1:14" x14ac:dyDescent="0.3">
      <c r="A478" s="22" t="s">
        <v>1603</v>
      </c>
      <c r="B478" t="str">
        <f t="shared" si="35"/>
        <v>Sanjay Rao</v>
      </c>
      <c r="C478" t="str">
        <f t="shared" si="36"/>
        <v>Marketing</v>
      </c>
      <c r="D478" s="30" t="str">
        <f t="shared" si="37"/>
        <v>L2</v>
      </c>
      <c r="E478" s="30" t="str">
        <f t="shared" si="38"/>
        <v>Active</v>
      </c>
      <c r="F478" t="s">
        <v>1723</v>
      </c>
      <c r="G478" s="22">
        <v>9</v>
      </c>
      <c r="H478" s="22">
        <v>54</v>
      </c>
      <c r="I478" s="34">
        <v>24300</v>
      </c>
      <c r="J478" s="22">
        <v>96</v>
      </c>
      <c r="K478" s="22" t="s">
        <v>1700</v>
      </c>
      <c r="L478" s="22" t="s">
        <v>1701</v>
      </c>
      <c r="M478" s="22" t="str">
        <f t="shared" si="39"/>
        <v>Pending</v>
      </c>
      <c r="N478" s="22" t="s">
        <v>1701</v>
      </c>
    </row>
    <row r="479" spans="1:14" x14ac:dyDescent="0.3">
      <c r="A479" s="22" t="s">
        <v>1606</v>
      </c>
      <c r="B479" t="str">
        <f t="shared" si="35"/>
        <v>Mohit Chatterjee</v>
      </c>
      <c r="C479" t="str">
        <f t="shared" si="36"/>
        <v>Human Resources</v>
      </c>
      <c r="D479" s="30" t="str">
        <f t="shared" si="37"/>
        <v>L2</v>
      </c>
      <c r="E479" s="30" t="str">
        <f t="shared" si="38"/>
        <v>Active</v>
      </c>
      <c r="F479" t="s">
        <v>1722</v>
      </c>
      <c r="G479" s="22">
        <v>1</v>
      </c>
      <c r="H479" s="22">
        <v>6</v>
      </c>
      <c r="I479" s="34">
        <v>3600</v>
      </c>
      <c r="J479" s="22">
        <v>82</v>
      </c>
      <c r="K479" s="22" t="s">
        <v>1700</v>
      </c>
      <c r="L479" s="22" t="s">
        <v>1700</v>
      </c>
      <c r="M479" s="22" t="str">
        <f t="shared" si="39"/>
        <v>Compliant</v>
      </c>
      <c r="N479" s="22" t="s">
        <v>1701</v>
      </c>
    </row>
    <row r="480" spans="1:14" x14ac:dyDescent="0.3">
      <c r="A480" s="22" t="s">
        <v>1609</v>
      </c>
      <c r="B480" t="str">
        <f t="shared" si="35"/>
        <v>Abhishek Agarwal</v>
      </c>
      <c r="C480" t="str">
        <f t="shared" si="36"/>
        <v>Engineering</v>
      </c>
      <c r="D480" s="30" t="str">
        <f t="shared" si="37"/>
        <v>L2</v>
      </c>
      <c r="E480" s="30" t="str">
        <f t="shared" si="38"/>
        <v>Active</v>
      </c>
      <c r="F480" t="s">
        <v>1724</v>
      </c>
      <c r="G480" s="22">
        <v>9</v>
      </c>
      <c r="H480" s="22">
        <v>72</v>
      </c>
      <c r="I480" s="34">
        <v>57600</v>
      </c>
      <c r="J480" s="22">
        <v>63</v>
      </c>
      <c r="K480" s="22" t="s">
        <v>1700</v>
      </c>
      <c r="L480" s="22" t="s">
        <v>1700</v>
      </c>
      <c r="M480" s="22" t="str">
        <f t="shared" si="39"/>
        <v>Compliant</v>
      </c>
      <c r="N480" s="22" t="s">
        <v>1700</v>
      </c>
    </row>
    <row r="481" spans="1:14" x14ac:dyDescent="0.3">
      <c r="A481" s="22" t="s">
        <v>1612</v>
      </c>
      <c r="B481" t="str">
        <f t="shared" si="35"/>
        <v>Sanjay Bansal</v>
      </c>
      <c r="C481" t="str">
        <f t="shared" si="36"/>
        <v>Engineering</v>
      </c>
      <c r="D481" s="30" t="str">
        <f t="shared" si="37"/>
        <v>L2</v>
      </c>
      <c r="E481" s="30" t="str">
        <f t="shared" si="38"/>
        <v>Active</v>
      </c>
      <c r="F481" t="s">
        <v>1723</v>
      </c>
      <c r="G481" s="22">
        <v>6</v>
      </c>
      <c r="H481" s="22">
        <v>48</v>
      </c>
      <c r="I481" s="34">
        <v>28800</v>
      </c>
      <c r="J481" s="22">
        <v>68</v>
      </c>
      <c r="K481" s="22" t="s">
        <v>1701</v>
      </c>
      <c r="L481" s="22" t="s">
        <v>1700</v>
      </c>
      <c r="M481" s="22" t="str">
        <f t="shared" si="39"/>
        <v>Pending</v>
      </c>
      <c r="N481" s="22" t="s">
        <v>1700</v>
      </c>
    </row>
    <row r="482" spans="1:14" x14ac:dyDescent="0.3">
      <c r="A482" s="22" t="s">
        <v>1615</v>
      </c>
      <c r="B482" t="str">
        <f t="shared" si="35"/>
        <v>Madhuri Banerjee</v>
      </c>
      <c r="C482" t="str">
        <f t="shared" si="36"/>
        <v>Customer Support</v>
      </c>
      <c r="D482" s="30" t="str">
        <f t="shared" si="37"/>
        <v>L3</v>
      </c>
      <c r="E482" s="30" t="str">
        <f t="shared" si="38"/>
        <v>Active</v>
      </c>
      <c r="F482" t="s">
        <v>1728</v>
      </c>
      <c r="G482" s="22">
        <v>5</v>
      </c>
      <c r="H482" s="22">
        <v>40</v>
      </c>
      <c r="I482" s="34">
        <v>32000</v>
      </c>
      <c r="J482" s="22">
        <v>81</v>
      </c>
      <c r="K482" s="22" t="s">
        <v>1700</v>
      </c>
      <c r="L482" s="22" t="s">
        <v>1701</v>
      </c>
      <c r="M482" s="22" t="str">
        <f t="shared" si="39"/>
        <v>Pending</v>
      </c>
      <c r="N482" s="22" t="s">
        <v>1700</v>
      </c>
    </row>
    <row r="483" spans="1:14" x14ac:dyDescent="0.3">
      <c r="A483" s="22" t="s">
        <v>1618</v>
      </c>
      <c r="B483" t="str">
        <f t="shared" si="35"/>
        <v>Rashmi Khanna</v>
      </c>
      <c r="C483" t="str">
        <f t="shared" si="36"/>
        <v>Legal &amp; Compliance</v>
      </c>
      <c r="D483" s="30" t="str">
        <f t="shared" si="37"/>
        <v>L1</v>
      </c>
      <c r="E483" s="30" t="str">
        <f t="shared" si="38"/>
        <v>Active</v>
      </c>
      <c r="F483" t="s">
        <v>1726</v>
      </c>
      <c r="G483" s="22">
        <v>2</v>
      </c>
      <c r="H483" s="22">
        <v>10</v>
      </c>
      <c r="I483" s="34">
        <v>8000</v>
      </c>
      <c r="J483" s="22">
        <v>67</v>
      </c>
      <c r="K483" s="22" t="s">
        <v>1701</v>
      </c>
      <c r="L483" s="22" t="s">
        <v>1700</v>
      </c>
      <c r="M483" s="22" t="str">
        <f t="shared" si="39"/>
        <v>Pending</v>
      </c>
      <c r="N483" s="22" t="s">
        <v>1701</v>
      </c>
    </row>
    <row r="484" spans="1:14" x14ac:dyDescent="0.3">
      <c r="A484" s="22" t="s">
        <v>1621</v>
      </c>
      <c r="B484" t="str">
        <f t="shared" si="35"/>
        <v>Amit Chatterjee</v>
      </c>
      <c r="C484" t="str">
        <f t="shared" si="36"/>
        <v>Operations</v>
      </c>
      <c r="D484" s="30" t="str">
        <f t="shared" si="37"/>
        <v>L1</v>
      </c>
      <c r="E484" s="30" t="str">
        <f t="shared" si="38"/>
        <v>Active</v>
      </c>
      <c r="F484" t="s">
        <v>1723</v>
      </c>
      <c r="G484" s="22">
        <v>2</v>
      </c>
      <c r="H484" s="22">
        <v>6</v>
      </c>
      <c r="I484" s="34">
        <v>3600</v>
      </c>
      <c r="J484" s="22">
        <v>69</v>
      </c>
      <c r="K484" s="22" t="s">
        <v>1700</v>
      </c>
      <c r="L484" s="22" t="s">
        <v>1700</v>
      </c>
      <c r="M484" s="22" t="str">
        <f t="shared" si="39"/>
        <v>Compliant</v>
      </c>
      <c r="N484" s="22" t="s">
        <v>1701</v>
      </c>
    </row>
    <row r="485" spans="1:14" x14ac:dyDescent="0.3">
      <c r="A485" s="22" t="s">
        <v>1624</v>
      </c>
      <c r="B485" t="str">
        <f t="shared" si="35"/>
        <v>Ankit Raghavan</v>
      </c>
      <c r="C485" t="str">
        <f t="shared" si="36"/>
        <v>Human Resources</v>
      </c>
      <c r="D485" s="30" t="str">
        <f t="shared" si="37"/>
        <v>L3</v>
      </c>
      <c r="E485" s="30" t="str">
        <f t="shared" si="38"/>
        <v>Active</v>
      </c>
      <c r="F485" t="s">
        <v>1730</v>
      </c>
      <c r="G485" s="22">
        <v>2</v>
      </c>
      <c r="H485" s="22">
        <v>12</v>
      </c>
      <c r="I485" s="34">
        <v>9600</v>
      </c>
      <c r="J485" s="22">
        <v>90</v>
      </c>
      <c r="K485" s="22" t="s">
        <v>1700</v>
      </c>
      <c r="L485" s="22" t="s">
        <v>1700</v>
      </c>
      <c r="M485" s="22" t="str">
        <f t="shared" si="39"/>
        <v>Compliant</v>
      </c>
      <c r="N485" s="22" t="s">
        <v>1701</v>
      </c>
    </row>
    <row r="486" spans="1:14" x14ac:dyDescent="0.3">
      <c r="A486" s="22" t="s">
        <v>1627</v>
      </c>
      <c r="B486" t="str">
        <f t="shared" si="35"/>
        <v>Dev Reddy</v>
      </c>
      <c r="C486" t="str">
        <f t="shared" si="36"/>
        <v>Customer Support</v>
      </c>
      <c r="D486" s="30" t="str">
        <f t="shared" si="37"/>
        <v>L1</v>
      </c>
      <c r="E486" s="30" t="str">
        <f t="shared" si="38"/>
        <v>Active</v>
      </c>
      <c r="F486" t="s">
        <v>1728</v>
      </c>
      <c r="G486" s="22">
        <v>2</v>
      </c>
      <c r="H486" s="22">
        <v>12</v>
      </c>
      <c r="I486" s="34">
        <v>9600</v>
      </c>
      <c r="J486" s="22">
        <v>82</v>
      </c>
      <c r="K486" s="22" t="s">
        <v>1700</v>
      </c>
      <c r="L486" s="22" t="s">
        <v>1700</v>
      </c>
      <c r="M486" s="22" t="str">
        <f t="shared" si="39"/>
        <v>Compliant</v>
      </c>
      <c r="N486" s="22" t="s">
        <v>1700</v>
      </c>
    </row>
    <row r="487" spans="1:14" x14ac:dyDescent="0.3">
      <c r="A487" s="22" t="s">
        <v>1630</v>
      </c>
      <c r="B487" t="str">
        <f t="shared" si="35"/>
        <v>Radhika Fernandes</v>
      </c>
      <c r="C487" t="str">
        <f t="shared" si="36"/>
        <v>Product</v>
      </c>
      <c r="D487" s="30" t="str">
        <f t="shared" si="37"/>
        <v>L4</v>
      </c>
      <c r="E487" s="30" t="str">
        <f t="shared" si="38"/>
        <v>Active</v>
      </c>
      <c r="F487" t="s">
        <v>1726</v>
      </c>
      <c r="G487" s="22">
        <v>4</v>
      </c>
      <c r="H487" s="22">
        <v>28</v>
      </c>
      <c r="I487" s="34">
        <v>22400</v>
      </c>
      <c r="J487" s="22">
        <v>62</v>
      </c>
      <c r="K487" s="22" t="s">
        <v>1700</v>
      </c>
      <c r="L487" s="22" t="s">
        <v>1701</v>
      </c>
      <c r="M487" s="22" t="str">
        <f t="shared" si="39"/>
        <v>Pending</v>
      </c>
      <c r="N487" s="22" t="s">
        <v>1701</v>
      </c>
    </row>
    <row r="488" spans="1:14" x14ac:dyDescent="0.3">
      <c r="A488" s="22" t="s">
        <v>1633</v>
      </c>
      <c r="B488" t="str">
        <f t="shared" si="35"/>
        <v>Kiran Kulkarni</v>
      </c>
      <c r="C488" t="str">
        <f t="shared" si="36"/>
        <v>Engineering</v>
      </c>
      <c r="D488" s="30" t="str">
        <f t="shared" si="37"/>
        <v>L1</v>
      </c>
      <c r="E488" s="30" t="str">
        <f t="shared" si="38"/>
        <v>Active</v>
      </c>
      <c r="F488" t="s">
        <v>1730</v>
      </c>
      <c r="G488" s="22">
        <v>3</v>
      </c>
      <c r="H488" s="22">
        <v>12</v>
      </c>
      <c r="I488" s="34">
        <v>9600</v>
      </c>
      <c r="J488" s="22">
        <v>98</v>
      </c>
      <c r="K488" s="22" t="s">
        <v>1700</v>
      </c>
      <c r="L488" s="22" t="s">
        <v>1700</v>
      </c>
      <c r="M488" s="22" t="str">
        <f t="shared" si="39"/>
        <v>Compliant</v>
      </c>
      <c r="N488" s="22" t="s">
        <v>1701</v>
      </c>
    </row>
    <row r="489" spans="1:14" x14ac:dyDescent="0.3">
      <c r="A489" s="22" t="s">
        <v>1636</v>
      </c>
      <c r="B489" t="str">
        <f t="shared" si="35"/>
        <v>Tarun Patel</v>
      </c>
      <c r="C489" t="str">
        <f t="shared" si="36"/>
        <v>Customer Support</v>
      </c>
      <c r="D489" s="30" t="str">
        <f t="shared" si="37"/>
        <v>L4</v>
      </c>
      <c r="E489" s="30" t="str">
        <f t="shared" si="38"/>
        <v>Active</v>
      </c>
      <c r="F489" t="s">
        <v>1727</v>
      </c>
      <c r="G489" s="22">
        <v>6</v>
      </c>
      <c r="H489" s="22">
        <v>18</v>
      </c>
      <c r="I489" s="34">
        <v>14400</v>
      </c>
      <c r="J489" s="22">
        <v>83</v>
      </c>
      <c r="K489" s="22" t="s">
        <v>1700</v>
      </c>
      <c r="L489" s="22" t="s">
        <v>1700</v>
      </c>
      <c r="M489" s="22" t="str">
        <f t="shared" si="39"/>
        <v>Compliant</v>
      </c>
      <c r="N489" s="22" t="s">
        <v>1701</v>
      </c>
    </row>
    <row r="490" spans="1:14" x14ac:dyDescent="0.3">
      <c r="A490" s="22" t="s">
        <v>1639</v>
      </c>
      <c r="B490" t="str">
        <f t="shared" si="35"/>
        <v>Sanjay Das</v>
      </c>
      <c r="C490" t="str">
        <f t="shared" si="36"/>
        <v>Finance</v>
      </c>
      <c r="D490" s="30" t="str">
        <f t="shared" si="37"/>
        <v>L1</v>
      </c>
      <c r="E490" s="30" t="str">
        <f t="shared" si="38"/>
        <v>Active</v>
      </c>
      <c r="F490" t="s">
        <v>1726</v>
      </c>
      <c r="G490" s="22">
        <v>4</v>
      </c>
      <c r="H490" s="22">
        <v>16</v>
      </c>
      <c r="I490" s="34">
        <v>9600</v>
      </c>
      <c r="J490" s="22">
        <v>72</v>
      </c>
      <c r="K490" s="22" t="s">
        <v>1700</v>
      </c>
      <c r="L490" s="22" t="s">
        <v>1700</v>
      </c>
      <c r="M490" s="22" t="str">
        <f t="shared" si="39"/>
        <v>Compliant</v>
      </c>
      <c r="N490" s="22" t="s">
        <v>1701</v>
      </c>
    </row>
    <row r="491" spans="1:14" x14ac:dyDescent="0.3">
      <c r="A491" s="22" t="s">
        <v>1642</v>
      </c>
      <c r="B491" t="str">
        <f t="shared" si="35"/>
        <v>Deepika Menon</v>
      </c>
      <c r="C491" t="str">
        <f t="shared" si="36"/>
        <v>Sales</v>
      </c>
      <c r="D491" s="30" t="str">
        <f t="shared" si="37"/>
        <v>L3</v>
      </c>
      <c r="E491" s="30" t="str">
        <f t="shared" si="38"/>
        <v>Active</v>
      </c>
      <c r="F491" t="s">
        <v>1725</v>
      </c>
      <c r="G491" s="22">
        <v>8</v>
      </c>
      <c r="H491" s="22">
        <v>56</v>
      </c>
      <c r="I491" s="34">
        <v>56000</v>
      </c>
      <c r="J491" s="22">
        <v>60</v>
      </c>
      <c r="K491" s="22" t="s">
        <v>1700</v>
      </c>
      <c r="L491" s="22" t="s">
        <v>1700</v>
      </c>
      <c r="M491" s="22" t="str">
        <f t="shared" si="39"/>
        <v>Compliant</v>
      </c>
      <c r="N491" s="22" t="s">
        <v>1700</v>
      </c>
    </row>
    <row r="492" spans="1:14" x14ac:dyDescent="0.3">
      <c r="A492" s="22" t="s">
        <v>1645</v>
      </c>
      <c r="B492" t="str">
        <f t="shared" si="35"/>
        <v>Sowmya Subramanian</v>
      </c>
      <c r="C492" t="str">
        <f t="shared" si="36"/>
        <v>Customer Support</v>
      </c>
      <c r="D492" s="30" t="str">
        <f t="shared" si="37"/>
        <v>L2</v>
      </c>
      <c r="E492" s="30" t="str">
        <f t="shared" si="38"/>
        <v>Active</v>
      </c>
      <c r="F492" t="s">
        <v>1729</v>
      </c>
      <c r="G492" s="22">
        <v>8</v>
      </c>
      <c r="H492" s="22">
        <v>32</v>
      </c>
      <c r="I492" s="34">
        <v>14400</v>
      </c>
      <c r="J492" s="22">
        <v>79</v>
      </c>
      <c r="K492" s="22" t="s">
        <v>1700</v>
      </c>
      <c r="L492" s="22" t="s">
        <v>1700</v>
      </c>
      <c r="M492" s="22" t="str">
        <f t="shared" si="39"/>
        <v>Compliant</v>
      </c>
      <c r="N492" s="22" t="s">
        <v>1701</v>
      </c>
    </row>
    <row r="493" spans="1:14" x14ac:dyDescent="0.3">
      <c r="A493" s="22" t="s">
        <v>1648</v>
      </c>
      <c r="B493" t="str">
        <f t="shared" si="35"/>
        <v>Kunal Dsouza</v>
      </c>
      <c r="C493" t="str">
        <f t="shared" si="36"/>
        <v>Operations</v>
      </c>
      <c r="D493" s="30" t="str">
        <f t="shared" si="37"/>
        <v>L1</v>
      </c>
      <c r="E493" s="30" t="str">
        <f t="shared" si="38"/>
        <v>Active</v>
      </c>
      <c r="F493" t="s">
        <v>1726</v>
      </c>
      <c r="G493" s="22">
        <v>7</v>
      </c>
      <c r="H493" s="22">
        <v>56</v>
      </c>
      <c r="I493" s="34">
        <v>25200</v>
      </c>
      <c r="J493" s="22">
        <v>96</v>
      </c>
      <c r="K493" s="22" t="s">
        <v>1701</v>
      </c>
      <c r="L493" s="22" t="s">
        <v>1700</v>
      </c>
      <c r="M493" s="22" t="str">
        <f t="shared" si="39"/>
        <v>Pending</v>
      </c>
      <c r="N493" s="22" t="s">
        <v>1700</v>
      </c>
    </row>
    <row r="494" spans="1:14" x14ac:dyDescent="0.3">
      <c r="A494" s="22" t="s">
        <v>1651</v>
      </c>
      <c r="B494" t="str">
        <f t="shared" si="35"/>
        <v>Divya Kapoor</v>
      </c>
      <c r="C494" t="str">
        <f t="shared" si="36"/>
        <v>Product</v>
      </c>
      <c r="D494" s="30" t="str">
        <f t="shared" si="37"/>
        <v>L2</v>
      </c>
      <c r="E494" s="30" t="str">
        <f t="shared" si="38"/>
        <v>Active</v>
      </c>
      <c r="F494" t="s">
        <v>1727</v>
      </c>
      <c r="G494" s="22">
        <v>9</v>
      </c>
      <c r="H494" s="22">
        <v>63</v>
      </c>
      <c r="I494" s="34">
        <v>28350</v>
      </c>
      <c r="J494" s="22">
        <v>79</v>
      </c>
      <c r="K494" s="22" t="s">
        <v>1700</v>
      </c>
      <c r="L494" s="22" t="s">
        <v>1700</v>
      </c>
      <c r="M494" s="22" t="str">
        <f t="shared" si="39"/>
        <v>Compliant</v>
      </c>
      <c r="N494" s="22" t="s">
        <v>1701</v>
      </c>
    </row>
    <row r="495" spans="1:14" x14ac:dyDescent="0.3">
      <c r="A495" s="22" t="s">
        <v>1654</v>
      </c>
      <c r="B495" t="str">
        <f t="shared" si="35"/>
        <v>Ayesha Kulkarni</v>
      </c>
      <c r="C495" t="str">
        <f t="shared" si="36"/>
        <v>Engineering</v>
      </c>
      <c r="D495" s="30" t="str">
        <f t="shared" si="37"/>
        <v>L2</v>
      </c>
      <c r="E495" s="30" t="str">
        <f t="shared" si="38"/>
        <v>Active</v>
      </c>
      <c r="F495" t="s">
        <v>1727</v>
      </c>
      <c r="G495" s="22">
        <v>2</v>
      </c>
      <c r="H495" s="22">
        <v>14</v>
      </c>
      <c r="I495" s="34">
        <v>6300</v>
      </c>
      <c r="J495" s="22">
        <v>85</v>
      </c>
      <c r="K495" s="22" t="s">
        <v>1700</v>
      </c>
      <c r="L495" s="22" t="s">
        <v>1700</v>
      </c>
      <c r="M495" s="22" t="str">
        <f t="shared" si="39"/>
        <v>Compliant</v>
      </c>
      <c r="N495" s="22" t="s">
        <v>1700</v>
      </c>
    </row>
    <row r="496" spans="1:14" x14ac:dyDescent="0.3">
      <c r="A496" s="22" t="s">
        <v>1657</v>
      </c>
      <c r="B496" t="str">
        <f t="shared" si="35"/>
        <v>Ayesha Menon</v>
      </c>
      <c r="C496" t="str">
        <f t="shared" si="36"/>
        <v>Sales</v>
      </c>
      <c r="D496" s="30" t="str">
        <f t="shared" si="37"/>
        <v>L3</v>
      </c>
      <c r="E496" s="30" t="str">
        <f t="shared" si="38"/>
        <v>Active</v>
      </c>
      <c r="F496" t="s">
        <v>1728</v>
      </c>
      <c r="G496" s="22">
        <v>5</v>
      </c>
      <c r="H496" s="22">
        <v>15</v>
      </c>
      <c r="I496" s="34">
        <v>6750</v>
      </c>
      <c r="J496" s="22">
        <v>74</v>
      </c>
      <c r="K496" s="22" t="s">
        <v>1700</v>
      </c>
      <c r="L496" s="22" t="s">
        <v>1700</v>
      </c>
      <c r="M496" s="22" t="str">
        <f t="shared" si="39"/>
        <v>Compliant</v>
      </c>
      <c r="N496" s="22" t="s">
        <v>1701</v>
      </c>
    </row>
    <row r="497" spans="1:14" x14ac:dyDescent="0.3">
      <c r="A497" s="22" t="s">
        <v>1660</v>
      </c>
      <c r="B497" t="str">
        <f t="shared" si="35"/>
        <v>Trisha Sharma</v>
      </c>
      <c r="C497" t="str">
        <f t="shared" si="36"/>
        <v>Legal &amp; Compliance</v>
      </c>
      <c r="D497" s="30" t="str">
        <f t="shared" si="37"/>
        <v>L3</v>
      </c>
      <c r="E497" s="30" t="str">
        <f t="shared" si="38"/>
        <v>Active</v>
      </c>
      <c r="F497" t="s">
        <v>1727</v>
      </c>
      <c r="G497" s="22">
        <v>7</v>
      </c>
      <c r="H497" s="22">
        <v>28</v>
      </c>
      <c r="I497" s="34">
        <v>22400</v>
      </c>
      <c r="J497" s="22">
        <v>81</v>
      </c>
      <c r="K497" s="22" t="s">
        <v>1700</v>
      </c>
      <c r="L497" s="22" t="s">
        <v>1700</v>
      </c>
      <c r="M497" s="22" t="str">
        <f t="shared" si="39"/>
        <v>Compliant</v>
      </c>
      <c r="N497" s="22" t="s">
        <v>1700</v>
      </c>
    </row>
    <row r="498" spans="1:14" x14ac:dyDescent="0.3">
      <c r="A498" s="22" t="s">
        <v>1663</v>
      </c>
      <c r="B498" t="str">
        <f t="shared" si="35"/>
        <v>Vishal Kulkarni</v>
      </c>
      <c r="C498" t="str">
        <f t="shared" si="36"/>
        <v>Operations</v>
      </c>
      <c r="D498" s="30" t="str">
        <f t="shared" si="37"/>
        <v>L4</v>
      </c>
      <c r="E498" s="30" t="str">
        <f t="shared" si="38"/>
        <v>Active</v>
      </c>
      <c r="F498" t="s">
        <v>1723</v>
      </c>
      <c r="G498" s="22">
        <v>2</v>
      </c>
      <c r="H498" s="22">
        <v>12</v>
      </c>
      <c r="I498" s="34">
        <v>9600</v>
      </c>
      <c r="J498" s="22">
        <v>78</v>
      </c>
      <c r="K498" s="22" t="s">
        <v>1700</v>
      </c>
      <c r="L498" s="22" t="s">
        <v>1700</v>
      </c>
      <c r="M498" s="22" t="str">
        <f t="shared" si="39"/>
        <v>Compliant</v>
      </c>
      <c r="N498" s="22" t="s">
        <v>1700</v>
      </c>
    </row>
    <row r="499" spans="1:14" x14ac:dyDescent="0.3">
      <c r="A499" s="22" t="s">
        <v>484</v>
      </c>
      <c r="B499" t="str">
        <f t="shared" si="35"/>
        <v>Trisha Malhotra</v>
      </c>
      <c r="C499" t="str">
        <f t="shared" si="36"/>
        <v>Product</v>
      </c>
      <c r="D499" s="30" t="str">
        <f t="shared" si="37"/>
        <v>L5</v>
      </c>
      <c r="E499" s="30" t="str">
        <f t="shared" si="38"/>
        <v>Active</v>
      </c>
      <c r="F499" t="s">
        <v>1726</v>
      </c>
      <c r="G499" s="22">
        <v>3</v>
      </c>
      <c r="H499" s="22">
        <v>24</v>
      </c>
      <c r="I499" s="34">
        <v>10800</v>
      </c>
      <c r="J499" s="22">
        <v>81</v>
      </c>
      <c r="K499" s="22" t="s">
        <v>1700</v>
      </c>
      <c r="L499" s="22" t="s">
        <v>1701</v>
      </c>
      <c r="M499" s="22" t="str">
        <f t="shared" si="39"/>
        <v>Pending</v>
      </c>
      <c r="N499" s="22" t="s">
        <v>1701</v>
      </c>
    </row>
    <row r="500" spans="1:14" x14ac:dyDescent="0.3">
      <c r="A500" s="22" t="s">
        <v>1667</v>
      </c>
      <c r="B500" t="str">
        <f t="shared" si="35"/>
        <v>Bhavana Singh</v>
      </c>
      <c r="C500" t="str">
        <f t="shared" si="36"/>
        <v>Engineering</v>
      </c>
      <c r="D500" s="30" t="str">
        <f t="shared" si="37"/>
        <v>L1</v>
      </c>
      <c r="E500" s="30" t="str">
        <f t="shared" si="38"/>
        <v>Active</v>
      </c>
      <c r="F500" t="s">
        <v>1731</v>
      </c>
      <c r="G500" s="22">
        <v>2</v>
      </c>
      <c r="H500" s="22">
        <v>6</v>
      </c>
      <c r="I500" s="34">
        <v>4800</v>
      </c>
      <c r="J500" s="22">
        <v>71</v>
      </c>
      <c r="K500" s="22" t="s">
        <v>1700</v>
      </c>
      <c r="L500" s="22" t="s">
        <v>1700</v>
      </c>
      <c r="M500" s="22" t="str">
        <f t="shared" si="39"/>
        <v>Compliant</v>
      </c>
      <c r="N500" s="22" t="s">
        <v>1700</v>
      </c>
    </row>
    <row r="501" spans="1:14" x14ac:dyDescent="0.3">
      <c r="A501" s="22" t="s">
        <v>1670</v>
      </c>
      <c r="B501" t="str">
        <f t="shared" si="35"/>
        <v>Sowmya Patel</v>
      </c>
      <c r="C501" t="str">
        <f t="shared" si="36"/>
        <v>Legal &amp; Compliance</v>
      </c>
      <c r="D501" s="30" t="str">
        <f t="shared" si="37"/>
        <v>L2</v>
      </c>
      <c r="E501" s="30" t="str">
        <f t="shared" si="38"/>
        <v>Active</v>
      </c>
      <c r="F501" t="s">
        <v>1727</v>
      </c>
      <c r="G501" s="22">
        <v>2</v>
      </c>
      <c r="H501" s="22">
        <v>8</v>
      </c>
      <c r="I501" s="34">
        <v>3600</v>
      </c>
      <c r="J501" s="22">
        <v>63</v>
      </c>
      <c r="K501" s="22" t="s">
        <v>1700</v>
      </c>
      <c r="L501" s="22" t="s">
        <v>1700</v>
      </c>
      <c r="M501" s="22" t="str">
        <f t="shared" si="39"/>
        <v>Compliant</v>
      </c>
      <c r="N501" s="22" t="s">
        <v>1701</v>
      </c>
    </row>
  </sheetData>
  <autoFilter ref="A1:N501" xr:uid="{00000000-0009-0000-0000-000007000000}"/>
  <conditionalFormatting sqref="A2:N501">
    <cfRule type="expression" dxfId="8" priority="1">
      <formula>MOD(ROW(),2)=0</formula>
    </cfRule>
  </conditionalFormatting>
  <conditionalFormatting sqref="M2:M501">
    <cfRule type="cellIs" dxfId="7" priority="2" operator="equal">
      <formula>"Pending"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3C7DC4"/>
  </sheetPr>
  <dimension ref="A1:S5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18.6640625" customWidth="1"/>
    <col min="4" max="4" width="20.6640625" customWidth="1"/>
    <col min="5" max="5" width="9.6640625" customWidth="1"/>
    <col min="6" max="12" width="10.6640625" customWidth="1"/>
    <col min="13" max="13" width="11.6640625" customWidth="1"/>
    <col min="14" max="14" width="9.6640625" customWidth="1"/>
    <col min="15" max="15" width="10.6640625" customWidth="1"/>
    <col min="16" max="16" width="7.6640625" customWidth="1"/>
    <col min="17" max="17" width="9.6640625" customWidth="1"/>
    <col min="18" max="18" width="8.6640625" customWidth="1"/>
    <col min="19" max="19" width="9.6640625" customWidth="1"/>
  </cols>
  <sheetData>
    <row r="1" spans="1:19" ht="31.95" customHeight="1" x14ac:dyDescent="0.3">
      <c r="A1" s="6" t="s">
        <v>74</v>
      </c>
      <c r="B1" s="27" t="s">
        <v>75</v>
      </c>
      <c r="C1" s="27" t="s">
        <v>80</v>
      </c>
      <c r="D1" s="27" t="s">
        <v>31</v>
      </c>
      <c r="E1" s="27" t="s">
        <v>86</v>
      </c>
      <c r="F1" s="6" t="s">
        <v>1732</v>
      </c>
      <c r="G1" s="6" t="s">
        <v>1733</v>
      </c>
      <c r="H1" s="6" t="s">
        <v>1734</v>
      </c>
      <c r="I1" s="6" t="s">
        <v>1735</v>
      </c>
      <c r="J1" s="6" t="s">
        <v>1736</v>
      </c>
      <c r="K1" s="6" t="s">
        <v>1737</v>
      </c>
      <c r="L1" s="6" t="s">
        <v>1738</v>
      </c>
      <c r="M1" s="27" t="s">
        <v>1739</v>
      </c>
      <c r="N1" s="6" t="s">
        <v>1740</v>
      </c>
      <c r="O1" s="27" t="s">
        <v>1741</v>
      </c>
      <c r="P1" s="27" t="s">
        <v>50</v>
      </c>
      <c r="Q1" s="27" t="s">
        <v>1693</v>
      </c>
      <c r="R1" s="27" t="s">
        <v>1742</v>
      </c>
      <c r="S1" s="27" t="s">
        <v>1743</v>
      </c>
    </row>
    <row r="2" spans="1:19" x14ac:dyDescent="0.3">
      <c r="A2" s="22" t="s">
        <v>91</v>
      </c>
      <c r="B2" t="str">
        <f t="shared" ref="B2:B65" si="0">INDEX(M_Name,MATCH($A2,M_ID,0))</f>
        <v>Vidya Kulkarni</v>
      </c>
      <c r="C2" t="str">
        <f t="shared" ref="C2:C65" si="1">INDEX(M_Dept,MATCH($A2,M_ID,0))</f>
        <v>Human Resources</v>
      </c>
      <c r="D2" t="str">
        <f t="shared" ref="D2:D65" si="2">INDEX(M_Mgr,MATCH($A2,M_ID,0))</f>
        <v>Arvind Rao (CEO)</v>
      </c>
      <c r="E2" s="30" t="str">
        <f t="shared" ref="E2:E65" si="3">INDEX(M_Status,MATCH($A2,M_ID,0))</f>
        <v>Active</v>
      </c>
      <c r="F2" s="22" t="s">
        <v>1700</v>
      </c>
      <c r="G2" s="24">
        <v>3.5</v>
      </c>
      <c r="H2" s="24">
        <v>3.4</v>
      </c>
      <c r="I2" s="24">
        <v>3.7</v>
      </c>
      <c r="J2" s="24">
        <v>3.8</v>
      </c>
      <c r="K2" s="24">
        <v>4.3</v>
      </c>
      <c r="L2" s="24">
        <v>3.7</v>
      </c>
      <c r="M2" s="25">
        <f t="shared" ref="M2:M65" si="4">ROUND(AVERAGE(G2:L2),2)</f>
        <v>3.73</v>
      </c>
      <c r="N2" s="22">
        <v>10</v>
      </c>
      <c r="O2" s="22" t="str">
        <f t="shared" ref="O2:O65" si="5">IF(N2&gt;=9,"Promoter",IF(N2&gt;=7,"Passive","Detractor"))</f>
        <v>Promoter</v>
      </c>
      <c r="P2" s="30">
        <f t="shared" ref="P2:P65" si="6">INDEX(P_Rating,MATCH($A2,M_ID,0))</f>
        <v>5</v>
      </c>
      <c r="Q2" s="35">
        <f t="shared" ref="Q2:Q65" si="7">INDEX(C_Compa,MATCH($A2,M_ID,0))</f>
        <v>0.93</v>
      </c>
      <c r="R2" s="22">
        <f t="shared" ref="R2:R65" si="8">(M2&lt;EngThreshold)+(N2&lt;=6)+(Q2&lt;CompaThreshold)+(P2&gt;=4)</f>
        <v>1</v>
      </c>
      <c r="S2" s="22" t="str">
        <f t="shared" ref="S2:S65" si="9">IF(E2="Exited","Exited",IF(R2&gt;=3,"High",IF(R2=2,"Medium","Low")))</f>
        <v>Low</v>
      </c>
    </row>
    <row r="3" spans="1:19" x14ac:dyDescent="0.3">
      <c r="A3" s="22" t="s">
        <v>100</v>
      </c>
      <c r="B3" t="str">
        <f t="shared" si="0"/>
        <v>Vikas Singh</v>
      </c>
      <c r="C3" t="str">
        <f t="shared" si="1"/>
        <v>Engineering</v>
      </c>
      <c r="D3" t="str">
        <f t="shared" si="2"/>
        <v>Yamini Nair</v>
      </c>
      <c r="E3" s="30" t="str">
        <f t="shared" si="3"/>
        <v>Active</v>
      </c>
      <c r="F3" s="22" t="s">
        <v>1700</v>
      </c>
      <c r="G3" s="24">
        <v>4.5999999999999996</v>
      </c>
      <c r="H3" s="24">
        <v>4</v>
      </c>
      <c r="I3" s="24">
        <v>4.7</v>
      </c>
      <c r="J3" s="24">
        <v>4.4000000000000004</v>
      </c>
      <c r="K3" s="24">
        <v>4.5</v>
      </c>
      <c r="L3" s="24">
        <v>5</v>
      </c>
      <c r="M3" s="25">
        <f t="shared" si="4"/>
        <v>4.53</v>
      </c>
      <c r="N3" s="22">
        <v>10</v>
      </c>
      <c r="O3" s="22" t="str">
        <f t="shared" si="5"/>
        <v>Promoter</v>
      </c>
      <c r="P3" s="30">
        <f t="shared" si="6"/>
        <v>4</v>
      </c>
      <c r="Q3" s="35">
        <f t="shared" si="7"/>
        <v>1.2</v>
      </c>
      <c r="R3" s="22">
        <f t="shared" si="8"/>
        <v>1</v>
      </c>
      <c r="S3" s="22" t="str">
        <f t="shared" si="9"/>
        <v>Low</v>
      </c>
    </row>
    <row r="4" spans="1:19" x14ac:dyDescent="0.3">
      <c r="A4" s="22" t="s">
        <v>108</v>
      </c>
      <c r="B4" t="str">
        <f t="shared" si="0"/>
        <v>Prakash Das</v>
      </c>
      <c r="C4" t="str">
        <f t="shared" si="1"/>
        <v>Human Resources</v>
      </c>
      <c r="D4" t="str">
        <f t="shared" si="2"/>
        <v>Vidya Kulkarni</v>
      </c>
      <c r="E4" s="30" t="str">
        <f t="shared" si="3"/>
        <v>Active</v>
      </c>
      <c r="F4" s="22" t="s">
        <v>1700</v>
      </c>
      <c r="G4" s="24">
        <v>3.6</v>
      </c>
      <c r="H4" s="24">
        <v>3</v>
      </c>
      <c r="I4" s="24">
        <v>3.4</v>
      </c>
      <c r="J4" s="24">
        <v>3.1</v>
      </c>
      <c r="K4" s="24">
        <v>3.3</v>
      </c>
      <c r="L4" s="24">
        <v>3</v>
      </c>
      <c r="M4" s="25">
        <f t="shared" si="4"/>
        <v>3.23</v>
      </c>
      <c r="N4" s="22">
        <v>7</v>
      </c>
      <c r="O4" s="22" t="str">
        <f t="shared" si="5"/>
        <v>Passive</v>
      </c>
      <c r="P4" s="30">
        <f t="shared" si="6"/>
        <v>2</v>
      </c>
      <c r="Q4" s="35">
        <f t="shared" si="7"/>
        <v>0.95</v>
      </c>
      <c r="R4" s="22">
        <f t="shared" si="8"/>
        <v>0</v>
      </c>
      <c r="S4" s="22" t="str">
        <f t="shared" si="9"/>
        <v>Low</v>
      </c>
    </row>
    <row r="5" spans="1:19" x14ac:dyDescent="0.3">
      <c r="A5" s="22" t="s">
        <v>112</v>
      </c>
      <c r="B5" t="str">
        <f t="shared" si="0"/>
        <v>Fatima Choudhary</v>
      </c>
      <c r="C5" t="str">
        <f t="shared" si="1"/>
        <v>Engineering</v>
      </c>
      <c r="D5" t="str">
        <f t="shared" si="2"/>
        <v>Yamini Nair</v>
      </c>
      <c r="E5" s="30" t="str">
        <f t="shared" si="3"/>
        <v>Active</v>
      </c>
      <c r="F5" s="22" t="s">
        <v>1700</v>
      </c>
      <c r="G5" s="24">
        <v>3.3</v>
      </c>
      <c r="H5" s="24">
        <v>2.9</v>
      </c>
      <c r="I5" s="24">
        <v>2.8</v>
      </c>
      <c r="J5" s="24">
        <v>3.5</v>
      </c>
      <c r="K5" s="24">
        <v>2.8</v>
      </c>
      <c r="L5" s="24">
        <v>3.4</v>
      </c>
      <c r="M5" s="25">
        <f t="shared" si="4"/>
        <v>3.12</v>
      </c>
      <c r="N5" s="22">
        <v>8</v>
      </c>
      <c r="O5" s="22" t="str">
        <f t="shared" si="5"/>
        <v>Passive</v>
      </c>
      <c r="P5" s="30">
        <f t="shared" si="6"/>
        <v>2</v>
      </c>
      <c r="Q5" s="35">
        <f t="shared" si="7"/>
        <v>1.22</v>
      </c>
      <c r="R5" s="22">
        <f t="shared" si="8"/>
        <v>0</v>
      </c>
      <c r="S5" s="22" t="str">
        <f t="shared" si="9"/>
        <v>Low</v>
      </c>
    </row>
    <row r="6" spans="1:19" x14ac:dyDescent="0.3">
      <c r="A6" s="22" t="s">
        <v>115</v>
      </c>
      <c r="B6" t="str">
        <f t="shared" si="0"/>
        <v>Gaurav Fernandes</v>
      </c>
      <c r="C6" t="str">
        <f t="shared" si="1"/>
        <v>Engineering</v>
      </c>
      <c r="D6" t="str">
        <f t="shared" si="2"/>
        <v>Yamini Nair</v>
      </c>
      <c r="E6" s="30" t="str">
        <f t="shared" si="3"/>
        <v>Active</v>
      </c>
      <c r="F6" s="22" t="s">
        <v>1700</v>
      </c>
      <c r="G6" s="24">
        <v>4.5</v>
      </c>
      <c r="H6" s="24">
        <v>4</v>
      </c>
      <c r="I6" s="24">
        <v>3.4</v>
      </c>
      <c r="J6" s="24">
        <v>3.8</v>
      </c>
      <c r="K6" s="24">
        <v>3.7</v>
      </c>
      <c r="L6" s="24">
        <v>3.5</v>
      </c>
      <c r="M6" s="25">
        <f t="shared" si="4"/>
        <v>3.82</v>
      </c>
      <c r="N6" s="22">
        <v>9</v>
      </c>
      <c r="O6" s="22" t="str">
        <f t="shared" si="5"/>
        <v>Promoter</v>
      </c>
      <c r="P6" s="30">
        <f t="shared" si="6"/>
        <v>3</v>
      </c>
      <c r="Q6" s="35">
        <f t="shared" si="7"/>
        <v>1.35</v>
      </c>
      <c r="R6" s="22">
        <f t="shared" si="8"/>
        <v>0</v>
      </c>
      <c r="S6" s="22" t="str">
        <f t="shared" si="9"/>
        <v>Low</v>
      </c>
    </row>
    <row r="7" spans="1:19" x14ac:dyDescent="0.3">
      <c r="A7" s="22" t="s">
        <v>118</v>
      </c>
      <c r="B7" t="str">
        <f t="shared" si="0"/>
        <v>Yash Shah</v>
      </c>
      <c r="C7" t="str">
        <f t="shared" si="1"/>
        <v>Operations</v>
      </c>
      <c r="D7" t="str">
        <f t="shared" si="2"/>
        <v>Pallavi Shah</v>
      </c>
      <c r="E7" s="30" t="str">
        <f t="shared" si="3"/>
        <v>Exited</v>
      </c>
      <c r="F7" s="22" t="s">
        <v>1700</v>
      </c>
      <c r="G7" s="24">
        <v>2.7</v>
      </c>
      <c r="H7" s="24">
        <v>2.8</v>
      </c>
      <c r="I7" s="24">
        <v>2.9</v>
      </c>
      <c r="J7" s="24">
        <v>3</v>
      </c>
      <c r="K7" s="24">
        <v>3.4</v>
      </c>
      <c r="L7" s="24">
        <v>3</v>
      </c>
      <c r="M7" s="25">
        <f t="shared" si="4"/>
        <v>2.97</v>
      </c>
      <c r="N7" s="22">
        <v>9</v>
      </c>
      <c r="O7" s="22" t="str">
        <f t="shared" si="5"/>
        <v>Promoter</v>
      </c>
      <c r="P7" s="30">
        <f t="shared" si="6"/>
        <v>4</v>
      </c>
      <c r="Q7" s="35">
        <f t="shared" si="7"/>
        <v>0.74</v>
      </c>
      <c r="R7" s="22">
        <f t="shared" si="8"/>
        <v>3</v>
      </c>
      <c r="S7" s="22" t="str">
        <f t="shared" si="9"/>
        <v>Exited</v>
      </c>
    </row>
    <row r="8" spans="1:19" x14ac:dyDescent="0.3">
      <c r="A8" s="22" t="s">
        <v>125</v>
      </c>
      <c r="B8" t="str">
        <f t="shared" si="0"/>
        <v>Imran Tiwari</v>
      </c>
      <c r="C8" t="str">
        <f t="shared" si="1"/>
        <v>Marketing</v>
      </c>
      <c r="D8" t="str">
        <f t="shared" si="2"/>
        <v>Nandini Iyer</v>
      </c>
      <c r="E8" s="30" t="str">
        <f t="shared" si="3"/>
        <v>Exited</v>
      </c>
      <c r="F8" s="22" t="s">
        <v>1700</v>
      </c>
      <c r="G8" s="24">
        <v>2.5</v>
      </c>
      <c r="H8" s="24">
        <v>2.4</v>
      </c>
      <c r="I8" s="24">
        <v>2.1</v>
      </c>
      <c r="J8" s="24">
        <v>2.2000000000000002</v>
      </c>
      <c r="K8" s="24">
        <v>2.9</v>
      </c>
      <c r="L8" s="24">
        <v>2.5</v>
      </c>
      <c r="M8" s="25">
        <f t="shared" si="4"/>
        <v>2.4300000000000002</v>
      </c>
      <c r="N8" s="22">
        <v>7</v>
      </c>
      <c r="O8" s="22" t="str">
        <f t="shared" si="5"/>
        <v>Passive</v>
      </c>
      <c r="P8" s="30">
        <f t="shared" si="6"/>
        <v>1</v>
      </c>
      <c r="Q8" s="35">
        <f t="shared" si="7"/>
        <v>0.95</v>
      </c>
      <c r="R8" s="22">
        <f t="shared" si="8"/>
        <v>1</v>
      </c>
      <c r="S8" s="22" t="str">
        <f t="shared" si="9"/>
        <v>Exited</v>
      </c>
    </row>
    <row r="9" spans="1:19" x14ac:dyDescent="0.3">
      <c r="A9" s="22" t="s">
        <v>131</v>
      </c>
      <c r="B9" t="str">
        <f t="shared" si="0"/>
        <v>Aishwarya Khan</v>
      </c>
      <c r="C9" t="str">
        <f t="shared" si="1"/>
        <v>Engineering</v>
      </c>
      <c r="D9" t="str">
        <f t="shared" si="2"/>
        <v>Arvind Rao (CEO)</v>
      </c>
      <c r="E9" s="30" t="str">
        <f t="shared" si="3"/>
        <v>Active</v>
      </c>
      <c r="F9" s="22" t="s">
        <v>1700</v>
      </c>
      <c r="G9" s="24">
        <v>2</v>
      </c>
      <c r="H9" s="24">
        <v>1.8</v>
      </c>
      <c r="I9" s="24">
        <v>2.1</v>
      </c>
      <c r="J9" s="24">
        <v>2</v>
      </c>
      <c r="K9" s="24">
        <v>2.1</v>
      </c>
      <c r="L9" s="24">
        <v>2.2000000000000002</v>
      </c>
      <c r="M9" s="25">
        <f t="shared" si="4"/>
        <v>2.0299999999999998</v>
      </c>
      <c r="N9" s="22">
        <v>7</v>
      </c>
      <c r="O9" s="22" t="str">
        <f t="shared" si="5"/>
        <v>Passive</v>
      </c>
      <c r="P9" s="30">
        <f t="shared" si="6"/>
        <v>3</v>
      </c>
      <c r="Q9" s="35">
        <f t="shared" si="7"/>
        <v>1.1200000000000001</v>
      </c>
      <c r="R9" s="22">
        <f t="shared" si="8"/>
        <v>1</v>
      </c>
      <c r="S9" s="22" t="str">
        <f t="shared" si="9"/>
        <v>Low</v>
      </c>
    </row>
    <row r="10" spans="1:19" x14ac:dyDescent="0.3">
      <c r="A10" s="22" t="s">
        <v>135</v>
      </c>
      <c r="B10" t="str">
        <f t="shared" si="0"/>
        <v>Ankit Khanna</v>
      </c>
      <c r="C10" t="str">
        <f t="shared" si="1"/>
        <v>Operations</v>
      </c>
      <c r="D10" t="str">
        <f t="shared" si="2"/>
        <v>Imran Mishra</v>
      </c>
      <c r="E10" s="30" t="str">
        <f t="shared" si="3"/>
        <v>Active</v>
      </c>
      <c r="F10" s="22" t="s">
        <v>1700</v>
      </c>
      <c r="G10" s="24">
        <v>2.9</v>
      </c>
      <c r="H10" s="24">
        <v>4.3</v>
      </c>
      <c r="I10" s="24">
        <v>3.4</v>
      </c>
      <c r="J10" s="24">
        <v>3.1</v>
      </c>
      <c r="K10" s="24">
        <v>2.5</v>
      </c>
      <c r="L10" s="24">
        <v>3</v>
      </c>
      <c r="M10" s="25">
        <f t="shared" si="4"/>
        <v>3.2</v>
      </c>
      <c r="N10" s="22">
        <v>7</v>
      </c>
      <c r="O10" s="22" t="str">
        <f t="shared" si="5"/>
        <v>Passive</v>
      </c>
      <c r="P10" s="30">
        <f t="shared" si="6"/>
        <v>3</v>
      </c>
      <c r="Q10" s="35">
        <f t="shared" si="7"/>
        <v>0.98</v>
      </c>
      <c r="R10" s="22">
        <f t="shared" si="8"/>
        <v>0</v>
      </c>
      <c r="S10" s="22" t="str">
        <f t="shared" si="9"/>
        <v>Low</v>
      </c>
    </row>
    <row r="11" spans="1:19" x14ac:dyDescent="0.3">
      <c r="A11" s="22" t="s">
        <v>140</v>
      </c>
      <c r="B11" t="str">
        <f t="shared" si="0"/>
        <v>Pooja Das</v>
      </c>
      <c r="C11" t="str">
        <f t="shared" si="1"/>
        <v>Finance</v>
      </c>
      <c r="D11" t="str">
        <f t="shared" si="2"/>
        <v>Arvind Rao (CEO)</v>
      </c>
      <c r="E11" s="30" t="str">
        <f t="shared" si="3"/>
        <v>Active</v>
      </c>
      <c r="F11" s="22" t="s">
        <v>1700</v>
      </c>
      <c r="G11" s="24">
        <v>3.4</v>
      </c>
      <c r="H11" s="24">
        <v>3.2</v>
      </c>
      <c r="I11" s="24">
        <v>3.1</v>
      </c>
      <c r="J11" s="24">
        <v>3.5</v>
      </c>
      <c r="K11" s="24">
        <v>3.5</v>
      </c>
      <c r="L11" s="24">
        <v>3.7</v>
      </c>
      <c r="M11" s="25">
        <f t="shared" si="4"/>
        <v>3.4</v>
      </c>
      <c r="N11" s="22">
        <v>9</v>
      </c>
      <c r="O11" s="22" t="str">
        <f t="shared" si="5"/>
        <v>Promoter</v>
      </c>
      <c r="P11" s="30">
        <f t="shared" si="6"/>
        <v>2</v>
      </c>
      <c r="Q11" s="35">
        <f t="shared" si="7"/>
        <v>0.99</v>
      </c>
      <c r="R11" s="22">
        <f t="shared" si="8"/>
        <v>0</v>
      </c>
      <c r="S11" s="22" t="str">
        <f t="shared" si="9"/>
        <v>Low</v>
      </c>
    </row>
    <row r="12" spans="1:19" x14ac:dyDescent="0.3">
      <c r="A12" s="22" t="s">
        <v>144</v>
      </c>
      <c r="B12" t="str">
        <f t="shared" si="0"/>
        <v>Trisha Patel</v>
      </c>
      <c r="C12" t="str">
        <f t="shared" si="1"/>
        <v>Product</v>
      </c>
      <c r="D12" t="str">
        <f t="shared" si="2"/>
        <v>Dev Bose</v>
      </c>
      <c r="E12" s="30" t="str">
        <f t="shared" si="3"/>
        <v>Active</v>
      </c>
      <c r="F12" s="22" t="s">
        <v>1700</v>
      </c>
      <c r="G12" s="24">
        <v>2.5</v>
      </c>
      <c r="H12" s="24">
        <v>3.3</v>
      </c>
      <c r="I12" s="24">
        <v>2.8</v>
      </c>
      <c r="J12" s="24">
        <v>2.6</v>
      </c>
      <c r="K12" s="24">
        <v>3.3</v>
      </c>
      <c r="L12" s="24">
        <v>2.9</v>
      </c>
      <c r="M12" s="25">
        <f t="shared" si="4"/>
        <v>2.9</v>
      </c>
      <c r="N12" s="22">
        <v>6</v>
      </c>
      <c r="O12" s="22" t="str">
        <f t="shared" si="5"/>
        <v>Detractor</v>
      </c>
      <c r="P12" s="30">
        <f t="shared" si="6"/>
        <v>3</v>
      </c>
      <c r="Q12" s="35">
        <f t="shared" si="7"/>
        <v>1.05</v>
      </c>
      <c r="R12" s="22">
        <f t="shared" si="8"/>
        <v>2</v>
      </c>
      <c r="S12" s="22" t="str">
        <f t="shared" si="9"/>
        <v>Medium</v>
      </c>
    </row>
    <row r="13" spans="1:19" x14ac:dyDescent="0.3">
      <c r="A13" s="22" t="s">
        <v>150</v>
      </c>
      <c r="B13" t="str">
        <f t="shared" si="0"/>
        <v>Krishna Kumar</v>
      </c>
      <c r="C13" t="str">
        <f t="shared" si="1"/>
        <v>Operations</v>
      </c>
      <c r="D13" t="str">
        <f t="shared" si="2"/>
        <v>Amit Kumar</v>
      </c>
      <c r="E13" s="30" t="str">
        <f t="shared" si="3"/>
        <v>Active</v>
      </c>
      <c r="F13" s="22" t="s">
        <v>1700</v>
      </c>
      <c r="G13" s="24">
        <v>2.8</v>
      </c>
      <c r="H13" s="24">
        <v>2.6</v>
      </c>
      <c r="I13" s="24">
        <v>3.6</v>
      </c>
      <c r="J13" s="24">
        <v>3.3</v>
      </c>
      <c r="K13" s="24">
        <v>2.6</v>
      </c>
      <c r="L13" s="24">
        <v>2.1</v>
      </c>
      <c r="M13" s="25">
        <f t="shared" si="4"/>
        <v>2.83</v>
      </c>
      <c r="N13" s="22">
        <v>8</v>
      </c>
      <c r="O13" s="22" t="str">
        <f t="shared" si="5"/>
        <v>Passive</v>
      </c>
      <c r="P13" s="30">
        <f t="shared" si="6"/>
        <v>3</v>
      </c>
      <c r="Q13" s="35">
        <f t="shared" si="7"/>
        <v>0.73</v>
      </c>
      <c r="R13" s="22">
        <f t="shared" si="8"/>
        <v>2</v>
      </c>
      <c r="S13" s="22" t="str">
        <f t="shared" si="9"/>
        <v>Medium</v>
      </c>
    </row>
    <row r="14" spans="1:19" x14ac:dyDescent="0.3">
      <c r="A14" s="22" t="s">
        <v>157</v>
      </c>
      <c r="B14" t="str">
        <f t="shared" si="0"/>
        <v>Ramya Khanna</v>
      </c>
      <c r="C14" t="str">
        <f t="shared" si="1"/>
        <v>Legal &amp; Compliance</v>
      </c>
      <c r="D14" t="str">
        <f t="shared" si="2"/>
        <v>Lakshmi Subramanian</v>
      </c>
      <c r="E14" s="30" t="str">
        <f t="shared" si="3"/>
        <v>Active</v>
      </c>
      <c r="F14" s="22" t="s">
        <v>1700</v>
      </c>
      <c r="G14" s="24">
        <v>3.6</v>
      </c>
      <c r="H14" s="24">
        <v>3.5</v>
      </c>
      <c r="I14" s="24">
        <v>3.7</v>
      </c>
      <c r="J14" s="24">
        <v>3.5</v>
      </c>
      <c r="K14" s="24">
        <v>2.7</v>
      </c>
      <c r="L14" s="24">
        <v>3</v>
      </c>
      <c r="M14" s="25">
        <f t="shared" si="4"/>
        <v>3.33</v>
      </c>
      <c r="N14" s="22">
        <v>8</v>
      </c>
      <c r="O14" s="22" t="str">
        <f t="shared" si="5"/>
        <v>Passive</v>
      </c>
      <c r="P14" s="30">
        <f t="shared" si="6"/>
        <v>3</v>
      </c>
      <c r="Q14" s="35">
        <f t="shared" si="7"/>
        <v>0.93</v>
      </c>
      <c r="R14" s="22">
        <f t="shared" si="8"/>
        <v>0</v>
      </c>
      <c r="S14" s="22" t="str">
        <f t="shared" si="9"/>
        <v>Low</v>
      </c>
    </row>
    <row r="15" spans="1:19" x14ac:dyDescent="0.3">
      <c r="A15" s="22" t="s">
        <v>163</v>
      </c>
      <c r="B15" t="str">
        <f t="shared" si="0"/>
        <v>Rashmi Jain</v>
      </c>
      <c r="C15" t="str">
        <f t="shared" si="1"/>
        <v>Human Resources</v>
      </c>
      <c r="D15" t="str">
        <f t="shared" si="2"/>
        <v>Akash Das</v>
      </c>
      <c r="E15" s="30" t="str">
        <f t="shared" si="3"/>
        <v>Active</v>
      </c>
      <c r="F15" s="22" t="s">
        <v>1700</v>
      </c>
      <c r="G15" s="24">
        <v>3.4</v>
      </c>
      <c r="H15" s="24">
        <v>3.4</v>
      </c>
      <c r="I15" s="24">
        <v>3.7</v>
      </c>
      <c r="J15" s="24">
        <v>2.5</v>
      </c>
      <c r="K15" s="24">
        <v>3.2</v>
      </c>
      <c r="L15" s="24">
        <v>3.5</v>
      </c>
      <c r="M15" s="25">
        <f t="shared" si="4"/>
        <v>3.28</v>
      </c>
      <c r="N15" s="22">
        <v>8</v>
      </c>
      <c r="O15" s="22" t="str">
        <f t="shared" si="5"/>
        <v>Passive</v>
      </c>
      <c r="P15" s="30">
        <f t="shared" si="6"/>
        <v>3</v>
      </c>
      <c r="Q15" s="35">
        <f t="shared" si="7"/>
        <v>0.93</v>
      </c>
      <c r="R15" s="22">
        <f t="shared" si="8"/>
        <v>0</v>
      </c>
      <c r="S15" s="22" t="str">
        <f t="shared" si="9"/>
        <v>Low</v>
      </c>
    </row>
    <row r="16" spans="1:19" x14ac:dyDescent="0.3">
      <c r="A16" s="22" t="s">
        <v>169</v>
      </c>
      <c r="B16" t="str">
        <f t="shared" si="0"/>
        <v>Ajay Ansari</v>
      </c>
      <c r="C16" t="str">
        <f t="shared" si="1"/>
        <v>Operations</v>
      </c>
      <c r="D16" t="str">
        <f t="shared" si="2"/>
        <v>Ankit Khanna</v>
      </c>
      <c r="E16" s="30" t="str">
        <f t="shared" si="3"/>
        <v>Active</v>
      </c>
      <c r="F16" s="22" t="s">
        <v>1700</v>
      </c>
      <c r="G16" s="24">
        <v>3.7</v>
      </c>
      <c r="H16" s="24">
        <v>3.9</v>
      </c>
      <c r="I16" s="24">
        <v>3</v>
      </c>
      <c r="J16" s="24">
        <v>3.8</v>
      </c>
      <c r="K16" s="24">
        <v>3.4</v>
      </c>
      <c r="L16" s="24">
        <v>3.1</v>
      </c>
      <c r="M16" s="25">
        <f t="shared" si="4"/>
        <v>3.48</v>
      </c>
      <c r="N16" s="22">
        <v>9</v>
      </c>
      <c r="O16" s="22" t="str">
        <f t="shared" si="5"/>
        <v>Promoter</v>
      </c>
      <c r="P16" s="30">
        <f t="shared" si="6"/>
        <v>4</v>
      </c>
      <c r="Q16" s="35">
        <f t="shared" si="7"/>
        <v>0.85</v>
      </c>
      <c r="R16" s="22">
        <f t="shared" si="8"/>
        <v>2</v>
      </c>
      <c r="S16" s="22" t="str">
        <f t="shared" si="9"/>
        <v>Medium</v>
      </c>
    </row>
    <row r="17" spans="1:19" x14ac:dyDescent="0.3">
      <c r="A17" s="22" t="s">
        <v>172</v>
      </c>
      <c r="B17" t="str">
        <f t="shared" si="0"/>
        <v>Isha Verma</v>
      </c>
      <c r="C17" t="str">
        <f t="shared" si="1"/>
        <v>Customer Support</v>
      </c>
      <c r="D17" t="str">
        <f t="shared" si="2"/>
        <v>Akash Dsouza</v>
      </c>
      <c r="E17" s="30" t="str">
        <f t="shared" si="3"/>
        <v>Active</v>
      </c>
      <c r="F17" s="22" t="s">
        <v>1700</v>
      </c>
      <c r="G17" s="24">
        <v>2.8</v>
      </c>
      <c r="H17" s="24">
        <v>2.6</v>
      </c>
      <c r="I17" s="24">
        <v>4</v>
      </c>
      <c r="J17" s="24">
        <v>2.9</v>
      </c>
      <c r="K17" s="24">
        <v>3.2</v>
      </c>
      <c r="L17" s="24">
        <v>3.5</v>
      </c>
      <c r="M17" s="25">
        <f t="shared" si="4"/>
        <v>3.17</v>
      </c>
      <c r="N17" s="22">
        <v>9</v>
      </c>
      <c r="O17" s="22" t="str">
        <f t="shared" si="5"/>
        <v>Promoter</v>
      </c>
      <c r="P17" s="30">
        <f t="shared" si="6"/>
        <v>3</v>
      </c>
      <c r="Q17" s="35">
        <f t="shared" si="7"/>
        <v>0.82</v>
      </c>
      <c r="R17" s="22">
        <f t="shared" si="8"/>
        <v>1</v>
      </c>
      <c r="S17" s="22" t="str">
        <f t="shared" si="9"/>
        <v>Low</v>
      </c>
    </row>
    <row r="18" spans="1:19" x14ac:dyDescent="0.3">
      <c r="A18" s="22" t="s">
        <v>178</v>
      </c>
      <c r="B18" t="str">
        <f t="shared" si="0"/>
        <v>Pooja Naidu</v>
      </c>
      <c r="C18" t="str">
        <f t="shared" si="1"/>
        <v>Engineering</v>
      </c>
      <c r="D18" t="str">
        <f t="shared" si="2"/>
        <v>Harsh Siddiqui</v>
      </c>
      <c r="E18" s="30" t="str">
        <f t="shared" si="3"/>
        <v>Active</v>
      </c>
      <c r="F18" s="22" t="s">
        <v>1700</v>
      </c>
      <c r="G18" s="24">
        <v>3.9</v>
      </c>
      <c r="H18" s="24">
        <v>4</v>
      </c>
      <c r="I18" s="24">
        <v>3.4</v>
      </c>
      <c r="J18" s="24">
        <v>3.6</v>
      </c>
      <c r="K18" s="24">
        <v>4</v>
      </c>
      <c r="L18" s="24">
        <v>4.5</v>
      </c>
      <c r="M18" s="25">
        <f t="shared" si="4"/>
        <v>3.9</v>
      </c>
      <c r="N18" s="22">
        <v>10</v>
      </c>
      <c r="O18" s="22" t="str">
        <f t="shared" si="5"/>
        <v>Promoter</v>
      </c>
      <c r="P18" s="30">
        <f t="shared" si="6"/>
        <v>5</v>
      </c>
      <c r="Q18" s="35">
        <f t="shared" si="7"/>
        <v>1.28</v>
      </c>
      <c r="R18" s="22">
        <f t="shared" si="8"/>
        <v>1</v>
      </c>
      <c r="S18" s="22" t="str">
        <f t="shared" si="9"/>
        <v>Low</v>
      </c>
    </row>
    <row r="19" spans="1:19" x14ac:dyDescent="0.3">
      <c r="A19" s="22" t="s">
        <v>184</v>
      </c>
      <c r="B19" t="str">
        <f t="shared" si="0"/>
        <v>Isha Chatterjee</v>
      </c>
      <c r="C19" t="str">
        <f t="shared" si="1"/>
        <v>Marketing</v>
      </c>
      <c r="D19" t="str">
        <f t="shared" si="2"/>
        <v>Aishwarya Mukherjee</v>
      </c>
      <c r="E19" s="30" t="str">
        <f t="shared" si="3"/>
        <v>Exited</v>
      </c>
      <c r="F19" s="22" t="s">
        <v>1701</v>
      </c>
      <c r="G19" s="24">
        <v>3.2</v>
      </c>
      <c r="H19" s="24">
        <v>3.4</v>
      </c>
      <c r="I19" s="24">
        <v>4.3</v>
      </c>
      <c r="J19" s="24">
        <v>4</v>
      </c>
      <c r="K19" s="24">
        <v>3.1</v>
      </c>
      <c r="L19" s="24">
        <v>2.7</v>
      </c>
      <c r="M19" s="25">
        <f t="shared" si="4"/>
        <v>3.45</v>
      </c>
      <c r="N19" s="22">
        <v>7</v>
      </c>
      <c r="O19" s="22" t="str">
        <f t="shared" si="5"/>
        <v>Passive</v>
      </c>
      <c r="P19" s="30">
        <f t="shared" si="6"/>
        <v>5</v>
      </c>
      <c r="Q19" s="35">
        <f t="shared" si="7"/>
        <v>0.94</v>
      </c>
      <c r="R19" s="22">
        <f t="shared" si="8"/>
        <v>1</v>
      </c>
      <c r="S19" s="22" t="str">
        <f t="shared" si="9"/>
        <v>Exited</v>
      </c>
    </row>
    <row r="20" spans="1:19" x14ac:dyDescent="0.3">
      <c r="A20" s="22" t="s">
        <v>191</v>
      </c>
      <c r="B20" t="str">
        <f t="shared" si="0"/>
        <v>Fatima Reddy</v>
      </c>
      <c r="C20" t="str">
        <f t="shared" si="1"/>
        <v>Sales</v>
      </c>
      <c r="D20" t="str">
        <f t="shared" si="2"/>
        <v>Srinivas Shah</v>
      </c>
      <c r="E20" s="30" t="str">
        <f t="shared" si="3"/>
        <v>Active</v>
      </c>
      <c r="F20" s="22" t="s">
        <v>1700</v>
      </c>
      <c r="G20" s="24">
        <v>1.6</v>
      </c>
      <c r="H20" s="24">
        <v>3.2</v>
      </c>
      <c r="I20" s="24">
        <v>2.4</v>
      </c>
      <c r="J20" s="24">
        <v>2.1</v>
      </c>
      <c r="K20" s="24">
        <v>2.8</v>
      </c>
      <c r="L20" s="24">
        <v>1.9</v>
      </c>
      <c r="M20" s="25">
        <f t="shared" si="4"/>
        <v>2.33</v>
      </c>
      <c r="N20" s="22">
        <v>6</v>
      </c>
      <c r="O20" s="22" t="str">
        <f t="shared" si="5"/>
        <v>Detractor</v>
      </c>
      <c r="P20" s="30">
        <f t="shared" si="6"/>
        <v>3</v>
      </c>
      <c r="Q20" s="35">
        <f t="shared" si="7"/>
        <v>1.03</v>
      </c>
      <c r="R20" s="22">
        <f t="shared" si="8"/>
        <v>2</v>
      </c>
      <c r="S20" s="22" t="str">
        <f t="shared" si="9"/>
        <v>Medium</v>
      </c>
    </row>
    <row r="21" spans="1:19" x14ac:dyDescent="0.3">
      <c r="A21" s="22" t="s">
        <v>197</v>
      </c>
      <c r="B21" t="str">
        <f t="shared" si="0"/>
        <v>Naveen Subramanian</v>
      </c>
      <c r="C21" t="str">
        <f t="shared" si="1"/>
        <v>Customer Support</v>
      </c>
      <c r="D21" t="str">
        <f t="shared" si="2"/>
        <v>Ashish Varghese</v>
      </c>
      <c r="E21" s="30" t="str">
        <f t="shared" si="3"/>
        <v>Active</v>
      </c>
      <c r="F21" s="22" t="s">
        <v>1700</v>
      </c>
      <c r="G21" s="24">
        <v>3.4</v>
      </c>
      <c r="H21" s="24">
        <v>3.1</v>
      </c>
      <c r="I21" s="24">
        <v>3.8</v>
      </c>
      <c r="J21" s="24">
        <v>3.3</v>
      </c>
      <c r="K21" s="24">
        <v>3.9</v>
      </c>
      <c r="L21" s="24">
        <v>2.9</v>
      </c>
      <c r="M21" s="25">
        <f t="shared" si="4"/>
        <v>3.4</v>
      </c>
      <c r="N21" s="22">
        <v>7</v>
      </c>
      <c r="O21" s="22" t="str">
        <f t="shared" si="5"/>
        <v>Passive</v>
      </c>
      <c r="P21" s="30">
        <f t="shared" si="6"/>
        <v>3</v>
      </c>
      <c r="Q21" s="35">
        <f t="shared" si="7"/>
        <v>0.74</v>
      </c>
      <c r="R21" s="22">
        <f t="shared" si="8"/>
        <v>1</v>
      </c>
      <c r="S21" s="22" t="str">
        <f t="shared" si="9"/>
        <v>Low</v>
      </c>
    </row>
    <row r="22" spans="1:19" x14ac:dyDescent="0.3">
      <c r="A22" s="22" t="s">
        <v>203</v>
      </c>
      <c r="B22" t="str">
        <f t="shared" si="0"/>
        <v>Arun Mukherjee</v>
      </c>
      <c r="C22" t="str">
        <f t="shared" si="1"/>
        <v>Data &amp; Analytics</v>
      </c>
      <c r="D22" t="str">
        <f t="shared" si="2"/>
        <v>Trisha Jain</v>
      </c>
      <c r="E22" s="30" t="str">
        <f t="shared" si="3"/>
        <v>Active</v>
      </c>
      <c r="F22" s="22" t="s">
        <v>1700</v>
      </c>
      <c r="G22" s="24">
        <v>3.7</v>
      </c>
      <c r="H22" s="24">
        <v>3.6</v>
      </c>
      <c r="I22" s="24">
        <v>4</v>
      </c>
      <c r="J22" s="24">
        <v>3.2</v>
      </c>
      <c r="K22" s="24">
        <v>3.2</v>
      </c>
      <c r="L22" s="24">
        <v>3.5</v>
      </c>
      <c r="M22" s="25">
        <f t="shared" si="4"/>
        <v>3.53</v>
      </c>
      <c r="N22" s="22">
        <v>10</v>
      </c>
      <c r="O22" s="22" t="str">
        <f t="shared" si="5"/>
        <v>Promoter</v>
      </c>
      <c r="P22" s="30">
        <f t="shared" si="6"/>
        <v>3</v>
      </c>
      <c r="Q22" s="35">
        <f t="shared" si="7"/>
        <v>1.2</v>
      </c>
      <c r="R22" s="22">
        <f t="shared" si="8"/>
        <v>0</v>
      </c>
      <c r="S22" s="22" t="str">
        <f t="shared" si="9"/>
        <v>Low</v>
      </c>
    </row>
    <row r="23" spans="1:19" x14ac:dyDescent="0.3">
      <c r="A23" s="22" t="s">
        <v>209</v>
      </c>
      <c r="B23" t="str">
        <f t="shared" si="0"/>
        <v>Arun Joshi</v>
      </c>
      <c r="C23" t="str">
        <f t="shared" si="1"/>
        <v>Data &amp; Analytics</v>
      </c>
      <c r="D23" t="str">
        <f t="shared" si="2"/>
        <v>Arun Mukherjee</v>
      </c>
      <c r="E23" s="30" t="str">
        <f t="shared" si="3"/>
        <v>Active</v>
      </c>
      <c r="F23" s="22" t="s">
        <v>1700</v>
      </c>
      <c r="G23" s="24">
        <v>2.8</v>
      </c>
      <c r="H23" s="24">
        <v>2.9</v>
      </c>
      <c r="I23" s="24">
        <v>3.2</v>
      </c>
      <c r="J23" s="24">
        <v>2.7</v>
      </c>
      <c r="K23" s="24">
        <v>3</v>
      </c>
      <c r="L23" s="24">
        <v>3.8</v>
      </c>
      <c r="M23" s="25">
        <f t="shared" si="4"/>
        <v>3.07</v>
      </c>
      <c r="N23" s="22">
        <v>10</v>
      </c>
      <c r="O23" s="22" t="str">
        <f t="shared" si="5"/>
        <v>Promoter</v>
      </c>
      <c r="P23" s="30">
        <f t="shared" si="6"/>
        <v>3</v>
      </c>
      <c r="Q23" s="35">
        <f t="shared" si="7"/>
        <v>1.08</v>
      </c>
      <c r="R23" s="22">
        <f t="shared" si="8"/>
        <v>0</v>
      </c>
      <c r="S23" s="22" t="str">
        <f t="shared" si="9"/>
        <v>Low</v>
      </c>
    </row>
    <row r="24" spans="1:19" x14ac:dyDescent="0.3">
      <c r="A24" s="22" t="s">
        <v>214</v>
      </c>
      <c r="B24" t="str">
        <f t="shared" si="0"/>
        <v>Ashish Prabhu</v>
      </c>
      <c r="C24" t="str">
        <f t="shared" si="1"/>
        <v>Operations</v>
      </c>
      <c r="D24" t="str">
        <f t="shared" si="2"/>
        <v>Ajay Kumar</v>
      </c>
      <c r="E24" s="30" t="str">
        <f t="shared" si="3"/>
        <v>Active</v>
      </c>
      <c r="F24" s="22" t="s">
        <v>1700</v>
      </c>
      <c r="G24" s="24">
        <v>3.2</v>
      </c>
      <c r="H24" s="24">
        <v>2.4</v>
      </c>
      <c r="I24" s="24">
        <v>4</v>
      </c>
      <c r="J24" s="24">
        <v>3.9</v>
      </c>
      <c r="K24" s="24">
        <v>3.6</v>
      </c>
      <c r="L24" s="24">
        <v>3.8</v>
      </c>
      <c r="M24" s="25">
        <f t="shared" si="4"/>
        <v>3.48</v>
      </c>
      <c r="N24" s="22">
        <v>8</v>
      </c>
      <c r="O24" s="22" t="str">
        <f t="shared" si="5"/>
        <v>Passive</v>
      </c>
      <c r="P24" s="30">
        <f t="shared" si="6"/>
        <v>3</v>
      </c>
      <c r="Q24" s="35">
        <f t="shared" si="7"/>
        <v>0.81</v>
      </c>
      <c r="R24" s="22">
        <f t="shared" si="8"/>
        <v>1</v>
      </c>
      <c r="S24" s="22" t="str">
        <f t="shared" si="9"/>
        <v>Low</v>
      </c>
    </row>
    <row r="25" spans="1:19" x14ac:dyDescent="0.3">
      <c r="A25" s="22" t="s">
        <v>221</v>
      </c>
      <c r="B25" t="str">
        <f t="shared" si="0"/>
        <v>Priyanka Naidu</v>
      </c>
      <c r="C25" t="str">
        <f t="shared" si="1"/>
        <v>Human Resources</v>
      </c>
      <c r="D25" t="str">
        <f t="shared" si="2"/>
        <v>Ajay Patel</v>
      </c>
      <c r="E25" s="30" t="str">
        <f t="shared" si="3"/>
        <v>Active</v>
      </c>
      <c r="F25" s="22" t="s">
        <v>1701</v>
      </c>
      <c r="G25" s="24">
        <v>3.2</v>
      </c>
      <c r="H25" s="24">
        <v>3.6</v>
      </c>
      <c r="I25" s="24">
        <v>3.6</v>
      </c>
      <c r="J25" s="24">
        <v>3.7</v>
      </c>
      <c r="K25" s="24">
        <v>3.2</v>
      </c>
      <c r="L25" s="24">
        <v>3.9</v>
      </c>
      <c r="M25" s="25">
        <f t="shared" si="4"/>
        <v>3.53</v>
      </c>
      <c r="N25" s="22">
        <v>8</v>
      </c>
      <c r="O25" s="22" t="str">
        <f t="shared" si="5"/>
        <v>Passive</v>
      </c>
      <c r="P25" s="30">
        <f t="shared" si="6"/>
        <v>4</v>
      </c>
      <c r="Q25" s="35">
        <f t="shared" si="7"/>
        <v>1.02</v>
      </c>
      <c r="R25" s="22">
        <f t="shared" si="8"/>
        <v>1</v>
      </c>
      <c r="S25" s="22" t="str">
        <f t="shared" si="9"/>
        <v>Low</v>
      </c>
    </row>
    <row r="26" spans="1:19" x14ac:dyDescent="0.3">
      <c r="A26" s="22" t="s">
        <v>227</v>
      </c>
      <c r="B26" t="str">
        <f t="shared" si="0"/>
        <v>Nikhil Agarwal</v>
      </c>
      <c r="C26" t="str">
        <f t="shared" si="1"/>
        <v>Sales</v>
      </c>
      <c r="D26" t="str">
        <f t="shared" si="2"/>
        <v>Joseph Varghese</v>
      </c>
      <c r="E26" s="30" t="str">
        <f t="shared" si="3"/>
        <v>Active</v>
      </c>
      <c r="F26" s="22" t="s">
        <v>1701</v>
      </c>
      <c r="G26" s="24">
        <v>3</v>
      </c>
      <c r="H26" s="24">
        <v>3.5</v>
      </c>
      <c r="I26" s="24">
        <v>2.9</v>
      </c>
      <c r="J26" s="24">
        <v>3.3</v>
      </c>
      <c r="K26" s="24">
        <v>3.3</v>
      </c>
      <c r="L26" s="24">
        <v>2.6</v>
      </c>
      <c r="M26" s="25">
        <f t="shared" si="4"/>
        <v>3.1</v>
      </c>
      <c r="N26" s="22">
        <v>6</v>
      </c>
      <c r="O26" s="22" t="str">
        <f t="shared" si="5"/>
        <v>Detractor</v>
      </c>
      <c r="P26" s="30">
        <f t="shared" si="6"/>
        <v>2</v>
      </c>
      <c r="Q26" s="35">
        <f t="shared" si="7"/>
        <v>0.96</v>
      </c>
      <c r="R26" s="22">
        <f t="shared" si="8"/>
        <v>1</v>
      </c>
      <c r="S26" s="22" t="str">
        <f t="shared" si="9"/>
        <v>Low</v>
      </c>
    </row>
    <row r="27" spans="1:19" x14ac:dyDescent="0.3">
      <c r="A27" s="22" t="s">
        <v>233</v>
      </c>
      <c r="B27" t="str">
        <f t="shared" si="0"/>
        <v>Revathi Rao</v>
      </c>
      <c r="C27" t="str">
        <f t="shared" si="1"/>
        <v>Sales</v>
      </c>
      <c r="D27" t="str">
        <f t="shared" si="2"/>
        <v>Yash Raghavan</v>
      </c>
      <c r="E27" s="30" t="str">
        <f t="shared" si="3"/>
        <v>Exited</v>
      </c>
      <c r="F27" s="22" t="s">
        <v>1701</v>
      </c>
      <c r="G27" s="24">
        <v>3</v>
      </c>
      <c r="H27" s="24">
        <v>2.6</v>
      </c>
      <c r="I27" s="24">
        <v>2.8</v>
      </c>
      <c r="J27" s="24">
        <v>2.7</v>
      </c>
      <c r="K27" s="24">
        <v>2.1</v>
      </c>
      <c r="L27" s="24">
        <v>3</v>
      </c>
      <c r="M27" s="25">
        <f t="shared" si="4"/>
        <v>2.7</v>
      </c>
      <c r="N27" s="22">
        <v>6</v>
      </c>
      <c r="O27" s="22" t="str">
        <f t="shared" si="5"/>
        <v>Detractor</v>
      </c>
      <c r="P27" s="30">
        <f t="shared" si="6"/>
        <v>3</v>
      </c>
      <c r="Q27" s="35">
        <f t="shared" si="7"/>
        <v>1.1100000000000001</v>
      </c>
      <c r="R27" s="22">
        <f t="shared" si="8"/>
        <v>2</v>
      </c>
      <c r="S27" s="22" t="str">
        <f t="shared" si="9"/>
        <v>Exited</v>
      </c>
    </row>
    <row r="28" spans="1:19" x14ac:dyDescent="0.3">
      <c r="A28" s="22" t="s">
        <v>239</v>
      </c>
      <c r="B28" t="str">
        <f t="shared" si="0"/>
        <v>Yash Yadav</v>
      </c>
      <c r="C28" t="str">
        <f t="shared" si="1"/>
        <v>Engineering</v>
      </c>
      <c r="D28" t="str">
        <f t="shared" si="2"/>
        <v>Bhavana Hegde</v>
      </c>
      <c r="E28" s="30" t="str">
        <f t="shared" si="3"/>
        <v>Active</v>
      </c>
      <c r="F28" s="22" t="s">
        <v>1701</v>
      </c>
      <c r="G28" s="24">
        <v>2.8</v>
      </c>
      <c r="H28" s="24">
        <v>3.8</v>
      </c>
      <c r="I28" s="24">
        <v>3.7</v>
      </c>
      <c r="J28" s="24">
        <v>3.5</v>
      </c>
      <c r="K28" s="24">
        <v>3.9</v>
      </c>
      <c r="L28" s="24">
        <v>4</v>
      </c>
      <c r="M28" s="25">
        <f t="shared" si="4"/>
        <v>3.62</v>
      </c>
      <c r="N28" s="22">
        <v>8</v>
      </c>
      <c r="O28" s="22" t="str">
        <f t="shared" si="5"/>
        <v>Passive</v>
      </c>
      <c r="P28" s="30">
        <f t="shared" si="6"/>
        <v>3</v>
      </c>
      <c r="Q28" s="35">
        <f t="shared" si="7"/>
        <v>0.99</v>
      </c>
      <c r="R28" s="22">
        <f t="shared" si="8"/>
        <v>0</v>
      </c>
      <c r="S28" s="22" t="str">
        <f t="shared" si="9"/>
        <v>Low</v>
      </c>
    </row>
    <row r="29" spans="1:19" x14ac:dyDescent="0.3">
      <c r="A29" s="22" t="s">
        <v>245</v>
      </c>
      <c r="B29" t="str">
        <f t="shared" si="0"/>
        <v>Gayatri Krishnan</v>
      </c>
      <c r="C29" t="str">
        <f t="shared" si="1"/>
        <v>Operations</v>
      </c>
      <c r="D29" t="str">
        <f t="shared" si="2"/>
        <v>Ajay Kumar</v>
      </c>
      <c r="E29" s="30" t="str">
        <f t="shared" si="3"/>
        <v>Exited</v>
      </c>
      <c r="F29" s="22" t="s">
        <v>1700</v>
      </c>
      <c r="G29" s="24">
        <v>2.2000000000000002</v>
      </c>
      <c r="H29" s="24">
        <v>2.9</v>
      </c>
      <c r="I29" s="24">
        <v>3.1</v>
      </c>
      <c r="J29" s="24">
        <v>3.1</v>
      </c>
      <c r="K29" s="24">
        <v>2.6</v>
      </c>
      <c r="L29" s="24">
        <v>2.5</v>
      </c>
      <c r="M29" s="25">
        <f t="shared" si="4"/>
        <v>2.73</v>
      </c>
      <c r="N29" s="22">
        <v>6</v>
      </c>
      <c r="O29" s="22" t="str">
        <f t="shared" si="5"/>
        <v>Detractor</v>
      </c>
      <c r="P29" s="30">
        <f t="shared" si="6"/>
        <v>3</v>
      </c>
      <c r="Q29" s="35">
        <f t="shared" si="7"/>
        <v>0.8</v>
      </c>
      <c r="R29" s="22">
        <f t="shared" si="8"/>
        <v>3</v>
      </c>
      <c r="S29" s="22" t="str">
        <f t="shared" si="9"/>
        <v>Exited</v>
      </c>
    </row>
    <row r="30" spans="1:19" x14ac:dyDescent="0.3">
      <c r="A30" s="22" t="s">
        <v>248</v>
      </c>
      <c r="B30" t="str">
        <f t="shared" si="0"/>
        <v>Nisha Jain</v>
      </c>
      <c r="C30" t="str">
        <f t="shared" si="1"/>
        <v>Customer Support</v>
      </c>
      <c r="D30" t="str">
        <f t="shared" si="2"/>
        <v>Vidya Chatterjee</v>
      </c>
      <c r="E30" s="30" t="str">
        <f t="shared" si="3"/>
        <v>Active</v>
      </c>
      <c r="F30" s="22" t="s">
        <v>1700</v>
      </c>
      <c r="G30" s="24">
        <v>3.6</v>
      </c>
      <c r="H30" s="24">
        <v>3.7</v>
      </c>
      <c r="I30" s="24">
        <v>4.0999999999999996</v>
      </c>
      <c r="J30" s="24">
        <v>3.6</v>
      </c>
      <c r="K30" s="24">
        <v>3.7</v>
      </c>
      <c r="L30" s="24">
        <v>3.8</v>
      </c>
      <c r="M30" s="25">
        <f t="shared" si="4"/>
        <v>3.75</v>
      </c>
      <c r="N30" s="22">
        <v>9</v>
      </c>
      <c r="O30" s="22" t="str">
        <f t="shared" si="5"/>
        <v>Promoter</v>
      </c>
      <c r="P30" s="30">
        <f t="shared" si="6"/>
        <v>4</v>
      </c>
      <c r="Q30" s="35">
        <f t="shared" si="7"/>
        <v>0.62</v>
      </c>
      <c r="R30" s="22">
        <f t="shared" si="8"/>
        <v>2</v>
      </c>
      <c r="S30" s="22" t="str">
        <f t="shared" si="9"/>
        <v>Medium</v>
      </c>
    </row>
    <row r="31" spans="1:19" x14ac:dyDescent="0.3">
      <c r="A31" s="22" t="s">
        <v>254</v>
      </c>
      <c r="B31" t="str">
        <f t="shared" si="0"/>
        <v>Rashmi Ansari</v>
      </c>
      <c r="C31" t="str">
        <f t="shared" si="1"/>
        <v>Finance</v>
      </c>
      <c r="D31" t="str">
        <f t="shared" si="2"/>
        <v>Ravi Prabhu</v>
      </c>
      <c r="E31" s="30" t="str">
        <f t="shared" si="3"/>
        <v>Active</v>
      </c>
      <c r="F31" s="22" t="s">
        <v>1700</v>
      </c>
      <c r="G31" s="24">
        <v>4</v>
      </c>
      <c r="H31" s="24">
        <v>3.9</v>
      </c>
      <c r="I31" s="24">
        <v>3.6</v>
      </c>
      <c r="J31" s="24">
        <v>3.9</v>
      </c>
      <c r="K31" s="24">
        <v>3.3</v>
      </c>
      <c r="L31" s="24">
        <v>4.0999999999999996</v>
      </c>
      <c r="M31" s="25">
        <f t="shared" si="4"/>
        <v>3.8</v>
      </c>
      <c r="N31" s="22">
        <v>8</v>
      </c>
      <c r="O31" s="22" t="str">
        <f t="shared" si="5"/>
        <v>Passive</v>
      </c>
      <c r="P31" s="30">
        <f t="shared" si="6"/>
        <v>3</v>
      </c>
      <c r="Q31" s="35">
        <f t="shared" si="7"/>
        <v>0.85</v>
      </c>
      <c r="R31" s="22">
        <f t="shared" si="8"/>
        <v>1</v>
      </c>
      <c r="S31" s="22" t="str">
        <f t="shared" si="9"/>
        <v>Low</v>
      </c>
    </row>
    <row r="32" spans="1:19" x14ac:dyDescent="0.3">
      <c r="A32" s="22" t="s">
        <v>260</v>
      </c>
      <c r="B32" t="str">
        <f t="shared" si="0"/>
        <v>Prakash Krishnan</v>
      </c>
      <c r="C32" t="str">
        <f t="shared" si="1"/>
        <v>Marketing</v>
      </c>
      <c r="D32" t="str">
        <f t="shared" si="2"/>
        <v>Nandini Iyer</v>
      </c>
      <c r="E32" s="30" t="str">
        <f t="shared" si="3"/>
        <v>Active</v>
      </c>
      <c r="F32" s="22" t="s">
        <v>1700</v>
      </c>
      <c r="G32" s="24">
        <v>3.4</v>
      </c>
      <c r="H32" s="24">
        <v>3.4</v>
      </c>
      <c r="I32" s="24">
        <v>3.7</v>
      </c>
      <c r="J32" s="24">
        <v>3.8</v>
      </c>
      <c r="K32" s="24">
        <v>3.6</v>
      </c>
      <c r="L32" s="24">
        <v>3.8</v>
      </c>
      <c r="M32" s="25">
        <f t="shared" si="4"/>
        <v>3.62</v>
      </c>
      <c r="N32" s="22">
        <v>7</v>
      </c>
      <c r="O32" s="22" t="str">
        <f t="shared" si="5"/>
        <v>Passive</v>
      </c>
      <c r="P32" s="30">
        <f t="shared" si="6"/>
        <v>4</v>
      </c>
      <c r="Q32" s="35">
        <f t="shared" si="7"/>
        <v>1.07</v>
      </c>
      <c r="R32" s="22">
        <f t="shared" si="8"/>
        <v>1</v>
      </c>
      <c r="S32" s="22" t="str">
        <f t="shared" si="9"/>
        <v>Low</v>
      </c>
    </row>
    <row r="33" spans="1:19" x14ac:dyDescent="0.3">
      <c r="A33" s="22" t="s">
        <v>264</v>
      </c>
      <c r="B33" t="str">
        <f t="shared" si="0"/>
        <v>Vishal Prabhu</v>
      </c>
      <c r="C33" t="str">
        <f t="shared" si="1"/>
        <v>Operations</v>
      </c>
      <c r="D33" t="str">
        <f t="shared" si="2"/>
        <v>Amit Kumar</v>
      </c>
      <c r="E33" s="30" t="str">
        <f t="shared" si="3"/>
        <v>Active</v>
      </c>
      <c r="F33" s="22" t="s">
        <v>1701</v>
      </c>
      <c r="G33" s="24">
        <v>3.4</v>
      </c>
      <c r="H33" s="24">
        <v>3</v>
      </c>
      <c r="I33" s="24">
        <v>3.5</v>
      </c>
      <c r="J33" s="24">
        <v>3.2</v>
      </c>
      <c r="K33" s="24">
        <v>3.1</v>
      </c>
      <c r="L33" s="24">
        <v>3.2</v>
      </c>
      <c r="M33" s="25">
        <f t="shared" si="4"/>
        <v>3.23</v>
      </c>
      <c r="N33" s="22">
        <v>6</v>
      </c>
      <c r="O33" s="22" t="str">
        <f t="shared" si="5"/>
        <v>Detractor</v>
      </c>
      <c r="P33" s="30">
        <f t="shared" si="6"/>
        <v>3</v>
      </c>
      <c r="Q33" s="35">
        <f t="shared" si="7"/>
        <v>0.83</v>
      </c>
      <c r="R33" s="22">
        <f t="shared" si="8"/>
        <v>2</v>
      </c>
      <c r="S33" s="22" t="str">
        <f t="shared" si="9"/>
        <v>Medium</v>
      </c>
    </row>
    <row r="34" spans="1:19" x14ac:dyDescent="0.3">
      <c r="A34" s="22" t="s">
        <v>267</v>
      </c>
      <c r="B34" t="str">
        <f t="shared" si="0"/>
        <v>Gayatri Tiwari</v>
      </c>
      <c r="C34" t="str">
        <f t="shared" si="1"/>
        <v>Sales</v>
      </c>
      <c r="D34" t="str">
        <f t="shared" si="2"/>
        <v>Akash Bansal</v>
      </c>
      <c r="E34" s="30" t="str">
        <f t="shared" si="3"/>
        <v>Active</v>
      </c>
      <c r="F34" s="22" t="s">
        <v>1700</v>
      </c>
      <c r="G34" s="24">
        <v>2.4</v>
      </c>
      <c r="H34" s="24">
        <v>1.8</v>
      </c>
      <c r="I34" s="24">
        <v>2</v>
      </c>
      <c r="J34" s="24">
        <v>2.2000000000000002</v>
      </c>
      <c r="K34" s="24">
        <v>2.2999999999999998</v>
      </c>
      <c r="L34" s="24">
        <v>1.9</v>
      </c>
      <c r="M34" s="25">
        <f t="shared" si="4"/>
        <v>2.1</v>
      </c>
      <c r="N34" s="22">
        <v>7</v>
      </c>
      <c r="O34" s="22" t="str">
        <f t="shared" si="5"/>
        <v>Passive</v>
      </c>
      <c r="P34" s="30">
        <f t="shared" si="6"/>
        <v>4</v>
      </c>
      <c r="Q34" s="35">
        <f t="shared" si="7"/>
        <v>0.81</v>
      </c>
      <c r="R34" s="22">
        <f t="shared" si="8"/>
        <v>3</v>
      </c>
      <c r="S34" s="22" t="str">
        <f t="shared" si="9"/>
        <v>High</v>
      </c>
    </row>
    <row r="35" spans="1:19" x14ac:dyDescent="0.3">
      <c r="A35" s="22" t="s">
        <v>273</v>
      </c>
      <c r="B35" t="str">
        <f t="shared" si="0"/>
        <v>Aditi Varghese</v>
      </c>
      <c r="C35" t="str">
        <f t="shared" si="1"/>
        <v>Engineering</v>
      </c>
      <c r="D35" t="str">
        <f t="shared" si="2"/>
        <v>Vikas Singh</v>
      </c>
      <c r="E35" s="30" t="str">
        <f t="shared" si="3"/>
        <v>Active</v>
      </c>
      <c r="F35" s="22" t="s">
        <v>1701</v>
      </c>
      <c r="G35" s="24">
        <v>2.6</v>
      </c>
      <c r="H35" s="24">
        <v>2.6</v>
      </c>
      <c r="I35" s="24">
        <v>2.9</v>
      </c>
      <c r="J35" s="24">
        <v>3</v>
      </c>
      <c r="K35" s="24">
        <v>2.5</v>
      </c>
      <c r="L35" s="24">
        <v>2.6</v>
      </c>
      <c r="M35" s="25">
        <f t="shared" si="4"/>
        <v>2.7</v>
      </c>
      <c r="N35" s="22">
        <v>9</v>
      </c>
      <c r="O35" s="22" t="str">
        <f t="shared" si="5"/>
        <v>Promoter</v>
      </c>
      <c r="P35" s="30">
        <f t="shared" si="6"/>
        <v>2</v>
      </c>
      <c r="Q35" s="35">
        <f t="shared" si="7"/>
        <v>1.04</v>
      </c>
      <c r="R35" s="22">
        <f t="shared" si="8"/>
        <v>1</v>
      </c>
      <c r="S35" s="22" t="str">
        <f t="shared" si="9"/>
        <v>Low</v>
      </c>
    </row>
    <row r="36" spans="1:19" x14ac:dyDescent="0.3">
      <c r="A36" s="22" t="s">
        <v>276</v>
      </c>
      <c r="B36" t="str">
        <f t="shared" si="0"/>
        <v>Dev Gupta</v>
      </c>
      <c r="C36" t="str">
        <f t="shared" si="1"/>
        <v>Operations</v>
      </c>
      <c r="D36" t="str">
        <f t="shared" si="2"/>
        <v>Ankit Khanna</v>
      </c>
      <c r="E36" s="30" t="str">
        <f t="shared" si="3"/>
        <v>Active</v>
      </c>
      <c r="F36" s="22" t="s">
        <v>1700</v>
      </c>
      <c r="G36" s="24">
        <v>3.1</v>
      </c>
      <c r="H36" s="24">
        <v>3.8</v>
      </c>
      <c r="I36" s="24">
        <v>4</v>
      </c>
      <c r="J36" s="24">
        <v>3.8</v>
      </c>
      <c r="K36" s="24">
        <v>3.3</v>
      </c>
      <c r="L36" s="24">
        <v>4.0999999999999996</v>
      </c>
      <c r="M36" s="25">
        <f t="shared" si="4"/>
        <v>3.68</v>
      </c>
      <c r="N36" s="22">
        <v>10</v>
      </c>
      <c r="O36" s="22" t="str">
        <f t="shared" si="5"/>
        <v>Promoter</v>
      </c>
      <c r="P36" s="30">
        <f t="shared" si="6"/>
        <v>4</v>
      </c>
      <c r="Q36" s="35">
        <f t="shared" si="7"/>
        <v>0.82</v>
      </c>
      <c r="R36" s="22">
        <f t="shared" si="8"/>
        <v>2</v>
      </c>
      <c r="S36" s="22" t="str">
        <f t="shared" si="9"/>
        <v>Medium</v>
      </c>
    </row>
    <row r="37" spans="1:19" x14ac:dyDescent="0.3">
      <c r="A37" s="22" t="s">
        <v>279</v>
      </c>
      <c r="B37" t="str">
        <f t="shared" si="0"/>
        <v>Anjali Thomas</v>
      </c>
      <c r="C37" t="str">
        <f t="shared" si="1"/>
        <v>Human Resources</v>
      </c>
      <c r="D37" t="str">
        <f t="shared" si="2"/>
        <v>Akash Das</v>
      </c>
      <c r="E37" s="30" t="str">
        <f t="shared" si="3"/>
        <v>Active</v>
      </c>
      <c r="F37" s="22" t="s">
        <v>1700</v>
      </c>
      <c r="G37" s="24">
        <v>3.1</v>
      </c>
      <c r="H37" s="24">
        <v>3</v>
      </c>
      <c r="I37" s="24">
        <v>2.6</v>
      </c>
      <c r="J37" s="24">
        <v>3.3</v>
      </c>
      <c r="K37" s="24">
        <v>2.7</v>
      </c>
      <c r="L37" s="24">
        <v>2.7</v>
      </c>
      <c r="M37" s="25">
        <f t="shared" si="4"/>
        <v>2.9</v>
      </c>
      <c r="N37" s="22">
        <v>9</v>
      </c>
      <c r="O37" s="22" t="str">
        <f t="shared" si="5"/>
        <v>Promoter</v>
      </c>
      <c r="P37" s="30">
        <f t="shared" si="6"/>
        <v>2</v>
      </c>
      <c r="Q37" s="35">
        <f t="shared" si="7"/>
        <v>0.9</v>
      </c>
      <c r="R37" s="22">
        <f t="shared" si="8"/>
        <v>1</v>
      </c>
      <c r="S37" s="22" t="str">
        <f t="shared" si="9"/>
        <v>Low</v>
      </c>
    </row>
    <row r="38" spans="1:19" x14ac:dyDescent="0.3">
      <c r="A38" s="22" t="s">
        <v>282</v>
      </c>
      <c r="B38" t="str">
        <f t="shared" si="0"/>
        <v>Aniket Khanna</v>
      </c>
      <c r="C38" t="str">
        <f t="shared" si="1"/>
        <v>Product</v>
      </c>
      <c r="D38" t="str">
        <f t="shared" si="2"/>
        <v>Mansi Pillai</v>
      </c>
      <c r="E38" s="30" t="str">
        <f t="shared" si="3"/>
        <v>Active</v>
      </c>
      <c r="F38" s="22" t="s">
        <v>1700</v>
      </c>
      <c r="G38" s="24">
        <v>3.4</v>
      </c>
      <c r="H38" s="24">
        <v>3.8</v>
      </c>
      <c r="I38" s="24">
        <v>4.2</v>
      </c>
      <c r="J38" s="24">
        <v>3.6</v>
      </c>
      <c r="K38" s="24">
        <v>3.3</v>
      </c>
      <c r="L38" s="24">
        <v>4.2</v>
      </c>
      <c r="M38" s="25">
        <f t="shared" si="4"/>
        <v>3.75</v>
      </c>
      <c r="N38" s="22">
        <v>9</v>
      </c>
      <c r="O38" s="22" t="str">
        <f t="shared" si="5"/>
        <v>Promoter</v>
      </c>
      <c r="P38" s="30">
        <f t="shared" si="6"/>
        <v>4</v>
      </c>
      <c r="Q38" s="35">
        <f t="shared" si="7"/>
        <v>0.91</v>
      </c>
      <c r="R38" s="22">
        <f t="shared" si="8"/>
        <v>1</v>
      </c>
      <c r="S38" s="22" t="str">
        <f t="shared" si="9"/>
        <v>Low</v>
      </c>
    </row>
    <row r="39" spans="1:19" x14ac:dyDescent="0.3">
      <c r="A39" s="22" t="s">
        <v>288</v>
      </c>
      <c r="B39" t="str">
        <f t="shared" si="0"/>
        <v>Varun Reddy</v>
      </c>
      <c r="C39" t="str">
        <f t="shared" si="1"/>
        <v>Customer Support</v>
      </c>
      <c r="D39" t="str">
        <f t="shared" si="2"/>
        <v>Anjali Iyer</v>
      </c>
      <c r="E39" s="30" t="str">
        <f t="shared" si="3"/>
        <v>Active</v>
      </c>
      <c r="F39" s="22" t="s">
        <v>1700</v>
      </c>
      <c r="G39" s="24">
        <v>4.4000000000000004</v>
      </c>
      <c r="H39" s="24">
        <v>4.5999999999999996</v>
      </c>
      <c r="I39" s="24">
        <v>4.4000000000000004</v>
      </c>
      <c r="J39" s="24">
        <v>4.4000000000000004</v>
      </c>
      <c r="K39" s="24">
        <v>4.4000000000000004</v>
      </c>
      <c r="L39" s="24">
        <v>3.6</v>
      </c>
      <c r="M39" s="25">
        <f t="shared" si="4"/>
        <v>4.3</v>
      </c>
      <c r="N39" s="22">
        <v>9</v>
      </c>
      <c r="O39" s="22" t="str">
        <f t="shared" si="5"/>
        <v>Promoter</v>
      </c>
      <c r="P39" s="30">
        <f t="shared" si="6"/>
        <v>5</v>
      </c>
      <c r="Q39" s="35">
        <f t="shared" si="7"/>
        <v>0.68</v>
      </c>
      <c r="R39" s="22">
        <f t="shared" si="8"/>
        <v>2</v>
      </c>
      <c r="S39" s="22" t="str">
        <f t="shared" si="9"/>
        <v>Medium</v>
      </c>
    </row>
    <row r="40" spans="1:19" x14ac:dyDescent="0.3">
      <c r="A40" s="22" t="s">
        <v>293</v>
      </c>
      <c r="B40" t="str">
        <f t="shared" si="0"/>
        <v>Karan Patel</v>
      </c>
      <c r="C40" t="str">
        <f t="shared" si="1"/>
        <v>Finance</v>
      </c>
      <c r="D40" t="str">
        <f t="shared" si="2"/>
        <v>Pooja Das</v>
      </c>
      <c r="E40" s="30" t="str">
        <f t="shared" si="3"/>
        <v>Active</v>
      </c>
      <c r="F40" s="22" t="s">
        <v>1700</v>
      </c>
      <c r="G40" s="24">
        <v>2.6</v>
      </c>
      <c r="H40" s="24">
        <v>3</v>
      </c>
      <c r="I40" s="24">
        <v>3.1</v>
      </c>
      <c r="J40" s="24">
        <v>2.5</v>
      </c>
      <c r="K40" s="24">
        <v>2.4</v>
      </c>
      <c r="L40" s="24">
        <v>2.8</v>
      </c>
      <c r="M40" s="25">
        <f t="shared" si="4"/>
        <v>2.73</v>
      </c>
      <c r="N40" s="22">
        <v>8</v>
      </c>
      <c r="O40" s="22" t="str">
        <f t="shared" si="5"/>
        <v>Passive</v>
      </c>
      <c r="P40" s="30">
        <f t="shared" si="6"/>
        <v>4</v>
      </c>
      <c r="Q40" s="35">
        <f t="shared" si="7"/>
        <v>1.1599999999999999</v>
      </c>
      <c r="R40" s="22">
        <f t="shared" si="8"/>
        <v>2</v>
      </c>
      <c r="S40" s="22" t="str">
        <f t="shared" si="9"/>
        <v>Medium</v>
      </c>
    </row>
    <row r="41" spans="1:19" x14ac:dyDescent="0.3">
      <c r="A41" s="22" t="s">
        <v>297</v>
      </c>
      <c r="B41" t="str">
        <f t="shared" si="0"/>
        <v>Sanjay Mehta</v>
      </c>
      <c r="C41" t="str">
        <f t="shared" si="1"/>
        <v>Human Resources</v>
      </c>
      <c r="D41" t="str">
        <f t="shared" si="2"/>
        <v>Prakash Das</v>
      </c>
      <c r="E41" s="30" t="str">
        <f t="shared" si="3"/>
        <v>Active</v>
      </c>
      <c r="F41" s="22" t="s">
        <v>1700</v>
      </c>
      <c r="G41" s="24">
        <v>2.7</v>
      </c>
      <c r="H41" s="24">
        <v>2.9</v>
      </c>
      <c r="I41" s="24">
        <v>2.4</v>
      </c>
      <c r="J41" s="24">
        <v>2.4</v>
      </c>
      <c r="K41" s="24">
        <v>1.8</v>
      </c>
      <c r="L41" s="24">
        <v>2.8</v>
      </c>
      <c r="M41" s="25">
        <f t="shared" si="4"/>
        <v>2.5</v>
      </c>
      <c r="N41" s="22">
        <v>7</v>
      </c>
      <c r="O41" s="22" t="str">
        <f t="shared" si="5"/>
        <v>Passive</v>
      </c>
      <c r="P41" s="30">
        <f t="shared" si="6"/>
        <v>2</v>
      </c>
      <c r="Q41" s="35">
        <f t="shared" si="7"/>
        <v>0.9</v>
      </c>
      <c r="R41" s="22">
        <f t="shared" si="8"/>
        <v>1</v>
      </c>
      <c r="S41" s="22" t="str">
        <f t="shared" si="9"/>
        <v>Low</v>
      </c>
    </row>
    <row r="42" spans="1:19" x14ac:dyDescent="0.3">
      <c r="A42" s="22" t="s">
        <v>300</v>
      </c>
      <c r="B42" t="str">
        <f t="shared" si="0"/>
        <v>Nisha Mehta</v>
      </c>
      <c r="C42" t="str">
        <f t="shared" si="1"/>
        <v>Human Resources</v>
      </c>
      <c r="D42" t="str">
        <f t="shared" si="2"/>
        <v>Akash Das</v>
      </c>
      <c r="E42" s="30" t="str">
        <f t="shared" si="3"/>
        <v>Exited</v>
      </c>
      <c r="F42" s="22" t="s">
        <v>1700</v>
      </c>
      <c r="G42" s="24">
        <v>3.1</v>
      </c>
      <c r="H42" s="24">
        <v>3.6</v>
      </c>
      <c r="I42" s="24">
        <v>3.1</v>
      </c>
      <c r="J42" s="24">
        <v>3.3</v>
      </c>
      <c r="K42" s="24">
        <v>3.1</v>
      </c>
      <c r="L42" s="24">
        <v>3</v>
      </c>
      <c r="M42" s="25">
        <f t="shared" si="4"/>
        <v>3.2</v>
      </c>
      <c r="N42" s="22">
        <v>5</v>
      </c>
      <c r="O42" s="22" t="str">
        <f t="shared" si="5"/>
        <v>Detractor</v>
      </c>
      <c r="P42" s="30">
        <f t="shared" si="6"/>
        <v>2</v>
      </c>
      <c r="Q42" s="35">
        <f t="shared" si="7"/>
        <v>0.7</v>
      </c>
      <c r="R42" s="22">
        <f t="shared" si="8"/>
        <v>2</v>
      </c>
      <c r="S42" s="22" t="str">
        <f t="shared" si="9"/>
        <v>Exited</v>
      </c>
    </row>
    <row r="43" spans="1:19" x14ac:dyDescent="0.3">
      <c r="A43" s="22" t="s">
        <v>303</v>
      </c>
      <c r="B43" t="str">
        <f t="shared" si="0"/>
        <v>Tejaswini Hegde</v>
      </c>
      <c r="C43" t="str">
        <f t="shared" si="1"/>
        <v>Engineering</v>
      </c>
      <c r="D43" t="str">
        <f t="shared" si="2"/>
        <v>Yamini Nair</v>
      </c>
      <c r="E43" s="30" t="str">
        <f t="shared" si="3"/>
        <v>Active</v>
      </c>
      <c r="F43" s="22" t="s">
        <v>1700</v>
      </c>
      <c r="G43" s="24">
        <v>3.3</v>
      </c>
      <c r="H43" s="24">
        <v>3.4</v>
      </c>
      <c r="I43" s="24">
        <v>3.2</v>
      </c>
      <c r="J43" s="24">
        <v>3.3</v>
      </c>
      <c r="K43" s="24">
        <v>2.8</v>
      </c>
      <c r="L43" s="24">
        <v>2.8</v>
      </c>
      <c r="M43" s="25">
        <f t="shared" si="4"/>
        <v>3.13</v>
      </c>
      <c r="N43" s="22">
        <v>10</v>
      </c>
      <c r="O43" s="22" t="str">
        <f t="shared" si="5"/>
        <v>Promoter</v>
      </c>
      <c r="P43" s="30">
        <f t="shared" si="6"/>
        <v>2</v>
      </c>
      <c r="Q43" s="35">
        <f t="shared" si="7"/>
        <v>0.99</v>
      </c>
      <c r="R43" s="22">
        <f t="shared" si="8"/>
        <v>0</v>
      </c>
      <c r="S43" s="22" t="str">
        <f t="shared" si="9"/>
        <v>Low</v>
      </c>
    </row>
    <row r="44" spans="1:19" x14ac:dyDescent="0.3">
      <c r="A44" s="22" t="s">
        <v>207</v>
      </c>
      <c r="B44" t="str">
        <f t="shared" si="0"/>
        <v>Trisha Jain</v>
      </c>
      <c r="C44" t="str">
        <f t="shared" si="1"/>
        <v>Data &amp; Analytics</v>
      </c>
      <c r="D44" t="str">
        <f t="shared" si="2"/>
        <v>Aishwarya Fernandes</v>
      </c>
      <c r="E44" s="30" t="str">
        <f t="shared" si="3"/>
        <v>Active</v>
      </c>
      <c r="F44" s="22" t="s">
        <v>1700</v>
      </c>
      <c r="G44" s="24">
        <v>2.2999999999999998</v>
      </c>
      <c r="H44" s="24">
        <v>2.9</v>
      </c>
      <c r="I44" s="24">
        <v>2.6</v>
      </c>
      <c r="J44" s="24">
        <v>2.2999999999999998</v>
      </c>
      <c r="K44" s="24">
        <v>2.1</v>
      </c>
      <c r="L44" s="24">
        <v>2.2999999999999998</v>
      </c>
      <c r="M44" s="25">
        <f t="shared" si="4"/>
        <v>2.42</v>
      </c>
      <c r="N44" s="22">
        <v>7</v>
      </c>
      <c r="O44" s="22" t="str">
        <f t="shared" si="5"/>
        <v>Passive</v>
      </c>
      <c r="P44" s="30">
        <f t="shared" si="6"/>
        <v>3</v>
      </c>
      <c r="Q44" s="35">
        <f t="shared" si="7"/>
        <v>1.05</v>
      </c>
      <c r="R44" s="22">
        <f t="shared" si="8"/>
        <v>1</v>
      </c>
      <c r="S44" s="22" t="str">
        <f t="shared" si="9"/>
        <v>Low</v>
      </c>
    </row>
    <row r="45" spans="1:19" x14ac:dyDescent="0.3">
      <c r="A45" s="22" t="s">
        <v>310</v>
      </c>
      <c r="B45" t="str">
        <f t="shared" si="0"/>
        <v>Rohan Patel</v>
      </c>
      <c r="C45" t="str">
        <f t="shared" si="1"/>
        <v>Engineering</v>
      </c>
      <c r="D45" t="str">
        <f t="shared" si="2"/>
        <v>Isha Jain</v>
      </c>
      <c r="E45" s="30" t="str">
        <f t="shared" si="3"/>
        <v>Active</v>
      </c>
      <c r="F45" s="22" t="s">
        <v>1700</v>
      </c>
      <c r="G45" s="24">
        <v>3.9</v>
      </c>
      <c r="H45" s="24">
        <v>3.8</v>
      </c>
      <c r="I45" s="24">
        <v>3.9</v>
      </c>
      <c r="J45" s="24">
        <v>3.2</v>
      </c>
      <c r="K45" s="24">
        <v>3.4</v>
      </c>
      <c r="L45" s="24">
        <v>2.9</v>
      </c>
      <c r="M45" s="25">
        <f t="shared" si="4"/>
        <v>3.52</v>
      </c>
      <c r="N45" s="22">
        <v>8</v>
      </c>
      <c r="O45" s="22" t="str">
        <f t="shared" si="5"/>
        <v>Passive</v>
      </c>
      <c r="P45" s="30">
        <f t="shared" si="6"/>
        <v>3</v>
      </c>
      <c r="Q45" s="35">
        <f t="shared" si="7"/>
        <v>1.05</v>
      </c>
      <c r="R45" s="22">
        <f t="shared" si="8"/>
        <v>0</v>
      </c>
      <c r="S45" s="22" t="str">
        <f t="shared" si="9"/>
        <v>Low</v>
      </c>
    </row>
    <row r="46" spans="1:19" x14ac:dyDescent="0.3">
      <c r="A46" s="22" t="s">
        <v>315</v>
      </c>
      <c r="B46" t="str">
        <f t="shared" si="0"/>
        <v>Vikas Chatterjee</v>
      </c>
      <c r="C46" t="str">
        <f t="shared" si="1"/>
        <v>Operations</v>
      </c>
      <c r="D46" t="str">
        <f t="shared" si="2"/>
        <v>Yash Shah</v>
      </c>
      <c r="E46" s="30" t="str">
        <f t="shared" si="3"/>
        <v>Exited</v>
      </c>
      <c r="F46" s="22" t="s">
        <v>1700</v>
      </c>
      <c r="G46" s="24">
        <v>2.5</v>
      </c>
      <c r="H46" s="24">
        <v>2.7</v>
      </c>
      <c r="I46" s="24">
        <v>2.7</v>
      </c>
      <c r="J46" s="24">
        <v>2.7</v>
      </c>
      <c r="K46" s="24">
        <v>2.8</v>
      </c>
      <c r="L46" s="24">
        <v>2.7</v>
      </c>
      <c r="M46" s="25">
        <f t="shared" si="4"/>
        <v>2.68</v>
      </c>
      <c r="N46" s="22">
        <v>7</v>
      </c>
      <c r="O46" s="22" t="str">
        <f t="shared" si="5"/>
        <v>Passive</v>
      </c>
      <c r="P46" s="30">
        <f t="shared" si="6"/>
        <v>3</v>
      </c>
      <c r="Q46" s="35">
        <f t="shared" si="7"/>
        <v>0.74</v>
      </c>
      <c r="R46" s="22">
        <f t="shared" si="8"/>
        <v>2</v>
      </c>
      <c r="S46" s="22" t="str">
        <f t="shared" si="9"/>
        <v>Exited</v>
      </c>
    </row>
    <row r="47" spans="1:19" x14ac:dyDescent="0.3">
      <c r="A47" s="22" t="s">
        <v>318</v>
      </c>
      <c r="B47" t="str">
        <f t="shared" si="0"/>
        <v>Karan Gowda</v>
      </c>
      <c r="C47" t="str">
        <f t="shared" si="1"/>
        <v>Operations</v>
      </c>
      <c r="D47" t="str">
        <f t="shared" si="2"/>
        <v>Pallavi Shah</v>
      </c>
      <c r="E47" s="30" t="str">
        <f t="shared" si="3"/>
        <v>Active</v>
      </c>
      <c r="F47" s="22" t="s">
        <v>1700</v>
      </c>
      <c r="G47" s="24">
        <v>3.6</v>
      </c>
      <c r="H47" s="24">
        <v>3.6</v>
      </c>
      <c r="I47" s="24">
        <v>3.9</v>
      </c>
      <c r="J47" s="24">
        <v>3.4</v>
      </c>
      <c r="K47" s="24">
        <v>3.8</v>
      </c>
      <c r="L47" s="24">
        <v>3.1</v>
      </c>
      <c r="M47" s="25">
        <f t="shared" si="4"/>
        <v>3.57</v>
      </c>
      <c r="N47" s="22">
        <v>8</v>
      </c>
      <c r="O47" s="22" t="str">
        <f t="shared" si="5"/>
        <v>Passive</v>
      </c>
      <c r="P47" s="30">
        <f t="shared" si="6"/>
        <v>3</v>
      </c>
      <c r="Q47" s="35">
        <f t="shared" si="7"/>
        <v>0.94</v>
      </c>
      <c r="R47" s="22">
        <f t="shared" si="8"/>
        <v>0</v>
      </c>
      <c r="S47" s="22" t="str">
        <f t="shared" si="9"/>
        <v>Low</v>
      </c>
    </row>
    <row r="48" spans="1:19" x14ac:dyDescent="0.3">
      <c r="A48" s="22" t="s">
        <v>321</v>
      </c>
      <c r="B48" t="str">
        <f t="shared" si="0"/>
        <v>Keerthi Gupta</v>
      </c>
      <c r="C48" t="str">
        <f t="shared" si="1"/>
        <v>Customer Support</v>
      </c>
      <c r="D48" t="str">
        <f t="shared" si="2"/>
        <v>Vidya Chatterjee</v>
      </c>
      <c r="E48" s="30" t="str">
        <f t="shared" si="3"/>
        <v>Active</v>
      </c>
      <c r="F48" s="22" t="s">
        <v>1700</v>
      </c>
      <c r="G48" s="24">
        <v>2.8</v>
      </c>
      <c r="H48" s="24">
        <v>3.1</v>
      </c>
      <c r="I48" s="24">
        <v>3.1</v>
      </c>
      <c r="J48" s="24">
        <v>2.9</v>
      </c>
      <c r="K48" s="24">
        <v>3.2</v>
      </c>
      <c r="L48" s="24">
        <v>2.7</v>
      </c>
      <c r="M48" s="25">
        <f t="shared" si="4"/>
        <v>2.97</v>
      </c>
      <c r="N48" s="22">
        <v>6</v>
      </c>
      <c r="O48" s="22" t="str">
        <f t="shared" si="5"/>
        <v>Detractor</v>
      </c>
      <c r="P48" s="30">
        <f t="shared" si="6"/>
        <v>3</v>
      </c>
      <c r="Q48" s="35">
        <f t="shared" si="7"/>
        <v>0.63</v>
      </c>
      <c r="R48" s="22">
        <f t="shared" si="8"/>
        <v>3</v>
      </c>
      <c r="S48" s="22" t="str">
        <f t="shared" si="9"/>
        <v>High</v>
      </c>
    </row>
    <row r="49" spans="1:19" x14ac:dyDescent="0.3">
      <c r="A49" s="22" t="s">
        <v>324</v>
      </c>
      <c r="B49" t="str">
        <f t="shared" si="0"/>
        <v>Sindhu Sharma</v>
      </c>
      <c r="C49" t="str">
        <f t="shared" si="1"/>
        <v>Data &amp; Analytics</v>
      </c>
      <c r="D49" t="str">
        <f t="shared" si="2"/>
        <v>Arun Mukherjee</v>
      </c>
      <c r="E49" s="30" t="str">
        <f t="shared" si="3"/>
        <v>Active</v>
      </c>
      <c r="F49" s="22" t="s">
        <v>1700</v>
      </c>
      <c r="G49" s="24">
        <v>3.2</v>
      </c>
      <c r="H49" s="24">
        <v>4.0999999999999996</v>
      </c>
      <c r="I49" s="24">
        <v>3.7</v>
      </c>
      <c r="J49" s="24">
        <v>3.5</v>
      </c>
      <c r="K49" s="24">
        <v>3.5</v>
      </c>
      <c r="L49" s="24">
        <v>3.6</v>
      </c>
      <c r="M49" s="25">
        <f t="shared" si="4"/>
        <v>3.6</v>
      </c>
      <c r="N49" s="22">
        <v>10</v>
      </c>
      <c r="O49" s="22" t="str">
        <f t="shared" si="5"/>
        <v>Promoter</v>
      </c>
      <c r="P49" s="30">
        <f t="shared" si="6"/>
        <v>4</v>
      </c>
      <c r="Q49" s="35">
        <f t="shared" si="7"/>
        <v>0.91</v>
      </c>
      <c r="R49" s="22">
        <f t="shared" si="8"/>
        <v>1</v>
      </c>
      <c r="S49" s="22" t="str">
        <f t="shared" si="9"/>
        <v>Low</v>
      </c>
    </row>
    <row r="50" spans="1:19" x14ac:dyDescent="0.3">
      <c r="A50" s="22" t="s">
        <v>218</v>
      </c>
      <c r="B50" t="str">
        <f t="shared" si="0"/>
        <v>Ajay Kumar</v>
      </c>
      <c r="C50" t="str">
        <f t="shared" si="1"/>
        <v>Operations</v>
      </c>
      <c r="D50" t="str">
        <f t="shared" si="2"/>
        <v>Imran Mishra</v>
      </c>
      <c r="E50" s="30" t="str">
        <f t="shared" si="3"/>
        <v>Active</v>
      </c>
      <c r="F50" s="22" t="s">
        <v>1700</v>
      </c>
      <c r="G50" s="24">
        <v>2.7</v>
      </c>
      <c r="H50" s="24">
        <v>2.9</v>
      </c>
      <c r="I50" s="24">
        <v>2.8</v>
      </c>
      <c r="J50" s="24">
        <v>2.5</v>
      </c>
      <c r="K50" s="24">
        <v>2.5</v>
      </c>
      <c r="L50" s="24">
        <v>3.6</v>
      </c>
      <c r="M50" s="25">
        <f t="shared" si="4"/>
        <v>2.83</v>
      </c>
      <c r="N50" s="22">
        <v>6</v>
      </c>
      <c r="O50" s="22" t="str">
        <f t="shared" si="5"/>
        <v>Detractor</v>
      </c>
      <c r="P50" s="30">
        <f t="shared" si="6"/>
        <v>4</v>
      </c>
      <c r="Q50" s="35">
        <f t="shared" si="7"/>
        <v>0.94</v>
      </c>
      <c r="R50" s="22">
        <f t="shared" si="8"/>
        <v>3</v>
      </c>
      <c r="S50" s="22" t="str">
        <f t="shared" si="9"/>
        <v>High</v>
      </c>
    </row>
    <row r="51" spans="1:19" x14ac:dyDescent="0.3">
      <c r="A51" s="22" t="s">
        <v>328</v>
      </c>
      <c r="B51" t="str">
        <f t="shared" si="0"/>
        <v>Harini Choudhary</v>
      </c>
      <c r="C51" t="str">
        <f t="shared" si="1"/>
        <v>Engineering</v>
      </c>
      <c r="D51" t="str">
        <f t="shared" si="2"/>
        <v>Vikas Singh</v>
      </c>
      <c r="E51" s="30" t="str">
        <f t="shared" si="3"/>
        <v>Active</v>
      </c>
      <c r="F51" s="22" t="s">
        <v>1700</v>
      </c>
      <c r="G51" s="24">
        <v>3.6</v>
      </c>
      <c r="H51" s="24">
        <v>3.7</v>
      </c>
      <c r="I51" s="24">
        <v>3.6</v>
      </c>
      <c r="J51" s="24">
        <v>3</v>
      </c>
      <c r="K51" s="24">
        <v>3.9</v>
      </c>
      <c r="L51" s="24">
        <v>3.8</v>
      </c>
      <c r="M51" s="25">
        <f t="shared" si="4"/>
        <v>3.6</v>
      </c>
      <c r="N51" s="22">
        <v>10</v>
      </c>
      <c r="O51" s="22" t="str">
        <f t="shared" si="5"/>
        <v>Promoter</v>
      </c>
      <c r="P51" s="30">
        <f t="shared" si="6"/>
        <v>3</v>
      </c>
      <c r="Q51" s="35">
        <f t="shared" si="7"/>
        <v>1.03</v>
      </c>
      <c r="R51" s="22">
        <f t="shared" si="8"/>
        <v>0</v>
      </c>
      <c r="S51" s="22" t="str">
        <f t="shared" si="9"/>
        <v>Low</v>
      </c>
    </row>
    <row r="52" spans="1:19" x14ac:dyDescent="0.3">
      <c r="A52" s="22" t="s">
        <v>231</v>
      </c>
      <c r="B52" t="str">
        <f t="shared" si="0"/>
        <v>Joseph Varghese</v>
      </c>
      <c r="C52" t="str">
        <f t="shared" si="1"/>
        <v>Sales</v>
      </c>
      <c r="D52" t="str">
        <f t="shared" si="2"/>
        <v>Akash Bansal</v>
      </c>
      <c r="E52" s="30" t="str">
        <f t="shared" si="3"/>
        <v>Active</v>
      </c>
      <c r="F52" s="22" t="s">
        <v>1700</v>
      </c>
      <c r="G52" s="24">
        <v>3.3</v>
      </c>
      <c r="H52" s="24">
        <v>3.3</v>
      </c>
      <c r="I52" s="24">
        <v>4</v>
      </c>
      <c r="J52" s="24">
        <v>3.7</v>
      </c>
      <c r="K52" s="24">
        <v>4.0999999999999996</v>
      </c>
      <c r="L52" s="24">
        <v>2.5</v>
      </c>
      <c r="M52" s="25">
        <f t="shared" si="4"/>
        <v>3.48</v>
      </c>
      <c r="N52" s="22">
        <v>8</v>
      </c>
      <c r="O52" s="22" t="str">
        <f t="shared" si="5"/>
        <v>Passive</v>
      </c>
      <c r="P52" s="30">
        <f t="shared" si="6"/>
        <v>1</v>
      </c>
      <c r="Q52" s="35">
        <f t="shared" si="7"/>
        <v>0.81</v>
      </c>
      <c r="R52" s="22">
        <f t="shared" si="8"/>
        <v>1</v>
      </c>
      <c r="S52" s="22" t="str">
        <f t="shared" si="9"/>
        <v>Low</v>
      </c>
    </row>
    <row r="53" spans="1:19" x14ac:dyDescent="0.3">
      <c r="A53" s="22" t="s">
        <v>332</v>
      </c>
      <c r="B53" t="str">
        <f t="shared" si="0"/>
        <v>Siddharth Mehta</v>
      </c>
      <c r="C53" t="str">
        <f t="shared" si="1"/>
        <v>Engineering</v>
      </c>
      <c r="D53" t="str">
        <f t="shared" si="2"/>
        <v>Vikas Singh</v>
      </c>
      <c r="E53" s="30" t="str">
        <f t="shared" si="3"/>
        <v>Exited</v>
      </c>
      <c r="F53" s="22" t="s">
        <v>1700</v>
      </c>
      <c r="G53" s="24">
        <v>2.5</v>
      </c>
      <c r="H53" s="24">
        <v>1.9</v>
      </c>
      <c r="I53" s="24">
        <v>2</v>
      </c>
      <c r="J53" s="24">
        <v>2</v>
      </c>
      <c r="K53" s="24">
        <v>2.2999999999999998</v>
      </c>
      <c r="L53" s="24">
        <v>2.5</v>
      </c>
      <c r="M53" s="25">
        <f t="shared" si="4"/>
        <v>2.2000000000000002</v>
      </c>
      <c r="N53" s="22">
        <v>6</v>
      </c>
      <c r="O53" s="22" t="str">
        <f t="shared" si="5"/>
        <v>Detractor</v>
      </c>
      <c r="P53" s="30">
        <f t="shared" si="6"/>
        <v>3</v>
      </c>
      <c r="Q53" s="35">
        <f t="shared" si="7"/>
        <v>1.44</v>
      </c>
      <c r="R53" s="22">
        <f t="shared" si="8"/>
        <v>2</v>
      </c>
      <c r="S53" s="22" t="str">
        <f t="shared" si="9"/>
        <v>Exited</v>
      </c>
    </row>
    <row r="54" spans="1:19" x14ac:dyDescent="0.3">
      <c r="A54" s="22" t="s">
        <v>335</v>
      </c>
      <c r="B54" t="str">
        <f t="shared" si="0"/>
        <v>Dev Jain</v>
      </c>
      <c r="C54" t="str">
        <f t="shared" si="1"/>
        <v>Sales</v>
      </c>
      <c r="D54" t="str">
        <f t="shared" si="2"/>
        <v>Kavya Krishnan</v>
      </c>
      <c r="E54" s="30" t="str">
        <f t="shared" si="3"/>
        <v>Active</v>
      </c>
      <c r="F54" s="22" t="s">
        <v>1700</v>
      </c>
      <c r="G54" s="24">
        <v>3.8</v>
      </c>
      <c r="H54" s="24">
        <v>3.2</v>
      </c>
      <c r="I54" s="24">
        <v>3.4</v>
      </c>
      <c r="J54" s="24">
        <v>3.6</v>
      </c>
      <c r="K54" s="24">
        <v>3.3</v>
      </c>
      <c r="L54" s="24">
        <v>3.8</v>
      </c>
      <c r="M54" s="25">
        <f t="shared" si="4"/>
        <v>3.52</v>
      </c>
      <c r="N54" s="22">
        <v>9</v>
      </c>
      <c r="O54" s="22" t="str">
        <f t="shared" si="5"/>
        <v>Promoter</v>
      </c>
      <c r="P54" s="30">
        <f t="shared" si="6"/>
        <v>5</v>
      </c>
      <c r="Q54" s="35">
        <f t="shared" si="7"/>
        <v>1.1399999999999999</v>
      </c>
      <c r="R54" s="22">
        <f t="shared" si="8"/>
        <v>1</v>
      </c>
      <c r="S54" s="22" t="str">
        <f t="shared" si="9"/>
        <v>Low</v>
      </c>
    </row>
    <row r="55" spans="1:19" x14ac:dyDescent="0.3">
      <c r="A55" s="22" t="s">
        <v>340</v>
      </c>
      <c r="B55" t="str">
        <f t="shared" si="0"/>
        <v>Ritu Patel</v>
      </c>
      <c r="C55" t="str">
        <f t="shared" si="1"/>
        <v>Operations</v>
      </c>
      <c r="D55" t="str">
        <f t="shared" si="2"/>
        <v>Ajay Kumar</v>
      </c>
      <c r="E55" s="30" t="str">
        <f t="shared" si="3"/>
        <v>Active</v>
      </c>
      <c r="F55" s="22" t="s">
        <v>1701</v>
      </c>
      <c r="G55" s="24">
        <v>3</v>
      </c>
      <c r="H55" s="24">
        <v>3.3</v>
      </c>
      <c r="I55" s="24">
        <v>2.9</v>
      </c>
      <c r="J55" s="24">
        <v>3.4</v>
      </c>
      <c r="K55" s="24">
        <v>3.7</v>
      </c>
      <c r="L55" s="24">
        <v>3.4</v>
      </c>
      <c r="M55" s="25">
        <f t="shared" si="4"/>
        <v>3.28</v>
      </c>
      <c r="N55" s="22">
        <v>8</v>
      </c>
      <c r="O55" s="22" t="str">
        <f t="shared" si="5"/>
        <v>Passive</v>
      </c>
      <c r="P55" s="30">
        <f t="shared" si="6"/>
        <v>4</v>
      </c>
      <c r="Q55" s="35">
        <f t="shared" si="7"/>
        <v>0.63</v>
      </c>
      <c r="R55" s="22">
        <f t="shared" si="8"/>
        <v>2</v>
      </c>
      <c r="S55" s="22" t="str">
        <f t="shared" si="9"/>
        <v>Medium</v>
      </c>
    </row>
    <row r="56" spans="1:19" x14ac:dyDescent="0.3">
      <c r="A56" s="22" t="s">
        <v>343</v>
      </c>
      <c r="B56" t="str">
        <f t="shared" si="0"/>
        <v>Sachin Iyer</v>
      </c>
      <c r="C56" t="str">
        <f t="shared" si="1"/>
        <v>Customer Support</v>
      </c>
      <c r="D56" t="str">
        <f t="shared" si="2"/>
        <v>Ashish Varghese</v>
      </c>
      <c r="E56" s="30" t="str">
        <f t="shared" si="3"/>
        <v>Active</v>
      </c>
      <c r="F56" s="22" t="s">
        <v>1700</v>
      </c>
      <c r="G56" s="24">
        <v>3.1</v>
      </c>
      <c r="H56" s="24">
        <v>3.7</v>
      </c>
      <c r="I56" s="24">
        <v>3.3</v>
      </c>
      <c r="J56" s="24">
        <v>3</v>
      </c>
      <c r="K56" s="24">
        <v>3.8</v>
      </c>
      <c r="L56" s="24">
        <v>3.4</v>
      </c>
      <c r="M56" s="25">
        <f t="shared" si="4"/>
        <v>3.38</v>
      </c>
      <c r="N56" s="22">
        <v>6</v>
      </c>
      <c r="O56" s="22" t="str">
        <f t="shared" si="5"/>
        <v>Detractor</v>
      </c>
      <c r="P56" s="30">
        <f t="shared" si="6"/>
        <v>3</v>
      </c>
      <c r="Q56" s="35">
        <f t="shared" si="7"/>
        <v>0.91</v>
      </c>
      <c r="R56" s="22">
        <f t="shared" si="8"/>
        <v>1</v>
      </c>
      <c r="S56" s="22" t="str">
        <f t="shared" si="9"/>
        <v>Low</v>
      </c>
    </row>
    <row r="57" spans="1:19" x14ac:dyDescent="0.3">
      <c r="A57" s="22" t="s">
        <v>346</v>
      </c>
      <c r="B57" t="str">
        <f t="shared" si="0"/>
        <v>Pallavi Menon</v>
      </c>
      <c r="C57" t="str">
        <f t="shared" si="1"/>
        <v>Engineering</v>
      </c>
      <c r="D57" t="str">
        <f t="shared" si="2"/>
        <v>Prakash Desai</v>
      </c>
      <c r="E57" s="30" t="str">
        <f t="shared" si="3"/>
        <v>Active</v>
      </c>
      <c r="F57" s="22" t="s">
        <v>1700</v>
      </c>
      <c r="G57" s="24">
        <v>3.1</v>
      </c>
      <c r="H57" s="24">
        <v>2.8</v>
      </c>
      <c r="I57" s="24">
        <v>2.6</v>
      </c>
      <c r="J57" s="24">
        <v>2.8</v>
      </c>
      <c r="K57" s="24">
        <v>2.7</v>
      </c>
      <c r="L57" s="24">
        <v>3.7</v>
      </c>
      <c r="M57" s="25">
        <f t="shared" si="4"/>
        <v>2.95</v>
      </c>
      <c r="N57" s="22">
        <v>7</v>
      </c>
      <c r="O57" s="22" t="str">
        <f t="shared" si="5"/>
        <v>Passive</v>
      </c>
      <c r="P57" s="30">
        <f t="shared" si="6"/>
        <v>3</v>
      </c>
      <c r="Q57" s="35">
        <f t="shared" si="7"/>
        <v>1.36</v>
      </c>
      <c r="R57" s="22">
        <f t="shared" si="8"/>
        <v>1</v>
      </c>
      <c r="S57" s="22" t="str">
        <f t="shared" si="9"/>
        <v>Low</v>
      </c>
    </row>
    <row r="58" spans="1:19" x14ac:dyDescent="0.3">
      <c r="A58" s="22" t="s">
        <v>351</v>
      </c>
      <c r="B58" t="str">
        <f t="shared" si="0"/>
        <v>Imran Jain</v>
      </c>
      <c r="C58" t="str">
        <f t="shared" si="1"/>
        <v>Engineering</v>
      </c>
      <c r="D58" t="str">
        <f t="shared" si="2"/>
        <v>Tejaswini Hegde</v>
      </c>
      <c r="E58" s="30" t="str">
        <f t="shared" si="3"/>
        <v>Active</v>
      </c>
      <c r="F58" s="22" t="s">
        <v>1701</v>
      </c>
      <c r="G58" s="24">
        <v>4</v>
      </c>
      <c r="H58" s="24">
        <v>3.6</v>
      </c>
      <c r="I58" s="24">
        <v>4</v>
      </c>
      <c r="J58" s="24">
        <v>3.7</v>
      </c>
      <c r="K58" s="24">
        <v>4.3</v>
      </c>
      <c r="L58" s="24">
        <v>4</v>
      </c>
      <c r="M58" s="25">
        <f t="shared" si="4"/>
        <v>3.93</v>
      </c>
      <c r="N58" s="22">
        <v>8</v>
      </c>
      <c r="O58" s="22" t="str">
        <f t="shared" si="5"/>
        <v>Passive</v>
      </c>
      <c r="P58" s="30">
        <f t="shared" si="6"/>
        <v>4</v>
      </c>
      <c r="Q58" s="35">
        <f t="shared" si="7"/>
        <v>1.32</v>
      </c>
      <c r="R58" s="22">
        <f t="shared" si="8"/>
        <v>1</v>
      </c>
      <c r="S58" s="22" t="str">
        <f t="shared" si="9"/>
        <v>Low</v>
      </c>
    </row>
    <row r="59" spans="1:19" x14ac:dyDescent="0.3">
      <c r="A59" s="22" t="s">
        <v>354</v>
      </c>
      <c r="B59" t="str">
        <f t="shared" si="0"/>
        <v>Amit Gupta</v>
      </c>
      <c r="C59" t="str">
        <f t="shared" si="1"/>
        <v>Engineering</v>
      </c>
      <c r="D59" t="str">
        <f t="shared" si="2"/>
        <v>Fatima Choudhary</v>
      </c>
      <c r="E59" s="30" t="str">
        <f t="shared" si="3"/>
        <v>Active</v>
      </c>
      <c r="F59" s="22" t="s">
        <v>1701</v>
      </c>
      <c r="G59" s="24">
        <v>2.7</v>
      </c>
      <c r="H59" s="24">
        <v>3</v>
      </c>
      <c r="I59" s="24">
        <v>3.6</v>
      </c>
      <c r="J59" s="24">
        <v>3.1</v>
      </c>
      <c r="K59" s="24">
        <v>3.3</v>
      </c>
      <c r="L59" s="24">
        <v>3.6</v>
      </c>
      <c r="M59" s="25">
        <f t="shared" si="4"/>
        <v>3.22</v>
      </c>
      <c r="N59" s="22">
        <v>8</v>
      </c>
      <c r="O59" s="22" t="str">
        <f t="shared" si="5"/>
        <v>Passive</v>
      </c>
      <c r="P59" s="30">
        <f t="shared" si="6"/>
        <v>3</v>
      </c>
      <c r="Q59" s="35">
        <f t="shared" si="7"/>
        <v>1.01</v>
      </c>
      <c r="R59" s="22">
        <f t="shared" si="8"/>
        <v>0</v>
      </c>
      <c r="S59" s="22" t="str">
        <f t="shared" si="9"/>
        <v>Low</v>
      </c>
    </row>
    <row r="60" spans="1:19" x14ac:dyDescent="0.3">
      <c r="A60" s="22" t="s">
        <v>357</v>
      </c>
      <c r="B60" t="str">
        <f t="shared" si="0"/>
        <v>Fatima Kulkarni</v>
      </c>
      <c r="C60" t="str">
        <f t="shared" si="1"/>
        <v>Engineering</v>
      </c>
      <c r="D60" t="str">
        <f t="shared" si="2"/>
        <v>Vikas Singh</v>
      </c>
      <c r="E60" s="30" t="str">
        <f t="shared" si="3"/>
        <v>Exited</v>
      </c>
      <c r="F60" s="22" t="s">
        <v>1700</v>
      </c>
      <c r="G60" s="24">
        <v>1.9</v>
      </c>
      <c r="H60" s="24">
        <v>2.2999999999999998</v>
      </c>
      <c r="I60" s="24">
        <v>2</v>
      </c>
      <c r="J60" s="24">
        <v>2.2999999999999998</v>
      </c>
      <c r="K60" s="24">
        <v>1.9</v>
      </c>
      <c r="L60" s="24">
        <v>2.4</v>
      </c>
      <c r="M60" s="25">
        <f t="shared" si="4"/>
        <v>2.13</v>
      </c>
      <c r="N60" s="22">
        <v>6</v>
      </c>
      <c r="O60" s="22" t="str">
        <f t="shared" si="5"/>
        <v>Detractor</v>
      </c>
      <c r="P60" s="30">
        <f t="shared" si="6"/>
        <v>3</v>
      </c>
      <c r="Q60" s="35">
        <f t="shared" si="7"/>
        <v>1.18</v>
      </c>
      <c r="R60" s="22">
        <f t="shared" si="8"/>
        <v>2</v>
      </c>
      <c r="S60" s="22" t="str">
        <f t="shared" si="9"/>
        <v>Exited</v>
      </c>
    </row>
    <row r="61" spans="1:19" x14ac:dyDescent="0.3">
      <c r="A61" s="22" t="s">
        <v>314</v>
      </c>
      <c r="B61" t="str">
        <f t="shared" si="0"/>
        <v>Isha Jain</v>
      </c>
      <c r="C61" t="str">
        <f t="shared" si="1"/>
        <v>Engineering</v>
      </c>
      <c r="D61" t="str">
        <f t="shared" si="2"/>
        <v>Vikram Verma</v>
      </c>
      <c r="E61" s="30" t="str">
        <f t="shared" si="3"/>
        <v>Active</v>
      </c>
      <c r="F61" s="22" t="s">
        <v>1700</v>
      </c>
      <c r="G61" s="24">
        <v>3.8</v>
      </c>
      <c r="H61" s="24">
        <v>4</v>
      </c>
      <c r="I61" s="24">
        <v>3.6</v>
      </c>
      <c r="J61" s="24">
        <v>4.0999999999999996</v>
      </c>
      <c r="K61" s="24">
        <v>3.7</v>
      </c>
      <c r="L61" s="24">
        <v>3.7</v>
      </c>
      <c r="M61" s="25">
        <f t="shared" si="4"/>
        <v>3.82</v>
      </c>
      <c r="N61" s="22">
        <v>10</v>
      </c>
      <c r="O61" s="22" t="str">
        <f t="shared" si="5"/>
        <v>Promoter</v>
      </c>
      <c r="P61" s="30">
        <f t="shared" si="6"/>
        <v>5</v>
      </c>
      <c r="Q61" s="35">
        <f t="shared" si="7"/>
        <v>1.39</v>
      </c>
      <c r="R61" s="22">
        <f t="shared" si="8"/>
        <v>1</v>
      </c>
      <c r="S61" s="22" t="str">
        <f t="shared" si="9"/>
        <v>Low</v>
      </c>
    </row>
    <row r="62" spans="1:19" x14ac:dyDescent="0.3">
      <c r="A62" s="22" t="s">
        <v>363</v>
      </c>
      <c r="B62" t="str">
        <f t="shared" si="0"/>
        <v>Sowmya Mishra</v>
      </c>
      <c r="C62" t="str">
        <f t="shared" si="1"/>
        <v>Operations</v>
      </c>
      <c r="D62" t="str">
        <f t="shared" si="2"/>
        <v>Ankit Khanna</v>
      </c>
      <c r="E62" s="30" t="str">
        <f t="shared" si="3"/>
        <v>Active</v>
      </c>
      <c r="F62" s="22" t="s">
        <v>1700</v>
      </c>
      <c r="G62" s="24">
        <v>3.4</v>
      </c>
      <c r="H62" s="24">
        <v>3.4</v>
      </c>
      <c r="I62" s="24">
        <v>3.3</v>
      </c>
      <c r="J62" s="24">
        <v>2.9</v>
      </c>
      <c r="K62" s="24">
        <v>3</v>
      </c>
      <c r="L62" s="24">
        <v>3.1</v>
      </c>
      <c r="M62" s="25">
        <f t="shared" si="4"/>
        <v>3.18</v>
      </c>
      <c r="N62" s="22">
        <v>6</v>
      </c>
      <c r="O62" s="22" t="str">
        <f t="shared" si="5"/>
        <v>Detractor</v>
      </c>
      <c r="P62" s="30">
        <f t="shared" si="6"/>
        <v>3</v>
      </c>
      <c r="Q62" s="35">
        <f t="shared" si="7"/>
        <v>0.65</v>
      </c>
      <c r="R62" s="22">
        <f t="shared" si="8"/>
        <v>2</v>
      </c>
      <c r="S62" s="22" t="str">
        <f t="shared" si="9"/>
        <v>Medium</v>
      </c>
    </row>
    <row r="63" spans="1:19" x14ac:dyDescent="0.3">
      <c r="A63" s="22" t="s">
        <v>366</v>
      </c>
      <c r="B63" t="str">
        <f t="shared" si="0"/>
        <v>Mohit Kapoor</v>
      </c>
      <c r="C63" t="str">
        <f t="shared" si="1"/>
        <v>Engineering</v>
      </c>
      <c r="D63" t="str">
        <f t="shared" si="2"/>
        <v>Isha Jain</v>
      </c>
      <c r="E63" s="30" t="str">
        <f t="shared" si="3"/>
        <v>Active</v>
      </c>
      <c r="F63" s="22" t="s">
        <v>1700</v>
      </c>
      <c r="G63" s="24">
        <v>2.8</v>
      </c>
      <c r="H63" s="24">
        <v>2.6</v>
      </c>
      <c r="I63" s="24">
        <v>2.7</v>
      </c>
      <c r="J63" s="24">
        <v>3</v>
      </c>
      <c r="K63" s="24">
        <v>3.2</v>
      </c>
      <c r="L63" s="24">
        <v>2.7</v>
      </c>
      <c r="M63" s="25">
        <f t="shared" si="4"/>
        <v>2.83</v>
      </c>
      <c r="N63" s="22">
        <v>8</v>
      </c>
      <c r="O63" s="22" t="str">
        <f t="shared" si="5"/>
        <v>Passive</v>
      </c>
      <c r="P63" s="30">
        <f t="shared" si="6"/>
        <v>3</v>
      </c>
      <c r="Q63" s="35">
        <f t="shared" si="7"/>
        <v>1.1200000000000001</v>
      </c>
      <c r="R63" s="22">
        <f t="shared" si="8"/>
        <v>1</v>
      </c>
      <c r="S63" s="22" t="str">
        <f t="shared" si="9"/>
        <v>Low</v>
      </c>
    </row>
    <row r="64" spans="1:19" x14ac:dyDescent="0.3">
      <c r="A64" s="22" t="s">
        <v>369</v>
      </c>
      <c r="B64" t="str">
        <f t="shared" si="0"/>
        <v>Akash Mukherjee</v>
      </c>
      <c r="C64" t="str">
        <f t="shared" si="1"/>
        <v>Engineering</v>
      </c>
      <c r="D64" t="str">
        <f t="shared" si="2"/>
        <v>Bhavana Hegde</v>
      </c>
      <c r="E64" s="30" t="str">
        <f t="shared" si="3"/>
        <v>Exited</v>
      </c>
      <c r="F64" s="22" t="s">
        <v>1700</v>
      </c>
      <c r="G64" s="24">
        <v>2.8</v>
      </c>
      <c r="H64" s="24">
        <v>3.1</v>
      </c>
      <c r="I64" s="24">
        <v>2.4</v>
      </c>
      <c r="J64" s="24">
        <v>3.7</v>
      </c>
      <c r="K64" s="24">
        <v>3</v>
      </c>
      <c r="L64" s="24">
        <v>2.7</v>
      </c>
      <c r="M64" s="25">
        <f t="shared" si="4"/>
        <v>2.95</v>
      </c>
      <c r="N64" s="22">
        <v>8</v>
      </c>
      <c r="O64" s="22" t="str">
        <f t="shared" si="5"/>
        <v>Passive</v>
      </c>
      <c r="P64" s="30">
        <f t="shared" si="6"/>
        <v>3</v>
      </c>
      <c r="Q64" s="35">
        <f t="shared" si="7"/>
        <v>1.1000000000000001</v>
      </c>
      <c r="R64" s="22">
        <f t="shared" si="8"/>
        <v>1</v>
      </c>
      <c r="S64" s="22" t="str">
        <f t="shared" si="9"/>
        <v>Exited</v>
      </c>
    </row>
    <row r="65" spans="1:19" x14ac:dyDescent="0.3">
      <c r="A65" s="22" t="s">
        <v>372</v>
      </c>
      <c r="B65" t="str">
        <f t="shared" si="0"/>
        <v>Swathi Bose</v>
      </c>
      <c r="C65" t="str">
        <f t="shared" si="1"/>
        <v>Engineering</v>
      </c>
      <c r="D65" t="str">
        <f t="shared" si="2"/>
        <v>Isha Jain</v>
      </c>
      <c r="E65" s="30" t="str">
        <f t="shared" si="3"/>
        <v>Active</v>
      </c>
      <c r="F65" s="22" t="s">
        <v>1700</v>
      </c>
      <c r="G65" s="24">
        <v>3.1</v>
      </c>
      <c r="H65" s="24">
        <v>2.5</v>
      </c>
      <c r="I65" s="24">
        <v>2.8</v>
      </c>
      <c r="J65" s="24">
        <v>2.2000000000000002</v>
      </c>
      <c r="K65" s="24">
        <v>2.6</v>
      </c>
      <c r="L65" s="24">
        <v>2.9</v>
      </c>
      <c r="M65" s="25">
        <f t="shared" si="4"/>
        <v>2.68</v>
      </c>
      <c r="N65" s="22">
        <v>7</v>
      </c>
      <c r="O65" s="22" t="str">
        <f t="shared" si="5"/>
        <v>Passive</v>
      </c>
      <c r="P65" s="30">
        <f t="shared" si="6"/>
        <v>3</v>
      </c>
      <c r="Q65" s="35">
        <f t="shared" si="7"/>
        <v>1.36</v>
      </c>
      <c r="R65" s="22">
        <f t="shared" si="8"/>
        <v>1</v>
      </c>
      <c r="S65" s="22" t="str">
        <f t="shared" si="9"/>
        <v>Low</v>
      </c>
    </row>
    <row r="66" spans="1:19" x14ac:dyDescent="0.3">
      <c r="A66" s="22" t="s">
        <v>375</v>
      </c>
      <c r="B66" t="str">
        <f t="shared" ref="B66:B129" si="10">INDEX(M_Name,MATCH($A66,M_ID,0))</f>
        <v>Rohit Iyer</v>
      </c>
      <c r="C66" t="str">
        <f t="shared" ref="C66:C129" si="11">INDEX(M_Dept,MATCH($A66,M_ID,0))</f>
        <v>Operations</v>
      </c>
      <c r="D66" t="str">
        <f t="shared" ref="D66:D129" si="12">INDEX(M_Mgr,MATCH($A66,M_ID,0))</f>
        <v>Pallavi Nair</v>
      </c>
      <c r="E66" s="30" t="str">
        <f t="shared" ref="E66:E129" si="13">INDEX(M_Status,MATCH($A66,M_ID,0))</f>
        <v>Active</v>
      </c>
      <c r="F66" s="22" t="s">
        <v>1701</v>
      </c>
      <c r="G66" s="24">
        <v>3</v>
      </c>
      <c r="H66" s="24">
        <v>4.3</v>
      </c>
      <c r="I66" s="24">
        <v>4.0999999999999996</v>
      </c>
      <c r="J66" s="24">
        <v>4.0999999999999996</v>
      </c>
      <c r="K66" s="24">
        <v>3.9</v>
      </c>
      <c r="L66" s="24">
        <v>4.4000000000000004</v>
      </c>
      <c r="M66" s="25">
        <f t="shared" ref="M66:M129" si="14">ROUND(AVERAGE(G66:L66),2)</f>
        <v>3.97</v>
      </c>
      <c r="N66" s="22">
        <v>10</v>
      </c>
      <c r="O66" s="22" t="str">
        <f t="shared" ref="O66:O129" si="15">IF(N66&gt;=9,"Promoter",IF(N66&gt;=7,"Passive","Detractor"))</f>
        <v>Promoter</v>
      </c>
      <c r="P66" s="30">
        <f t="shared" ref="P66:P129" si="16">INDEX(P_Rating,MATCH($A66,M_ID,0))</f>
        <v>4</v>
      </c>
      <c r="Q66" s="35">
        <f t="shared" ref="Q66:Q129" si="17">INDEX(C_Compa,MATCH($A66,M_ID,0))</f>
        <v>0.69</v>
      </c>
      <c r="R66" s="22">
        <f t="shared" ref="R66:R129" si="18">(M66&lt;EngThreshold)+(N66&lt;=6)+(Q66&lt;CompaThreshold)+(P66&gt;=4)</f>
        <v>2</v>
      </c>
      <c r="S66" s="22" t="str">
        <f t="shared" ref="S66:S129" si="19">IF(E66="Exited","Exited",IF(R66&gt;=3,"High",IF(R66=2,"Medium","Low")))</f>
        <v>Medium</v>
      </c>
    </row>
    <row r="67" spans="1:19" x14ac:dyDescent="0.3">
      <c r="A67" s="22" t="s">
        <v>380</v>
      </c>
      <c r="B67" t="str">
        <f t="shared" si="10"/>
        <v>Ajay Joshi</v>
      </c>
      <c r="C67" t="str">
        <f t="shared" si="11"/>
        <v>Operations</v>
      </c>
      <c r="D67" t="str">
        <f t="shared" si="12"/>
        <v>Nandini Fernandes</v>
      </c>
      <c r="E67" s="30" t="str">
        <f t="shared" si="13"/>
        <v>Active</v>
      </c>
      <c r="F67" s="22" t="s">
        <v>1700</v>
      </c>
      <c r="G67" s="24">
        <v>3.3</v>
      </c>
      <c r="H67" s="24">
        <v>2.4</v>
      </c>
      <c r="I67" s="24">
        <v>3.1</v>
      </c>
      <c r="J67" s="24">
        <v>2.9</v>
      </c>
      <c r="K67" s="24">
        <v>3.3</v>
      </c>
      <c r="L67" s="24">
        <v>3.1</v>
      </c>
      <c r="M67" s="25">
        <f t="shared" si="14"/>
        <v>3.02</v>
      </c>
      <c r="N67" s="22">
        <v>7</v>
      </c>
      <c r="O67" s="22" t="str">
        <f t="shared" si="15"/>
        <v>Passive</v>
      </c>
      <c r="P67" s="30">
        <f t="shared" si="16"/>
        <v>2</v>
      </c>
      <c r="Q67" s="35">
        <f t="shared" si="17"/>
        <v>0.74</v>
      </c>
      <c r="R67" s="22">
        <f t="shared" si="18"/>
        <v>1</v>
      </c>
      <c r="S67" s="22" t="str">
        <f t="shared" si="19"/>
        <v>Low</v>
      </c>
    </row>
    <row r="68" spans="1:19" x14ac:dyDescent="0.3">
      <c r="A68" s="22" t="s">
        <v>271</v>
      </c>
      <c r="B68" t="str">
        <f t="shared" si="10"/>
        <v>Akash Bansal</v>
      </c>
      <c r="C68" t="str">
        <f t="shared" si="11"/>
        <v>Sales</v>
      </c>
      <c r="D68" t="str">
        <f t="shared" si="12"/>
        <v>Arvind Rao (CEO)</v>
      </c>
      <c r="E68" s="30" t="str">
        <f t="shared" si="13"/>
        <v>Active</v>
      </c>
      <c r="F68" s="22" t="s">
        <v>1700</v>
      </c>
      <c r="G68" s="24">
        <v>3.2</v>
      </c>
      <c r="H68" s="24">
        <v>3</v>
      </c>
      <c r="I68" s="24">
        <v>3</v>
      </c>
      <c r="J68" s="24">
        <v>2.8</v>
      </c>
      <c r="K68" s="24">
        <v>3.6</v>
      </c>
      <c r="L68" s="24">
        <v>3.3</v>
      </c>
      <c r="M68" s="25">
        <f t="shared" si="14"/>
        <v>3.15</v>
      </c>
      <c r="N68" s="22">
        <v>8</v>
      </c>
      <c r="O68" s="22" t="str">
        <f t="shared" si="15"/>
        <v>Passive</v>
      </c>
      <c r="P68" s="30">
        <f t="shared" si="16"/>
        <v>3</v>
      </c>
      <c r="Q68" s="35">
        <f t="shared" si="17"/>
        <v>0.93</v>
      </c>
      <c r="R68" s="22">
        <f t="shared" si="18"/>
        <v>0</v>
      </c>
      <c r="S68" s="22" t="str">
        <f t="shared" si="19"/>
        <v>Low</v>
      </c>
    </row>
    <row r="69" spans="1:19" x14ac:dyDescent="0.3">
      <c r="A69" s="22" t="s">
        <v>387</v>
      </c>
      <c r="B69" t="str">
        <f t="shared" si="10"/>
        <v>Pooja Mehta</v>
      </c>
      <c r="C69" t="str">
        <f t="shared" si="11"/>
        <v>Customer Support</v>
      </c>
      <c r="D69" t="str">
        <f t="shared" si="12"/>
        <v>Isha Verma</v>
      </c>
      <c r="E69" s="30" t="str">
        <f t="shared" si="13"/>
        <v>Active</v>
      </c>
      <c r="F69" s="22" t="s">
        <v>1700</v>
      </c>
      <c r="G69" s="24">
        <v>3.5</v>
      </c>
      <c r="H69" s="24">
        <v>2.8</v>
      </c>
      <c r="I69" s="24">
        <v>3.3</v>
      </c>
      <c r="J69" s="24">
        <v>3.3</v>
      </c>
      <c r="K69" s="24">
        <v>3.8</v>
      </c>
      <c r="L69" s="24">
        <v>3.5</v>
      </c>
      <c r="M69" s="25">
        <f t="shared" si="14"/>
        <v>3.37</v>
      </c>
      <c r="N69" s="22">
        <v>10</v>
      </c>
      <c r="O69" s="22" t="str">
        <f t="shared" si="15"/>
        <v>Promoter</v>
      </c>
      <c r="P69" s="30">
        <f t="shared" si="16"/>
        <v>3</v>
      </c>
      <c r="Q69" s="35">
        <f t="shared" si="17"/>
        <v>0.68</v>
      </c>
      <c r="R69" s="22">
        <f t="shared" si="18"/>
        <v>1</v>
      </c>
      <c r="S69" s="22" t="str">
        <f t="shared" si="19"/>
        <v>Low</v>
      </c>
    </row>
    <row r="70" spans="1:19" x14ac:dyDescent="0.3">
      <c r="A70" s="22" t="s">
        <v>176</v>
      </c>
      <c r="B70" t="str">
        <f t="shared" si="10"/>
        <v>Akash Dsouza</v>
      </c>
      <c r="C70" t="str">
        <f t="shared" si="11"/>
        <v>Customer Support</v>
      </c>
      <c r="D70" t="str">
        <f t="shared" si="12"/>
        <v>Vikram Joshi</v>
      </c>
      <c r="E70" s="30" t="str">
        <f t="shared" si="13"/>
        <v>Active</v>
      </c>
      <c r="F70" s="22" t="s">
        <v>1700</v>
      </c>
      <c r="G70" s="24">
        <v>3.6</v>
      </c>
      <c r="H70" s="24">
        <v>4</v>
      </c>
      <c r="I70" s="24">
        <v>3.7</v>
      </c>
      <c r="J70" s="24">
        <v>4.3</v>
      </c>
      <c r="K70" s="24">
        <v>4.5</v>
      </c>
      <c r="L70" s="24">
        <v>4.5</v>
      </c>
      <c r="M70" s="25">
        <f t="shared" si="14"/>
        <v>4.0999999999999996</v>
      </c>
      <c r="N70" s="22">
        <v>9</v>
      </c>
      <c r="O70" s="22" t="str">
        <f t="shared" si="15"/>
        <v>Promoter</v>
      </c>
      <c r="P70" s="30">
        <f t="shared" si="16"/>
        <v>5</v>
      </c>
      <c r="Q70" s="35">
        <f t="shared" si="17"/>
        <v>0.76</v>
      </c>
      <c r="R70" s="22">
        <f t="shared" si="18"/>
        <v>2</v>
      </c>
      <c r="S70" s="22" t="str">
        <f t="shared" si="19"/>
        <v>Medium</v>
      </c>
    </row>
    <row r="71" spans="1:19" x14ac:dyDescent="0.3">
      <c r="A71" s="22" t="s">
        <v>394</v>
      </c>
      <c r="B71" t="str">
        <f t="shared" si="10"/>
        <v>Naveen Mehta</v>
      </c>
      <c r="C71" t="str">
        <f t="shared" si="11"/>
        <v>Data &amp; Analytics</v>
      </c>
      <c r="D71" t="str">
        <f t="shared" si="12"/>
        <v>Arun Mukherjee</v>
      </c>
      <c r="E71" s="30" t="str">
        <f t="shared" si="13"/>
        <v>Exited</v>
      </c>
      <c r="F71" s="22" t="s">
        <v>1700</v>
      </c>
      <c r="G71" s="24">
        <v>3.2</v>
      </c>
      <c r="H71" s="24">
        <v>2.9</v>
      </c>
      <c r="I71" s="24">
        <v>3.4</v>
      </c>
      <c r="J71" s="24">
        <v>3.7</v>
      </c>
      <c r="K71" s="24">
        <v>3.5</v>
      </c>
      <c r="L71" s="24">
        <v>2.8</v>
      </c>
      <c r="M71" s="25">
        <f t="shared" si="14"/>
        <v>3.25</v>
      </c>
      <c r="N71" s="22">
        <v>5</v>
      </c>
      <c r="O71" s="22" t="str">
        <f t="shared" si="15"/>
        <v>Detractor</v>
      </c>
      <c r="P71" s="30">
        <f t="shared" si="16"/>
        <v>3</v>
      </c>
      <c r="Q71" s="35">
        <f t="shared" si="17"/>
        <v>1.24</v>
      </c>
      <c r="R71" s="22">
        <f t="shared" si="18"/>
        <v>1</v>
      </c>
      <c r="S71" s="22" t="str">
        <f t="shared" si="19"/>
        <v>Exited</v>
      </c>
    </row>
    <row r="72" spans="1:19" x14ac:dyDescent="0.3">
      <c r="A72" s="22" t="s">
        <v>397</v>
      </c>
      <c r="B72" t="str">
        <f t="shared" si="10"/>
        <v>Varsha Siddiqui</v>
      </c>
      <c r="C72" t="str">
        <f t="shared" si="11"/>
        <v>Engineering</v>
      </c>
      <c r="D72" t="str">
        <f t="shared" si="12"/>
        <v>Madhuri Menon</v>
      </c>
      <c r="E72" s="30" t="str">
        <f t="shared" si="13"/>
        <v>Active</v>
      </c>
      <c r="F72" s="22" t="s">
        <v>1700</v>
      </c>
      <c r="G72" s="24">
        <v>2.9</v>
      </c>
      <c r="H72" s="24">
        <v>3</v>
      </c>
      <c r="I72" s="24">
        <v>2.2999999999999998</v>
      </c>
      <c r="J72" s="24">
        <v>2.6</v>
      </c>
      <c r="K72" s="24">
        <v>2.5</v>
      </c>
      <c r="L72" s="24">
        <v>2.8</v>
      </c>
      <c r="M72" s="25">
        <f t="shared" si="14"/>
        <v>2.68</v>
      </c>
      <c r="N72" s="22">
        <v>9</v>
      </c>
      <c r="O72" s="22" t="str">
        <f t="shared" si="15"/>
        <v>Promoter</v>
      </c>
      <c r="P72" s="30">
        <f t="shared" si="16"/>
        <v>4</v>
      </c>
      <c r="Q72" s="35">
        <f t="shared" si="17"/>
        <v>1.08</v>
      </c>
      <c r="R72" s="22">
        <f t="shared" si="18"/>
        <v>2</v>
      </c>
      <c r="S72" s="22" t="str">
        <f t="shared" si="19"/>
        <v>Medium</v>
      </c>
    </row>
    <row r="73" spans="1:19" x14ac:dyDescent="0.3">
      <c r="A73" s="22" t="s">
        <v>402</v>
      </c>
      <c r="B73" t="str">
        <f t="shared" si="10"/>
        <v>Rajesh Shah</v>
      </c>
      <c r="C73" t="str">
        <f t="shared" si="11"/>
        <v>Marketing</v>
      </c>
      <c r="D73" t="str">
        <f t="shared" si="12"/>
        <v>Isha Chatterjee</v>
      </c>
      <c r="E73" s="30" t="str">
        <f t="shared" si="13"/>
        <v>Active</v>
      </c>
      <c r="F73" s="22" t="s">
        <v>1700</v>
      </c>
      <c r="G73" s="24">
        <v>3.2</v>
      </c>
      <c r="H73" s="24">
        <v>3.5</v>
      </c>
      <c r="I73" s="24">
        <v>3.1</v>
      </c>
      <c r="J73" s="24">
        <v>3.1</v>
      </c>
      <c r="K73" s="24">
        <v>3.1</v>
      </c>
      <c r="L73" s="24">
        <v>3</v>
      </c>
      <c r="M73" s="25">
        <f t="shared" si="14"/>
        <v>3.17</v>
      </c>
      <c r="N73" s="22">
        <v>7</v>
      </c>
      <c r="O73" s="22" t="str">
        <f t="shared" si="15"/>
        <v>Passive</v>
      </c>
      <c r="P73" s="30">
        <f t="shared" si="16"/>
        <v>5</v>
      </c>
      <c r="Q73" s="35">
        <f t="shared" si="17"/>
        <v>1.01</v>
      </c>
      <c r="R73" s="22">
        <f t="shared" si="18"/>
        <v>1</v>
      </c>
      <c r="S73" s="22" t="str">
        <f t="shared" si="19"/>
        <v>Low</v>
      </c>
    </row>
    <row r="74" spans="1:19" x14ac:dyDescent="0.3">
      <c r="A74" s="22" t="s">
        <v>405</v>
      </c>
      <c r="B74" t="str">
        <f t="shared" si="10"/>
        <v>Vishal Ansari</v>
      </c>
      <c r="C74" t="str">
        <f t="shared" si="11"/>
        <v>Product</v>
      </c>
      <c r="D74" t="str">
        <f t="shared" si="12"/>
        <v>Mansi Pillai</v>
      </c>
      <c r="E74" s="30" t="str">
        <f t="shared" si="13"/>
        <v>Active</v>
      </c>
      <c r="F74" s="22" t="s">
        <v>1700</v>
      </c>
      <c r="G74" s="24">
        <v>4.9000000000000004</v>
      </c>
      <c r="H74" s="24">
        <v>3.7</v>
      </c>
      <c r="I74" s="24">
        <v>3.9</v>
      </c>
      <c r="J74" s="24">
        <v>3.4</v>
      </c>
      <c r="K74" s="24">
        <v>4.4000000000000004</v>
      </c>
      <c r="L74" s="24">
        <v>4.5</v>
      </c>
      <c r="M74" s="25">
        <f t="shared" si="14"/>
        <v>4.13</v>
      </c>
      <c r="N74" s="22">
        <v>10</v>
      </c>
      <c r="O74" s="22" t="str">
        <f t="shared" si="15"/>
        <v>Promoter</v>
      </c>
      <c r="P74" s="30">
        <f t="shared" si="16"/>
        <v>4</v>
      </c>
      <c r="Q74" s="35">
        <f t="shared" si="17"/>
        <v>0.93</v>
      </c>
      <c r="R74" s="22">
        <f t="shared" si="18"/>
        <v>1</v>
      </c>
      <c r="S74" s="22" t="str">
        <f t="shared" si="19"/>
        <v>Low</v>
      </c>
    </row>
    <row r="75" spans="1:19" x14ac:dyDescent="0.3">
      <c r="A75" s="22" t="s">
        <v>409</v>
      </c>
      <c r="B75" t="str">
        <f t="shared" si="10"/>
        <v>Mansi Reddy</v>
      </c>
      <c r="C75" t="str">
        <f t="shared" si="11"/>
        <v>Sales</v>
      </c>
      <c r="D75" t="str">
        <f t="shared" si="12"/>
        <v>Gayatri Tiwari</v>
      </c>
      <c r="E75" s="30" t="str">
        <f t="shared" si="13"/>
        <v>Active</v>
      </c>
      <c r="F75" s="22" t="s">
        <v>1700</v>
      </c>
      <c r="G75" s="24">
        <v>3.5</v>
      </c>
      <c r="H75" s="24">
        <v>3</v>
      </c>
      <c r="I75" s="24">
        <v>3.8</v>
      </c>
      <c r="J75" s="24">
        <v>3.4</v>
      </c>
      <c r="K75" s="24">
        <v>3.4</v>
      </c>
      <c r="L75" s="24">
        <v>3.4</v>
      </c>
      <c r="M75" s="25">
        <f t="shared" si="14"/>
        <v>3.42</v>
      </c>
      <c r="N75" s="22">
        <v>10</v>
      </c>
      <c r="O75" s="22" t="str">
        <f t="shared" si="15"/>
        <v>Promoter</v>
      </c>
      <c r="P75" s="30">
        <f t="shared" si="16"/>
        <v>2</v>
      </c>
      <c r="Q75" s="35">
        <f t="shared" si="17"/>
        <v>1.1299999999999999</v>
      </c>
      <c r="R75" s="22">
        <f t="shared" si="18"/>
        <v>0</v>
      </c>
      <c r="S75" s="22" t="str">
        <f t="shared" si="19"/>
        <v>Low</v>
      </c>
    </row>
    <row r="76" spans="1:19" x14ac:dyDescent="0.3">
      <c r="A76" s="22" t="s">
        <v>412</v>
      </c>
      <c r="B76" t="str">
        <f t="shared" si="10"/>
        <v>Sandeep Gupta</v>
      </c>
      <c r="C76" t="str">
        <f t="shared" si="11"/>
        <v>Operations</v>
      </c>
      <c r="D76" t="str">
        <f t="shared" si="12"/>
        <v>Ramya Menon</v>
      </c>
      <c r="E76" s="30" t="str">
        <f t="shared" si="13"/>
        <v>Active</v>
      </c>
      <c r="F76" s="22" t="s">
        <v>1701</v>
      </c>
      <c r="G76" s="24">
        <v>3</v>
      </c>
      <c r="H76" s="24">
        <v>3.6</v>
      </c>
      <c r="I76" s="24">
        <v>3.8</v>
      </c>
      <c r="J76" s="24">
        <v>2.7</v>
      </c>
      <c r="K76" s="24">
        <v>3.5</v>
      </c>
      <c r="L76" s="24">
        <v>3</v>
      </c>
      <c r="M76" s="25">
        <f t="shared" si="14"/>
        <v>3.27</v>
      </c>
      <c r="N76" s="22">
        <v>9</v>
      </c>
      <c r="O76" s="22" t="str">
        <f t="shared" si="15"/>
        <v>Promoter</v>
      </c>
      <c r="P76" s="30">
        <f t="shared" si="16"/>
        <v>3</v>
      </c>
      <c r="Q76" s="35">
        <f t="shared" si="17"/>
        <v>0.95</v>
      </c>
      <c r="R76" s="22">
        <f t="shared" si="18"/>
        <v>0</v>
      </c>
      <c r="S76" s="22" t="str">
        <f t="shared" si="19"/>
        <v>Low</v>
      </c>
    </row>
    <row r="77" spans="1:19" x14ac:dyDescent="0.3">
      <c r="A77" s="22" t="s">
        <v>417</v>
      </c>
      <c r="B77" t="str">
        <f t="shared" si="10"/>
        <v>Sneha Hegde</v>
      </c>
      <c r="C77" t="str">
        <f t="shared" si="11"/>
        <v>Engineering</v>
      </c>
      <c r="D77" t="str">
        <f t="shared" si="12"/>
        <v>Harsh Siddiqui</v>
      </c>
      <c r="E77" s="30" t="str">
        <f t="shared" si="13"/>
        <v>Active</v>
      </c>
      <c r="F77" s="22" t="s">
        <v>1700</v>
      </c>
      <c r="G77" s="24">
        <v>1.8</v>
      </c>
      <c r="H77" s="24">
        <v>2.7</v>
      </c>
      <c r="I77" s="24">
        <v>2.2999999999999998</v>
      </c>
      <c r="J77" s="24">
        <v>2.7</v>
      </c>
      <c r="K77" s="24">
        <v>2.5</v>
      </c>
      <c r="L77" s="24">
        <v>2.4</v>
      </c>
      <c r="M77" s="25">
        <f t="shared" si="14"/>
        <v>2.4</v>
      </c>
      <c r="N77" s="22">
        <v>8</v>
      </c>
      <c r="O77" s="22" t="str">
        <f t="shared" si="15"/>
        <v>Passive</v>
      </c>
      <c r="P77" s="30">
        <f t="shared" si="16"/>
        <v>4</v>
      </c>
      <c r="Q77" s="35">
        <f t="shared" si="17"/>
        <v>1.22</v>
      </c>
      <c r="R77" s="22">
        <f t="shared" si="18"/>
        <v>2</v>
      </c>
      <c r="S77" s="22" t="str">
        <f t="shared" si="19"/>
        <v>Medium</v>
      </c>
    </row>
    <row r="78" spans="1:19" x14ac:dyDescent="0.3">
      <c r="A78" s="22" t="s">
        <v>420</v>
      </c>
      <c r="B78" t="str">
        <f t="shared" si="10"/>
        <v>Kiran Chatterjee</v>
      </c>
      <c r="C78" t="str">
        <f t="shared" si="11"/>
        <v>Operations</v>
      </c>
      <c r="D78" t="str">
        <f t="shared" si="12"/>
        <v>Yash Shah</v>
      </c>
      <c r="E78" s="30" t="str">
        <f t="shared" si="13"/>
        <v>Active</v>
      </c>
      <c r="F78" s="22" t="s">
        <v>1700</v>
      </c>
      <c r="G78" s="24">
        <v>3.9</v>
      </c>
      <c r="H78" s="24">
        <v>3.8</v>
      </c>
      <c r="I78" s="24">
        <v>4.2</v>
      </c>
      <c r="J78" s="24">
        <v>4.5</v>
      </c>
      <c r="K78" s="24">
        <v>3.4</v>
      </c>
      <c r="L78" s="24">
        <v>3.9</v>
      </c>
      <c r="M78" s="25">
        <f t="shared" si="14"/>
        <v>3.95</v>
      </c>
      <c r="N78" s="22">
        <v>8</v>
      </c>
      <c r="O78" s="22" t="str">
        <f t="shared" si="15"/>
        <v>Passive</v>
      </c>
      <c r="P78" s="30">
        <f t="shared" si="16"/>
        <v>3</v>
      </c>
      <c r="Q78" s="35">
        <f t="shared" si="17"/>
        <v>0.78</v>
      </c>
      <c r="R78" s="22">
        <f t="shared" si="18"/>
        <v>1</v>
      </c>
      <c r="S78" s="22" t="str">
        <f t="shared" si="19"/>
        <v>Low</v>
      </c>
    </row>
    <row r="79" spans="1:19" x14ac:dyDescent="0.3">
      <c r="A79" s="22" t="s">
        <v>423</v>
      </c>
      <c r="B79" t="str">
        <f t="shared" si="10"/>
        <v>Aishwarya Joshi</v>
      </c>
      <c r="C79" t="str">
        <f t="shared" si="11"/>
        <v>Finance</v>
      </c>
      <c r="D79" t="str">
        <f t="shared" si="12"/>
        <v>Karan Patel</v>
      </c>
      <c r="E79" s="30" t="str">
        <f t="shared" si="13"/>
        <v>Active</v>
      </c>
      <c r="F79" s="22" t="s">
        <v>1700</v>
      </c>
      <c r="G79" s="24">
        <v>4.0999999999999996</v>
      </c>
      <c r="H79" s="24">
        <v>3.5</v>
      </c>
      <c r="I79" s="24">
        <v>3.5</v>
      </c>
      <c r="J79" s="24">
        <v>3.9</v>
      </c>
      <c r="K79" s="24">
        <v>3.8</v>
      </c>
      <c r="L79" s="24">
        <v>3.6</v>
      </c>
      <c r="M79" s="25">
        <f t="shared" si="14"/>
        <v>3.73</v>
      </c>
      <c r="N79" s="22">
        <v>8</v>
      </c>
      <c r="O79" s="22" t="str">
        <f t="shared" si="15"/>
        <v>Passive</v>
      </c>
      <c r="P79" s="30">
        <f t="shared" si="16"/>
        <v>4</v>
      </c>
      <c r="Q79" s="35">
        <f t="shared" si="17"/>
        <v>0.81</v>
      </c>
      <c r="R79" s="22">
        <f t="shared" si="18"/>
        <v>2</v>
      </c>
      <c r="S79" s="22" t="str">
        <f t="shared" si="19"/>
        <v>Medium</v>
      </c>
    </row>
    <row r="80" spans="1:19" x14ac:dyDescent="0.3">
      <c r="A80" s="22" t="s">
        <v>427</v>
      </c>
      <c r="B80" t="str">
        <f t="shared" si="10"/>
        <v>Sindhu Das</v>
      </c>
      <c r="C80" t="str">
        <f t="shared" si="11"/>
        <v>Marketing</v>
      </c>
      <c r="D80" t="str">
        <f t="shared" si="12"/>
        <v>Nandini Iyer</v>
      </c>
      <c r="E80" s="30" t="str">
        <f t="shared" si="13"/>
        <v>Active</v>
      </c>
      <c r="F80" s="22" t="s">
        <v>1700</v>
      </c>
      <c r="G80" s="24">
        <v>1.7</v>
      </c>
      <c r="H80" s="24">
        <v>1.7</v>
      </c>
      <c r="I80" s="24">
        <v>1.7</v>
      </c>
      <c r="J80" s="24">
        <v>1.7</v>
      </c>
      <c r="K80" s="24">
        <v>2.2000000000000002</v>
      </c>
      <c r="L80" s="24">
        <v>2.2999999999999998</v>
      </c>
      <c r="M80" s="25">
        <f t="shared" si="14"/>
        <v>1.88</v>
      </c>
      <c r="N80" s="22">
        <v>4</v>
      </c>
      <c r="O80" s="22" t="str">
        <f t="shared" si="15"/>
        <v>Detractor</v>
      </c>
      <c r="P80" s="30">
        <f t="shared" si="16"/>
        <v>3</v>
      </c>
      <c r="Q80" s="35">
        <f t="shared" si="17"/>
        <v>0.91</v>
      </c>
      <c r="R80" s="22">
        <f t="shared" si="18"/>
        <v>2</v>
      </c>
      <c r="S80" s="22" t="str">
        <f t="shared" si="19"/>
        <v>Medium</v>
      </c>
    </row>
    <row r="81" spans="1:19" x14ac:dyDescent="0.3">
      <c r="A81" s="22" t="s">
        <v>430</v>
      </c>
      <c r="B81" t="str">
        <f t="shared" si="10"/>
        <v>Nandini Shetty</v>
      </c>
      <c r="C81" t="str">
        <f t="shared" si="11"/>
        <v>Data &amp; Analytics</v>
      </c>
      <c r="D81" t="str">
        <f t="shared" si="12"/>
        <v>Karan Verma</v>
      </c>
      <c r="E81" s="30" t="str">
        <f t="shared" si="13"/>
        <v>Active</v>
      </c>
      <c r="F81" s="22" t="s">
        <v>1700</v>
      </c>
      <c r="G81" s="24">
        <v>4.0999999999999996</v>
      </c>
      <c r="H81" s="24">
        <v>3</v>
      </c>
      <c r="I81" s="24">
        <v>3.7</v>
      </c>
      <c r="J81" s="24">
        <v>2.7</v>
      </c>
      <c r="K81" s="24">
        <v>3.1</v>
      </c>
      <c r="L81" s="24">
        <v>3</v>
      </c>
      <c r="M81" s="25">
        <f t="shared" si="14"/>
        <v>3.27</v>
      </c>
      <c r="N81" s="22">
        <v>9</v>
      </c>
      <c r="O81" s="22" t="str">
        <f t="shared" si="15"/>
        <v>Promoter</v>
      </c>
      <c r="P81" s="30">
        <f t="shared" si="16"/>
        <v>4</v>
      </c>
      <c r="Q81" s="35">
        <f t="shared" si="17"/>
        <v>1.39</v>
      </c>
      <c r="R81" s="22">
        <f t="shared" si="18"/>
        <v>1</v>
      </c>
      <c r="S81" s="22" t="str">
        <f t="shared" si="19"/>
        <v>Low</v>
      </c>
    </row>
    <row r="82" spans="1:19" x14ac:dyDescent="0.3">
      <c r="A82" s="22" t="s">
        <v>435</v>
      </c>
      <c r="B82" t="str">
        <f t="shared" si="10"/>
        <v>Deepak Thomas</v>
      </c>
      <c r="C82" t="str">
        <f t="shared" si="11"/>
        <v>Engineering</v>
      </c>
      <c r="D82" t="str">
        <f t="shared" si="12"/>
        <v>Vikas Singh</v>
      </c>
      <c r="E82" s="30" t="str">
        <f t="shared" si="13"/>
        <v>Active</v>
      </c>
      <c r="F82" s="22" t="s">
        <v>1700</v>
      </c>
      <c r="G82" s="24">
        <v>3.3</v>
      </c>
      <c r="H82" s="24">
        <v>3.9</v>
      </c>
      <c r="I82" s="24">
        <v>3.2</v>
      </c>
      <c r="J82" s="24">
        <v>3.7</v>
      </c>
      <c r="K82" s="24">
        <v>3.1</v>
      </c>
      <c r="L82" s="24">
        <v>3.4</v>
      </c>
      <c r="M82" s="25">
        <f t="shared" si="14"/>
        <v>3.43</v>
      </c>
      <c r="N82" s="22">
        <v>7</v>
      </c>
      <c r="O82" s="22" t="str">
        <f t="shared" si="15"/>
        <v>Passive</v>
      </c>
      <c r="P82" s="30">
        <f t="shared" si="16"/>
        <v>3</v>
      </c>
      <c r="Q82" s="35">
        <f t="shared" si="17"/>
        <v>1.03</v>
      </c>
      <c r="R82" s="22">
        <f t="shared" si="18"/>
        <v>0</v>
      </c>
      <c r="S82" s="22" t="str">
        <f t="shared" si="19"/>
        <v>Low</v>
      </c>
    </row>
    <row r="83" spans="1:19" x14ac:dyDescent="0.3">
      <c r="A83" s="22" t="s">
        <v>438</v>
      </c>
      <c r="B83" t="str">
        <f t="shared" si="10"/>
        <v>Mansi Dsouza</v>
      </c>
      <c r="C83" t="str">
        <f t="shared" si="11"/>
        <v>Engineering</v>
      </c>
      <c r="D83" t="str">
        <f t="shared" si="12"/>
        <v>Gaurav Fernandes</v>
      </c>
      <c r="E83" s="30" t="str">
        <f t="shared" si="13"/>
        <v>Active</v>
      </c>
      <c r="F83" s="22" t="s">
        <v>1700</v>
      </c>
      <c r="G83" s="24">
        <v>3.9</v>
      </c>
      <c r="H83" s="24">
        <v>4</v>
      </c>
      <c r="I83" s="24">
        <v>4.0999999999999996</v>
      </c>
      <c r="J83" s="24">
        <v>3.2</v>
      </c>
      <c r="K83" s="24">
        <v>3.4</v>
      </c>
      <c r="L83" s="24">
        <v>3.5</v>
      </c>
      <c r="M83" s="25">
        <f t="shared" si="14"/>
        <v>3.68</v>
      </c>
      <c r="N83" s="22">
        <v>8</v>
      </c>
      <c r="O83" s="22" t="str">
        <f t="shared" si="15"/>
        <v>Passive</v>
      </c>
      <c r="P83" s="30">
        <f t="shared" si="16"/>
        <v>3</v>
      </c>
      <c r="Q83" s="35">
        <f t="shared" si="17"/>
        <v>1.24</v>
      </c>
      <c r="R83" s="22">
        <f t="shared" si="18"/>
        <v>0</v>
      </c>
      <c r="S83" s="22" t="str">
        <f t="shared" si="19"/>
        <v>Low</v>
      </c>
    </row>
    <row r="84" spans="1:19" x14ac:dyDescent="0.3">
      <c r="A84" s="22" t="s">
        <v>167</v>
      </c>
      <c r="B84" t="str">
        <f t="shared" si="10"/>
        <v>Akash Das</v>
      </c>
      <c r="C84" t="str">
        <f t="shared" si="11"/>
        <v>Human Resources</v>
      </c>
      <c r="D84" t="str">
        <f t="shared" si="12"/>
        <v>Prakash Das</v>
      </c>
      <c r="E84" s="30" t="str">
        <f t="shared" si="13"/>
        <v>Active</v>
      </c>
      <c r="F84" s="22" t="s">
        <v>1700</v>
      </c>
      <c r="G84" s="24">
        <v>3.8</v>
      </c>
      <c r="H84" s="24">
        <v>3.6</v>
      </c>
      <c r="I84" s="24">
        <v>2.9</v>
      </c>
      <c r="J84" s="24">
        <v>3.4</v>
      </c>
      <c r="K84" s="24">
        <v>2.6</v>
      </c>
      <c r="L84" s="24">
        <v>3.9</v>
      </c>
      <c r="M84" s="25">
        <f t="shared" si="14"/>
        <v>3.37</v>
      </c>
      <c r="N84" s="22">
        <v>7</v>
      </c>
      <c r="O84" s="22" t="str">
        <f t="shared" si="15"/>
        <v>Passive</v>
      </c>
      <c r="P84" s="30">
        <f t="shared" si="16"/>
        <v>4</v>
      </c>
      <c r="Q84" s="35">
        <f t="shared" si="17"/>
        <v>1.0900000000000001</v>
      </c>
      <c r="R84" s="22">
        <f t="shared" si="18"/>
        <v>1</v>
      </c>
      <c r="S84" s="22" t="str">
        <f t="shared" si="19"/>
        <v>Low</v>
      </c>
    </row>
    <row r="85" spans="1:19" x14ac:dyDescent="0.3">
      <c r="A85" s="22" t="s">
        <v>286</v>
      </c>
      <c r="B85" t="str">
        <f t="shared" si="10"/>
        <v>Mansi Pillai</v>
      </c>
      <c r="C85" t="str">
        <f t="shared" si="11"/>
        <v>Product</v>
      </c>
      <c r="D85" t="str">
        <f t="shared" si="12"/>
        <v>Trisha Patel</v>
      </c>
      <c r="E85" s="30" t="str">
        <f t="shared" si="13"/>
        <v>Active</v>
      </c>
      <c r="F85" s="22" t="s">
        <v>1700</v>
      </c>
      <c r="G85" s="24">
        <v>3.3</v>
      </c>
      <c r="H85" s="24">
        <v>4</v>
      </c>
      <c r="I85" s="24">
        <v>4.5</v>
      </c>
      <c r="J85" s="24">
        <v>3.9</v>
      </c>
      <c r="K85" s="24">
        <v>3.5</v>
      </c>
      <c r="L85" s="24">
        <v>3.1</v>
      </c>
      <c r="M85" s="25">
        <f t="shared" si="14"/>
        <v>3.72</v>
      </c>
      <c r="N85" s="22">
        <v>8</v>
      </c>
      <c r="O85" s="22" t="str">
        <f t="shared" si="15"/>
        <v>Passive</v>
      </c>
      <c r="P85" s="30">
        <f t="shared" si="16"/>
        <v>4</v>
      </c>
      <c r="Q85" s="35">
        <f t="shared" si="17"/>
        <v>0.92</v>
      </c>
      <c r="R85" s="22">
        <f t="shared" si="18"/>
        <v>1</v>
      </c>
      <c r="S85" s="22" t="str">
        <f t="shared" si="19"/>
        <v>Low</v>
      </c>
    </row>
    <row r="86" spans="1:19" x14ac:dyDescent="0.3">
      <c r="A86" s="22" t="s">
        <v>445</v>
      </c>
      <c r="B86" t="str">
        <f t="shared" si="10"/>
        <v>Rohan Menon</v>
      </c>
      <c r="C86" t="str">
        <f t="shared" si="11"/>
        <v>Operations</v>
      </c>
      <c r="D86" t="str">
        <f t="shared" si="12"/>
        <v>Amit Kumar</v>
      </c>
      <c r="E86" s="30" t="str">
        <f t="shared" si="13"/>
        <v>Active</v>
      </c>
      <c r="F86" s="22" t="s">
        <v>1700</v>
      </c>
      <c r="G86" s="24">
        <v>2.8</v>
      </c>
      <c r="H86" s="24">
        <v>2.7</v>
      </c>
      <c r="I86" s="24">
        <v>2.8</v>
      </c>
      <c r="J86" s="24">
        <v>2.6</v>
      </c>
      <c r="K86" s="24">
        <v>2.6</v>
      </c>
      <c r="L86" s="24">
        <v>2.2000000000000002</v>
      </c>
      <c r="M86" s="25">
        <f t="shared" si="14"/>
        <v>2.62</v>
      </c>
      <c r="N86" s="22">
        <v>9</v>
      </c>
      <c r="O86" s="22" t="str">
        <f t="shared" si="15"/>
        <v>Promoter</v>
      </c>
      <c r="P86" s="30">
        <f t="shared" si="16"/>
        <v>2</v>
      </c>
      <c r="Q86" s="35">
        <f t="shared" si="17"/>
        <v>0.97</v>
      </c>
      <c r="R86" s="22">
        <f t="shared" si="18"/>
        <v>1</v>
      </c>
      <c r="S86" s="22" t="str">
        <f t="shared" si="19"/>
        <v>Low</v>
      </c>
    </row>
    <row r="87" spans="1:19" x14ac:dyDescent="0.3">
      <c r="A87" s="22" t="s">
        <v>243</v>
      </c>
      <c r="B87" t="str">
        <f t="shared" si="10"/>
        <v>Bhavana Hegde</v>
      </c>
      <c r="C87" t="str">
        <f t="shared" si="11"/>
        <v>Engineering</v>
      </c>
      <c r="D87" t="str">
        <f t="shared" si="12"/>
        <v>Vikram Verma</v>
      </c>
      <c r="E87" s="30" t="str">
        <f t="shared" si="13"/>
        <v>Active</v>
      </c>
      <c r="F87" s="22" t="s">
        <v>1701</v>
      </c>
      <c r="G87" s="24">
        <v>3.6</v>
      </c>
      <c r="H87" s="24">
        <v>2.2999999999999998</v>
      </c>
      <c r="I87" s="24">
        <v>2.9</v>
      </c>
      <c r="J87" s="24">
        <v>3.4</v>
      </c>
      <c r="K87" s="24">
        <v>3.8</v>
      </c>
      <c r="L87" s="24">
        <v>3.1</v>
      </c>
      <c r="M87" s="25">
        <f t="shared" si="14"/>
        <v>3.18</v>
      </c>
      <c r="N87" s="22">
        <v>10</v>
      </c>
      <c r="O87" s="22" t="str">
        <f t="shared" si="15"/>
        <v>Promoter</v>
      </c>
      <c r="P87" s="30">
        <f t="shared" si="16"/>
        <v>3</v>
      </c>
      <c r="Q87" s="35">
        <f t="shared" si="17"/>
        <v>1.01</v>
      </c>
      <c r="R87" s="22">
        <f t="shared" si="18"/>
        <v>0</v>
      </c>
      <c r="S87" s="22" t="str">
        <f t="shared" si="19"/>
        <v>Low</v>
      </c>
    </row>
    <row r="88" spans="1:19" x14ac:dyDescent="0.3">
      <c r="A88" s="22" t="s">
        <v>449</v>
      </c>
      <c r="B88" t="str">
        <f t="shared" si="10"/>
        <v>Arun Choudhary</v>
      </c>
      <c r="C88" t="str">
        <f t="shared" si="11"/>
        <v>Engineering</v>
      </c>
      <c r="D88" t="str">
        <f t="shared" si="12"/>
        <v>Tejaswini Hegde</v>
      </c>
      <c r="E88" s="30" t="str">
        <f t="shared" si="13"/>
        <v>Active</v>
      </c>
      <c r="F88" s="22" t="s">
        <v>1700</v>
      </c>
      <c r="G88" s="24">
        <v>2</v>
      </c>
      <c r="H88" s="24">
        <v>2.1</v>
      </c>
      <c r="I88" s="24">
        <v>2.6</v>
      </c>
      <c r="J88" s="24">
        <v>2.6</v>
      </c>
      <c r="K88" s="24">
        <v>2.6</v>
      </c>
      <c r="L88" s="24">
        <v>2.8</v>
      </c>
      <c r="M88" s="25">
        <f t="shared" si="14"/>
        <v>2.4500000000000002</v>
      </c>
      <c r="N88" s="22">
        <v>6</v>
      </c>
      <c r="O88" s="22" t="str">
        <f t="shared" si="15"/>
        <v>Detractor</v>
      </c>
      <c r="P88" s="30">
        <f t="shared" si="16"/>
        <v>3</v>
      </c>
      <c r="Q88" s="35">
        <f t="shared" si="17"/>
        <v>1.1599999999999999</v>
      </c>
      <c r="R88" s="22">
        <f t="shared" si="18"/>
        <v>2</v>
      </c>
      <c r="S88" s="22" t="str">
        <f t="shared" si="19"/>
        <v>Medium</v>
      </c>
    </row>
    <row r="89" spans="1:19" x14ac:dyDescent="0.3">
      <c r="A89" s="22" t="s">
        <v>452</v>
      </c>
      <c r="B89" t="str">
        <f t="shared" si="10"/>
        <v>Ankit Tiwari</v>
      </c>
      <c r="C89" t="str">
        <f t="shared" si="11"/>
        <v>Human Resources</v>
      </c>
      <c r="D89" t="str">
        <f t="shared" si="12"/>
        <v>Akash Das</v>
      </c>
      <c r="E89" s="30" t="str">
        <f t="shared" si="13"/>
        <v>Active</v>
      </c>
      <c r="F89" s="22" t="s">
        <v>1700</v>
      </c>
      <c r="G89" s="24">
        <v>3.7</v>
      </c>
      <c r="H89" s="24">
        <v>2.9</v>
      </c>
      <c r="I89" s="24">
        <v>2.6</v>
      </c>
      <c r="J89" s="24">
        <v>3.8</v>
      </c>
      <c r="K89" s="24">
        <v>3.2</v>
      </c>
      <c r="L89" s="24">
        <v>3.4</v>
      </c>
      <c r="M89" s="25">
        <f t="shared" si="14"/>
        <v>3.27</v>
      </c>
      <c r="N89" s="22">
        <v>8</v>
      </c>
      <c r="O89" s="22" t="str">
        <f t="shared" si="15"/>
        <v>Passive</v>
      </c>
      <c r="P89" s="30">
        <f t="shared" si="16"/>
        <v>5</v>
      </c>
      <c r="Q89" s="35">
        <f t="shared" si="17"/>
        <v>0.91</v>
      </c>
      <c r="R89" s="22">
        <f t="shared" si="18"/>
        <v>1</v>
      </c>
      <c r="S89" s="22" t="str">
        <f t="shared" si="19"/>
        <v>Low</v>
      </c>
    </row>
    <row r="90" spans="1:19" x14ac:dyDescent="0.3">
      <c r="A90" s="22" t="s">
        <v>455</v>
      </c>
      <c r="B90" t="str">
        <f t="shared" si="10"/>
        <v>Mary Varghese</v>
      </c>
      <c r="C90" t="str">
        <f t="shared" si="11"/>
        <v>Customer Support</v>
      </c>
      <c r="D90" t="str">
        <f t="shared" si="12"/>
        <v>Ashish Varghese</v>
      </c>
      <c r="E90" s="30" t="str">
        <f t="shared" si="13"/>
        <v>Active</v>
      </c>
      <c r="F90" s="22" t="s">
        <v>1700</v>
      </c>
      <c r="G90" s="24">
        <v>2.7</v>
      </c>
      <c r="H90" s="24">
        <v>3.1</v>
      </c>
      <c r="I90" s="24">
        <v>2.6</v>
      </c>
      <c r="J90" s="24">
        <v>3.4</v>
      </c>
      <c r="K90" s="24">
        <v>3.5</v>
      </c>
      <c r="L90" s="24">
        <v>3.4</v>
      </c>
      <c r="M90" s="25">
        <f t="shared" si="14"/>
        <v>3.12</v>
      </c>
      <c r="N90" s="22">
        <v>9</v>
      </c>
      <c r="O90" s="22" t="str">
        <f t="shared" si="15"/>
        <v>Promoter</v>
      </c>
      <c r="P90" s="30">
        <f t="shared" si="16"/>
        <v>2</v>
      </c>
      <c r="Q90" s="35">
        <f t="shared" si="17"/>
        <v>0.64</v>
      </c>
      <c r="R90" s="22">
        <f t="shared" si="18"/>
        <v>1</v>
      </c>
      <c r="S90" s="22" t="str">
        <f t="shared" si="19"/>
        <v>Low</v>
      </c>
    </row>
    <row r="91" spans="1:19" x14ac:dyDescent="0.3">
      <c r="A91" s="22" t="s">
        <v>458</v>
      </c>
      <c r="B91" t="str">
        <f t="shared" si="10"/>
        <v>Madhuri Malhotra</v>
      </c>
      <c r="C91" t="str">
        <f t="shared" si="11"/>
        <v>Sales</v>
      </c>
      <c r="D91" t="str">
        <f t="shared" si="12"/>
        <v>Gayatri Tiwari</v>
      </c>
      <c r="E91" s="30" t="str">
        <f t="shared" si="13"/>
        <v>Exited</v>
      </c>
      <c r="F91" s="22" t="s">
        <v>1701</v>
      </c>
      <c r="G91" s="24">
        <v>2.7</v>
      </c>
      <c r="H91" s="24">
        <v>2.5</v>
      </c>
      <c r="I91" s="24">
        <v>2.1</v>
      </c>
      <c r="J91" s="24">
        <v>1.7</v>
      </c>
      <c r="K91" s="24">
        <v>2</v>
      </c>
      <c r="L91" s="24">
        <v>2.8</v>
      </c>
      <c r="M91" s="25">
        <f t="shared" si="14"/>
        <v>2.2999999999999998</v>
      </c>
      <c r="N91" s="22">
        <v>7</v>
      </c>
      <c r="O91" s="22" t="str">
        <f t="shared" si="15"/>
        <v>Passive</v>
      </c>
      <c r="P91" s="30">
        <f t="shared" si="16"/>
        <v>3</v>
      </c>
      <c r="Q91" s="35">
        <f t="shared" si="17"/>
        <v>0.89</v>
      </c>
      <c r="R91" s="22">
        <f t="shared" si="18"/>
        <v>2</v>
      </c>
      <c r="S91" s="22" t="str">
        <f t="shared" si="19"/>
        <v>Exited</v>
      </c>
    </row>
    <row r="92" spans="1:19" x14ac:dyDescent="0.3">
      <c r="A92" s="22" t="s">
        <v>461</v>
      </c>
      <c r="B92" t="str">
        <f t="shared" si="10"/>
        <v>Srinivas Bose</v>
      </c>
      <c r="C92" t="str">
        <f t="shared" si="11"/>
        <v>Engineering</v>
      </c>
      <c r="D92" t="str">
        <f t="shared" si="12"/>
        <v>Tejaswini Hegde</v>
      </c>
      <c r="E92" s="30" t="str">
        <f t="shared" si="13"/>
        <v>Active</v>
      </c>
      <c r="F92" s="22" t="s">
        <v>1700</v>
      </c>
      <c r="G92" s="24">
        <v>2.7</v>
      </c>
      <c r="H92" s="24">
        <v>3.2</v>
      </c>
      <c r="I92" s="24">
        <v>3.6</v>
      </c>
      <c r="J92" s="24">
        <v>3.4</v>
      </c>
      <c r="K92" s="24">
        <v>3.2</v>
      </c>
      <c r="L92" s="24">
        <v>3.6</v>
      </c>
      <c r="M92" s="25">
        <f t="shared" si="14"/>
        <v>3.28</v>
      </c>
      <c r="N92" s="22">
        <v>6</v>
      </c>
      <c r="O92" s="22" t="str">
        <f t="shared" si="15"/>
        <v>Detractor</v>
      </c>
      <c r="P92" s="30">
        <f t="shared" si="16"/>
        <v>3</v>
      </c>
      <c r="Q92" s="35">
        <f t="shared" si="17"/>
        <v>0.96</v>
      </c>
      <c r="R92" s="22">
        <f t="shared" si="18"/>
        <v>1</v>
      </c>
      <c r="S92" s="22" t="str">
        <f t="shared" si="19"/>
        <v>Low</v>
      </c>
    </row>
    <row r="93" spans="1:19" x14ac:dyDescent="0.3">
      <c r="A93" s="22" t="s">
        <v>464</v>
      </c>
      <c r="B93" t="str">
        <f t="shared" si="10"/>
        <v>Kunal Jain</v>
      </c>
      <c r="C93" t="str">
        <f t="shared" si="11"/>
        <v>Operations</v>
      </c>
      <c r="D93" t="str">
        <f t="shared" si="12"/>
        <v>Pallavi Nair</v>
      </c>
      <c r="E93" s="30" t="str">
        <f t="shared" si="13"/>
        <v>Active</v>
      </c>
      <c r="F93" s="22" t="s">
        <v>1700</v>
      </c>
      <c r="G93" s="24">
        <v>3.9</v>
      </c>
      <c r="H93" s="24">
        <v>3.7</v>
      </c>
      <c r="I93" s="24">
        <v>2.9</v>
      </c>
      <c r="J93" s="24">
        <v>3.5</v>
      </c>
      <c r="K93" s="24">
        <v>4.3</v>
      </c>
      <c r="L93" s="24">
        <v>4</v>
      </c>
      <c r="M93" s="25">
        <f t="shared" si="14"/>
        <v>3.72</v>
      </c>
      <c r="N93" s="22">
        <v>7</v>
      </c>
      <c r="O93" s="22" t="str">
        <f t="shared" si="15"/>
        <v>Passive</v>
      </c>
      <c r="P93" s="30">
        <f t="shared" si="16"/>
        <v>3</v>
      </c>
      <c r="Q93" s="35">
        <f t="shared" si="17"/>
        <v>0.93</v>
      </c>
      <c r="R93" s="22">
        <f t="shared" si="18"/>
        <v>0</v>
      </c>
      <c r="S93" s="22" t="str">
        <f t="shared" si="19"/>
        <v>Low</v>
      </c>
    </row>
    <row r="94" spans="1:19" x14ac:dyDescent="0.3">
      <c r="A94" s="22" t="s">
        <v>467</v>
      </c>
      <c r="B94" t="str">
        <f t="shared" si="10"/>
        <v>Priyanka Hegde</v>
      </c>
      <c r="C94" t="str">
        <f t="shared" si="11"/>
        <v>Product</v>
      </c>
      <c r="D94" t="str">
        <f t="shared" si="12"/>
        <v>Mansi Pillai</v>
      </c>
      <c r="E94" s="30" t="str">
        <f t="shared" si="13"/>
        <v>Active</v>
      </c>
      <c r="F94" s="22" t="s">
        <v>1700</v>
      </c>
      <c r="G94" s="24">
        <v>3.2</v>
      </c>
      <c r="H94" s="24">
        <v>3</v>
      </c>
      <c r="I94" s="24">
        <v>2.8</v>
      </c>
      <c r="J94" s="24">
        <v>2.6</v>
      </c>
      <c r="K94" s="24">
        <v>2.8</v>
      </c>
      <c r="L94" s="24">
        <v>2.2000000000000002</v>
      </c>
      <c r="M94" s="25">
        <f t="shared" si="14"/>
        <v>2.77</v>
      </c>
      <c r="N94" s="22">
        <v>10</v>
      </c>
      <c r="O94" s="22" t="str">
        <f t="shared" si="15"/>
        <v>Promoter</v>
      </c>
      <c r="P94" s="30">
        <f t="shared" si="16"/>
        <v>3</v>
      </c>
      <c r="Q94" s="35">
        <f t="shared" si="17"/>
        <v>1.35</v>
      </c>
      <c r="R94" s="22">
        <f t="shared" si="18"/>
        <v>1</v>
      </c>
      <c r="S94" s="22" t="str">
        <f t="shared" si="19"/>
        <v>Low</v>
      </c>
    </row>
    <row r="95" spans="1:19" x14ac:dyDescent="0.3">
      <c r="A95" s="22" t="s">
        <v>470</v>
      </c>
      <c r="B95" t="str">
        <f t="shared" si="10"/>
        <v>Gayatri Thomas</v>
      </c>
      <c r="C95" t="str">
        <f t="shared" si="11"/>
        <v>Product</v>
      </c>
      <c r="D95" t="str">
        <f t="shared" si="12"/>
        <v>Trisha Patel</v>
      </c>
      <c r="E95" s="30" t="str">
        <f t="shared" si="13"/>
        <v>Active</v>
      </c>
      <c r="F95" s="22" t="s">
        <v>1700</v>
      </c>
      <c r="G95" s="24">
        <v>3.8</v>
      </c>
      <c r="H95" s="24">
        <v>3.9</v>
      </c>
      <c r="I95" s="24">
        <v>4</v>
      </c>
      <c r="J95" s="24">
        <v>4.0999999999999996</v>
      </c>
      <c r="K95" s="24">
        <v>4.3</v>
      </c>
      <c r="L95" s="24">
        <v>4.2</v>
      </c>
      <c r="M95" s="25">
        <f t="shared" si="14"/>
        <v>4.05</v>
      </c>
      <c r="N95" s="22">
        <v>7</v>
      </c>
      <c r="O95" s="22" t="str">
        <f t="shared" si="15"/>
        <v>Passive</v>
      </c>
      <c r="P95" s="30">
        <f t="shared" si="16"/>
        <v>4</v>
      </c>
      <c r="Q95" s="35">
        <f t="shared" si="17"/>
        <v>1.37</v>
      </c>
      <c r="R95" s="22">
        <f t="shared" si="18"/>
        <v>1</v>
      </c>
      <c r="S95" s="22" t="str">
        <f t="shared" si="19"/>
        <v>Low</v>
      </c>
    </row>
    <row r="96" spans="1:19" x14ac:dyDescent="0.3">
      <c r="A96" s="22" t="s">
        <v>473</v>
      </c>
      <c r="B96" t="str">
        <f t="shared" si="10"/>
        <v>Mary Banerjee</v>
      </c>
      <c r="C96" t="str">
        <f t="shared" si="11"/>
        <v>Data &amp; Analytics</v>
      </c>
      <c r="D96" t="str">
        <f t="shared" si="12"/>
        <v>Karan Verma</v>
      </c>
      <c r="E96" s="30" t="str">
        <f t="shared" si="13"/>
        <v>Active</v>
      </c>
      <c r="F96" s="22" t="s">
        <v>1700</v>
      </c>
      <c r="G96" s="24">
        <v>3.5</v>
      </c>
      <c r="H96" s="24">
        <v>4.0999999999999996</v>
      </c>
      <c r="I96" s="24">
        <v>3.8</v>
      </c>
      <c r="J96" s="24">
        <v>4</v>
      </c>
      <c r="K96" s="24">
        <v>3.8</v>
      </c>
      <c r="L96" s="24">
        <v>4.0999999999999996</v>
      </c>
      <c r="M96" s="25">
        <f t="shared" si="14"/>
        <v>3.88</v>
      </c>
      <c r="N96" s="22">
        <v>10</v>
      </c>
      <c r="O96" s="22" t="str">
        <f t="shared" si="15"/>
        <v>Promoter</v>
      </c>
      <c r="P96" s="30">
        <f t="shared" si="16"/>
        <v>3</v>
      </c>
      <c r="Q96" s="35">
        <f t="shared" si="17"/>
        <v>1.25</v>
      </c>
      <c r="R96" s="22">
        <f t="shared" si="18"/>
        <v>0</v>
      </c>
      <c r="S96" s="22" t="str">
        <f t="shared" si="19"/>
        <v>Low</v>
      </c>
    </row>
    <row r="97" spans="1:19" x14ac:dyDescent="0.3">
      <c r="A97" s="22" t="s">
        <v>477</v>
      </c>
      <c r="B97" t="str">
        <f t="shared" si="10"/>
        <v>Pallavi Malhotra</v>
      </c>
      <c r="C97" t="str">
        <f t="shared" si="11"/>
        <v>Marketing</v>
      </c>
      <c r="D97" t="str">
        <f t="shared" si="12"/>
        <v>Nandini Iyer</v>
      </c>
      <c r="E97" s="30" t="str">
        <f t="shared" si="13"/>
        <v>Active</v>
      </c>
      <c r="F97" s="22" t="s">
        <v>1700</v>
      </c>
      <c r="G97" s="24">
        <v>3.3</v>
      </c>
      <c r="H97" s="24">
        <v>3.1</v>
      </c>
      <c r="I97" s="24">
        <v>3</v>
      </c>
      <c r="J97" s="24">
        <v>2.9</v>
      </c>
      <c r="K97" s="24">
        <v>3</v>
      </c>
      <c r="L97" s="24">
        <v>3</v>
      </c>
      <c r="M97" s="25">
        <f t="shared" si="14"/>
        <v>3.05</v>
      </c>
      <c r="N97" s="22">
        <v>8</v>
      </c>
      <c r="O97" s="22" t="str">
        <f t="shared" si="15"/>
        <v>Passive</v>
      </c>
      <c r="P97" s="30">
        <f t="shared" si="16"/>
        <v>4</v>
      </c>
      <c r="Q97" s="35">
        <f t="shared" si="17"/>
        <v>0.81</v>
      </c>
      <c r="R97" s="22">
        <f t="shared" si="18"/>
        <v>2</v>
      </c>
      <c r="S97" s="22" t="str">
        <f t="shared" si="19"/>
        <v>Medium</v>
      </c>
    </row>
    <row r="98" spans="1:19" x14ac:dyDescent="0.3">
      <c r="A98" s="22" t="s">
        <v>480</v>
      </c>
      <c r="B98" t="str">
        <f t="shared" si="10"/>
        <v>Sowmya Menon</v>
      </c>
      <c r="C98" t="str">
        <f t="shared" si="11"/>
        <v>Product</v>
      </c>
      <c r="D98" t="str">
        <f t="shared" si="12"/>
        <v>Trisha Malhotra</v>
      </c>
      <c r="E98" s="30" t="str">
        <f t="shared" si="13"/>
        <v>Exited</v>
      </c>
      <c r="F98" s="22" t="s">
        <v>1700</v>
      </c>
      <c r="G98" s="24">
        <v>2.9</v>
      </c>
      <c r="H98" s="24">
        <v>3.1</v>
      </c>
      <c r="I98" s="24">
        <v>2.7</v>
      </c>
      <c r="J98" s="24">
        <v>2.4</v>
      </c>
      <c r="K98" s="24">
        <v>2.8</v>
      </c>
      <c r="L98" s="24">
        <v>3</v>
      </c>
      <c r="M98" s="25">
        <f t="shared" si="14"/>
        <v>2.82</v>
      </c>
      <c r="N98" s="22">
        <v>9</v>
      </c>
      <c r="O98" s="22" t="str">
        <f t="shared" si="15"/>
        <v>Promoter</v>
      </c>
      <c r="P98" s="30">
        <f t="shared" si="16"/>
        <v>3</v>
      </c>
      <c r="Q98" s="35">
        <f t="shared" si="17"/>
        <v>1.01</v>
      </c>
      <c r="R98" s="22">
        <f t="shared" si="18"/>
        <v>1</v>
      </c>
      <c r="S98" s="22" t="str">
        <f t="shared" si="19"/>
        <v>Exited</v>
      </c>
    </row>
    <row r="99" spans="1:19" x14ac:dyDescent="0.3">
      <c r="A99" s="22" t="s">
        <v>485</v>
      </c>
      <c r="B99" t="str">
        <f t="shared" si="10"/>
        <v>Sanjana Verma</v>
      </c>
      <c r="C99" t="str">
        <f t="shared" si="11"/>
        <v>Human Resources</v>
      </c>
      <c r="D99" t="str">
        <f t="shared" si="12"/>
        <v>Prakash Das</v>
      </c>
      <c r="E99" s="30" t="str">
        <f t="shared" si="13"/>
        <v>Active</v>
      </c>
      <c r="F99" s="22" t="s">
        <v>1701</v>
      </c>
      <c r="G99" s="24">
        <v>3.8</v>
      </c>
      <c r="H99" s="24">
        <v>3.8</v>
      </c>
      <c r="I99" s="24">
        <v>3.1</v>
      </c>
      <c r="J99" s="24">
        <v>3.2</v>
      </c>
      <c r="K99" s="24">
        <v>3.3</v>
      </c>
      <c r="L99" s="24">
        <v>3.3</v>
      </c>
      <c r="M99" s="25">
        <f t="shared" si="14"/>
        <v>3.42</v>
      </c>
      <c r="N99" s="22">
        <v>8</v>
      </c>
      <c r="O99" s="22" t="str">
        <f t="shared" si="15"/>
        <v>Passive</v>
      </c>
      <c r="P99" s="30">
        <f t="shared" si="16"/>
        <v>3</v>
      </c>
      <c r="Q99" s="35">
        <f t="shared" si="17"/>
        <v>1.02</v>
      </c>
      <c r="R99" s="22">
        <f t="shared" si="18"/>
        <v>0</v>
      </c>
      <c r="S99" s="22" t="str">
        <f t="shared" si="19"/>
        <v>Low</v>
      </c>
    </row>
    <row r="100" spans="1:19" x14ac:dyDescent="0.3">
      <c r="A100" s="22" t="s">
        <v>488</v>
      </c>
      <c r="B100" t="str">
        <f t="shared" si="10"/>
        <v>Karan Khan</v>
      </c>
      <c r="C100" t="str">
        <f t="shared" si="11"/>
        <v>Sales</v>
      </c>
      <c r="D100" t="str">
        <f t="shared" si="12"/>
        <v>Yash Raghavan</v>
      </c>
      <c r="E100" s="30" t="str">
        <f t="shared" si="13"/>
        <v>Active</v>
      </c>
      <c r="F100" s="22" t="s">
        <v>1700</v>
      </c>
      <c r="G100" s="24">
        <v>2.2000000000000002</v>
      </c>
      <c r="H100" s="24">
        <v>3.5</v>
      </c>
      <c r="I100" s="24">
        <v>2.4</v>
      </c>
      <c r="J100" s="24">
        <v>3.3</v>
      </c>
      <c r="K100" s="24">
        <v>2.8</v>
      </c>
      <c r="L100" s="24">
        <v>2.9</v>
      </c>
      <c r="M100" s="25">
        <f t="shared" si="14"/>
        <v>2.85</v>
      </c>
      <c r="N100" s="22">
        <v>7</v>
      </c>
      <c r="O100" s="22" t="str">
        <f t="shared" si="15"/>
        <v>Passive</v>
      </c>
      <c r="P100" s="30">
        <f t="shared" si="16"/>
        <v>2</v>
      </c>
      <c r="Q100" s="35">
        <f t="shared" si="17"/>
        <v>0.76</v>
      </c>
      <c r="R100" s="22">
        <f t="shared" si="18"/>
        <v>2</v>
      </c>
      <c r="S100" s="22" t="str">
        <f t="shared" si="19"/>
        <v>Medium</v>
      </c>
    </row>
    <row r="101" spans="1:19" x14ac:dyDescent="0.3">
      <c r="A101" s="22" t="s">
        <v>491</v>
      </c>
      <c r="B101" t="str">
        <f t="shared" si="10"/>
        <v>Arjun Iyer</v>
      </c>
      <c r="C101" t="str">
        <f t="shared" si="11"/>
        <v>Engineering</v>
      </c>
      <c r="D101" t="str">
        <f t="shared" si="12"/>
        <v>Gaurav Fernandes</v>
      </c>
      <c r="E101" s="30" t="str">
        <f t="shared" si="13"/>
        <v>Active</v>
      </c>
      <c r="F101" s="22" t="s">
        <v>1700</v>
      </c>
      <c r="G101" s="24">
        <v>4.4000000000000004</v>
      </c>
      <c r="H101" s="24">
        <v>4.0999999999999996</v>
      </c>
      <c r="I101" s="24">
        <v>4</v>
      </c>
      <c r="J101" s="24">
        <v>4.5</v>
      </c>
      <c r="K101" s="24">
        <v>4.2</v>
      </c>
      <c r="L101" s="24">
        <v>4.0999999999999996</v>
      </c>
      <c r="M101" s="25">
        <f t="shared" si="14"/>
        <v>4.22</v>
      </c>
      <c r="N101" s="22">
        <v>10</v>
      </c>
      <c r="O101" s="22" t="str">
        <f t="shared" si="15"/>
        <v>Promoter</v>
      </c>
      <c r="P101" s="30">
        <f t="shared" si="16"/>
        <v>3</v>
      </c>
      <c r="Q101" s="35">
        <f t="shared" si="17"/>
        <v>1.1100000000000001</v>
      </c>
      <c r="R101" s="22">
        <f t="shared" si="18"/>
        <v>0</v>
      </c>
      <c r="S101" s="22" t="str">
        <f t="shared" si="19"/>
        <v>Low</v>
      </c>
    </row>
    <row r="102" spans="1:19" x14ac:dyDescent="0.3">
      <c r="A102" s="22" t="s">
        <v>379</v>
      </c>
      <c r="B102" t="str">
        <f t="shared" si="10"/>
        <v>Pallavi Nair</v>
      </c>
      <c r="C102" t="str">
        <f t="shared" si="11"/>
        <v>Operations</v>
      </c>
      <c r="D102" t="str">
        <f t="shared" si="12"/>
        <v>Imran Mishra</v>
      </c>
      <c r="E102" s="30" t="str">
        <f t="shared" si="13"/>
        <v>Active</v>
      </c>
      <c r="F102" s="22" t="s">
        <v>1700</v>
      </c>
      <c r="G102" s="24">
        <v>2.9</v>
      </c>
      <c r="H102" s="24">
        <v>3.3</v>
      </c>
      <c r="I102" s="24">
        <v>3</v>
      </c>
      <c r="J102" s="24">
        <v>3.4</v>
      </c>
      <c r="K102" s="24">
        <v>2.9</v>
      </c>
      <c r="L102" s="24">
        <v>2.2999999999999998</v>
      </c>
      <c r="M102" s="25">
        <f t="shared" si="14"/>
        <v>2.97</v>
      </c>
      <c r="N102" s="22">
        <v>8</v>
      </c>
      <c r="O102" s="22" t="str">
        <f t="shared" si="15"/>
        <v>Passive</v>
      </c>
      <c r="P102" s="30">
        <f t="shared" si="16"/>
        <v>1</v>
      </c>
      <c r="Q102" s="35">
        <f t="shared" si="17"/>
        <v>0.82</v>
      </c>
      <c r="R102" s="22">
        <f t="shared" si="18"/>
        <v>2</v>
      </c>
      <c r="S102" s="22" t="str">
        <f t="shared" si="19"/>
        <v>Medium</v>
      </c>
    </row>
    <row r="103" spans="1:19" x14ac:dyDescent="0.3">
      <c r="A103" s="22" t="s">
        <v>495</v>
      </c>
      <c r="B103" t="str">
        <f t="shared" si="10"/>
        <v>Ravi Kumar</v>
      </c>
      <c r="C103" t="str">
        <f t="shared" si="11"/>
        <v>Sales</v>
      </c>
      <c r="D103" t="str">
        <f t="shared" si="12"/>
        <v>Madhuri Malhotra</v>
      </c>
      <c r="E103" s="30" t="str">
        <f t="shared" si="13"/>
        <v>Active</v>
      </c>
      <c r="F103" s="22" t="s">
        <v>1700</v>
      </c>
      <c r="G103" s="24">
        <v>5</v>
      </c>
      <c r="H103" s="24">
        <v>4.3</v>
      </c>
      <c r="I103" s="24">
        <v>3.6</v>
      </c>
      <c r="J103" s="24">
        <v>4.0999999999999996</v>
      </c>
      <c r="K103" s="24">
        <v>4</v>
      </c>
      <c r="L103" s="24">
        <v>3.7</v>
      </c>
      <c r="M103" s="25">
        <f t="shared" si="14"/>
        <v>4.12</v>
      </c>
      <c r="N103" s="22">
        <v>10</v>
      </c>
      <c r="O103" s="22" t="str">
        <f t="shared" si="15"/>
        <v>Promoter</v>
      </c>
      <c r="P103" s="30">
        <f t="shared" si="16"/>
        <v>4</v>
      </c>
      <c r="Q103" s="35">
        <f t="shared" si="17"/>
        <v>0.87</v>
      </c>
      <c r="R103" s="22">
        <f t="shared" si="18"/>
        <v>2</v>
      </c>
      <c r="S103" s="22" t="str">
        <f t="shared" si="19"/>
        <v>Medium</v>
      </c>
    </row>
    <row r="104" spans="1:19" x14ac:dyDescent="0.3">
      <c r="A104" s="22" t="s">
        <v>498</v>
      </c>
      <c r="B104" t="str">
        <f t="shared" si="10"/>
        <v>Sowmya Verma</v>
      </c>
      <c r="C104" t="str">
        <f t="shared" si="11"/>
        <v>Finance</v>
      </c>
      <c r="D104" t="str">
        <f t="shared" si="12"/>
        <v>Kritika Pandey</v>
      </c>
      <c r="E104" s="30" t="str">
        <f t="shared" si="13"/>
        <v>Active</v>
      </c>
      <c r="F104" s="22" t="s">
        <v>1700</v>
      </c>
      <c r="G104" s="24">
        <v>3.2</v>
      </c>
      <c r="H104" s="24">
        <v>3.9</v>
      </c>
      <c r="I104" s="24">
        <v>4.4000000000000004</v>
      </c>
      <c r="J104" s="24">
        <v>3.1</v>
      </c>
      <c r="K104" s="24">
        <v>3.7</v>
      </c>
      <c r="L104" s="24">
        <v>3.9</v>
      </c>
      <c r="M104" s="25">
        <f t="shared" si="14"/>
        <v>3.7</v>
      </c>
      <c r="N104" s="22">
        <v>10</v>
      </c>
      <c r="O104" s="22" t="str">
        <f t="shared" si="15"/>
        <v>Promoter</v>
      </c>
      <c r="P104" s="30">
        <f t="shared" si="16"/>
        <v>4</v>
      </c>
      <c r="Q104" s="35">
        <f t="shared" si="17"/>
        <v>1</v>
      </c>
      <c r="R104" s="22">
        <f t="shared" si="18"/>
        <v>1</v>
      </c>
      <c r="S104" s="22" t="str">
        <f t="shared" si="19"/>
        <v>Low</v>
      </c>
    </row>
    <row r="105" spans="1:19" x14ac:dyDescent="0.3">
      <c r="A105" s="22" t="s">
        <v>503</v>
      </c>
      <c r="B105" t="str">
        <f t="shared" si="10"/>
        <v>Arun Agarwal</v>
      </c>
      <c r="C105" t="str">
        <f t="shared" si="11"/>
        <v>Sales</v>
      </c>
      <c r="D105" t="str">
        <f t="shared" si="12"/>
        <v>Madhuri Malhotra</v>
      </c>
      <c r="E105" s="30" t="str">
        <f t="shared" si="13"/>
        <v>Active</v>
      </c>
      <c r="F105" s="22" t="s">
        <v>1701</v>
      </c>
      <c r="G105" s="24">
        <v>3.4</v>
      </c>
      <c r="H105" s="24">
        <v>3.5</v>
      </c>
      <c r="I105" s="24">
        <v>4.0999999999999996</v>
      </c>
      <c r="J105" s="24">
        <v>3.6</v>
      </c>
      <c r="K105" s="24">
        <v>3.4</v>
      </c>
      <c r="L105" s="24">
        <v>3.5</v>
      </c>
      <c r="M105" s="25">
        <f t="shared" si="14"/>
        <v>3.58</v>
      </c>
      <c r="N105" s="22">
        <v>9</v>
      </c>
      <c r="O105" s="22" t="str">
        <f t="shared" si="15"/>
        <v>Promoter</v>
      </c>
      <c r="P105" s="30">
        <f t="shared" si="16"/>
        <v>3</v>
      </c>
      <c r="Q105" s="35">
        <f t="shared" si="17"/>
        <v>0.73</v>
      </c>
      <c r="R105" s="22">
        <f t="shared" si="18"/>
        <v>1</v>
      </c>
      <c r="S105" s="22" t="str">
        <f t="shared" si="19"/>
        <v>Low</v>
      </c>
    </row>
    <row r="106" spans="1:19" x14ac:dyDescent="0.3">
      <c r="A106" s="22" t="s">
        <v>506</v>
      </c>
      <c r="B106" t="str">
        <f t="shared" si="10"/>
        <v>Shreya Gowda</v>
      </c>
      <c r="C106" t="str">
        <f t="shared" si="11"/>
        <v>Engineering</v>
      </c>
      <c r="D106" t="str">
        <f t="shared" si="12"/>
        <v>Tejaswini Hegde</v>
      </c>
      <c r="E106" s="30" t="str">
        <f t="shared" si="13"/>
        <v>Active</v>
      </c>
      <c r="F106" s="22" t="s">
        <v>1700</v>
      </c>
      <c r="G106" s="24">
        <v>3.5</v>
      </c>
      <c r="H106" s="24">
        <v>3.6</v>
      </c>
      <c r="I106" s="24">
        <v>3.1</v>
      </c>
      <c r="J106" s="24">
        <v>3.4</v>
      </c>
      <c r="K106" s="24">
        <v>3.5</v>
      </c>
      <c r="L106" s="24">
        <v>2.9</v>
      </c>
      <c r="M106" s="25">
        <f t="shared" si="14"/>
        <v>3.33</v>
      </c>
      <c r="N106" s="22">
        <v>9</v>
      </c>
      <c r="O106" s="22" t="str">
        <f t="shared" si="15"/>
        <v>Promoter</v>
      </c>
      <c r="P106" s="30">
        <f t="shared" si="16"/>
        <v>4</v>
      </c>
      <c r="Q106" s="35">
        <f t="shared" si="17"/>
        <v>1.27</v>
      </c>
      <c r="R106" s="22">
        <f t="shared" si="18"/>
        <v>1</v>
      </c>
      <c r="S106" s="22" t="str">
        <f t="shared" si="19"/>
        <v>Low</v>
      </c>
    </row>
    <row r="107" spans="1:19" x14ac:dyDescent="0.3">
      <c r="A107" s="22" t="s">
        <v>182</v>
      </c>
      <c r="B107" t="str">
        <f t="shared" si="10"/>
        <v>Harsh Siddiqui</v>
      </c>
      <c r="C107" t="str">
        <f t="shared" si="11"/>
        <v>Engineering</v>
      </c>
      <c r="D107" t="str">
        <f t="shared" si="12"/>
        <v>Vikram Verma</v>
      </c>
      <c r="E107" s="30" t="str">
        <f t="shared" si="13"/>
        <v>Active</v>
      </c>
      <c r="F107" s="22" t="s">
        <v>1700</v>
      </c>
      <c r="G107" s="24">
        <v>3.3</v>
      </c>
      <c r="H107" s="24">
        <v>3.7</v>
      </c>
      <c r="I107" s="24">
        <v>2.7</v>
      </c>
      <c r="J107" s="24">
        <v>3</v>
      </c>
      <c r="K107" s="24">
        <v>2.6</v>
      </c>
      <c r="L107" s="24">
        <v>2.2000000000000002</v>
      </c>
      <c r="M107" s="25">
        <f t="shared" si="14"/>
        <v>2.92</v>
      </c>
      <c r="N107" s="22">
        <v>7</v>
      </c>
      <c r="O107" s="22" t="str">
        <f t="shared" si="15"/>
        <v>Passive</v>
      </c>
      <c r="P107" s="30">
        <f t="shared" si="16"/>
        <v>4</v>
      </c>
      <c r="Q107" s="35">
        <f t="shared" si="17"/>
        <v>1.1100000000000001</v>
      </c>
      <c r="R107" s="22">
        <f t="shared" si="18"/>
        <v>2</v>
      </c>
      <c r="S107" s="22" t="str">
        <f t="shared" si="19"/>
        <v>Medium</v>
      </c>
    </row>
    <row r="108" spans="1:19" x14ac:dyDescent="0.3">
      <c r="A108" s="22" t="s">
        <v>510</v>
      </c>
      <c r="B108" t="str">
        <f t="shared" si="10"/>
        <v>Imran Subramanian</v>
      </c>
      <c r="C108" t="str">
        <f t="shared" si="11"/>
        <v>Product</v>
      </c>
      <c r="D108" t="str">
        <f t="shared" si="12"/>
        <v>Sachin Shetty</v>
      </c>
      <c r="E108" s="30" t="str">
        <f t="shared" si="13"/>
        <v>Active</v>
      </c>
      <c r="F108" s="22" t="s">
        <v>1700</v>
      </c>
      <c r="G108" s="24">
        <v>3.1</v>
      </c>
      <c r="H108" s="24">
        <v>4.0999999999999996</v>
      </c>
      <c r="I108" s="24">
        <v>3</v>
      </c>
      <c r="J108" s="24">
        <v>3</v>
      </c>
      <c r="K108" s="24">
        <v>3.2</v>
      </c>
      <c r="L108" s="24">
        <v>3.7</v>
      </c>
      <c r="M108" s="25">
        <f t="shared" si="14"/>
        <v>3.35</v>
      </c>
      <c r="N108" s="22">
        <v>9</v>
      </c>
      <c r="O108" s="22" t="str">
        <f t="shared" si="15"/>
        <v>Promoter</v>
      </c>
      <c r="P108" s="30">
        <f t="shared" si="16"/>
        <v>3</v>
      </c>
      <c r="Q108" s="35">
        <f t="shared" si="17"/>
        <v>1.27</v>
      </c>
      <c r="R108" s="22">
        <f t="shared" si="18"/>
        <v>0</v>
      </c>
      <c r="S108" s="22" t="str">
        <f t="shared" si="19"/>
        <v>Low</v>
      </c>
    </row>
    <row r="109" spans="1:19" x14ac:dyDescent="0.3">
      <c r="A109" s="22" t="s">
        <v>515</v>
      </c>
      <c r="B109" t="str">
        <f t="shared" si="10"/>
        <v>Keerthi Siddiqui</v>
      </c>
      <c r="C109" t="str">
        <f t="shared" si="11"/>
        <v>Customer Support</v>
      </c>
      <c r="D109" t="str">
        <f t="shared" si="12"/>
        <v>Vidya Chatterjee</v>
      </c>
      <c r="E109" s="30" t="str">
        <f t="shared" si="13"/>
        <v>Active</v>
      </c>
      <c r="F109" s="22" t="s">
        <v>1700</v>
      </c>
      <c r="G109" s="24">
        <v>3.4</v>
      </c>
      <c r="H109" s="24">
        <v>2.9</v>
      </c>
      <c r="I109" s="24">
        <v>3.3</v>
      </c>
      <c r="J109" s="24">
        <v>2.9</v>
      </c>
      <c r="K109" s="24">
        <v>3.5</v>
      </c>
      <c r="L109" s="24">
        <v>3.3</v>
      </c>
      <c r="M109" s="25">
        <f t="shared" si="14"/>
        <v>3.22</v>
      </c>
      <c r="N109" s="22">
        <v>8</v>
      </c>
      <c r="O109" s="22" t="str">
        <f t="shared" si="15"/>
        <v>Passive</v>
      </c>
      <c r="P109" s="30">
        <f t="shared" si="16"/>
        <v>3</v>
      </c>
      <c r="Q109" s="35">
        <f t="shared" si="17"/>
        <v>0.85</v>
      </c>
      <c r="R109" s="22">
        <f t="shared" si="18"/>
        <v>1</v>
      </c>
      <c r="S109" s="22" t="str">
        <f t="shared" si="19"/>
        <v>Low</v>
      </c>
    </row>
    <row r="110" spans="1:19" x14ac:dyDescent="0.3">
      <c r="A110" s="22" t="s">
        <v>518</v>
      </c>
      <c r="B110" t="str">
        <f t="shared" si="10"/>
        <v>Nandini Choudhary</v>
      </c>
      <c r="C110" t="str">
        <f t="shared" si="11"/>
        <v>Engineering</v>
      </c>
      <c r="D110" t="str">
        <f t="shared" si="12"/>
        <v>Fatima Choudhary</v>
      </c>
      <c r="E110" s="30" t="str">
        <f t="shared" si="13"/>
        <v>Active</v>
      </c>
      <c r="F110" s="22" t="s">
        <v>1700</v>
      </c>
      <c r="G110" s="24">
        <v>3.2</v>
      </c>
      <c r="H110" s="24">
        <v>3.2</v>
      </c>
      <c r="I110" s="24">
        <v>3.7</v>
      </c>
      <c r="J110" s="24">
        <v>4</v>
      </c>
      <c r="K110" s="24">
        <v>3.7</v>
      </c>
      <c r="L110" s="24">
        <v>3.7</v>
      </c>
      <c r="M110" s="25">
        <f t="shared" si="14"/>
        <v>3.58</v>
      </c>
      <c r="N110" s="22">
        <v>8</v>
      </c>
      <c r="O110" s="22" t="str">
        <f t="shared" si="15"/>
        <v>Passive</v>
      </c>
      <c r="P110" s="30">
        <f t="shared" si="16"/>
        <v>4</v>
      </c>
      <c r="Q110" s="35">
        <f t="shared" si="17"/>
        <v>1.1299999999999999</v>
      </c>
      <c r="R110" s="22">
        <f t="shared" si="18"/>
        <v>1</v>
      </c>
      <c r="S110" s="22" t="str">
        <f t="shared" si="19"/>
        <v>Low</v>
      </c>
    </row>
    <row r="111" spans="1:19" x14ac:dyDescent="0.3">
      <c r="A111" s="22" t="s">
        <v>188</v>
      </c>
      <c r="B111" t="str">
        <f t="shared" si="10"/>
        <v>Aishwarya Mukherjee</v>
      </c>
      <c r="C111" t="str">
        <f t="shared" si="11"/>
        <v>Marketing</v>
      </c>
      <c r="D111" t="str">
        <f t="shared" si="12"/>
        <v>Arun Khan</v>
      </c>
      <c r="E111" s="30" t="str">
        <f t="shared" si="13"/>
        <v>Active</v>
      </c>
      <c r="F111" s="22" t="s">
        <v>1700</v>
      </c>
      <c r="G111" s="24">
        <v>3.9</v>
      </c>
      <c r="H111" s="24">
        <v>3.4</v>
      </c>
      <c r="I111" s="24">
        <v>3.3</v>
      </c>
      <c r="J111" s="24">
        <v>3.4</v>
      </c>
      <c r="K111" s="24">
        <v>2.8</v>
      </c>
      <c r="L111" s="24">
        <v>3.2</v>
      </c>
      <c r="M111" s="25">
        <f t="shared" si="14"/>
        <v>3.33</v>
      </c>
      <c r="N111" s="22">
        <v>7</v>
      </c>
      <c r="O111" s="22" t="str">
        <f t="shared" si="15"/>
        <v>Passive</v>
      </c>
      <c r="P111" s="30">
        <f t="shared" si="16"/>
        <v>3</v>
      </c>
      <c r="Q111" s="35">
        <f t="shared" si="17"/>
        <v>0.97</v>
      </c>
      <c r="R111" s="22">
        <f t="shared" si="18"/>
        <v>0</v>
      </c>
      <c r="S111" s="22" t="str">
        <f t="shared" si="19"/>
        <v>Low</v>
      </c>
    </row>
    <row r="112" spans="1:19" x14ac:dyDescent="0.3">
      <c r="A112" s="22" t="s">
        <v>225</v>
      </c>
      <c r="B112" t="str">
        <f t="shared" si="10"/>
        <v>Ajay Patel</v>
      </c>
      <c r="C112" t="str">
        <f t="shared" si="11"/>
        <v>Human Resources</v>
      </c>
      <c r="D112" t="str">
        <f t="shared" si="12"/>
        <v>Prakash Das</v>
      </c>
      <c r="E112" s="30" t="str">
        <f t="shared" si="13"/>
        <v>Exited</v>
      </c>
      <c r="F112" s="22" t="s">
        <v>1700</v>
      </c>
      <c r="G112" s="24">
        <v>2.6</v>
      </c>
      <c r="H112" s="24">
        <v>2.5</v>
      </c>
      <c r="I112" s="24">
        <v>2.2999999999999998</v>
      </c>
      <c r="J112" s="24">
        <v>2.8</v>
      </c>
      <c r="K112" s="24">
        <v>2.5</v>
      </c>
      <c r="L112" s="24">
        <v>2.1</v>
      </c>
      <c r="M112" s="25">
        <f t="shared" si="14"/>
        <v>2.4700000000000002</v>
      </c>
      <c r="N112" s="22">
        <v>8</v>
      </c>
      <c r="O112" s="22" t="str">
        <f t="shared" si="15"/>
        <v>Passive</v>
      </c>
      <c r="P112" s="30">
        <f t="shared" si="16"/>
        <v>1</v>
      </c>
      <c r="Q112" s="35">
        <f t="shared" si="17"/>
        <v>0.83</v>
      </c>
      <c r="R112" s="22">
        <f t="shared" si="18"/>
        <v>2</v>
      </c>
      <c r="S112" s="22" t="str">
        <f t="shared" si="19"/>
        <v>Exited</v>
      </c>
    </row>
    <row r="113" spans="1:19" x14ac:dyDescent="0.3">
      <c r="A113" s="22" t="s">
        <v>526</v>
      </c>
      <c r="B113" t="str">
        <f t="shared" si="10"/>
        <v>Trisha Saxena</v>
      </c>
      <c r="C113" t="str">
        <f t="shared" si="11"/>
        <v>Sales</v>
      </c>
      <c r="D113" t="str">
        <f t="shared" si="12"/>
        <v>Yash Raghavan</v>
      </c>
      <c r="E113" s="30" t="str">
        <f t="shared" si="13"/>
        <v>Active</v>
      </c>
      <c r="F113" s="22" t="s">
        <v>1700</v>
      </c>
      <c r="G113" s="24">
        <v>2.7</v>
      </c>
      <c r="H113" s="24">
        <v>3.5</v>
      </c>
      <c r="I113" s="24">
        <v>3.1</v>
      </c>
      <c r="J113" s="24">
        <v>3.6</v>
      </c>
      <c r="K113" s="24">
        <v>3.4</v>
      </c>
      <c r="L113" s="24">
        <v>3.3</v>
      </c>
      <c r="M113" s="25">
        <f t="shared" si="14"/>
        <v>3.27</v>
      </c>
      <c r="N113" s="22">
        <v>9</v>
      </c>
      <c r="O113" s="22" t="str">
        <f t="shared" si="15"/>
        <v>Promoter</v>
      </c>
      <c r="P113" s="30">
        <f t="shared" si="16"/>
        <v>2</v>
      </c>
      <c r="Q113" s="35">
        <f t="shared" si="17"/>
        <v>0.99</v>
      </c>
      <c r="R113" s="22">
        <f t="shared" si="18"/>
        <v>0</v>
      </c>
      <c r="S113" s="22" t="str">
        <f t="shared" si="19"/>
        <v>Low</v>
      </c>
    </row>
    <row r="114" spans="1:19" x14ac:dyDescent="0.3">
      <c r="A114" s="22" t="s">
        <v>529</v>
      </c>
      <c r="B114" t="str">
        <f t="shared" si="10"/>
        <v>Vikas Shah</v>
      </c>
      <c r="C114" t="str">
        <f t="shared" si="11"/>
        <v>Customer Support</v>
      </c>
      <c r="D114" t="str">
        <f t="shared" si="12"/>
        <v>Vidya Chatterjee</v>
      </c>
      <c r="E114" s="30" t="str">
        <f t="shared" si="13"/>
        <v>Active</v>
      </c>
      <c r="F114" s="22" t="s">
        <v>1700</v>
      </c>
      <c r="G114" s="24">
        <v>4.9000000000000004</v>
      </c>
      <c r="H114" s="24">
        <v>3.7</v>
      </c>
      <c r="I114" s="24">
        <v>3.5</v>
      </c>
      <c r="J114" s="24">
        <v>4.3</v>
      </c>
      <c r="K114" s="24">
        <v>4</v>
      </c>
      <c r="L114" s="24">
        <v>4.8</v>
      </c>
      <c r="M114" s="25">
        <f t="shared" si="14"/>
        <v>4.2</v>
      </c>
      <c r="N114" s="22">
        <v>9</v>
      </c>
      <c r="O114" s="22" t="str">
        <f t="shared" si="15"/>
        <v>Promoter</v>
      </c>
      <c r="P114" s="30">
        <f t="shared" si="16"/>
        <v>3</v>
      </c>
      <c r="Q114" s="35">
        <f t="shared" si="17"/>
        <v>0.8</v>
      </c>
      <c r="R114" s="22">
        <f t="shared" si="18"/>
        <v>1</v>
      </c>
      <c r="S114" s="22" t="str">
        <f t="shared" si="19"/>
        <v>Low</v>
      </c>
    </row>
    <row r="115" spans="1:19" x14ac:dyDescent="0.3">
      <c r="A115" s="22" t="s">
        <v>532</v>
      </c>
      <c r="B115" t="str">
        <f t="shared" si="10"/>
        <v>Aarav Thomas</v>
      </c>
      <c r="C115" t="str">
        <f t="shared" si="11"/>
        <v>Sales</v>
      </c>
      <c r="D115" t="str">
        <f t="shared" si="12"/>
        <v>Kavya Krishnan</v>
      </c>
      <c r="E115" s="30" t="str">
        <f t="shared" si="13"/>
        <v>Active</v>
      </c>
      <c r="F115" s="22" t="s">
        <v>1700</v>
      </c>
      <c r="G115" s="24">
        <v>3.3</v>
      </c>
      <c r="H115" s="24">
        <v>3.7</v>
      </c>
      <c r="I115" s="24">
        <v>3.5</v>
      </c>
      <c r="J115" s="24">
        <v>3.4</v>
      </c>
      <c r="K115" s="24">
        <v>3.2</v>
      </c>
      <c r="L115" s="24">
        <v>3</v>
      </c>
      <c r="M115" s="25">
        <f t="shared" si="14"/>
        <v>3.35</v>
      </c>
      <c r="N115" s="22">
        <v>7</v>
      </c>
      <c r="O115" s="22" t="str">
        <f t="shared" si="15"/>
        <v>Passive</v>
      </c>
      <c r="P115" s="30">
        <f t="shared" si="16"/>
        <v>4</v>
      </c>
      <c r="Q115" s="35">
        <f t="shared" si="17"/>
        <v>1.1399999999999999</v>
      </c>
      <c r="R115" s="22">
        <f t="shared" si="18"/>
        <v>1</v>
      </c>
      <c r="S115" s="22" t="str">
        <f t="shared" si="19"/>
        <v>Low</v>
      </c>
    </row>
    <row r="116" spans="1:19" x14ac:dyDescent="0.3">
      <c r="A116" s="22" t="s">
        <v>535</v>
      </c>
      <c r="B116" t="str">
        <f t="shared" si="10"/>
        <v>Naveen Verma</v>
      </c>
      <c r="C116" t="str">
        <f t="shared" si="11"/>
        <v>Operations</v>
      </c>
      <c r="D116" t="str">
        <f t="shared" si="12"/>
        <v>Yash Shah</v>
      </c>
      <c r="E116" s="30" t="str">
        <f t="shared" si="13"/>
        <v>Active</v>
      </c>
      <c r="F116" s="22" t="s">
        <v>1700</v>
      </c>
      <c r="G116" s="24">
        <v>3</v>
      </c>
      <c r="H116" s="24">
        <v>3.3</v>
      </c>
      <c r="I116" s="24">
        <v>3</v>
      </c>
      <c r="J116" s="24">
        <v>2.9</v>
      </c>
      <c r="K116" s="24">
        <v>2.6</v>
      </c>
      <c r="L116" s="24">
        <v>2.4</v>
      </c>
      <c r="M116" s="25">
        <f t="shared" si="14"/>
        <v>2.87</v>
      </c>
      <c r="N116" s="22">
        <v>8</v>
      </c>
      <c r="O116" s="22" t="str">
        <f t="shared" si="15"/>
        <v>Passive</v>
      </c>
      <c r="P116" s="30">
        <f t="shared" si="16"/>
        <v>4</v>
      </c>
      <c r="Q116" s="35">
        <f t="shared" si="17"/>
        <v>1.02</v>
      </c>
      <c r="R116" s="22">
        <f t="shared" si="18"/>
        <v>2</v>
      </c>
      <c r="S116" s="22" t="str">
        <f t="shared" si="19"/>
        <v>Medium</v>
      </c>
    </row>
    <row r="117" spans="1:19" x14ac:dyDescent="0.3">
      <c r="A117" s="22" t="s">
        <v>538</v>
      </c>
      <c r="B117" t="str">
        <f t="shared" si="10"/>
        <v>Tanvi Tiwari</v>
      </c>
      <c r="C117" t="str">
        <f t="shared" si="11"/>
        <v>Legal &amp; Compliance</v>
      </c>
      <c r="D117" t="str">
        <f t="shared" si="12"/>
        <v>Ramya Khanna</v>
      </c>
      <c r="E117" s="30" t="str">
        <f t="shared" si="13"/>
        <v>Active</v>
      </c>
      <c r="F117" s="22" t="s">
        <v>1700</v>
      </c>
      <c r="G117" s="24">
        <v>2.6</v>
      </c>
      <c r="H117" s="24">
        <v>3</v>
      </c>
      <c r="I117" s="24">
        <v>3.2</v>
      </c>
      <c r="J117" s="24">
        <v>2.9</v>
      </c>
      <c r="K117" s="24">
        <v>2.7</v>
      </c>
      <c r="L117" s="24">
        <v>3.1</v>
      </c>
      <c r="M117" s="25">
        <f t="shared" si="14"/>
        <v>2.92</v>
      </c>
      <c r="N117" s="22">
        <v>7</v>
      </c>
      <c r="O117" s="22" t="str">
        <f t="shared" si="15"/>
        <v>Passive</v>
      </c>
      <c r="P117" s="30">
        <f t="shared" si="16"/>
        <v>1</v>
      </c>
      <c r="Q117" s="35">
        <f t="shared" si="17"/>
        <v>1.04</v>
      </c>
      <c r="R117" s="22">
        <f t="shared" si="18"/>
        <v>1</v>
      </c>
      <c r="S117" s="22" t="str">
        <f t="shared" si="19"/>
        <v>Low</v>
      </c>
    </row>
    <row r="118" spans="1:19" x14ac:dyDescent="0.3">
      <c r="A118" s="22" t="s">
        <v>542</v>
      </c>
      <c r="B118" t="str">
        <f t="shared" si="10"/>
        <v>Sneha Saxena</v>
      </c>
      <c r="C118" t="str">
        <f t="shared" si="11"/>
        <v>Product</v>
      </c>
      <c r="D118" t="str">
        <f t="shared" si="12"/>
        <v>Mansi Pillai</v>
      </c>
      <c r="E118" s="30" t="str">
        <f t="shared" si="13"/>
        <v>Active</v>
      </c>
      <c r="F118" s="22" t="s">
        <v>1701</v>
      </c>
      <c r="G118" s="24">
        <v>2.5</v>
      </c>
      <c r="H118" s="24">
        <v>3.4</v>
      </c>
      <c r="I118" s="24">
        <v>2.8</v>
      </c>
      <c r="J118" s="24">
        <v>2.8</v>
      </c>
      <c r="K118" s="24">
        <v>2.5</v>
      </c>
      <c r="L118" s="24">
        <v>2.9</v>
      </c>
      <c r="M118" s="25">
        <f t="shared" si="14"/>
        <v>2.82</v>
      </c>
      <c r="N118" s="22">
        <v>8</v>
      </c>
      <c r="O118" s="22" t="str">
        <f t="shared" si="15"/>
        <v>Passive</v>
      </c>
      <c r="P118" s="30">
        <f t="shared" si="16"/>
        <v>3</v>
      </c>
      <c r="Q118" s="35">
        <f t="shared" si="17"/>
        <v>1.25</v>
      </c>
      <c r="R118" s="22">
        <f t="shared" si="18"/>
        <v>1</v>
      </c>
      <c r="S118" s="22" t="str">
        <f t="shared" si="19"/>
        <v>Low</v>
      </c>
    </row>
    <row r="119" spans="1:19" x14ac:dyDescent="0.3">
      <c r="A119" s="22" t="s">
        <v>154</v>
      </c>
      <c r="B119" t="str">
        <f t="shared" si="10"/>
        <v>Amit Kumar</v>
      </c>
      <c r="C119" t="str">
        <f t="shared" si="11"/>
        <v>Operations</v>
      </c>
      <c r="D119" t="str">
        <f t="shared" si="12"/>
        <v>Imran Mishra</v>
      </c>
      <c r="E119" s="30" t="str">
        <f t="shared" si="13"/>
        <v>Exited</v>
      </c>
      <c r="F119" s="22" t="s">
        <v>1700</v>
      </c>
      <c r="G119" s="24">
        <v>2.7</v>
      </c>
      <c r="H119" s="24">
        <v>1.7</v>
      </c>
      <c r="I119" s="24">
        <v>2.2000000000000002</v>
      </c>
      <c r="J119" s="24">
        <v>2</v>
      </c>
      <c r="K119" s="24">
        <v>2</v>
      </c>
      <c r="L119" s="24">
        <v>1.8</v>
      </c>
      <c r="M119" s="25">
        <f t="shared" si="14"/>
        <v>2.0699999999999998</v>
      </c>
      <c r="N119" s="22">
        <v>6</v>
      </c>
      <c r="O119" s="22" t="str">
        <f t="shared" si="15"/>
        <v>Detractor</v>
      </c>
      <c r="P119" s="30">
        <f t="shared" si="16"/>
        <v>3</v>
      </c>
      <c r="Q119" s="35">
        <f t="shared" si="17"/>
        <v>0.98</v>
      </c>
      <c r="R119" s="22">
        <f t="shared" si="18"/>
        <v>2</v>
      </c>
      <c r="S119" s="22" t="str">
        <f t="shared" si="19"/>
        <v>Exited</v>
      </c>
    </row>
    <row r="120" spans="1:19" x14ac:dyDescent="0.3">
      <c r="A120" s="22" t="s">
        <v>547</v>
      </c>
      <c r="B120" t="str">
        <f t="shared" si="10"/>
        <v>Pranav Banerjee</v>
      </c>
      <c r="C120" t="str">
        <f t="shared" si="11"/>
        <v>Operations</v>
      </c>
      <c r="D120" t="str">
        <f t="shared" si="12"/>
        <v>Pallavi Nair</v>
      </c>
      <c r="E120" s="30" t="str">
        <f t="shared" si="13"/>
        <v>Active</v>
      </c>
      <c r="F120" s="22" t="s">
        <v>1700</v>
      </c>
      <c r="G120" s="24">
        <v>2.2999999999999998</v>
      </c>
      <c r="H120" s="24">
        <v>2.9</v>
      </c>
      <c r="I120" s="24">
        <v>2.7</v>
      </c>
      <c r="J120" s="24">
        <v>2.9</v>
      </c>
      <c r="K120" s="24">
        <v>3.2</v>
      </c>
      <c r="L120" s="24">
        <v>3.3</v>
      </c>
      <c r="M120" s="25">
        <f t="shared" si="14"/>
        <v>2.88</v>
      </c>
      <c r="N120" s="22">
        <v>7</v>
      </c>
      <c r="O120" s="22" t="str">
        <f t="shared" si="15"/>
        <v>Passive</v>
      </c>
      <c r="P120" s="30">
        <f t="shared" si="16"/>
        <v>1</v>
      </c>
      <c r="Q120" s="35">
        <f t="shared" si="17"/>
        <v>0.88</v>
      </c>
      <c r="R120" s="22">
        <f t="shared" si="18"/>
        <v>2</v>
      </c>
      <c r="S120" s="22" t="str">
        <f t="shared" si="19"/>
        <v>Medium</v>
      </c>
    </row>
    <row r="121" spans="1:19" x14ac:dyDescent="0.3">
      <c r="A121" s="22" t="s">
        <v>551</v>
      </c>
      <c r="B121" t="str">
        <f t="shared" si="10"/>
        <v>Ayesha Reddy</v>
      </c>
      <c r="C121" t="str">
        <f t="shared" si="11"/>
        <v>Data &amp; Analytics</v>
      </c>
      <c r="D121" t="str">
        <f t="shared" si="12"/>
        <v>Arun Mukherjee</v>
      </c>
      <c r="E121" s="30" t="str">
        <f t="shared" si="13"/>
        <v>Exited</v>
      </c>
      <c r="F121" s="22" t="s">
        <v>1700</v>
      </c>
      <c r="G121" s="24">
        <v>3.7</v>
      </c>
      <c r="H121" s="24">
        <v>3.1</v>
      </c>
      <c r="I121" s="24">
        <v>3</v>
      </c>
      <c r="J121" s="24">
        <v>2.9</v>
      </c>
      <c r="K121" s="24">
        <v>2.9</v>
      </c>
      <c r="L121" s="24">
        <v>3.3</v>
      </c>
      <c r="M121" s="25">
        <f t="shared" si="14"/>
        <v>3.15</v>
      </c>
      <c r="N121" s="22">
        <v>4</v>
      </c>
      <c r="O121" s="22" t="str">
        <f t="shared" si="15"/>
        <v>Detractor</v>
      </c>
      <c r="P121" s="30">
        <f t="shared" si="16"/>
        <v>4</v>
      </c>
      <c r="Q121" s="35">
        <f t="shared" si="17"/>
        <v>1.04</v>
      </c>
      <c r="R121" s="22">
        <f t="shared" si="18"/>
        <v>2</v>
      </c>
      <c r="S121" s="22" t="str">
        <f t="shared" si="19"/>
        <v>Exited</v>
      </c>
    </row>
    <row r="122" spans="1:19" x14ac:dyDescent="0.3">
      <c r="A122" s="22" t="s">
        <v>554</v>
      </c>
      <c r="B122" t="str">
        <f t="shared" si="10"/>
        <v>Srinivas Kulkarni</v>
      </c>
      <c r="C122" t="str">
        <f t="shared" si="11"/>
        <v>Finance</v>
      </c>
      <c r="D122" t="str">
        <f t="shared" si="12"/>
        <v>Kritika Pandey</v>
      </c>
      <c r="E122" s="30" t="str">
        <f t="shared" si="13"/>
        <v>Active</v>
      </c>
      <c r="F122" s="22" t="s">
        <v>1700</v>
      </c>
      <c r="G122" s="24">
        <v>1.9</v>
      </c>
      <c r="H122" s="24">
        <v>2.2000000000000002</v>
      </c>
      <c r="I122" s="24">
        <v>2.6</v>
      </c>
      <c r="J122" s="24">
        <v>2.5</v>
      </c>
      <c r="K122" s="24">
        <v>2.7</v>
      </c>
      <c r="L122" s="24">
        <v>2.1</v>
      </c>
      <c r="M122" s="25">
        <f t="shared" si="14"/>
        <v>2.33</v>
      </c>
      <c r="N122" s="22">
        <v>5</v>
      </c>
      <c r="O122" s="22" t="str">
        <f t="shared" si="15"/>
        <v>Detractor</v>
      </c>
      <c r="P122" s="30">
        <f t="shared" si="16"/>
        <v>4</v>
      </c>
      <c r="Q122" s="35">
        <f t="shared" si="17"/>
        <v>1.01</v>
      </c>
      <c r="R122" s="22">
        <f t="shared" si="18"/>
        <v>3</v>
      </c>
      <c r="S122" s="22" t="str">
        <f t="shared" si="19"/>
        <v>High</v>
      </c>
    </row>
    <row r="123" spans="1:19" x14ac:dyDescent="0.3">
      <c r="A123" s="22" t="s">
        <v>557</v>
      </c>
      <c r="B123" t="str">
        <f t="shared" si="10"/>
        <v>Divya Kulkarni</v>
      </c>
      <c r="C123" t="str">
        <f t="shared" si="11"/>
        <v>Customer Support</v>
      </c>
      <c r="D123" t="str">
        <f t="shared" si="12"/>
        <v>Isha Verma</v>
      </c>
      <c r="E123" s="30" t="str">
        <f t="shared" si="13"/>
        <v>Exited</v>
      </c>
      <c r="F123" s="22" t="s">
        <v>1700</v>
      </c>
      <c r="G123" s="24">
        <v>2.4</v>
      </c>
      <c r="H123" s="24">
        <v>2.7</v>
      </c>
      <c r="I123" s="24">
        <v>2.2999999999999998</v>
      </c>
      <c r="J123" s="24">
        <v>2.2000000000000002</v>
      </c>
      <c r="K123" s="24">
        <v>2.4</v>
      </c>
      <c r="L123" s="24">
        <v>2.5</v>
      </c>
      <c r="M123" s="25">
        <f t="shared" si="14"/>
        <v>2.42</v>
      </c>
      <c r="N123" s="22">
        <v>4</v>
      </c>
      <c r="O123" s="22" t="str">
        <f t="shared" si="15"/>
        <v>Detractor</v>
      </c>
      <c r="P123" s="30">
        <f t="shared" si="16"/>
        <v>3</v>
      </c>
      <c r="Q123" s="35">
        <f t="shared" si="17"/>
        <v>0.7</v>
      </c>
      <c r="R123" s="22">
        <f t="shared" si="18"/>
        <v>3</v>
      </c>
      <c r="S123" s="22" t="str">
        <f t="shared" si="19"/>
        <v>Exited</v>
      </c>
    </row>
    <row r="124" spans="1:19" x14ac:dyDescent="0.3">
      <c r="A124" s="22" t="s">
        <v>561</v>
      </c>
      <c r="B124" t="str">
        <f t="shared" si="10"/>
        <v>Arjun Bansal</v>
      </c>
      <c r="C124" t="str">
        <f t="shared" si="11"/>
        <v>Operations</v>
      </c>
      <c r="D124" t="str">
        <f t="shared" si="12"/>
        <v>Ramya Menon</v>
      </c>
      <c r="E124" s="30" t="str">
        <f t="shared" si="13"/>
        <v>Active</v>
      </c>
      <c r="F124" s="22" t="s">
        <v>1700</v>
      </c>
      <c r="G124" s="24">
        <v>2.7</v>
      </c>
      <c r="H124" s="24">
        <v>2.4</v>
      </c>
      <c r="I124" s="24">
        <v>2.2999999999999998</v>
      </c>
      <c r="J124" s="24">
        <v>2.8</v>
      </c>
      <c r="K124" s="24">
        <v>2.4</v>
      </c>
      <c r="L124" s="24">
        <v>2.4</v>
      </c>
      <c r="M124" s="25">
        <f t="shared" si="14"/>
        <v>2.5</v>
      </c>
      <c r="N124" s="22">
        <v>4</v>
      </c>
      <c r="O124" s="22" t="str">
        <f t="shared" si="15"/>
        <v>Detractor</v>
      </c>
      <c r="P124" s="30">
        <f t="shared" si="16"/>
        <v>1</v>
      </c>
      <c r="Q124" s="35">
        <f t="shared" si="17"/>
        <v>0.67</v>
      </c>
      <c r="R124" s="22">
        <f t="shared" si="18"/>
        <v>3</v>
      </c>
      <c r="S124" s="22" t="str">
        <f t="shared" si="19"/>
        <v>High</v>
      </c>
    </row>
    <row r="125" spans="1:19" x14ac:dyDescent="0.3">
      <c r="A125" s="22" t="s">
        <v>392</v>
      </c>
      <c r="B125" t="str">
        <f t="shared" si="10"/>
        <v>Vikram Joshi</v>
      </c>
      <c r="C125" t="str">
        <f t="shared" si="11"/>
        <v>Customer Support</v>
      </c>
      <c r="D125" t="str">
        <f t="shared" si="12"/>
        <v>Arvind Rao (CEO)</v>
      </c>
      <c r="E125" s="30" t="str">
        <f t="shared" si="13"/>
        <v>Active</v>
      </c>
      <c r="F125" s="22" t="s">
        <v>1700</v>
      </c>
      <c r="G125" s="24">
        <v>3.5</v>
      </c>
      <c r="H125" s="24">
        <v>3.5</v>
      </c>
      <c r="I125" s="24">
        <v>4.3</v>
      </c>
      <c r="J125" s="24">
        <v>3.8</v>
      </c>
      <c r="K125" s="24">
        <v>4.3</v>
      </c>
      <c r="L125" s="24">
        <v>4.5</v>
      </c>
      <c r="M125" s="25">
        <f t="shared" si="14"/>
        <v>3.98</v>
      </c>
      <c r="N125" s="22">
        <v>10</v>
      </c>
      <c r="O125" s="22" t="str">
        <f t="shared" si="15"/>
        <v>Promoter</v>
      </c>
      <c r="P125" s="30">
        <f t="shared" si="16"/>
        <v>4</v>
      </c>
      <c r="Q125" s="35">
        <f t="shared" si="17"/>
        <v>0.59</v>
      </c>
      <c r="R125" s="22">
        <f t="shared" si="18"/>
        <v>2</v>
      </c>
      <c r="S125" s="22" t="str">
        <f t="shared" si="19"/>
        <v>Medium</v>
      </c>
    </row>
    <row r="126" spans="1:19" x14ac:dyDescent="0.3">
      <c r="A126" s="22" t="s">
        <v>566</v>
      </c>
      <c r="B126" t="str">
        <f t="shared" si="10"/>
        <v>Rohan Pandey</v>
      </c>
      <c r="C126" t="str">
        <f t="shared" si="11"/>
        <v>Engineering</v>
      </c>
      <c r="D126" t="str">
        <f t="shared" si="12"/>
        <v>Gaurav Fernandes</v>
      </c>
      <c r="E126" s="30" t="str">
        <f t="shared" si="13"/>
        <v>Active</v>
      </c>
      <c r="F126" s="22" t="s">
        <v>1700</v>
      </c>
      <c r="G126" s="24">
        <v>3.3</v>
      </c>
      <c r="H126" s="24">
        <v>3.4</v>
      </c>
      <c r="I126" s="24">
        <v>2.7</v>
      </c>
      <c r="J126" s="24">
        <v>3.4</v>
      </c>
      <c r="K126" s="24">
        <v>3.6</v>
      </c>
      <c r="L126" s="24">
        <v>3</v>
      </c>
      <c r="M126" s="25">
        <f t="shared" si="14"/>
        <v>3.23</v>
      </c>
      <c r="N126" s="22">
        <v>8</v>
      </c>
      <c r="O126" s="22" t="str">
        <f t="shared" si="15"/>
        <v>Passive</v>
      </c>
      <c r="P126" s="30">
        <f t="shared" si="16"/>
        <v>3</v>
      </c>
      <c r="Q126" s="35">
        <f t="shared" si="17"/>
        <v>1.25</v>
      </c>
      <c r="R126" s="22">
        <f t="shared" si="18"/>
        <v>0</v>
      </c>
      <c r="S126" s="22" t="str">
        <f t="shared" si="19"/>
        <v>Low</v>
      </c>
    </row>
    <row r="127" spans="1:19" x14ac:dyDescent="0.3">
      <c r="A127" s="22" t="s">
        <v>570</v>
      </c>
      <c r="B127" t="str">
        <f t="shared" si="10"/>
        <v>Imran Krishnan</v>
      </c>
      <c r="C127" t="str">
        <f t="shared" si="11"/>
        <v>Operations</v>
      </c>
      <c r="D127" t="str">
        <f t="shared" si="12"/>
        <v>Ajay Kumar</v>
      </c>
      <c r="E127" s="30" t="str">
        <f t="shared" si="13"/>
        <v>Active</v>
      </c>
      <c r="F127" s="22" t="s">
        <v>1700</v>
      </c>
      <c r="G127" s="24">
        <v>4.7</v>
      </c>
      <c r="H127" s="24">
        <v>4.0999999999999996</v>
      </c>
      <c r="I127" s="24">
        <v>4.0999999999999996</v>
      </c>
      <c r="J127" s="24">
        <v>4.3</v>
      </c>
      <c r="K127" s="24">
        <v>5</v>
      </c>
      <c r="L127" s="24">
        <v>4</v>
      </c>
      <c r="M127" s="25">
        <f t="shared" si="14"/>
        <v>4.37</v>
      </c>
      <c r="N127" s="22">
        <v>8</v>
      </c>
      <c r="O127" s="22" t="str">
        <f t="shared" si="15"/>
        <v>Passive</v>
      </c>
      <c r="P127" s="30">
        <f t="shared" si="16"/>
        <v>5</v>
      </c>
      <c r="Q127" s="35">
        <f t="shared" si="17"/>
        <v>0.81</v>
      </c>
      <c r="R127" s="22">
        <f t="shared" si="18"/>
        <v>2</v>
      </c>
      <c r="S127" s="22" t="str">
        <f t="shared" si="19"/>
        <v>Medium</v>
      </c>
    </row>
    <row r="128" spans="1:19" x14ac:dyDescent="0.3">
      <c r="A128" s="22" t="s">
        <v>573</v>
      </c>
      <c r="B128" t="str">
        <f t="shared" si="10"/>
        <v>Ayesha Raghavan</v>
      </c>
      <c r="C128" t="str">
        <f t="shared" si="11"/>
        <v>Sales</v>
      </c>
      <c r="D128" t="str">
        <f t="shared" si="12"/>
        <v>Nikhil Agarwal</v>
      </c>
      <c r="E128" s="30" t="str">
        <f t="shared" si="13"/>
        <v>Active</v>
      </c>
      <c r="F128" s="22" t="s">
        <v>1700</v>
      </c>
      <c r="G128" s="24">
        <v>3</v>
      </c>
      <c r="H128" s="24">
        <v>3.8</v>
      </c>
      <c r="I128" s="24">
        <v>4.5</v>
      </c>
      <c r="J128" s="24">
        <v>2.9</v>
      </c>
      <c r="K128" s="24">
        <v>3.4</v>
      </c>
      <c r="L128" s="24">
        <v>3.5</v>
      </c>
      <c r="M128" s="25">
        <f t="shared" si="14"/>
        <v>3.52</v>
      </c>
      <c r="N128" s="22">
        <v>8</v>
      </c>
      <c r="O128" s="22" t="str">
        <f t="shared" si="15"/>
        <v>Passive</v>
      </c>
      <c r="P128" s="30">
        <f t="shared" si="16"/>
        <v>4</v>
      </c>
      <c r="Q128" s="35">
        <f t="shared" si="17"/>
        <v>0.81</v>
      </c>
      <c r="R128" s="22">
        <f t="shared" si="18"/>
        <v>2</v>
      </c>
      <c r="S128" s="22" t="str">
        <f t="shared" si="19"/>
        <v>Medium</v>
      </c>
    </row>
    <row r="129" spans="1:19" x14ac:dyDescent="0.3">
      <c r="A129" s="22" t="s">
        <v>577</v>
      </c>
      <c r="B129" t="str">
        <f t="shared" si="10"/>
        <v>Abhishek Das</v>
      </c>
      <c r="C129" t="str">
        <f t="shared" si="11"/>
        <v>Operations</v>
      </c>
      <c r="D129" t="str">
        <f t="shared" si="12"/>
        <v>Pallavi Nair</v>
      </c>
      <c r="E129" s="30" t="str">
        <f t="shared" si="13"/>
        <v>Active</v>
      </c>
      <c r="F129" s="22" t="s">
        <v>1701</v>
      </c>
      <c r="G129" s="24">
        <v>3.4</v>
      </c>
      <c r="H129" s="24">
        <v>3.1</v>
      </c>
      <c r="I129" s="24">
        <v>2.8</v>
      </c>
      <c r="J129" s="24">
        <v>2.9</v>
      </c>
      <c r="K129" s="24">
        <v>2.2999999999999998</v>
      </c>
      <c r="L129" s="24">
        <v>3.1</v>
      </c>
      <c r="M129" s="25">
        <f t="shared" si="14"/>
        <v>2.93</v>
      </c>
      <c r="N129" s="22">
        <v>7</v>
      </c>
      <c r="O129" s="22" t="str">
        <f t="shared" si="15"/>
        <v>Passive</v>
      </c>
      <c r="P129" s="30">
        <f t="shared" si="16"/>
        <v>2</v>
      </c>
      <c r="Q129" s="35">
        <f t="shared" si="17"/>
        <v>0.7</v>
      </c>
      <c r="R129" s="22">
        <f t="shared" si="18"/>
        <v>2</v>
      </c>
      <c r="S129" s="22" t="str">
        <f t="shared" si="19"/>
        <v>Medium</v>
      </c>
    </row>
    <row r="130" spans="1:19" x14ac:dyDescent="0.3">
      <c r="A130" s="22" t="s">
        <v>401</v>
      </c>
      <c r="B130" t="str">
        <f t="shared" ref="B130:B193" si="20">INDEX(M_Name,MATCH($A130,M_ID,0))</f>
        <v>Madhuri Menon</v>
      </c>
      <c r="C130" t="str">
        <f t="shared" ref="C130:C193" si="21">INDEX(M_Dept,MATCH($A130,M_ID,0))</f>
        <v>Engineering</v>
      </c>
      <c r="D130" t="str">
        <f t="shared" ref="D130:D193" si="22">INDEX(M_Mgr,MATCH($A130,M_ID,0))</f>
        <v>Vikram Verma</v>
      </c>
      <c r="E130" s="30" t="str">
        <f t="shared" ref="E130:E193" si="23">INDEX(M_Status,MATCH($A130,M_ID,0))</f>
        <v>Active</v>
      </c>
      <c r="F130" s="22" t="s">
        <v>1700</v>
      </c>
      <c r="G130" s="24">
        <v>2.9</v>
      </c>
      <c r="H130" s="24">
        <v>2.7</v>
      </c>
      <c r="I130" s="24">
        <v>3</v>
      </c>
      <c r="J130" s="24">
        <v>2.4</v>
      </c>
      <c r="K130" s="24">
        <v>2.8</v>
      </c>
      <c r="L130" s="24">
        <v>2</v>
      </c>
      <c r="M130" s="25">
        <f t="shared" ref="M130:M193" si="24">ROUND(AVERAGE(G130:L130),2)</f>
        <v>2.63</v>
      </c>
      <c r="N130" s="22">
        <v>8</v>
      </c>
      <c r="O130" s="22" t="str">
        <f t="shared" ref="O130:O193" si="25">IF(N130&gt;=9,"Promoter",IF(N130&gt;=7,"Passive","Detractor"))</f>
        <v>Passive</v>
      </c>
      <c r="P130" s="30">
        <f t="shared" ref="P130:P193" si="26">INDEX(P_Rating,MATCH($A130,M_ID,0))</f>
        <v>3</v>
      </c>
      <c r="Q130" s="35">
        <f t="shared" ref="Q130:Q193" si="27">INDEX(C_Compa,MATCH($A130,M_ID,0))</f>
        <v>0.97</v>
      </c>
      <c r="R130" s="22">
        <f t="shared" ref="R130:R193" si="28">(M130&lt;EngThreshold)+(N130&lt;=6)+(Q130&lt;CompaThreshold)+(P130&gt;=4)</f>
        <v>1</v>
      </c>
      <c r="S130" s="22" t="str">
        <f t="shared" ref="S130:S193" si="29">IF(E130="Exited","Exited",IF(R130&gt;=3,"High",IF(R130=2,"Medium","Low")))</f>
        <v>Low</v>
      </c>
    </row>
    <row r="131" spans="1:19" x14ac:dyDescent="0.3">
      <c r="A131" s="22" t="s">
        <v>237</v>
      </c>
      <c r="B131" t="str">
        <f t="shared" si="20"/>
        <v>Yash Raghavan</v>
      </c>
      <c r="C131" t="str">
        <f t="shared" si="21"/>
        <v>Sales</v>
      </c>
      <c r="D131" t="str">
        <f t="shared" si="22"/>
        <v>Gayatri Tiwari</v>
      </c>
      <c r="E131" s="30" t="str">
        <f t="shared" si="23"/>
        <v>Active</v>
      </c>
      <c r="F131" s="22" t="s">
        <v>1700</v>
      </c>
      <c r="G131" s="24">
        <v>3.8</v>
      </c>
      <c r="H131" s="24">
        <v>3.6</v>
      </c>
      <c r="I131" s="24">
        <v>3.4</v>
      </c>
      <c r="J131" s="24">
        <v>3.3</v>
      </c>
      <c r="K131" s="24">
        <v>3.1</v>
      </c>
      <c r="L131" s="24">
        <v>3.9</v>
      </c>
      <c r="M131" s="25">
        <f t="shared" si="24"/>
        <v>3.52</v>
      </c>
      <c r="N131" s="22">
        <v>9</v>
      </c>
      <c r="O131" s="22" t="str">
        <f t="shared" si="25"/>
        <v>Promoter</v>
      </c>
      <c r="P131" s="30">
        <f t="shared" si="26"/>
        <v>1</v>
      </c>
      <c r="Q131" s="35">
        <f t="shared" si="27"/>
        <v>0.86</v>
      </c>
      <c r="R131" s="22">
        <f t="shared" si="28"/>
        <v>1</v>
      </c>
      <c r="S131" s="22" t="str">
        <f t="shared" si="29"/>
        <v>Low</v>
      </c>
    </row>
    <row r="132" spans="1:19" x14ac:dyDescent="0.3">
      <c r="A132" s="22" t="s">
        <v>582</v>
      </c>
      <c r="B132" t="str">
        <f t="shared" si="20"/>
        <v>Vidya Saxena</v>
      </c>
      <c r="C132" t="str">
        <f t="shared" si="21"/>
        <v>Engineering</v>
      </c>
      <c r="D132" t="str">
        <f t="shared" si="22"/>
        <v>Harsh Siddiqui</v>
      </c>
      <c r="E132" s="30" t="str">
        <f t="shared" si="23"/>
        <v>Active</v>
      </c>
      <c r="F132" s="22" t="s">
        <v>1700</v>
      </c>
      <c r="G132" s="24">
        <v>4</v>
      </c>
      <c r="H132" s="24">
        <v>4.2</v>
      </c>
      <c r="I132" s="24">
        <v>4.2</v>
      </c>
      <c r="J132" s="24">
        <v>4.0999999999999996</v>
      </c>
      <c r="K132" s="24">
        <v>4.5999999999999996</v>
      </c>
      <c r="L132" s="24">
        <v>4</v>
      </c>
      <c r="M132" s="25">
        <f t="shared" si="24"/>
        <v>4.18</v>
      </c>
      <c r="N132" s="22">
        <v>8</v>
      </c>
      <c r="O132" s="22" t="str">
        <f t="shared" si="25"/>
        <v>Passive</v>
      </c>
      <c r="P132" s="30">
        <f t="shared" si="26"/>
        <v>3</v>
      </c>
      <c r="Q132" s="35">
        <f t="shared" si="27"/>
        <v>0.91</v>
      </c>
      <c r="R132" s="22">
        <f t="shared" si="28"/>
        <v>0</v>
      </c>
      <c r="S132" s="22" t="str">
        <f t="shared" si="29"/>
        <v>Low</v>
      </c>
    </row>
    <row r="133" spans="1:19" x14ac:dyDescent="0.3">
      <c r="A133" s="22" t="s">
        <v>585</v>
      </c>
      <c r="B133" t="str">
        <f t="shared" si="20"/>
        <v>Ramya Mukherjee</v>
      </c>
      <c r="C133" t="str">
        <f t="shared" si="21"/>
        <v>Engineering</v>
      </c>
      <c r="D133" t="str">
        <f t="shared" si="22"/>
        <v>Fatima Choudhary</v>
      </c>
      <c r="E133" s="30" t="str">
        <f t="shared" si="23"/>
        <v>Active</v>
      </c>
      <c r="F133" s="22" t="s">
        <v>1700</v>
      </c>
      <c r="G133" s="24">
        <v>3.6</v>
      </c>
      <c r="H133" s="24">
        <v>3.6</v>
      </c>
      <c r="I133" s="24">
        <v>3.5</v>
      </c>
      <c r="J133" s="24">
        <v>2.7</v>
      </c>
      <c r="K133" s="24">
        <v>3.1</v>
      </c>
      <c r="L133" s="24">
        <v>3.3</v>
      </c>
      <c r="M133" s="25">
        <f t="shared" si="24"/>
        <v>3.3</v>
      </c>
      <c r="N133" s="22">
        <v>8</v>
      </c>
      <c r="O133" s="22" t="str">
        <f t="shared" si="25"/>
        <v>Passive</v>
      </c>
      <c r="P133" s="30">
        <f t="shared" si="26"/>
        <v>2</v>
      </c>
      <c r="Q133" s="35">
        <f t="shared" si="27"/>
        <v>1.24</v>
      </c>
      <c r="R133" s="22">
        <f t="shared" si="28"/>
        <v>0</v>
      </c>
      <c r="S133" s="22" t="str">
        <f t="shared" si="29"/>
        <v>Low</v>
      </c>
    </row>
    <row r="134" spans="1:19" x14ac:dyDescent="0.3">
      <c r="A134" s="22" t="s">
        <v>588</v>
      </c>
      <c r="B134" t="str">
        <f t="shared" si="20"/>
        <v>Meera Naidu</v>
      </c>
      <c r="C134" t="str">
        <f t="shared" si="21"/>
        <v>Customer Support</v>
      </c>
      <c r="D134" t="str">
        <f t="shared" si="22"/>
        <v>Isha Verma</v>
      </c>
      <c r="E134" s="30" t="str">
        <f t="shared" si="23"/>
        <v>Active</v>
      </c>
      <c r="F134" s="22" t="s">
        <v>1700</v>
      </c>
      <c r="G134" s="24">
        <v>3.1</v>
      </c>
      <c r="H134" s="24">
        <v>2.5</v>
      </c>
      <c r="I134" s="24">
        <v>3</v>
      </c>
      <c r="J134" s="24">
        <v>2.8</v>
      </c>
      <c r="K134" s="24">
        <v>2.9</v>
      </c>
      <c r="L134" s="24">
        <v>3.7</v>
      </c>
      <c r="M134" s="25">
        <f t="shared" si="24"/>
        <v>3</v>
      </c>
      <c r="N134" s="22">
        <v>8</v>
      </c>
      <c r="O134" s="22" t="str">
        <f t="shared" si="25"/>
        <v>Passive</v>
      </c>
      <c r="P134" s="30">
        <f t="shared" si="26"/>
        <v>3</v>
      </c>
      <c r="Q134" s="35">
        <f t="shared" si="27"/>
        <v>0.72</v>
      </c>
      <c r="R134" s="22">
        <f t="shared" si="28"/>
        <v>1</v>
      </c>
      <c r="S134" s="22" t="str">
        <f t="shared" si="29"/>
        <v>Low</v>
      </c>
    </row>
    <row r="135" spans="1:19" x14ac:dyDescent="0.3">
      <c r="A135" s="22" t="s">
        <v>591</v>
      </c>
      <c r="B135" t="str">
        <f t="shared" si="20"/>
        <v>Krishna Shah</v>
      </c>
      <c r="C135" t="str">
        <f t="shared" si="21"/>
        <v>Human Resources</v>
      </c>
      <c r="D135" t="str">
        <f t="shared" si="22"/>
        <v>Ajay Patel</v>
      </c>
      <c r="E135" s="30" t="str">
        <f t="shared" si="23"/>
        <v>Active</v>
      </c>
      <c r="F135" s="22" t="s">
        <v>1701</v>
      </c>
      <c r="G135" s="24">
        <v>3.6</v>
      </c>
      <c r="H135" s="24">
        <v>3</v>
      </c>
      <c r="I135" s="24">
        <v>3.4</v>
      </c>
      <c r="J135" s="24">
        <v>3.2</v>
      </c>
      <c r="K135" s="24">
        <v>3.5</v>
      </c>
      <c r="L135" s="24">
        <v>3.3</v>
      </c>
      <c r="M135" s="25">
        <f t="shared" si="24"/>
        <v>3.33</v>
      </c>
      <c r="N135" s="22">
        <v>7</v>
      </c>
      <c r="O135" s="22" t="str">
        <f t="shared" si="25"/>
        <v>Passive</v>
      </c>
      <c r="P135" s="30">
        <f t="shared" si="26"/>
        <v>4</v>
      </c>
      <c r="Q135" s="35">
        <f t="shared" si="27"/>
        <v>0.78</v>
      </c>
      <c r="R135" s="22">
        <f t="shared" si="28"/>
        <v>2</v>
      </c>
      <c r="S135" s="22" t="str">
        <f t="shared" si="29"/>
        <v>Medium</v>
      </c>
    </row>
    <row r="136" spans="1:19" x14ac:dyDescent="0.3">
      <c r="A136" s="22" t="s">
        <v>594</v>
      </c>
      <c r="B136" t="str">
        <f t="shared" si="20"/>
        <v>Neha Kamath</v>
      </c>
      <c r="C136" t="str">
        <f t="shared" si="21"/>
        <v>Operations</v>
      </c>
      <c r="D136" t="str">
        <f t="shared" si="22"/>
        <v>Nandini Fernandes</v>
      </c>
      <c r="E136" s="30" t="str">
        <f t="shared" si="23"/>
        <v>Active</v>
      </c>
      <c r="F136" s="22" t="s">
        <v>1701</v>
      </c>
      <c r="G136" s="24">
        <v>3.3</v>
      </c>
      <c r="H136" s="24">
        <v>3.9</v>
      </c>
      <c r="I136" s="24">
        <v>3.3</v>
      </c>
      <c r="J136" s="24">
        <v>3.7</v>
      </c>
      <c r="K136" s="24">
        <v>4</v>
      </c>
      <c r="L136" s="24">
        <v>3.7</v>
      </c>
      <c r="M136" s="25">
        <f t="shared" si="24"/>
        <v>3.65</v>
      </c>
      <c r="N136" s="22">
        <v>8</v>
      </c>
      <c r="O136" s="22" t="str">
        <f t="shared" si="25"/>
        <v>Passive</v>
      </c>
      <c r="P136" s="30">
        <f t="shared" si="26"/>
        <v>4</v>
      </c>
      <c r="Q136" s="35">
        <f t="shared" si="27"/>
        <v>0.9</v>
      </c>
      <c r="R136" s="22">
        <f t="shared" si="28"/>
        <v>1</v>
      </c>
      <c r="S136" s="22" t="str">
        <f t="shared" si="29"/>
        <v>Low</v>
      </c>
    </row>
    <row r="137" spans="1:19" x14ac:dyDescent="0.3">
      <c r="A137" s="22" t="s">
        <v>597</v>
      </c>
      <c r="B137" t="str">
        <f t="shared" si="20"/>
        <v>Lakshmi Iyer</v>
      </c>
      <c r="C137" t="str">
        <f t="shared" si="21"/>
        <v>Operations</v>
      </c>
      <c r="D137" t="str">
        <f t="shared" si="22"/>
        <v>Ramya Menon</v>
      </c>
      <c r="E137" s="30" t="str">
        <f t="shared" si="23"/>
        <v>Active</v>
      </c>
      <c r="F137" s="22" t="s">
        <v>1700</v>
      </c>
      <c r="G137" s="24">
        <v>3.8</v>
      </c>
      <c r="H137" s="24">
        <v>2.9</v>
      </c>
      <c r="I137" s="24">
        <v>2.6</v>
      </c>
      <c r="J137" s="24">
        <v>3.8</v>
      </c>
      <c r="K137" s="24">
        <v>3.7</v>
      </c>
      <c r="L137" s="24">
        <v>3.1</v>
      </c>
      <c r="M137" s="25">
        <f t="shared" si="24"/>
        <v>3.32</v>
      </c>
      <c r="N137" s="22">
        <v>7</v>
      </c>
      <c r="O137" s="22" t="str">
        <f t="shared" si="25"/>
        <v>Passive</v>
      </c>
      <c r="P137" s="30">
        <f t="shared" si="26"/>
        <v>3</v>
      </c>
      <c r="Q137" s="35">
        <f t="shared" si="27"/>
        <v>0.67</v>
      </c>
      <c r="R137" s="22">
        <f t="shared" si="28"/>
        <v>1</v>
      </c>
      <c r="S137" s="22" t="str">
        <f t="shared" si="29"/>
        <v>Low</v>
      </c>
    </row>
    <row r="138" spans="1:19" x14ac:dyDescent="0.3">
      <c r="A138" s="22" t="s">
        <v>600</v>
      </c>
      <c r="B138" t="str">
        <f t="shared" si="20"/>
        <v>Aarav Choudhary</v>
      </c>
      <c r="C138" t="str">
        <f t="shared" si="21"/>
        <v>Data &amp; Analytics</v>
      </c>
      <c r="D138" t="str">
        <f t="shared" si="22"/>
        <v>Karan Verma</v>
      </c>
      <c r="E138" s="30" t="str">
        <f t="shared" si="23"/>
        <v>Exited</v>
      </c>
      <c r="F138" s="22" t="s">
        <v>1700</v>
      </c>
      <c r="G138" s="24">
        <v>2.1</v>
      </c>
      <c r="H138" s="24">
        <v>2.2000000000000002</v>
      </c>
      <c r="I138" s="24">
        <v>1.9</v>
      </c>
      <c r="J138" s="24">
        <v>1.7</v>
      </c>
      <c r="K138" s="24">
        <v>1.8</v>
      </c>
      <c r="L138" s="24">
        <v>2.5</v>
      </c>
      <c r="M138" s="25">
        <f t="shared" si="24"/>
        <v>2.0299999999999998</v>
      </c>
      <c r="N138" s="22">
        <v>6</v>
      </c>
      <c r="O138" s="22" t="str">
        <f t="shared" si="25"/>
        <v>Detractor</v>
      </c>
      <c r="P138" s="30">
        <f t="shared" si="26"/>
        <v>3</v>
      </c>
      <c r="Q138" s="35">
        <f t="shared" si="27"/>
        <v>0.9</v>
      </c>
      <c r="R138" s="22">
        <f t="shared" si="28"/>
        <v>2</v>
      </c>
      <c r="S138" s="22" t="str">
        <f t="shared" si="29"/>
        <v>Exited</v>
      </c>
    </row>
    <row r="139" spans="1:19" x14ac:dyDescent="0.3">
      <c r="A139" s="22" t="s">
        <v>603</v>
      </c>
      <c r="B139" t="str">
        <f t="shared" si="20"/>
        <v>Ananya Banerjee</v>
      </c>
      <c r="C139" t="str">
        <f t="shared" si="21"/>
        <v>Engineering</v>
      </c>
      <c r="D139" t="str">
        <f t="shared" si="22"/>
        <v>Prakash Desai</v>
      </c>
      <c r="E139" s="30" t="str">
        <f t="shared" si="23"/>
        <v>Exited</v>
      </c>
      <c r="F139" s="22" t="s">
        <v>1700</v>
      </c>
      <c r="G139" s="24">
        <v>2.4</v>
      </c>
      <c r="H139" s="24">
        <v>2.8</v>
      </c>
      <c r="I139" s="24">
        <v>2.8</v>
      </c>
      <c r="J139" s="24">
        <v>1.7</v>
      </c>
      <c r="K139" s="24">
        <v>2.2000000000000002</v>
      </c>
      <c r="L139" s="24">
        <v>2.2000000000000002</v>
      </c>
      <c r="M139" s="25">
        <f t="shared" si="24"/>
        <v>2.35</v>
      </c>
      <c r="N139" s="22">
        <v>7</v>
      </c>
      <c r="O139" s="22" t="str">
        <f t="shared" si="25"/>
        <v>Passive</v>
      </c>
      <c r="P139" s="30">
        <f t="shared" si="26"/>
        <v>1</v>
      </c>
      <c r="Q139" s="35">
        <f t="shared" si="27"/>
        <v>0.81</v>
      </c>
      <c r="R139" s="22">
        <f t="shared" si="28"/>
        <v>2</v>
      </c>
      <c r="S139" s="22" t="str">
        <f t="shared" si="29"/>
        <v>Exited</v>
      </c>
    </row>
    <row r="140" spans="1:19" x14ac:dyDescent="0.3">
      <c r="A140" s="22" t="s">
        <v>606</v>
      </c>
      <c r="B140" t="str">
        <f t="shared" si="20"/>
        <v>Prakash Kamath</v>
      </c>
      <c r="C140" t="str">
        <f t="shared" si="21"/>
        <v>Operations</v>
      </c>
      <c r="D140" t="str">
        <f t="shared" si="22"/>
        <v>Yash Shah</v>
      </c>
      <c r="E140" s="30" t="str">
        <f t="shared" si="23"/>
        <v>Active</v>
      </c>
      <c r="F140" s="22" t="s">
        <v>1700</v>
      </c>
      <c r="G140" s="24">
        <v>3.4</v>
      </c>
      <c r="H140" s="24">
        <v>2.9</v>
      </c>
      <c r="I140" s="24">
        <v>2.5</v>
      </c>
      <c r="J140" s="24">
        <v>3.1</v>
      </c>
      <c r="K140" s="24">
        <v>2.9</v>
      </c>
      <c r="L140" s="24">
        <v>2.9</v>
      </c>
      <c r="M140" s="25">
        <f t="shared" si="24"/>
        <v>2.95</v>
      </c>
      <c r="N140" s="22">
        <v>6</v>
      </c>
      <c r="O140" s="22" t="str">
        <f t="shared" si="25"/>
        <v>Detractor</v>
      </c>
      <c r="P140" s="30">
        <f t="shared" si="26"/>
        <v>3</v>
      </c>
      <c r="Q140" s="35">
        <f t="shared" si="27"/>
        <v>0.81</v>
      </c>
      <c r="R140" s="22">
        <f t="shared" si="28"/>
        <v>3</v>
      </c>
      <c r="S140" s="22" t="str">
        <f t="shared" si="29"/>
        <v>High</v>
      </c>
    </row>
    <row r="141" spans="1:19" x14ac:dyDescent="0.3">
      <c r="A141" s="22" t="s">
        <v>609</v>
      </c>
      <c r="B141" t="str">
        <f t="shared" si="20"/>
        <v>Anusha Jain</v>
      </c>
      <c r="C141" t="str">
        <f t="shared" si="21"/>
        <v>Engineering</v>
      </c>
      <c r="D141" t="str">
        <f t="shared" si="22"/>
        <v>Bhavana Hegde</v>
      </c>
      <c r="E141" s="30" t="str">
        <f t="shared" si="23"/>
        <v>Active</v>
      </c>
      <c r="F141" s="22" t="s">
        <v>1700</v>
      </c>
      <c r="G141" s="24">
        <v>3.1</v>
      </c>
      <c r="H141" s="24">
        <v>2.9</v>
      </c>
      <c r="I141" s="24">
        <v>3.2</v>
      </c>
      <c r="J141" s="24">
        <v>2.7</v>
      </c>
      <c r="K141" s="24">
        <v>3</v>
      </c>
      <c r="L141" s="24">
        <v>2.7</v>
      </c>
      <c r="M141" s="25">
        <f t="shared" si="24"/>
        <v>2.93</v>
      </c>
      <c r="N141" s="22">
        <v>9</v>
      </c>
      <c r="O141" s="22" t="str">
        <f t="shared" si="25"/>
        <v>Promoter</v>
      </c>
      <c r="P141" s="30">
        <f t="shared" si="26"/>
        <v>4</v>
      </c>
      <c r="Q141" s="35">
        <f t="shared" si="27"/>
        <v>1.31</v>
      </c>
      <c r="R141" s="22">
        <f t="shared" si="28"/>
        <v>2</v>
      </c>
      <c r="S141" s="22" t="str">
        <f t="shared" si="29"/>
        <v>Medium</v>
      </c>
    </row>
    <row r="142" spans="1:19" x14ac:dyDescent="0.3">
      <c r="A142" s="22" t="s">
        <v>612</v>
      </c>
      <c r="B142" t="str">
        <f t="shared" si="20"/>
        <v>Abhishek Banerjee</v>
      </c>
      <c r="C142" t="str">
        <f t="shared" si="21"/>
        <v>Operations</v>
      </c>
      <c r="D142" t="str">
        <f t="shared" si="22"/>
        <v>Ramya Menon</v>
      </c>
      <c r="E142" s="30" t="str">
        <f t="shared" si="23"/>
        <v>Active</v>
      </c>
      <c r="F142" s="22" t="s">
        <v>1700</v>
      </c>
      <c r="G142" s="24">
        <v>3</v>
      </c>
      <c r="H142" s="24">
        <v>2.2999999999999998</v>
      </c>
      <c r="I142" s="24">
        <v>2.6</v>
      </c>
      <c r="J142" s="24">
        <v>3.1</v>
      </c>
      <c r="K142" s="24">
        <v>2.8</v>
      </c>
      <c r="L142" s="24">
        <v>2.9</v>
      </c>
      <c r="M142" s="25">
        <f t="shared" si="24"/>
        <v>2.78</v>
      </c>
      <c r="N142" s="22">
        <v>6</v>
      </c>
      <c r="O142" s="22" t="str">
        <f t="shared" si="25"/>
        <v>Detractor</v>
      </c>
      <c r="P142" s="30">
        <f t="shared" si="26"/>
        <v>4</v>
      </c>
      <c r="Q142" s="35">
        <f t="shared" si="27"/>
        <v>0.86</v>
      </c>
      <c r="R142" s="22">
        <f t="shared" si="28"/>
        <v>4</v>
      </c>
      <c r="S142" s="22" t="str">
        <f t="shared" si="29"/>
        <v>High</v>
      </c>
    </row>
    <row r="143" spans="1:19" x14ac:dyDescent="0.3">
      <c r="A143" s="22" t="s">
        <v>615</v>
      </c>
      <c r="B143" t="str">
        <f t="shared" si="20"/>
        <v>Nisha Naidu</v>
      </c>
      <c r="C143" t="str">
        <f t="shared" si="21"/>
        <v>Sales</v>
      </c>
      <c r="D143" t="str">
        <f t="shared" si="22"/>
        <v>Madhuri Malhotra</v>
      </c>
      <c r="E143" s="30" t="str">
        <f t="shared" si="23"/>
        <v>Active</v>
      </c>
      <c r="F143" s="22" t="s">
        <v>1700</v>
      </c>
      <c r="G143" s="24">
        <v>4.9000000000000004</v>
      </c>
      <c r="H143" s="24">
        <v>5</v>
      </c>
      <c r="I143" s="24">
        <v>3.7</v>
      </c>
      <c r="J143" s="24">
        <v>4.4000000000000004</v>
      </c>
      <c r="K143" s="24">
        <v>3.9</v>
      </c>
      <c r="L143" s="24">
        <v>4.0999999999999996</v>
      </c>
      <c r="M143" s="25">
        <f t="shared" si="24"/>
        <v>4.33</v>
      </c>
      <c r="N143" s="22">
        <v>10</v>
      </c>
      <c r="O143" s="22" t="str">
        <f t="shared" si="25"/>
        <v>Promoter</v>
      </c>
      <c r="P143" s="30">
        <f t="shared" si="26"/>
        <v>4</v>
      </c>
      <c r="Q143" s="35">
        <f t="shared" si="27"/>
        <v>0.74</v>
      </c>
      <c r="R143" s="22">
        <f t="shared" si="28"/>
        <v>2</v>
      </c>
      <c r="S143" s="22" t="str">
        <f t="shared" si="29"/>
        <v>Medium</v>
      </c>
    </row>
    <row r="144" spans="1:19" x14ac:dyDescent="0.3">
      <c r="A144" s="22" t="s">
        <v>618</v>
      </c>
      <c r="B144" t="str">
        <f t="shared" si="20"/>
        <v>Tejaswini Naidu</v>
      </c>
      <c r="C144" t="str">
        <f t="shared" si="21"/>
        <v>Operations</v>
      </c>
      <c r="D144" t="str">
        <f t="shared" si="22"/>
        <v>Arvind Rao (CEO)</v>
      </c>
      <c r="E144" s="30" t="str">
        <f t="shared" si="23"/>
        <v>Active</v>
      </c>
      <c r="F144" s="22" t="s">
        <v>1700</v>
      </c>
      <c r="G144" s="24">
        <v>3.7</v>
      </c>
      <c r="H144" s="24">
        <v>3.9</v>
      </c>
      <c r="I144" s="24">
        <v>3.5</v>
      </c>
      <c r="J144" s="24">
        <v>3.9</v>
      </c>
      <c r="K144" s="24">
        <v>4.3</v>
      </c>
      <c r="L144" s="24">
        <v>3.9</v>
      </c>
      <c r="M144" s="25">
        <f t="shared" si="24"/>
        <v>3.87</v>
      </c>
      <c r="N144" s="22">
        <v>10</v>
      </c>
      <c r="O144" s="22" t="str">
        <f t="shared" si="25"/>
        <v>Promoter</v>
      </c>
      <c r="P144" s="30">
        <f t="shared" si="26"/>
        <v>5</v>
      </c>
      <c r="Q144" s="35">
        <f t="shared" si="27"/>
        <v>0.89</v>
      </c>
      <c r="R144" s="22">
        <f t="shared" si="28"/>
        <v>2</v>
      </c>
      <c r="S144" s="22" t="str">
        <f t="shared" si="29"/>
        <v>Medium</v>
      </c>
    </row>
    <row r="145" spans="1:19" x14ac:dyDescent="0.3">
      <c r="A145" s="22" t="s">
        <v>622</v>
      </c>
      <c r="B145" t="str">
        <f t="shared" si="20"/>
        <v>Nandini Bansal</v>
      </c>
      <c r="C145" t="str">
        <f t="shared" si="21"/>
        <v>Marketing</v>
      </c>
      <c r="D145" t="str">
        <f t="shared" si="22"/>
        <v>Isha Chatterjee</v>
      </c>
      <c r="E145" s="30" t="str">
        <f t="shared" si="23"/>
        <v>Active</v>
      </c>
      <c r="F145" s="22" t="s">
        <v>1700</v>
      </c>
      <c r="G145" s="24">
        <v>3.1</v>
      </c>
      <c r="H145" s="24">
        <v>3.9</v>
      </c>
      <c r="I145" s="24">
        <v>3.1</v>
      </c>
      <c r="J145" s="24">
        <v>3.7</v>
      </c>
      <c r="K145" s="24">
        <v>3.5</v>
      </c>
      <c r="L145" s="24">
        <v>3.9</v>
      </c>
      <c r="M145" s="25">
        <f t="shared" si="24"/>
        <v>3.53</v>
      </c>
      <c r="N145" s="22">
        <v>9</v>
      </c>
      <c r="O145" s="22" t="str">
        <f t="shared" si="25"/>
        <v>Promoter</v>
      </c>
      <c r="P145" s="30">
        <f t="shared" si="26"/>
        <v>2</v>
      </c>
      <c r="Q145" s="35">
        <f t="shared" si="27"/>
        <v>0.97</v>
      </c>
      <c r="R145" s="22">
        <f t="shared" si="28"/>
        <v>0</v>
      </c>
      <c r="S145" s="22" t="str">
        <f t="shared" si="29"/>
        <v>Low</v>
      </c>
    </row>
    <row r="146" spans="1:19" x14ac:dyDescent="0.3">
      <c r="A146" s="22" t="s">
        <v>626</v>
      </c>
      <c r="B146" t="str">
        <f t="shared" si="20"/>
        <v>Srinivas Bansal</v>
      </c>
      <c r="C146" t="str">
        <f t="shared" si="21"/>
        <v>Sales</v>
      </c>
      <c r="D146" t="str">
        <f t="shared" si="22"/>
        <v>Kavya Krishnan</v>
      </c>
      <c r="E146" s="30" t="str">
        <f t="shared" si="23"/>
        <v>Active</v>
      </c>
      <c r="F146" s="22" t="s">
        <v>1700</v>
      </c>
      <c r="G146" s="24">
        <v>3.9</v>
      </c>
      <c r="H146" s="24">
        <v>3.2</v>
      </c>
      <c r="I146" s="24">
        <v>3.3</v>
      </c>
      <c r="J146" s="24">
        <v>3.6</v>
      </c>
      <c r="K146" s="24">
        <v>3.6</v>
      </c>
      <c r="L146" s="24">
        <v>3.6</v>
      </c>
      <c r="M146" s="25">
        <f t="shared" si="24"/>
        <v>3.53</v>
      </c>
      <c r="N146" s="22">
        <v>7</v>
      </c>
      <c r="O146" s="22" t="str">
        <f t="shared" si="25"/>
        <v>Passive</v>
      </c>
      <c r="P146" s="30">
        <f t="shared" si="26"/>
        <v>3</v>
      </c>
      <c r="Q146" s="35">
        <f t="shared" si="27"/>
        <v>1.01</v>
      </c>
      <c r="R146" s="22">
        <f t="shared" si="28"/>
        <v>0</v>
      </c>
      <c r="S146" s="22" t="str">
        <f t="shared" si="29"/>
        <v>Low</v>
      </c>
    </row>
    <row r="147" spans="1:19" x14ac:dyDescent="0.3">
      <c r="A147" s="22" t="s">
        <v>629</v>
      </c>
      <c r="B147" t="str">
        <f t="shared" si="20"/>
        <v>Tejaswini Dsouza</v>
      </c>
      <c r="C147" t="str">
        <f t="shared" si="21"/>
        <v>Sales</v>
      </c>
      <c r="D147" t="str">
        <f t="shared" si="22"/>
        <v>Srinivas Shah</v>
      </c>
      <c r="E147" s="30" t="str">
        <f t="shared" si="23"/>
        <v>Exited</v>
      </c>
      <c r="F147" s="22" t="s">
        <v>1700</v>
      </c>
      <c r="G147" s="24">
        <v>1</v>
      </c>
      <c r="H147" s="24">
        <v>1</v>
      </c>
      <c r="I147" s="24">
        <v>1</v>
      </c>
      <c r="J147" s="24">
        <v>1.5</v>
      </c>
      <c r="K147" s="24">
        <v>1</v>
      </c>
      <c r="L147" s="24">
        <v>1</v>
      </c>
      <c r="M147" s="25">
        <f t="shared" si="24"/>
        <v>1.08</v>
      </c>
      <c r="N147" s="22">
        <v>5</v>
      </c>
      <c r="O147" s="22" t="str">
        <f t="shared" si="25"/>
        <v>Detractor</v>
      </c>
      <c r="P147" s="30">
        <f t="shared" si="26"/>
        <v>1</v>
      </c>
      <c r="Q147" s="35">
        <f t="shared" si="27"/>
        <v>0.91</v>
      </c>
      <c r="R147" s="22">
        <f t="shared" si="28"/>
        <v>2</v>
      </c>
      <c r="S147" s="22" t="str">
        <f t="shared" si="29"/>
        <v>Exited</v>
      </c>
    </row>
    <row r="148" spans="1:19" x14ac:dyDescent="0.3">
      <c r="A148" s="22" t="s">
        <v>632</v>
      </c>
      <c r="B148" t="str">
        <f t="shared" si="20"/>
        <v>Zara Krishnan</v>
      </c>
      <c r="C148" t="str">
        <f t="shared" si="21"/>
        <v>Legal &amp; Compliance</v>
      </c>
      <c r="D148" t="str">
        <f t="shared" si="22"/>
        <v>Ramya Khanna</v>
      </c>
      <c r="E148" s="30" t="str">
        <f t="shared" si="23"/>
        <v>Active</v>
      </c>
      <c r="F148" s="22" t="s">
        <v>1700</v>
      </c>
      <c r="G148" s="24">
        <v>2.5</v>
      </c>
      <c r="H148" s="24">
        <v>2.1</v>
      </c>
      <c r="I148" s="24">
        <v>2</v>
      </c>
      <c r="J148" s="24">
        <v>2.5</v>
      </c>
      <c r="K148" s="24">
        <v>2.2000000000000002</v>
      </c>
      <c r="L148" s="24">
        <v>1.6</v>
      </c>
      <c r="M148" s="25">
        <f t="shared" si="24"/>
        <v>2.15</v>
      </c>
      <c r="N148" s="22">
        <v>6</v>
      </c>
      <c r="O148" s="22" t="str">
        <f t="shared" si="25"/>
        <v>Detractor</v>
      </c>
      <c r="P148" s="30">
        <f t="shared" si="26"/>
        <v>3</v>
      </c>
      <c r="Q148" s="35">
        <f t="shared" si="27"/>
        <v>0.96</v>
      </c>
      <c r="R148" s="22">
        <f t="shared" si="28"/>
        <v>2</v>
      </c>
      <c r="S148" s="22" t="str">
        <f t="shared" si="29"/>
        <v>Medium</v>
      </c>
    </row>
    <row r="149" spans="1:19" x14ac:dyDescent="0.3">
      <c r="A149" s="22" t="s">
        <v>635</v>
      </c>
      <c r="B149" t="str">
        <f t="shared" si="20"/>
        <v>Suresh Bansal</v>
      </c>
      <c r="C149" t="str">
        <f t="shared" si="21"/>
        <v>Product</v>
      </c>
      <c r="D149" t="str">
        <f t="shared" si="22"/>
        <v>Trisha Malhotra</v>
      </c>
      <c r="E149" s="30" t="str">
        <f t="shared" si="23"/>
        <v>Active</v>
      </c>
      <c r="F149" s="22" t="s">
        <v>1700</v>
      </c>
      <c r="G149" s="24">
        <v>3.4</v>
      </c>
      <c r="H149" s="24">
        <v>3.7</v>
      </c>
      <c r="I149" s="24">
        <v>3.1</v>
      </c>
      <c r="J149" s="24">
        <v>3.3</v>
      </c>
      <c r="K149" s="24">
        <v>3</v>
      </c>
      <c r="L149" s="24">
        <v>2.6</v>
      </c>
      <c r="M149" s="25">
        <f t="shared" si="24"/>
        <v>3.18</v>
      </c>
      <c r="N149" s="22">
        <v>7</v>
      </c>
      <c r="O149" s="22" t="str">
        <f t="shared" si="25"/>
        <v>Passive</v>
      </c>
      <c r="P149" s="30">
        <f t="shared" si="26"/>
        <v>4</v>
      </c>
      <c r="Q149" s="35">
        <f t="shared" si="27"/>
        <v>1</v>
      </c>
      <c r="R149" s="22">
        <f t="shared" si="28"/>
        <v>1</v>
      </c>
      <c r="S149" s="22" t="str">
        <f t="shared" si="29"/>
        <v>Low</v>
      </c>
    </row>
    <row r="150" spans="1:19" x14ac:dyDescent="0.3">
      <c r="A150" s="22" t="s">
        <v>638</v>
      </c>
      <c r="B150" t="str">
        <f t="shared" si="20"/>
        <v>Ashish Sharma</v>
      </c>
      <c r="C150" t="str">
        <f t="shared" si="21"/>
        <v>Sales</v>
      </c>
      <c r="D150" t="str">
        <f t="shared" si="22"/>
        <v>Nikhil Agarwal</v>
      </c>
      <c r="E150" s="30" t="str">
        <f t="shared" si="23"/>
        <v>Active</v>
      </c>
      <c r="F150" s="22" t="s">
        <v>1700</v>
      </c>
      <c r="G150" s="24">
        <v>3.1</v>
      </c>
      <c r="H150" s="24">
        <v>3.1</v>
      </c>
      <c r="I150" s="24">
        <v>3.2</v>
      </c>
      <c r="J150" s="24">
        <v>3</v>
      </c>
      <c r="K150" s="24">
        <v>3</v>
      </c>
      <c r="L150" s="24">
        <v>3</v>
      </c>
      <c r="M150" s="25">
        <f t="shared" si="24"/>
        <v>3.07</v>
      </c>
      <c r="N150" s="22">
        <v>8</v>
      </c>
      <c r="O150" s="22" t="str">
        <f t="shared" si="25"/>
        <v>Passive</v>
      </c>
      <c r="P150" s="30">
        <f t="shared" si="26"/>
        <v>2</v>
      </c>
      <c r="Q150" s="35">
        <f t="shared" si="27"/>
        <v>0.76</v>
      </c>
      <c r="R150" s="22">
        <f t="shared" si="28"/>
        <v>1</v>
      </c>
      <c r="S150" s="22" t="str">
        <f t="shared" si="29"/>
        <v>Low</v>
      </c>
    </row>
    <row r="151" spans="1:19" x14ac:dyDescent="0.3">
      <c r="A151" s="22" t="s">
        <v>252</v>
      </c>
      <c r="B151" t="str">
        <f t="shared" si="20"/>
        <v>Vidya Chatterjee</v>
      </c>
      <c r="C151" t="str">
        <f t="shared" si="21"/>
        <v>Customer Support</v>
      </c>
      <c r="D151" t="str">
        <f t="shared" si="22"/>
        <v>Pooja Khanna</v>
      </c>
      <c r="E151" s="30" t="str">
        <f t="shared" si="23"/>
        <v>Active</v>
      </c>
      <c r="F151" s="22" t="s">
        <v>1700</v>
      </c>
      <c r="G151" s="24">
        <v>3.4</v>
      </c>
      <c r="H151" s="24">
        <v>3.4</v>
      </c>
      <c r="I151" s="24">
        <v>3.7</v>
      </c>
      <c r="J151" s="24">
        <v>3.7</v>
      </c>
      <c r="K151" s="24">
        <v>3.9</v>
      </c>
      <c r="L151" s="24">
        <v>3.3</v>
      </c>
      <c r="M151" s="25">
        <f t="shared" si="24"/>
        <v>3.57</v>
      </c>
      <c r="N151" s="22">
        <v>8</v>
      </c>
      <c r="O151" s="22" t="str">
        <f t="shared" si="25"/>
        <v>Passive</v>
      </c>
      <c r="P151" s="30">
        <f t="shared" si="26"/>
        <v>3</v>
      </c>
      <c r="Q151" s="35">
        <f t="shared" si="27"/>
        <v>0.57999999999999996</v>
      </c>
      <c r="R151" s="22">
        <f t="shared" si="28"/>
        <v>1</v>
      </c>
      <c r="S151" s="22" t="str">
        <f t="shared" si="29"/>
        <v>Low</v>
      </c>
    </row>
    <row r="152" spans="1:19" x14ac:dyDescent="0.3">
      <c r="A152" s="22" t="s">
        <v>644</v>
      </c>
      <c r="B152" t="str">
        <f t="shared" si="20"/>
        <v>Abhishek Verma</v>
      </c>
      <c r="C152" t="str">
        <f t="shared" si="21"/>
        <v>Engineering</v>
      </c>
      <c r="D152" t="str">
        <f t="shared" si="22"/>
        <v>Bhavana Hegde</v>
      </c>
      <c r="E152" s="30" t="str">
        <f t="shared" si="23"/>
        <v>Active</v>
      </c>
      <c r="F152" s="22" t="s">
        <v>1700</v>
      </c>
      <c r="G152" s="24">
        <v>2.7</v>
      </c>
      <c r="H152" s="24">
        <v>3</v>
      </c>
      <c r="I152" s="24">
        <v>2.9</v>
      </c>
      <c r="J152" s="24">
        <v>2.8</v>
      </c>
      <c r="K152" s="24">
        <v>1.9</v>
      </c>
      <c r="L152" s="24">
        <v>2.4</v>
      </c>
      <c r="M152" s="25">
        <f t="shared" si="24"/>
        <v>2.62</v>
      </c>
      <c r="N152" s="22">
        <v>7</v>
      </c>
      <c r="O152" s="22" t="str">
        <f t="shared" si="25"/>
        <v>Passive</v>
      </c>
      <c r="P152" s="30">
        <f t="shared" si="26"/>
        <v>3</v>
      </c>
      <c r="Q152" s="35">
        <f t="shared" si="27"/>
        <v>1.33</v>
      </c>
      <c r="R152" s="22">
        <f t="shared" si="28"/>
        <v>1</v>
      </c>
      <c r="S152" s="22" t="str">
        <f t="shared" si="29"/>
        <v>Low</v>
      </c>
    </row>
    <row r="153" spans="1:19" x14ac:dyDescent="0.3">
      <c r="A153" s="22" t="s">
        <v>647</v>
      </c>
      <c r="B153" t="str">
        <f t="shared" si="20"/>
        <v>Tarun Pillai</v>
      </c>
      <c r="C153" t="str">
        <f t="shared" si="21"/>
        <v>Engineering</v>
      </c>
      <c r="D153" t="str">
        <f t="shared" si="22"/>
        <v>Prakash Desai</v>
      </c>
      <c r="E153" s="30" t="str">
        <f t="shared" si="23"/>
        <v>Active</v>
      </c>
      <c r="F153" s="22" t="s">
        <v>1700</v>
      </c>
      <c r="G153" s="24">
        <v>2.9</v>
      </c>
      <c r="H153" s="24">
        <v>2.2000000000000002</v>
      </c>
      <c r="I153" s="24">
        <v>2.6</v>
      </c>
      <c r="J153" s="24">
        <v>3.1</v>
      </c>
      <c r="K153" s="24">
        <v>1.9</v>
      </c>
      <c r="L153" s="24">
        <v>2.2999999999999998</v>
      </c>
      <c r="M153" s="25">
        <f t="shared" si="24"/>
        <v>2.5</v>
      </c>
      <c r="N153" s="22">
        <v>8</v>
      </c>
      <c r="O153" s="22" t="str">
        <f t="shared" si="25"/>
        <v>Passive</v>
      </c>
      <c r="P153" s="30">
        <f t="shared" si="26"/>
        <v>2</v>
      </c>
      <c r="Q153" s="35">
        <f t="shared" si="27"/>
        <v>0.86</v>
      </c>
      <c r="R153" s="22">
        <f t="shared" si="28"/>
        <v>2</v>
      </c>
      <c r="S153" s="22" t="str">
        <f t="shared" si="29"/>
        <v>Medium</v>
      </c>
    </row>
    <row r="154" spans="1:19" x14ac:dyDescent="0.3">
      <c r="A154" s="22" t="s">
        <v>650</v>
      </c>
      <c r="B154" t="str">
        <f t="shared" si="20"/>
        <v>Zara Bose</v>
      </c>
      <c r="C154" t="str">
        <f t="shared" si="21"/>
        <v>Operations</v>
      </c>
      <c r="D154" t="str">
        <f t="shared" si="22"/>
        <v>Ajay Kumar</v>
      </c>
      <c r="E154" s="30" t="str">
        <f t="shared" si="23"/>
        <v>Active</v>
      </c>
      <c r="F154" s="22" t="s">
        <v>1700</v>
      </c>
      <c r="G154" s="24">
        <v>2.8</v>
      </c>
      <c r="H154" s="24">
        <v>2.6</v>
      </c>
      <c r="I154" s="24">
        <v>3.5</v>
      </c>
      <c r="J154" s="24">
        <v>2.8</v>
      </c>
      <c r="K154" s="24">
        <v>3.1</v>
      </c>
      <c r="L154" s="24">
        <v>3</v>
      </c>
      <c r="M154" s="25">
        <f t="shared" si="24"/>
        <v>2.97</v>
      </c>
      <c r="N154" s="22">
        <v>9</v>
      </c>
      <c r="O154" s="22" t="str">
        <f t="shared" si="25"/>
        <v>Promoter</v>
      </c>
      <c r="P154" s="30">
        <f t="shared" si="26"/>
        <v>3</v>
      </c>
      <c r="Q154" s="35">
        <f t="shared" si="27"/>
        <v>0.65</v>
      </c>
      <c r="R154" s="22">
        <f t="shared" si="28"/>
        <v>2</v>
      </c>
      <c r="S154" s="22" t="str">
        <f t="shared" si="29"/>
        <v>Medium</v>
      </c>
    </row>
    <row r="155" spans="1:19" x14ac:dyDescent="0.3">
      <c r="A155" s="22" t="s">
        <v>653</v>
      </c>
      <c r="B155" t="str">
        <f t="shared" si="20"/>
        <v>Krishna Chatterjee</v>
      </c>
      <c r="C155" t="str">
        <f t="shared" si="21"/>
        <v>Operations</v>
      </c>
      <c r="D155" t="str">
        <f t="shared" si="22"/>
        <v>Yash Shah</v>
      </c>
      <c r="E155" s="30" t="str">
        <f t="shared" si="23"/>
        <v>Active</v>
      </c>
      <c r="F155" s="22" t="s">
        <v>1701</v>
      </c>
      <c r="G155" s="24">
        <v>3.6</v>
      </c>
      <c r="H155" s="24">
        <v>3.4</v>
      </c>
      <c r="I155" s="24">
        <v>3.5</v>
      </c>
      <c r="J155" s="24">
        <v>3.4</v>
      </c>
      <c r="K155" s="24">
        <v>3.3</v>
      </c>
      <c r="L155" s="24">
        <v>3.6</v>
      </c>
      <c r="M155" s="25">
        <f t="shared" si="24"/>
        <v>3.47</v>
      </c>
      <c r="N155" s="22">
        <v>6</v>
      </c>
      <c r="O155" s="22" t="str">
        <f t="shared" si="25"/>
        <v>Detractor</v>
      </c>
      <c r="P155" s="30">
        <f t="shared" si="26"/>
        <v>5</v>
      </c>
      <c r="Q155" s="35">
        <f t="shared" si="27"/>
        <v>0.95</v>
      </c>
      <c r="R155" s="22">
        <f t="shared" si="28"/>
        <v>2</v>
      </c>
      <c r="S155" s="22" t="str">
        <f t="shared" si="29"/>
        <v>Medium</v>
      </c>
    </row>
    <row r="156" spans="1:19" x14ac:dyDescent="0.3">
      <c r="A156" s="22" t="s">
        <v>656</v>
      </c>
      <c r="B156" t="str">
        <f t="shared" si="20"/>
        <v>Mary Singh</v>
      </c>
      <c r="C156" t="str">
        <f t="shared" si="21"/>
        <v>Human Resources</v>
      </c>
      <c r="D156" t="str">
        <f t="shared" si="22"/>
        <v>Ajay Patel</v>
      </c>
      <c r="E156" s="30" t="str">
        <f t="shared" si="23"/>
        <v>Active</v>
      </c>
      <c r="F156" s="22" t="s">
        <v>1700</v>
      </c>
      <c r="G156" s="24">
        <v>1.8</v>
      </c>
      <c r="H156" s="24">
        <v>3.3</v>
      </c>
      <c r="I156" s="24">
        <v>2.2999999999999998</v>
      </c>
      <c r="J156" s="24">
        <v>2.4</v>
      </c>
      <c r="K156" s="24">
        <v>2.7</v>
      </c>
      <c r="L156" s="24">
        <v>2.1</v>
      </c>
      <c r="M156" s="25">
        <f t="shared" si="24"/>
        <v>2.4300000000000002</v>
      </c>
      <c r="N156" s="22">
        <v>6</v>
      </c>
      <c r="O156" s="22" t="str">
        <f t="shared" si="25"/>
        <v>Detractor</v>
      </c>
      <c r="P156" s="30">
        <f t="shared" si="26"/>
        <v>3</v>
      </c>
      <c r="Q156" s="35">
        <f t="shared" si="27"/>
        <v>0.71</v>
      </c>
      <c r="R156" s="22">
        <f t="shared" si="28"/>
        <v>3</v>
      </c>
      <c r="S156" s="22" t="str">
        <f t="shared" si="29"/>
        <v>High</v>
      </c>
    </row>
    <row r="157" spans="1:19" x14ac:dyDescent="0.3">
      <c r="A157" s="22" t="s">
        <v>660</v>
      </c>
      <c r="B157" t="str">
        <f t="shared" si="20"/>
        <v>Lakshmi Pillai</v>
      </c>
      <c r="C157" t="str">
        <f t="shared" si="21"/>
        <v>Finance</v>
      </c>
      <c r="D157" t="str">
        <f t="shared" si="22"/>
        <v>Kritika Pandey</v>
      </c>
      <c r="E157" s="30" t="str">
        <f t="shared" si="23"/>
        <v>Active</v>
      </c>
      <c r="F157" s="22" t="s">
        <v>1700</v>
      </c>
      <c r="G157" s="24">
        <v>2.4</v>
      </c>
      <c r="H157" s="24">
        <v>3.7</v>
      </c>
      <c r="I157" s="24">
        <v>3</v>
      </c>
      <c r="J157" s="24">
        <v>3.3</v>
      </c>
      <c r="K157" s="24">
        <v>2.7</v>
      </c>
      <c r="L157" s="24">
        <v>2.7</v>
      </c>
      <c r="M157" s="25">
        <f t="shared" si="24"/>
        <v>2.97</v>
      </c>
      <c r="N157" s="22">
        <v>7</v>
      </c>
      <c r="O157" s="22" t="str">
        <f t="shared" si="25"/>
        <v>Passive</v>
      </c>
      <c r="P157" s="30">
        <f t="shared" si="26"/>
        <v>3</v>
      </c>
      <c r="Q157" s="35">
        <f t="shared" si="27"/>
        <v>1.1299999999999999</v>
      </c>
      <c r="R157" s="22">
        <f t="shared" si="28"/>
        <v>1</v>
      </c>
      <c r="S157" s="22" t="str">
        <f t="shared" si="29"/>
        <v>Low</v>
      </c>
    </row>
    <row r="158" spans="1:19" x14ac:dyDescent="0.3">
      <c r="A158" s="22" t="s">
        <v>663</v>
      </c>
      <c r="B158" t="str">
        <f t="shared" si="20"/>
        <v>Varun Subramanian</v>
      </c>
      <c r="C158" t="str">
        <f t="shared" si="21"/>
        <v>Data &amp; Analytics</v>
      </c>
      <c r="D158" t="str">
        <f t="shared" si="22"/>
        <v>Karan Verma</v>
      </c>
      <c r="E158" s="30" t="str">
        <f t="shared" si="23"/>
        <v>Active</v>
      </c>
      <c r="F158" s="22" t="s">
        <v>1700</v>
      </c>
      <c r="G158" s="24">
        <v>2.6</v>
      </c>
      <c r="H158" s="24">
        <v>2.9</v>
      </c>
      <c r="I158" s="24">
        <v>3.1</v>
      </c>
      <c r="J158" s="24">
        <v>2.6</v>
      </c>
      <c r="K158" s="24">
        <v>2.4</v>
      </c>
      <c r="L158" s="24">
        <v>2</v>
      </c>
      <c r="M158" s="25">
        <f t="shared" si="24"/>
        <v>2.6</v>
      </c>
      <c r="N158" s="22">
        <v>6</v>
      </c>
      <c r="O158" s="22" t="str">
        <f t="shared" si="25"/>
        <v>Detractor</v>
      </c>
      <c r="P158" s="30">
        <f t="shared" si="26"/>
        <v>2</v>
      </c>
      <c r="Q158" s="35">
        <f t="shared" si="27"/>
        <v>1.1299999999999999</v>
      </c>
      <c r="R158" s="22">
        <f t="shared" si="28"/>
        <v>2</v>
      </c>
      <c r="S158" s="22" t="str">
        <f t="shared" si="29"/>
        <v>Medium</v>
      </c>
    </row>
    <row r="159" spans="1:19" x14ac:dyDescent="0.3">
      <c r="A159" s="22" t="s">
        <v>122</v>
      </c>
      <c r="B159" t="str">
        <f t="shared" si="20"/>
        <v>Pallavi Shah</v>
      </c>
      <c r="C159" t="str">
        <f t="shared" si="21"/>
        <v>Operations</v>
      </c>
      <c r="D159" t="str">
        <f t="shared" si="22"/>
        <v>Tejaswini Naidu</v>
      </c>
      <c r="E159" s="30" t="str">
        <f t="shared" si="23"/>
        <v>Active</v>
      </c>
      <c r="F159" s="22" t="s">
        <v>1700</v>
      </c>
      <c r="G159" s="24">
        <v>2.7</v>
      </c>
      <c r="H159" s="24">
        <v>2.5</v>
      </c>
      <c r="I159" s="24">
        <v>3</v>
      </c>
      <c r="J159" s="24">
        <v>2.5</v>
      </c>
      <c r="K159" s="24">
        <v>2.4</v>
      </c>
      <c r="L159" s="24">
        <v>3</v>
      </c>
      <c r="M159" s="25">
        <f t="shared" si="24"/>
        <v>2.68</v>
      </c>
      <c r="N159" s="22">
        <v>7</v>
      </c>
      <c r="O159" s="22" t="str">
        <f t="shared" si="25"/>
        <v>Passive</v>
      </c>
      <c r="P159" s="30">
        <f t="shared" si="26"/>
        <v>3</v>
      </c>
      <c r="Q159" s="35">
        <f t="shared" si="27"/>
        <v>0.97</v>
      </c>
      <c r="R159" s="22">
        <f t="shared" si="28"/>
        <v>1</v>
      </c>
      <c r="S159" s="22" t="str">
        <f t="shared" si="29"/>
        <v>Low</v>
      </c>
    </row>
    <row r="160" spans="1:19" x14ac:dyDescent="0.3">
      <c r="A160" s="22" t="s">
        <v>668</v>
      </c>
      <c r="B160" t="str">
        <f t="shared" si="20"/>
        <v>Sanjana Kamath</v>
      </c>
      <c r="C160" t="str">
        <f t="shared" si="21"/>
        <v>Finance</v>
      </c>
      <c r="D160" t="str">
        <f t="shared" si="22"/>
        <v>Ravi Prabhu</v>
      </c>
      <c r="E160" s="30" t="str">
        <f t="shared" si="23"/>
        <v>Active</v>
      </c>
      <c r="F160" s="22" t="s">
        <v>1700</v>
      </c>
      <c r="G160" s="24">
        <v>3.7</v>
      </c>
      <c r="H160" s="24">
        <v>2.7</v>
      </c>
      <c r="I160" s="24">
        <v>2.8</v>
      </c>
      <c r="J160" s="24">
        <v>2.9</v>
      </c>
      <c r="K160" s="24">
        <v>3.6</v>
      </c>
      <c r="L160" s="24">
        <v>3</v>
      </c>
      <c r="M160" s="25">
        <f t="shared" si="24"/>
        <v>3.12</v>
      </c>
      <c r="N160" s="22">
        <v>6</v>
      </c>
      <c r="O160" s="22" t="str">
        <f t="shared" si="25"/>
        <v>Detractor</v>
      </c>
      <c r="P160" s="30">
        <f t="shared" si="26"/>
        <v>3</v>
      </c>
      <c r="Q160" s="35">
        <f t="shared" si="27"/>
        <v>0.94</v>
      </c>
      <c r="R160" s="22">
        <f t="shared" si="28"/>
        <v>1</v>
      </c>
      <c r="S160" s="22" t="str">
        <f t="shared" si="29"/>
        <v>Low</v>
      </c>
    </row>
    <row r="161" spans="1:19" x14ac:dyDescent="0.3">
      <c r="A161" s="22" t="s">
        <v>672</v>
      </c>
      <c r="B161" t="str">
        <f t="shared" si="20"/>
        <v>Bhavana Varghese</v>
      </c>
      <c r="C161" t="str">
        <f t="shared" si="21"/>
        <v>Customer Support</v>
      </c>
      <c r="D161" t="str">
        <f t="shared" si="22"/>
        <v>Isha Verma</v>
      </c>
      <c r="E161" s="30" t="str">
        <f t="shared" si="23"/>
        <v>Exited</v>
      </c>
      <c r="F161" s="22" t="s">
        <v>1700</v>
      </c>
      <c r="G161" s="24">
        <v>3.2</v>
      </c>
      <c r="H161" s="24">
        <v>3.1</v>
      </c>
      <c r="I161" s="24">
        <v>2.2000000000000002</v>
      </c>
      <c r="J161" s="24">
        <v>2.6</v>
      </c>
      <c r="K161" s="24">
        <v>2.9</v>
      </c>
      <c r="L161" s="24">
        <v>2.9</v>
      </c>
      <c r="M161" s="25">
        <f t="shared" si="24"/>
        <v>2.82</v>
      </c>
      <c r="N161" s="22">
        <v>8</v>
      </c>
      <c r="O161" s="22" t="str">
        <f t="shared" si="25"/>
        <v>Passive</v>
      </c>
      <c r="P161" s="30">
        <f t="shared" si="26"/>
        <v>3</v>
      </c>
      <c r="Q161" s="35">
        <f t="shared" si="27"/>
        <v>0.6</v>
      </c>
      <c r="R161" s="22">
        <f t="shared" si="28"/>
        <v>2</v>
      </c>
      <c r="S161" s="22" t="str">
        <f t="shared" si="29"/>
        <v>Exited</v>
      </c>
    </row>
    <row r="162" spans="1:19" x14ac:dyDescent="0.3">
      <c r="A162" s="22" t="s">
        <v>675</v>
      </c>
      <c r="B162" t="str">
        <f t="shared" si="20"/>
        <v>Tanvi Siddiqui</v>
      </c>
      <c r="C162" t="str">
        <f t="shared" si="21"/>
        <v>Sales</v>
      </c>
      <c r="D162" t="str">
        <f t="shared" si="22"/>
        <v>Madhuri Malhotra</v>
      </c>
      <c r="E162" s="30" t="str">
        <f t="shared" si="23"/>
        <v>Active</v>
      </c>
      <c r="F162" s="22" t="s">
        <v>1700</v>
      </c>
      <c r="G162" s="24">
        <v>4</v>
      </c>
      <c r="H162" s="24">
        <v>2.8</v>
      </c>
      <c r="I162" s="24">
        <v>3.3</v>
      </c>
      <c r="J162" s="24">
        <v>3.1</v>
      </c>
      <c r="K162" s="24">
        <v>3.2</v>
      </c>
      <c r="L162" s="24">
        <v>2.5</v>
      </c>
      <c r="M162" s="25">
        <f t="shared" si="24"/>
        <v>3.15</v>
      </c>
      <c r="N162" s="22">
        <v>8</v>
      </c>
      <c r="O162" s="22" t="str">
        <f t="shared" si="25"/>
        <v>Passive</v>
      </c>
      <c r="P162" s="30">
        <f t="shared" si="26"/>
        <v>3</v>
      </c>
      <c r="Q162" s="35">
        <f t="shared" si="27"/>
        <v>0.72</v>
      </c>
      <c r="R162" s="22">
        <f t="shared" si="28"/>
        <v>1</v>
      </c>
      <c r="S162" s="22" t="str">
        <f t="shared" si="29"/>
        <v>Low</v>
      </c>
    </row>
    <row r="163" spans="1:19" x14ac:dyDescent="0.3">
      <c r="A163" s="22" t="s">
        <v>678</v>
      </c>
      <c r="B163" t="str">
        <f t="shared" si="20"/>
        <v>Aditi Siddiqui</v>
      </c>
      <c r="C163" t="str">
        <f t="shared" si="21"/>
        <v>Engineering</v>
      </c>
      <c r="D163" t="str">
        <f t="shared" si="22"/>
        <v>Tejaswini Hegde</v>
      </c>
      <c r="E163" s="30" t="str">
        <f t="shared" si="23"/>
        <v>Active</v>
      </c>
      <c r="F163" s="22" t="s">
        <v>1700</v>
      </c>
      <c r="G163" s="24">
        <v>2.7</v>
      </c>
      <c r="H163" s="24">
        <v>3.2</v>
      </c>
      <c r="I163" s="24">
        <v>2.8</v>
      </c>
      <c r="J163" s="24">
        <v>3.3</v>
      </c>
      <c r="K163" s="24">
        <v>3.5</v>
      </c>
      <c r="L163" s="24">
        <v>2.9</v>
      </c>
      <c r="M163" s="25">
        <f t="shared" si="24"/>
        <v>3.07</v>
      </c>
      <c r="N163" s="22">
        <v>7</v>
      </c>
      <c r="O163" s="22" t="str">
        <f t="shared" si="25"/>
        <v>Passive</v>
      </c>
      <c r="P163" s="30">
        <f t="shared" si="26"/>
        <v>4</v>
      </c>
      <c r="Q163" s="35">
        <f t="shared" si="27"/>
        <v>0.89</v>
      </c>
      <c r="R163" s="22">
        <f t="shared" si="28"/>
        <v>2</v>
      </c>
      <c r="S163" s="22" t="str">
        <f t="shared" si="29"/>
        <v>Medium</v>
      </c>
    </row>
    <row r="164" spans="1:19" x14ac:dyDescent="0.3">
      <c r="A164" s="22" t="s">
        <v>681</v>
      </c>
      <c r="B164" t="str">
        <f t="shared" si="20"/>
        <v>Aditi Yadav</v>
      </c>
      <c r="C164" t="str">
        <f t="shared" si="21"/>
        <v>Legal &amp; Compliance</v>
      </c>
      <c r="D164" t="str">
        <f t="shared" si="22"/>
        <v>Swathi Mukherjee</v>
      </c>
      <c r="E164" s="30" t="str">
        <f t="shared" si="23"/>
        <v>Active</v>
      </c>
      <c r="F164" s="22" t="s">
        <v>1700</v>
      </c>
      <c r="G164" s="24">
        <v>3.2</v>
      </c>
      <c r="H164" s="24">
        <v>3.1</v>
      </c>
      <c r="I164" s="24">
        <v>2.5</v>
      </c>
      <c r="J164" s="24">
        <v>3.2</v>
      </c>
      <c r="K164" s="24">
        <v>3.5</v>
      </c>
      <c r="L164" s="24">
        <v>2.8</v>
      </c>
      <c r="M164" s="25">
        <f t="shared" si="24"/>
        <v>3.05</v>
      </c>
      <c r="N164" s="22">
        <v>9</v>
      </c>
      <c r="O164" s="22" t="str">
        <f t="shared" si="25"/>
        <v>Promoter</v>
      </c>
      <c r="P164" s="30">
        <f t="shared" si="26"/>
        <v>4</v>
      </c>
      <c r="Q164" s="35">
        <f t="shared" si="27"/>
        <v>0.9</v>
      </c>
      <c r="R164" s="22">
        <f t="shared" si="28"/>
        <v>1</v>
      </c>
      <c r="S164" s="22" t="str">
        <f t="shared" si="29"/>
        <v>Low</v>
      </c>
    </row>
    <row r="165" spans="1:19" x14ac:dyDescent="0.3">
      <c r="A165" s="22" t="s">
        <v>687</v>
      </c>
      <c r="B165" t="str">
        <f t="shared" si="20"/>
        <v>Gaurav Saxena</v>
      </c>
      <c r="C165" t="str">
        <f t="shared" si="21"/>
        <v>Sales</v>
      </c>
      <c r="D165" t="str">
        <f t="shared" si="22"/>
        <v>Nikhil Agarwal</v>
      </c>
      <c r="E165" s="30" t="str">
        <f t="shared" si="23"/>
        <v>Active</v>
      </c>
      <c r="F165" s="22" t="s">
        <v>1700</v>
      </c>
      <c r="G165" s="24">
        <v>4.3</v>
      </c>
      <c r="H165" s="24">
        <v>4.2</v>
      </c>
      <c r="I165" s="24">
        <v>4.5</v>
      </c>
      <c r="J165" s="24">
        <v>4.3</v>
      </c>
      <c r="K165" s="24">
        <v>4.4000000000000004</v>
      </c>
      <c r="L165" s="24">
        <v>4.7</v>
      </c>
      <c r="M165" s="25">
        <f t="shared" si="24"/>
        <v>4.4000000000000004</v>
      </c>
      <c r="N165" s="22">
        <v>10</v>
      </c>
      <c r="O165" s="22" t="str">
        <f t="shared" si="25"/>
        <v>Promoter</v>
      </c>
      <c r="P165" s="30">
        <f t="shared" si="26"/>
        <v>5</v>
      </c>
      <c r="Q165" s="35">
        <f t="shared" si="27"/>
        <v>0.87</v>
      </c>
      <c r="R165" s="22">
        <f t="shared" si="28"/>
        <v>2</v>
      </c>
      <c r="S165" s="22" t="str">
        <f t="shared" si="29"/>
        <v>Medium</v>
      </c>
    </row>
    <row r="166" spans="1:19" x14ac:dyDescent="0.3">
      <c r="A166" s="22" t="s">
        <v>690</v>
      </c>
      <c r="B166" t="str">
        <f t="shared" si="20"/>
        <v>Kiran Hegde</v>
      </c>
      <c r="C166" t="str">
        <f t="shared" si="21"/>
        <v>Sales</v>
      </c>
      <c r="D166" t="str">
        <f t="shared" si="22"/>
        <v>Srinivas Shah</v>
      </c>
      <c r="E166" s="30" t="str">
        <f t="shared" si="23"/>
        <v>Active</v>
      </c>
      <c r="F166" s="22" t="s">
        <v>1701</v>
      </c>
      <c r="G166" s="24">
        <v>3.1</v>
      </c>
      <c r="H166" s="24">
        <v>3</v>
      </c>
      <c r="I166" s="24">
        <v>3.3</v>
      </c>
      <c r="J166" s="24">
        <v>2.7</v>
      </c>
      <c r="K166" s="24">
        <v>2.9</v>
      </c>
      <c r="L166" s="24">
        <v>3.1</v>
      </c>
      <c r="M166" s="25">
        <f t="shared" si="24"/>
        <v>3.02</v>
      </c>
      <c r="N166" s="22">
        <v>5</v>
      </c>
      <c r="O166" s="22" t="str">
        <f t="shared" si="25"/>
        <v>Detractor</v>
      </c>
      <c r="P166" s="30">
        <f t="shared" si="26"/>
        <v>3</v>
      </c>
      <c r="Q166" s="35">
        <f t="shared" si="27"/>
        <v>0.74</v>
      </c>
      <c r="R166" s="22">
        <f t="shared" si="28"/>
        <v>2</v>
      </c>
      <c r="S166" s="22" t="str">
        <f t="shared" si="29"/>
        <v>Medium</v>
      </c>
    </row>
    <row r="167" spans="1:19" x14ac:dyDescent="0.3">
      <c r="A167" s="22" t="s">
        <v>693</v>
      </c>
      <c r="B167" t="str">
        <f t="shared" si="20"/>
        <v>Aditi Prabhu</v>
      </c>
      <c r="C167" t="str">
        <f t="shared" si="21"/>
        <v>Engineering</v>
      </c>
      <c r="D167" t="str">
        <f t="shared" si="22"/>
        <v>Isha Jain</v>
      </c>
      <c r="E167" s="30" t="str">
        <f t="shared" si="23"/>
        <v>Active</v>
      </c>
      <c r="F167" s="22" t="s">
        <v>1700</v>
      </c>
      <c r="G167" s="24">
        <v>3.3</v>
      </c>
      <c r="H167" s="24">
        <v>3.4</v>
      </c>
      <c r="I167" s="24">
        <v>3.8</v>
      </c>
      <c r="J167" s="24">
        <v>3.9</v>
      </c>
      <c r="K167" s="24">
        <v>3.2</v>
      </c>
      <c r="L167" s="24">
        <v>3.8</v>
      </c>
      <c r="M167" s="25">
        <f t="shared" si="24"/>
        <v>3.57</v>
      </c>
      <c r="N167" s="22">
        <v>6</v>
      </c>
      <c r="O167" s="22" t="str">
        <f t="shared" si="25"/>
        <v>Detractor</v>
      </c>
      <c r="P167" s="30">
        <f t="shared" si="26"/>
        <v>4</v>
      </c>
      <c r="Q167" s="35">
        <f t="shared" si="27"/>
        <v>1.1399999999999999</v>
      </c>
      <c r="R167" s="22">
        <f t="shared" si="28"/>
        <v>2</v>
      </c>
      <c r="S167" s="22" t="str">
        <f t="shared" si="29"/>
        <v>Medium</v>
      </c>
    </row>
    <row r="168" spans="1:19" x14ac:dyDescent="0.3">
      <c r="A168" s="22" t="s">
        <v>696</v>
      </c>
      <c r="B168" t="str">
        <f t="shared" si="20"/>
        <v>Sanjay Krishnan</v>
      </c>
      <c r="C168" t="str">
        <f t="shared" si="21"/>
        <v>Operations</v>
      </c>
      <c r="D168" t="str">
        <f t="shared" si="22"/>
        <v>Ramya Menon</v>
      </c>
      <c r="E168" s="30" t="str">
        <f t="shared" si="23"/>
        <v>Exited</v>
      </c>
      <c r="F168" s="22" t="s">
        <v>1700</v>
      </c>
      <c r="G168" s="24">
        <v>3.1</v>
      </c>
      <c r="H168" s="24">
        <v>3.1</v>
      </c>
      <c r="I168" s="24">
        <v>2.8</v>
      </c>
      <c r="J168" s="24">
        <v>3.1</v>
      </c>
      <c r="K168" s="24">
        <v>3.5</v>
      </c>
      <c r="L168" s="24">
        <v>3.5</v>
      </c>
      <c r="M168" s="25">
        <f t="shared" si="24"/>
        <v>3.18</v>
      </c>
      <c r="N168" s="22">
        <v>6</v>
      </c>
      <c r="O168" s="22" t="str">
        <f t="shared" si="25"/>
        <v>Detractor</v>
      </c>
      <c r="P168" s="30">
        <f t="shared" si="26"/>
        <v>4</v>
      </c>
      <c r="Q168" s="35">
        <f t="shared" si="27"/>
        <v>0.85</v>
      </c>
      <c r="R168" s="22">
        <f t="shared" si="28"/>
        <v>3</v>
      </c>
      <c r="S168" s="22" t="str">
        <f t="shared" si="29"/>
        <v>Exited</v>
      </c>
    </row>
    <row r="169" spans="1:19" x14ac:dyDescent="0.3">
      <c r="A169" s="22" t="s">
        <v>699</v>
      </c>
      <c r="B169" t="str">
        <f t="shared" si="20"/>
        <v>Priya Fernandes</v>
      </c>
      <c r="C169" t="str">
        <f t="shared" si="21"/>
        <v>Legal &amp; Compliance</v>
      </c>
      <c r="D169" t="str">
        <f t="shared" si="22"/>
        <v>Ramya Khanna</v>
      </c>
      <c r="E169" s="30" t="str">
        <f t="shared" si="23"/>
        <v>Active</v>
      </c>
      <c r="F169" s="22" t="s">
        <v>1700</v>
      </c>
      <c r="G169" s="24">
        <v>3.9</v>
      </c>
      <c r="H169" s="24">
        <v>3.7</v>
      </c>
      <c r="I169" s="24">
        <v>3</v>
      </c>
      <c r="J169" s="24">
        <v>3.3</v>
      </c>
      <c r="K169" s="24">
        <v>3.4</v>
      </c>
      <c r="L169" s="24">
        <v>3.8</v>
      </c>
      <c r="M169" s="25">
        <f t="shared" si="24"/>
        <v>3.52</v>
      </c>
      <c r="N169" s="22">
        <v>9</v>
      </c>
      <c r="O169" s="22" t="str">
        <f t="shared" si="25"/>
        <v>Promoter</v>
      </c>
      <c r="P169" s="30">
        <f t="shared" si="26"/>
        <v>3</v>
      </c>
      <c r="Q169" s="35">
        <f t="shared" si="27"/>
        <v>1.1299999999999999</v>
      </c>
      <c r="R169" s="22">
        <f t="shared" si="28"/>
        <v>0</v>
      </c>
      <c r="S169" s="22" t="str">
        <f t="shared" si="29"/>
        <v>Low</v>
      </c>
    </row>
    <row r="170" spans="1:19" x14ac:dyDescent="0.3">
      <c r="A170" s="22" t="s">
        <v>702</v>
      </c>
      <c r="B170" t="str">
        <f t="shared" si="20"/>
        <v>Aniket Siddiqui</v>
      </c>
      <c r="C170" t="str">
        <f t="shared" si="21"/>
        <v>Engineering</v>
      </c>
      <c r="D170" t="str">
        <f t="shared" si="22"/>
        <v>Bhavana Hegde</v>
      </c>
      <c r="E170" s="30" t="str">
        <f t="shared" si="23"/>
        <v>Active</v>
      </c>
      <c r="F170" s="22" t="s">
        <v>1700</v>
      </c>
      <c r="G170" s="24">
        <v>1.8</v>
      </c>
      <c r="H170" s="24">
        <v>2.5</v>
      </c>
      <c r="I170" s="24">
        <v>2.7</v>
      </c>
      <c r="J170" s="24">
        <v>2.2999999999999998</v>
      </c>
      <c r="K170" s="24">
        <v>2.2999999999999998</v>
      </c>
      <c r="L170" s="24">
        <v>1.9</v>
      </c>
      <c r="M170" s="25">
        <f t="shared" si="24"/>
        <v>2.25</v>
      </c>
      <c r="N170" s="22">
        <v>7</v>
      </c>
      <c r="O170" s="22" t="str">
        <f t="shared" si="25"/>
        <v>Passive</v>
      </c>
      <c r="P170" s="30">
        <f t="shared" si="26"/>
        <v>1</v>
      </c>
      <c r="Q170" s="35">
        <f t="shared" si="27"/>
        <v>1.32</v>
      </c>
      <c r="R170" s="22">
        <f t="shared" si="28"/>
        <v>1</v>
      </c>
      <c r="S170" s="22" t="str">
        <f t="shared" si="29"/>
        <v>Low</v>
      </c>
    </row>
    <row r="171" spans="1:19" x14ac:dyDescent="0.3">
      <c r="A171" s="22" t="s">
        <v>705</v>
      </c>
      <c r="B171" t="str">
        <f t="shared" si="20"/>
        <v>Deepak Saxena</v>
      </c>
      <c r="C171" t="str">
        <f t="shared" si="21"/>
        <v>Engineering</v>
      </c>
      <c r="D171" t="str">
        <f t="shared" si="22"/>
        <v>Isha Jain</v>
      </c>
      <c r="E171" s="30" t="str">
        <f t="shared" si="23"/>
        <v>Active</v>
      </c>
      <c r="F171" s="22" t="s">
        <v>1700</v>
      </c>
      <c r="G171" s="24">
        <v>2.9</v>
      </c>
      <c r="H171" s="24">
        <v>3.2</v>
      </c>
      <c r="I171" s="24">
        <v>3</v>
      </c>
      <c r="J171" s="24">
        <v>3.2</v>
      </c>
      <c r="K171" s="24">
        <v>3.1</v>
      </c>
      <c r="L171" s="24">
        <v>3.2</v>
      </c>
      <c r="M171" s="25">
        <f t="shared" si="24"/>
        <v>3.1</v>
      </c>
      <c r="N171" s="22">
        <v>8</v>
      </c>
      <c r="O171" s="22" t="str">
        <f t="shared" si="25"/>
        <v>Passive</v>
      </c>
      <c r="P171" s="30">
        <f t="shared" si="26"/>
        <v>3</v>
      </c>
      <c r="Q171" s="35">
        <f t="shared" si="27"/>
        <v>1.01</v>
      </c>
      <c r="R171" s="22">
        <f t="shared" si="28"/>
        <v>0</v>
      </c>
      <c r="S171" s="22" t="str">
        <f t="shared" si="29"/>
        <v>Low</v>
      </c>
    </row>
    <row r="172" spans="1:19" x14ac:dyDescent="0.3">
      <c r="A172" s="22" t="s">
        <v>708</v>
      </c>
      <c r="B172" t="str">
        <f t="shared" si="20"/>
        <v>Kritika Gowda</v>
      </c>
      <c r="C172" t="str">
        <f t="shared" si="21"/>
        <v>Marketing</v>
      </c>
      <c r="D172" t="str">
        <f t="shared" si="22"/>
        <v>Isha Chatterjee</v>
      </c>
      <c r="E172" s="30" t="str">
        <f t="shared" si="23"/>
        <v>Active</v>
      </c>
      <c r="F172" s="22" t="s">
        <v>1700</v>
      </c>
      <c r="G172" s="24">
        <v>2.4</v>
      </c>
      <c r="H172" s="24">
        <v>2.5</v>
      </c>
      <c r="I172" s="24">
        <v>3</v>
      </c>
      <c r="J172" s="24">
        <v>2.9</v>
      </c>
      <c r="K172" s="24">
        <v>2.8</v>
      </c>
      <c r="L172" s="24">
        <v>2.5</v>
      </c>
      <c r="M172" s="25">
        <f t="shared" si="24"/>
        <v>2.68</v>
      </c>
      <c r="N172" s="22">
        <v>6</v>
      </c>
      <c r="O172" s="22" t="str">
        <f t="shared" si="25"/>
        <v>Detractor</v>
      </c>
      <c r="P172" s="30">
        <f t="shared" si="26"/>
        <v>3</v>
      </c>
      <c r="Q172" s="35">
        <f t="shared" si="27"/>
        <v>0.84</v>
      </c>
      <c r="R172" s="22">
        <f t="shared" si="28"/>
        <v>3</v>
      </c>
      <c r="S172" s="22" t="str">
        <f t="shared" si="29"/>
        <v>High</v>
      </c>
    </row>
    <row r="173" spans="1:19" x14ac:dyDescent="0.3">
      <c r="A173" s="22" t="s">
        <v>711</v>
      </c>
      <c r="B173" t="str">
        <f t="shared" si="20"/>
        <v>Sai Desai</v>
      </c>
      <c r="C173" t="str">
        <f t="shared" si="21"/>
        <v>Sales</v>
      </c>
      <c r="D173" t="str">
        <f t="shared" si="22"/>
        <v>Srinivas Shah</v>
      </c>
      <c r="E173" s="30" t="str">
        <f t="shared" si="23"/>
        <v>Active</v>
      </c>
      <c r="F173" s="22" t="s">
        <v>1700</v>
      </c>
      <c r="G173" s="24">
        <v>4</v>
      </c>
      <c r="H173" s="24">
        <v>3.9</v>
      </c>
      <c r="I173" s="24">
        <v>4</v>
      </c>
      <c r="J173" s="24">
        <v>4.2</v>
      </c>
      <c r="K173" s="24">
        <v>4.2</v>
      </c>
      <c r="L173" s="24">
        <v>3.3</v>
      </c>
      <c r="M173" s="25">
        <f t="shared" si="24"/>
        <v>3.93</v>
      </c>
      <c r="N173" s="22">
        <v>10</v>
      </c>
      <c r="O173" s="22" t="str">
        <f t="shared" si="25"/>
        <v>Promoter</v>
      </c>
      <c r="P173" s="30">
        <f t="shared" si="26"/>
        <v>4</v>
      </c>
      <c r="Q173" s="35">
        <f t="shared" si="27"/>
        <v>0.91</v>
      </c>
      <c r="R173" s="22">
        <f t="shared" si="28"/>
        <v>1</v>
      </c>
      <c r="S173" s="22" t="str">
        <f t="shared" si="29"/>
        <v>Low</v>
      </c>
    </row>
    <row r="174" spans="1:19" x14ac:dyDescent="0.3">
      <c r="A174" s="22" t="s">
        <v>714</v>
      </c>
      <c r="B174" t="str">
        <f t="shared" si="20"/>
        <v>Rashmi Kulkarni</v>
      </c>
      <c r="C174" t="str">
        <f t="shared" si="21"/>
        <v>Marketing</v>
      </c>
      <c r="D174" t="str">
        <f t="shared" si="22"/>
        <v>Isha Chatterjee</v>
      </c>
      <c r="E174" s="30" t="str">
        <f t="shared" si="23"/>
        <v>Active</v>
      </c>
      <c r="F174" s="22" t="s">
        <v>1700</v>
      </c>
      <c r="G174" s="24">
        <v>3.9</v>
      </c>
      <c r="H174" s="24">
        <v>4.3</v>
      </c>
      <c r="I174" s="24">
        <v>4</v>
      </c>
      <c r="J174" s="24">
        <v>3.7</v>
      </c>
      <c r="K174" s="24">
        <v>3.7</v>
      </c>
      <c r="L174" s="24">
        <v>4.5999999999999996</v>
      </c>
      <c r="M174" s="25">
        <f t="shared" si="24"/>
        <v>4.03</v>
      </c>
      <c r="N174" s="22">
        <v>10</v>
      </c>
      <c r="O174" s="22" t="str">
        <f t="shared" si="25"/>
        <v>Promoter</v>
      </c>
      <c r="P174" s="30">
        <f t="shared" si="26"/>
        <v>4</v>
      </c>
      <c r="Q174" s="35">
        <f t="shared" si="27"/>
        <v>1.08</v>
      </c>
      <c r="R174" s="22">
        <f t="shared" si="28"/>
        <v>1</v>
      </c>
      <c r="S174" s="22" t="str">
        <f t="shared" si="29"/>
        <v>Low</v>
      </c>
    </row>
    <row r="175" spans="1:19" x14ac:dyDescent="0.3">
      <c r="A175" s="22" t="s">
        <v>717</v>
      </c>
      <c r="B175" t="str">
        <f t="shared" si="20"/>
        <v>Nikhil Desai</v>
      </c>
      <c r="C175" t="str">
        <f t="shared" si="21"/>
        <v>Operations</v>
      </c>
      <c r="D175" t="str">
        <f t="shared" si="22"/>
        <v>Ankit Khanna</v>
      </c>
      <c r="E175" s="30" t="str">
        <f t="shared" si="23"/>
        <v>Active</v>
      </c>
      <c r="F175" s="22" t="s">
        <v>1700</v>
      </c>
      <c r="G175" s="24">
        <v>2.8</v>
      </c>
      <c r="H175" s="24">
        <v>2.2000000000000002</v>
      </c>
      <c r="I175" s="24">
        <v>2.1</v>
      </c>
      <c r="J175" s="24">
        <v>2.9</v>
      </c>
      <c r="K175" s="24">
        <v>2</v>
      </c>
      <c r="L175" s="24">
        <v>2.4</v>
      </c>
      <c r="M175" s="25">
        <f t="shared" si="24"/>
        <v>2.4</v>
      </c>
      <c r="N175" s="22">
        <v>6</v>
      </c>
      <c r="O175" s="22" t="str">
        <f t="shared" si="25"/>
        <v>Detractor</v>
      </c>
      <c r="P175" s="30">
        <f t="shared" si="26"/>
        <v>1</v>
      </c>
      <c r="Q175" s="35">
        <f t="shared" si="27"/>
        <v>0.65</v>
      </c>
      <c r="R175" s="22">
        <f t="shared" si="28"/>
        <v>3</v>
      </c>
      <c r="S175" s="22" t="str">
        <f t="shared" si="29"/>
        <v>High</v>
      </c>
    </row>
    <row r="176" spans="1:19" x14ac:dyDescent="0.3">
      <c r="A176" s="22" t="s">
        <v>720</v>
      </c>
      <c r="B176" t="str">
        <f t="shared" si="20"/>
        <v>Ananya Sharma</v>
      </c>
      <c r="C176" t="str">
        <f t="shared" si="21"/>
        <v>Human Resources</v>
      </c>
      <c r="D176" t="str">
        <f t="shared" si="22"/>
        <v>Akash Das</v>
      </c>
      <c r="E176" s="30" t="str">
        <f t="shared" si="23"/>
        <v>Active</v>
      </c>
      <c r="F176" s="22" t="s">
        <v>1700</v>
      </c>
      <c r="G176" s="24">
        <v>3.6</v>
      </c>
      <c r="H176" s="24">
        <v>3.3</v>
      </c>
      <c r="I176" s="24">
        <v>4</v>
      </c>
      <c r="J176" s="24">
        <v>3.2</v>
      </c>
      <c r="K176" s="24">
        <v>3</v>
      </c>
      <c r="L176" s="24">
        <v>3.6</v>
      </c>
      <c r="M176" s="25">
        <f t="shared" si="24"/>
        <v>3.45</v>
      </c>
      <c r="N176" s="22">
        <v>9</v>
      </c>
      <c r="O176" s="22" t="str">
        <f t="shared" si="25"/>
        <v>Promoter</v>
      </c>
      <c r="P176" s="30">
        <f t="shared" si="26"/>
        <v>4</v>
      </c>
      <c r="Q176" s="35">
        <f t="shared" si="27"/>
        <v>1.04</v>
      </c>
      <c r="R176" s="22">
        <f t="shared" si="28"/>
        <v>1</v>
      </c>
      <c r="S176" s="22" t="str">
        <f t="shared" si="29"/>
        <v>Low</v>
      </c>
    </row>
    <row r="177" spans="1:19" x14ac:dyDescent="0.3">
      <c r="A177" s="22" t="s">
        <v>723</v>
      </c>
      <c r="B177" t="str">
        <f t="shared" si="20"/>
        <v>Manish Khanna</v>
      </c>
      <c r="C177" t="str">
        <f t="shared" si="21"/>
        <v>Customer Support</v>
      </c>
      <c r="D177" t="str">
        <f t="shared" si="22"/>
        <v>Imran Joshi</v>
      </c>
      <c r="E177" s="30" t="str">
        <f t="shared" si="23"/>
        <v>Active</v>
      </c>
      <c r="F177" s="22" t="s">
        <v>1700</v>
      </c>
      <c r="G177" s="24">
        <v>1.9</v>
      </c>
      <c r="H177" s="24">
        <v>3</v>
      </c>
      <c r="I177" s="24">
        <v>3</v>
      </c>
      <c r="J177" s="24">
        <v>3.3</v>
      </c>
      <c r="K177" s="24">
        <v>3.3</v>
      </c>
      <c r="L177" s="24">
        <v>2.2999999999999998</v>
      </c>
      <c r="M177" s="25">
        <f t="shared" si="24"/>
        <v>2.8</v>
      </c>
      <c r="N177" s="22">
        <v>6</v>
      </c>
      <c r="O177" s="22" t="str">
        <f t="shared" si="25"/>
        <v>Detractor</v>
      </c>
      <c r="P177" s="30">
        <f t="shared" si="26"/>
        <v>4</v>
      </c>
      <c r="Q177" s="35">
        <f t="shared" si="27"/>
        <v>0.81</v>
      </c>
      <c r="R177" s="22">
        <f t="shared" si="28"/>
        <v>4</v>
      </c>
      <c r="S177" s="22" t="str">
        <f t="shared" si="29"/>
        <v>High</v>
      </c>
    </row>
    <row r="178" spans="1:19" x14ac:dyDescent="0.3">
      <c r="A178" s="22" t="s">
        <v>728</v>
      </c>
      <c r="B178" t="str">
        <f t="shared" si="20"/>
        <v>Vinay Malhotra</v>
      </c>
      <c r="C178" t="str">
        <f t="shared" si="21"/>
        <v>Customer Support</v>
      </c>
      <c r="D178" t="str">
        <f t="shared" si="22"/>
        <v>Vidya Chatterjee</v>
      </c>
      <c r="E178" s="30" t="str">
        <f t="shared" si="23"/>
        <v>Active</v>
      </c>
      <c r="F178" s="22" t="s">
        <v>1700</v>
      </c>
      <c r="G178" s="24">
        <v>4.3</v>
      </c>
      <c r="H178" s="24">
        <v>4.5</v>
      </c>
      <c r="I178" s="24">
        <v>4.3</v>
      </c>
      <c r="J178" s="24">
        <v>4.4000000000000004</v>
      </c>
      <c r="K178" s="24">
        <v>3.9</v>
      </c>
      <c r="L178" s="24">
        <v>4.5</v>
      </c>
      <c r="M178" s="25">
        <f t="shared" si="24"/>
        <v>4.32</v>
      </c>
      <c r="N178" s="22">
        <v>9</v>
      </c>
      <c r="O178" s="22" t="str">
        <f t="shared" si="25"/>
        <v>Promoter</v>
      </c>
      <c r="P178" s="30">
        <f t="shared" si="26"/>
        <v>5</v>
      </c>
      <c r="Q178" s="35">
        <f t="shared" si="27"/>
        <v>0.57999999999999996</v>
      </c>
      <c r="R178" s="22">
        <f t="shared" si="28"/>
        <v>2</v>
      </c>
      <c r="S178" s="22" t="str">
        <f t="shared" si="29"/>
        <v>Medium</v>
      </c>
    </row>
    <row r="179" spans="1:19" x14ac:dyDescent="0.3">
      <c r="A179" s="22" t="s">
        <v>731</v>
      </c>
      <c r="B179" t="str">
        <f t="shared" si="20"/>
        <v>Sai Kumar</v>
      </c>
      <c r="C179" t="str">
        <f t="shared" si="21"/>
        <v>Operations</v>
      </c>
      <c r="D179" t="str">
        <f t="shared" si="22"/>
        <v>Nandini Fernandes</v>
      </c>
      <c r="E179" s="30" t="str">
        <f t="shared" si="23"/>
        <v>Active</v>
      </c>
      <c r="F179" s="22" t="s">
        <v>1700</v>
      </c>
      <c r="G179" s="24">
        <v>3.2</v>
      </c>
      <c r="H179" s="24">
        <v>3.1</v>
      </c>
      <c r="I179" s="24">
        <v>2.9</v>
      </c>
      <c r="J179" s="24">
        <v>3.4</v>
      </c>
      <c r="K179" s="24">
        <v>3.3</v>
      </c>
      <c r="L179" s="24">
        <v>3.4</v>
      </c>
      <c r="M179" s="25">
        <f t="shared" si="24"/>
        <v>3.22</v>
      </c>
      <c r="N179" s="22">
        <v>8</v>
      </c>
      <c r="O179" s="22" t="str">
        <f t="shared" si="25"/>
        <v>Passive</v>
      </c>
      <c r="P179" s="30">
        <f t="shared" si="26"/>
        <v>4</v>
      </c>
      <c r="Q179" s="35">
        <f t="shared" si="27"/>
        <v>0.83</v>
      </c>
      <c r="R179" s="22">
        <f t="shared" si="28"/>
        <v>2</v>
      </c>
      <c r="S179" s="22" t="str">
        <f t="shared" si="29"/>
        <v>Medium</v>
      </c>
    </row>
    <row r="180" spans="1:19" x14ac:dyDescent="0.3">
      <c r="A180" s="22" t="s">
        <v>734</v>
      </c>
      <c r="B180" t="str">
        <f t="shared" si="20"/>
        <v>Zara Chatterjee</v>
      </c>
      <c r="C180" t="str">
        <f t="shared" si="21"/>
        <v>Customer Support</v>
      </c>
      <c r="D180" t="str">
        <f t="shared" si="22"/>
        <v>Anjali Iyer</v>
      </c>
      <c r="E180" s="30" t="str">
        <f t="shared" si="23"/>
        <v>Active</v>
      </c>
      <c r="F180" s="22" t="s">
        <v>1701</v>
      </c>
      <c r="G180" s="24">
        <v>2.7</v>
      </c>
      <c r="H180" s="24">
        <v>2.4</v>
      </c>
      <c r="I180" s="24">
        <v>2.9</v>
      </c>
      <c r="J180" s="24">
        <v>2.2999999999999998</v>
      </c>
      <c r="K180" s="24">
        <v>3.3</v>
      </c>
      <c r="L180" s="24">
        <v>2.6</v>
      </c>
      <c r="M180" s="25">
        <f t="shared" si="24"/>
        <v>2.7</v>
      </c>
      <c r="N180" s="22">
        <v>7</v>
      </c>
      <c r="O180" s="22" t="str">
        <f t="shared" si="25"/>
        <v>Passive</v>
      </c>
      <c r="P180" s="30">
        <f t="shared" si="26"/>
        <v>2</v>
      </c>
      <c r="Q180" s="35">
        <f t="shared" si="27"/>
        <v>0.79</v>
      </c>
      <c r="R180" s="22">
        <f t="shared" si="28"/>
        <v>2</v>
      </c>
      <c r="S180" s="22" t="str">
        <f t="shared" si="29"/>
        <v>Medium</v>
      </c>
    </row>
    <row r="181" spans="1:19" x14ac:dyDescent="0.3">
      <c r="A181" s="22" t="s">
        <v>737</v>
      </c>
      <c r="B181" t="str">
        <f t="shared" si="20"/>
        <v>Venkat Subramanian</v>
      </c>
      <c r="C181" t="str">
        <f t="shared" si="21"/>
        <v>Operations</v>
      </c>
      <c r="D181" t="str">
        <f t="shared" si="22"/>
        <v>Amit Kumar</v>
      </c>
      <c r="E181" s="30" t="str">
        <f t="shared" si="23"/>
        <v>Exited</v>
      </c>
      <c r="F181" s="22" t="s">
        <v>1700</v>
      </c>
      <c r="G181" s="24">
        <v>3.1</v>
      </c>
      <c r="H181" s="24">
        <v>4.5</v>
      </c>
      <c r="I181" s="24">
        <v>3.6</v>
      </c>
      <c r="J181" s="24">
        <v>3.8</v>
      </c>
      <c r="K181" s="24">
        <v>3.3</v>
      </c>
      <c r="L181" s="24">
        <v>3.3</v>
      </c>
      <c r="M181" s="25">
        <f t="shared" si="24"/>
        <v>3.6</v>
      </c>
      <c r="N181" s="22">
        <v>9</v>
      </c>
      <c r="O181" s="22" t="str">
        <f t="shared" si="25"/>
        <v>Promoter</v>
      </c>
      <c r="P181" s="30">
        <f t="shared" si="26"/>
        <v>4</v>
      </c>
      <c r="Q181" s="35">
        <f t="shared" si="27"/>
        <v>0.94</v>
      </c>
      <c r="R181" s="22">
        <f t="shared" si="28"/>
        <v>1</v>
      </c>
      <c r="S181" s="22" t="str">
        <f t="shared" si="29"/>
        <v>Exited</v>
      </c>
    </row>
    <row r="182" spans="1:19" x14ac:dyDescent="0.3">
      <c r="A182" s="22" t="s">
        <v>740</v>
      </c>
      <c r="B182" t="str">
        <f t="shared" si="20"/>
        <v>Radhika Saxena</v>
      </c>
      <c r="C182" t="str">
        <f t="shared" si="21"/>
        <v>Finance</v>
      </c>
      <c r="D182" t="str">
        <f t="shared" si="22"/>
        <v>Ravi Prabhu</v>
      </c>
      <c r="E182" s="30" t="str">
        <f t="shared" si="23"/>
        <v>Active</v>
      </c>
      <c r="F182" s="22" t="s">
        <v>1700</v>
      </c>
      <c r="G182" s="24">
        <v>3</v>
      </c>
      <c r="H182" s="24">
        <v>2.9</v>
      </c>
      <c r="I182" s="24">
        <v>3</v>
      </c>
      <c r="J182" s="24">
        <v>2.9</v>
      </c>
      <c r="K182" s="24">
        <v>2.2000000000000002</v>
      </c>
      <c r="L182" s="24">
        <v>2.4</v>
      </c>
      <c r="M182" s="25">
        <f t="shared" si="24"/>
        <v>2.73</v>
      </c>
      <c r="N182" s="22">
        <v>9</v>
      </c>
      <c r="O182" s="22" t="str">
        <f t="shared" si="25"/>
        <v>Promoter</v>
      </c>
      <c r="P182" s="30">
        <f t="shared" si="26"/>
        <v>3</v>
      </c>
      <c r="Q182" s="35">
        <f t="shared" si="27"/>
        <v>0.73</v>
      </c>
      <c r="R182" s="22">
        <f t="shared" si="28"/>
        <v>2</v>
      </c>
      <c r="S182" s="22" t="str">
        <f t="shared" si="29"/>
        <v>Medium</v>
      </c>
    </row>
    <row r="183" spans="1:19" x14ac:dyDescent="0.3">
      <c r="A183" s="22" t="s">
        <v>743</v>
      </c>
      <c r="B183" t="str">
        <f t="shared" si="20"/>
        <v>Revathi Pandey</v>
      </c>
      <c r="C183" t="str">
        <f t="shared" si="21"/>
        <v>Human Resources</v>
      </c>
      <c r="D183" t="str">
        <f t="shared" si="22"/>
        <v>Ajay Patel</v>
      </c>
      <c r="E183" s="30" t="str">
        <f t="shared" si="23"/>
        <v>Active</v>
      </c>
      <c r="F183" s="22" t="s">
        <v>1700</v>
      </c>
      <c r="G183" s="24">
        <v>3.7</v>
      </c>
      <c r="H183" s="24">
        <v>3.4</v>
      </c>
      <c r="I183" s="24">
        <v>4</v>
      </c>
      <c r="J183" s="24">
        <v>3.7</v>
      </c>
      <c r="K183" s="24">
        <v>3.3</v>
      </c>
      <c r="L183" s="24">
        <v>3.4</v>
      </c>
      <c r="M183" s="25">
        <f t="shared" si="24"/>
        <v>3.58</v>
      </c>
      <c r="N183" s="22">
        <v>10</v>
      </c>
      <c r="O183" s="22" t="str">
        <f t="shared" si="25"/>
        <v>Promoter</v>
      </c>
      <c r="P183" s="30">
        <f t="shared" si="26"/>
        <v>4</v>
      </c>
      <c r="Q183" s="35">
        <f t="shared" si="27"/>
        <v>0.77</v>
      </c>
      <c r="R183" s="22">
        <f t="shared" si="28"/>
        <v>2</v>
      </c>
      <c r="S183" s="22" t="str">
        <f t="shared" si="29"/>
        <v>Medium</v>
      </c>
    </row>
    <row r="184" spans="1:19" x14ac:dyDescent="0.3">
      <c r="A184" s="22" t="s">
        <v>746</v>
      </c>
      <c r="B184" t="str">
        <f t="shared" si="20"/>
        <v>Tarun Pandey</v>
      </c>
      <c r="C184" t="str">
        <f t="shared" si="21"/>
        <v>Data &amp; Analytics</v>
      </c>
      <c r="D184" t="str">
        <f t="shared" si="22"/>
        <v>Arun Mukherjee</v>
      </c>
      <c r="E184" s="30" t="str">
        <f t="shared" si="23"/>
        <v>Active</v>
      </c>
      <c r="F184" s="22" t="s">
        <v>1701</v>
      </c>
      <c r="G184" s="24">
        <v>2.7</v>
      </c>
      <c r="H184" s="24">
        <v>3.3</v>
      </c>
      <c r="I184" s="24">
        <v>3.7</v>
      </c>
      <c r="J184" s="24">
        <v>3.1</v>
      </c>
      <c r="K184" s="24">
        <v>3.5</v>
      </c>
      <c r="L184" s="24">
        <v>3.5</v>
      </c>
      <c r="M184" s="25">
        <f t="shared" si="24"/>
        <v>3.3</v>
      </c>
      <c r="N184" s="22">
        <v>9</v>
      </c>
      <c r="O184" s="22" t="str">
        <f t="shared" si="25"/>
        <v>Promoter</v>
      </c>
      <c r="P184" s="30">
        <f t="shared" si="26"/>
        <v>4</v>
      </c>
      <c r="Q184" s="35">
        <f t="shared" si="27"/>
        <v>1.08</v>
      </c>
      <c r="R184" s="22">
        <f t="shared" si="28"/>
        <v>1</v>
      </c>
      <c r="S184" s="22" t="str">
        <f t="shared" si="29"/>
        <v>Low</v>
      </c>
    </row>
    <row r="185" spans="1:19" x14ac:dyDescent="0.3">
      <c r="A185" s="22" t="s">
        <v>750</v>
      </c>
      <c r="B185" t="str">
        <f t="shared" si="20"/>
        <v>Amit Shah</v>
      </c>
      <c r="C185" t="str">
        <f t="shared" si="21"/>
        <v>Operations</v>
      </c>
      <c r="D185" t="str">
        <f t="shared" si="22"/>
        <v>Pallavi Shah</v>
      </c>
      <c r="E185" s="30" t="str">
        <f t="shared" si="23"/>
        <v>Active</v>
      </c>
      <c r="F185" s="22" t="s">
        <v>1700</v>
      </c>
      <c r="G185" s="24">
        <v>3</v>
      </c>
      <c r="H185" s="24">
        <v>3.2</v>
      </c>
      <c r="I185" s="24">
        <v>2.5</v>
      </c>
      <c r="J185" s="24">
        <v>2.2999999999999998</v>
      </c>
      <c r="K185" s="24">
        <v>3.3</v>
      </c>
      <c r="L185" s="24">
        <v>2.7</v>
      </c>
      <c r="M185" s="25">
        <f t="shared" si="24"/>
        <v>2.83</v>
      </c>
      <c r="N185" s="22">
        <v>7</v>
      </c>
      <c r="O185" s="22" t="str">
        <f t="shared" si="25"/>
        <v>Passive</v>
      </c>
      <c r="P185" s="30">
        <f t="shared" si="26"/>
        <v>3</v>
      </c>
      <c r="Q185" s="35">
        <f t="shared" si="27"/>
        <v>0.65</v>
      </c>
      <c r="R185" s="22">
        <f t="shared" si="28"/>
        <v>2</v>
      </c>
      <c r="S185" s="22" t="str">
        <f t="shared" si="29"/>
        <v>Medium</v>
      </c>
    </row>
    <row r="186" spans="1:19" x14ac:dyDescent="0.3">
      <c r="A186" s="22" t="s">
        <v>753</v>
      </c>
      <c r="B186" t="str">
        <f t="shared" si="20"/>
        <v>Arjun Nair</v>
      </c>
      <c r="C186" t="str">
        <f t="shared" si="21"/>
        <v>Marketing</v>
      </c>
      <c r="D186" t="str">
        <f t="shared" si="22"/>
        <v>Nandini Iyer</v>
      </c>
      <c r="E186" s="30" t="str">
        <f t="shared" si="23"/>
        <v>Active</v>
      </c>
      <c r="F186" s="22" t="s">
        <v>1700</v>
      </c>
      <c r="G186" s="24">
        <v>1.4</v>
      </c>
      <c r="H186" s="24">
        <v>2.2000000000000002</v>
      </c>
      <c r="I186" s="24">
        <v>2.8</v>
      </c>
      <c r="J186" s="24">
        <v>2.6</v>
      </c>
      <c r="K186" s="24">
        <v>2.7</v>
      </c>
      <c r="L186" s="24">
        <v>2.2999999999999998</v>
      </c>
      <c r="M186" s="25">
        <f t="shared" si="24"/>
        <v>2.33</v>
      </c>
      <c r="N186" s="22">
        <v>7</v>
      </c>
      <c r="O186" s="22" t="str">
        <f t="shared" si="25"/>
        <v>Passive</v>
      </c>
      <c r="P186" s="30">
        <f t="shared" si="26"/>
        <v>3</v>
      </c>
      <c r="Q186" s="35">
        <f t="shared" si="27"/>
        <v>0.92</v>
      </c>
      <c r="R186" s="22">
        <f t="shared" si="28"/>
        <v>1</v>
      </c>
      <c r="S186" s="22" t="str">
        <f t="shared" si="29"/>
        <v>Low</v>
      </c>
    </row>
    <row r="187" spans="1:19" x14ac:dyDescent="0.3">
      <c r="A187" s="22" t="s">
        <v>756</v>
      </c>
      <c r="B187" t="str">
        <f t="shared" si="20"/>
        <v>Yash Das</v>
      </c>
      <c r="C187" t="str">
        <f t="shared" si="21"/>
        <v>Product</v>
      </c>
      <c r="D187" t="str">
        <f t="shared" si="22"/>
        <v>Mansi Pillai</v>
      </c>
      <c r="E187" s="30" t="str">
        <f t="shared" si="23"/>
        <v>Active</v>
      </c>
      <c r="F187" s="22" t="s">
        <v>1700</v>
      </c>
      <c r="G187" s="24">
        <v>3.1</v>
      </c>
      <c r="H187" s="24">
        <v>3</v>
      </c>
      <c r="I187" s="24">
        <v>3</v>
      </c>
      <c r="J187" s="24">
        <v>2.8</v>
      </c>
      <c r="K187" s="24">
        <v>2.1</v>
      </c>
      <c r="L187" s="24">
        <v>2.6</v>
      </c>
      <c r="M187" s="25">
        <f t="shared" si="24"/>
        <v>2.77</v>
      </c>
      <c r="N187" s="22">
        <v>7</v>
      </c>
      <c r="O187" s="22" t="str">
        <f t="shared" si="25"/>
        <v>Passive</v>
      </c>
      <c r="P187" s="30">
        <f t="shared" si="26"/>
        <v>1</v>
      </c>
      <c r="Q187" s="35">
        <f t="shared" si="27"/>
        <v>0.99</v>
      </c>
      <c r="R187" s="22">
        <f t="shared" si="28"/>
        <v>1</v>
      </c>
      <c r="S187" s="22" t="str">
        <f t="shared" si="29"/>
        <v>Low</v>
      </c>
    </row>
    <row r="188" spans="1:19" x14ac:dyDescent="0.3">
      <c r="A188" s="22" t="s">
        <v>759</v>
      </c>
      <c r="B188" t="str">
        <f t="shared" si="20"/>
        <v>Manish Siddiqui</v>
      </c>
      <c r="C188" t="str">
        <f t="shared" si="21"/>
        <v>Legal &amp; Compliance</v>
      </c>
      <c r="D188" t="str">
        <f t="shared" si="22"/>
        <v>Swathi Mukherjee</v>
      </c>
      <c r="E188" s="30" t="str">
        <f t="shared" si="23"/>
        <v>Active</v>
      </c>
      <c r="F188" s="22" t="s">
        <v>1700</v>
      </c>
      <c r="G188" s="24">
        <v>3.8</v>
      </c>
      <c r="H188" s="24">
        <v>4</v>
      </c>
      <c r="I188" s="24">
        <v>4.0999999999999996</v>
      </c>
      <c r="J188" s="24">
        <v>3.6</v>
      </c>
      <c r="K188" s="24">
        <v>4.5</v>
      </c>
      <c r="L188" s="24">
        <v>4.3</v>
      </c>
      <c r="M188" s="25">
        <f t="shared" si="24"/>
        <v>4.05</v>
      </c>
      <c r="N188" s="22">
        <v>10</v>
      </c>
      <c r="O188" s="22" t="str">
        <f t="shared" si="25"/>
        <v>Promoter</v>
      </c>
      <c r="P188" s="30">
        <f t="shared" si="26"/>
        <v>4</v>
      </c>
      <c r="Q188" s="35">
        <f t="shared" si="27"/>
        <v>0.91</v>
      </c>
      <c r="R188" s="22">
        <f t="shared" si="28"/>
        <v>1</v>
      </c>
      <c r="S188" s="22" t="str">
        <f t="shared" si="29"/>
        <v>Low</v>
      </c>
    </row>
    <row r="189" spans="1:19" x14ac:dyDescent="0.3">
      <c r="A189" s="22" t="s">
        <v>762</v>
      </c>
      <c r="B189" t="str">
        <f t="shared" si="20"/>
        <v>Gaurav Ansari</v>
      </c>
      <c r="C189" t="str">
        <f t="shared" si="21"/>
        <v>Human Resources</v>
      </c>
      <c r="D189" t="str">
        <f t="shared" si="22"/>
        <v>Ajay Patel</v>
      </c>
      <c r="E189" s="30" t="str">
        <f t="shared" si="23"/>
        <v>Active</v>
      </c>
      <c r="F189" s="22" t="s">
        <v>1701</v>
      </c>
      <c r="G189" s="24">
        <v>2.6</v>
      </c>
      <c r="H189" s="24">
        <v>2.9</v>
      </c>
      <c r="I189" s="24">
        <v>2.2000000000000002</v>
      </c>
      <c r="J189" s="24">
        <v>2.5</v>
      </c>
      <c r="K189" s="24">
        <v>2.7</v>
      </c>
      <c r="L189" s="24">
        <v>3.2</v>
      </c>
      <c r="M189" s="25">
        <f t="shared" si="24"/>
        <v>2.68</v>
      </c>
      <c r="N189" s="22">
        <v>7</v>
      </c>
      <c r="O189" s="22" t="str">
        <f t="shared" si="25"/>
        <v>Passive</v>
      </c>
      <c r="P189" s="30">
        <f t="shared" si="26"/>
        <v>3</v>
      </c>
      <c r="Q189" s="35">
        <f t="shared" si="27"/>
        <v>1.1599999999999999</v>
      </c>
      <c r="R189" s="22">
        <f t="shared" si="28"/>
        <v>1</v>
      </c>
      <c r="S189" s="22" t="str">
        <f t="shared" si="29"/>
        <v>Low</v>
      </c>
    </row>
    <row r="190" spans="1:19" x14ac:dyDescent="0.3">
      <c r="A190" s="22" t="s">
        <v>416</v>
      </c>
      <c r="B190" t="str">
        <f t="shared" si="20"/>
        <v>Ramya Menon</v>
      </c>
      <c r="C190" t="str">
        <f t="shared" si="21"/>
        <v>Operations</v>
      </c>
      <c r="D190" t="str">
        <f t="shared" si="22"/>
        <v>Pallavi Shah</v>
      </c>
      <c r="E190" s="30" t="str">
        <f t="shared" si="23"/>
        <v>Active</v>
      </c>
      <c r="F190" s="22" t="s">
        <v>1700</v>
      </c>
      <c r="G190" s="24">
        <v>3.2</v>
      </c>
      <c r="H190" s="24">
        <v>3.6</v>
      </c>
      <c r="I190" s="24">
        <v>3.7</v>
      </c>
      <c r="J190" s="24">
        <v>3.3</v>
      </c>
      <c r="K190" s="24">
        <v>3.6</v>
      </c>
      <c r="L190" s="24">
        <v>3.3</v>
      </c>
      <c r="M190" s="25">
        <f t="shared" si="24"/>
        <v>3.45</v>
      </c>
      <c r="N190" s="22">
        <v>9</v>
      </c>
      <c r="O190" s="22" t="str">
        <f t="shared" si="25"/>
        <v>Promoter</v>
      </c>
      <c r="P190" s="30">
        <f t="shared" si="26"/>
        <v>5</v>
      </c>
      <c r="Q190" s="35">
        <f t="shared" si="27"/>
        <v>1.02</v>
      </c>
      <c r="R190" s="22">
        <f t="shared" si="28"/>
        <v>1</v>
      </c>
      <c r="S190" s="22" t="str">
        <f t="shared" si="29"/>
        <v>Low</v>
      </c>
    </row>
    <row r="191" spans="1:19" x14ac:dyDescent="0.3">
      <c r="A191" s="22" t="s">
        <v>766</v>
      </c>
      <c r="B191" t="str">
        <f t="shared" si="20"/>
        <v>Imran Kapoor</v>
      </c>
      <c r="C191" t="str">
        <f t="shared" si="21"/>
        <v>Operations</v>
      </c>
      <c r="D191" t="str">
        <f t="shared" si="22"/>
        <v>Ankit Khanna</v>
      </c>
      <c r="E191" s="30" t="str">
        <f t="shared" si="23"/>
        <v>Active</v>
      </c>
      <c r="F191" s="22" t="s">
        <v>1700</v>
      </c>
      <c r="G191" s="24">
        <v>4.5</v>
      </c>
      <c r="H191" s="24">
        <v>4</v>
      </c>
      <c r="I191" s="24">
        <v>4.5999999999999996</v>
      </c>
      <c r="J191" s="24">
        <v>4.3</v>
      </c>
      <c r="K191" s="24">
        <v>4.5999999999999996</v>
      </c>
      <c r="L191" s="24">
        <v>4.4000000000000004</v>
      </c>
      <c r="M191" s="25">
        <f t="shared" si="24"/>
        <v>4.4000000000000004</v>
      </c>
      <c r="N191" s="22">
        <v>9</v>
      </c>
      <c r="O191" s="22" t="str">
        <f t="shared" si="25"/>
        <v>Promoter</v>
      </c>
      <c r="P191" s="30">
        <f t="shared" si="26"/>
        <v>4</v>
      </c>
      <c r="Q191" s="35">
        <f t="shared" si="27"/>
        <v>0.77</v>
      </c>
      <c r="R191" s="22">
        <f t="shared" si="28"/>
        <v>2</v>
      </c>
      <c r="S191" s="22" t="str">
        <f t="shared" si="29"/>
        <v>Medium</v>
      </c>
    </row>
    <row r="192" spans="1:19" x14ac:dyDescent="0.3">
      <c r="A192" s="22" t="s">
        <v>769</v>
      </c>
      <c r="B192" t="str">
        <f t="shared" si="20"/>
        <v>Pooja Choudhary</v>
      </c>
      <c r="C192" t="str">
        <f t="shared" si="21"/>
        <v>Sales</v>
      </c>
      <c r="D192" t="str">
        <f t="shared" si="22"/>
        <v>Kavya Krishnan</v>
      </c>
      <c r="E192" s="30" t="str">
        <f t="shared" si="23"/>
        <v>Active</v>
      </c>
      <c r="F192" s="22" t="s">
        <v>1700</v>
      </c>
      <c r="G192" s="24">
        <v>3.6</v>
      </c>
      <c r="H192" s="24">
        <v>3.7</v>
      </c>
      <c r="I192" s="24">
        <v>3.9</v>
      </c>
      <c r="J192" s="24">
        <v>3.2</v>
      </c>
      <c r="K192" s="24">
        <v>3.5</v>
      </c>
      <c r="L192" s="24">
        <v>3.2</v>
      </c>
      <c r="M192" s="25">
        <f t="shared" si="24"/>
        <v>3.52</v>
      </c>
      <c r="N192" s="22">
        <v>9</v>
      </c>
      <c r="O192" s="22" t="str">
        <f t="shared" si="25"/>
        <v>Promoter</v>
      </c>
      <c r="P192" s="30">
        <f t="shared" si="26"/>
        <v>2</v>
      </c>
      <c r="Q192" s="35">
        <f t="shared" si="27"/>
        <v>0.71</v>
      </c>
      <c r="R192" s="22">
        <f t="shared" si="28"/>
        <v>1</v>
      </c>
      <c r="S192" s="22" t="str">
        <f t="shared" si="29"/>
        <v>Low</v>
      </c>
    </row>
    <row r="193" spans="1:19" x14ac:dyDescent="0.3">
      <c r="A193" s="22" t="s">
        <v>772</v>
      </c>
      <c r="B193" t="str">
        <f t="shared" si="20"/>
        <v>Ayesha Mishra</v>
      </c>
      <c r="C193" t="str">
        <f t="shared" si="21"/>
        <v>Sales</v>
      </c>
      <c r="D193" t="str">
        <f t="shared" si="22"/>
        <v>Nikhil Agarwal</v>
      </c>
      <c r="E193" s="30" t="str">
        <f t="shared" si="23"/>
        <v>Active</v>
      </c>
      <c r="F193" s="22" t="s">
        <v>1700</v>
      </c>
      <c r="G193" s="24">
        <v>3.7</v>
      </c>
      <c r="H193" s="24">
        <v>3.9</v>
      </c>
      <c r="I193" s="24">
        <v>3.7</v>
      </c>
      <c r="J193" s="24">
        <v>3.3</v>
      </c>
      <c r="K193" s="24">
        <v>3</v>
      </c>
      <c r="L193" s="24">
        <v>3.8</v>
      </c>
      <c r="M193" s="25">
        <f t="shared" si="24"/>
        <v>3.57</v>
      </c>
      <c r="N193" s="22">
        <v>10</v>
      </c>
      <c r="O193" s="22" t="str">
        <f t="shared" si="25"/>
        <v>Promoter</v>
      </c>
      <c r="P193" s="30">
        <f t="shared" si="26"/>
        <v>4</v>
      </c>
      <c r="Q193" s="35">
        <f t="shared" si="27"/>
        <v>0.91</v>
      </c>
      <c r="R193" s="22">
        <f t="shared" si="28"/>
        <v>1</v>
      </c>
      <c r="S193" s="22" t="str">
        <f t="shared" si="29"/>
        <v>Low</v>
      </c>
    </row>
    <row r="194" spans="1:19" x14ac:dyDescent="0.3">
      <c r="A194" s="22" t="s">
        <v>775</v>
      </c>
      <c r="B194" t="str">
        <f t="shared" ref="B194:B257" si="30">INDEX(M_Name,MATCH($A194,M_ID,0))</f>
        <v>Rajesh Kapoor</v>
      </c>
      <c r="C194" t="str">
        <f t="shared" ref="C194:C257" si="31">INDEX(M_Dept,MATCH($A194,M_ID,0))</f>
        <v>Sales</v>
      </c>
      <c r="D194" t="str">
        <f t="shared" ref="D194:D257" si="32">INDEX(M_Mgr,MATCH($A194,M_ID,0))</f>
        <v>Kavya Krishnan</v>
      </c>
      <c r="E194" s="30" t="str">
        <f t="shared" ref="E194:E257" si="33">INDEX(M_Status,MATCH($A194,M_ID,0))</f>
        <v>Exited</v>
      </c>
      <c r="F194" s="22" t="s">
        <v>1700</v>
      </c>
      <c r="G194" s="24">
        <v>2.9</v>
      </c>
      <c r="H194" s="24">
        <v>3.1</v>
      </c>
      <c r="I194" s="24">
        <v>3.5</v>
      </c>
      <c r="J194" s="24">
        <v>2.6</v>
      </c>
      <c r="K194" s="24">
        <v>3.5</v>
      </c>
      <c r="L194" s="24">
        <v>3.5</v>
      </c>
      <c r="M194" s="25">
        <f t="shared" ref="M194:M257" si="34">ROUND(AVERAGE(G194:L194),2)</f>
        <v>3.18</v>
      </c>
      <c r="N194" s="22">
        <v>9</v>
      </c>
      <c r="O194" s="22" t="str">
        <f t="shared" ref="O194:O257" si="35">IF(N194&gt;=9,"Promoter",IF(N194&gt;=7,"Passive","Detractor"))</f>
        <v>Promoter</v>
      </c>
      <c r="P194" s="30">
        <f t="shared" ref="P194:P257" si="36">INDEX(P_Rating,MATCH($A194,M_ID,0))</f>
        <v>1</v>
      </c>
      <c r="Q194" s="35">
        <f t="shared" ref="Q194:Q257" si="37">INDEX(C_Compa,MATCH($A194,M_ID,0))</f>
        <v>0.98</v>
      </c>
      <c r="R194" s="22">
        <f t="shared" ref="R194:R257" si="38">(M194&lt;EngThreshold)+(N194&lt;=6)+(Q194&lt;CompaThreshold)+(P194&gt;=4)</f>
        <v>0</v>
      </c>
      <c r="S194" s="22" t="str">
        <f t="shared" ref="S194:S257" si="39">IF(E194="Exited","Exited",IF(R194&gt;=3,"High",IF(R194=2,"Medium","Low")))</f>
        <v>Exited</v>
      </c>
    </row>
    <row r="195" spans="1:19" x14ac:dyDescent="0.3">
      <c r="A195" s="22" t="s">
        <v>201</v>
      </c>
      <c r="B195" t="str">
        <f t="shared" si="30"/>
        <v>Ashish Varghese</v>
      </c>
      <c r="C195" t="str">
        <f t="shared" si="31"/>
        <v>Customer Support</v>
      </c>
      <c r="D195" t="str">
        <f t="shared" si="32"/>
        <v>Akash Dsouza</v>
      </c>
      <c r="E195" s="30" t="str">
        <f t="shared" si="33"/>
        <v>Active</v>
      </c>
      <c r="F195" s="22" t="s">
        <v>1700</v>
      </c>
      <c r="G195" s="24">
        <v>3.3</v>
      </c>
      <c r="H195" s="24">
        <v>3.7</v>
      </c>
      <c r="I195" s="24">
        <v>3.8</v>
      </c>
      <c r="J195" s="24">
        <v>4.0999999999999996</v>
      </c>
      <c r="K195" s="24">
        <v>3.7</v>
      </c>
      <c r="L195" s="24">
        <v>3.5</v>
      </c>
      <c r="M195" s="25">
        <f t="shared" si="34"/>
        <v>3.68</v>
      </c>
      <c r="N195" s="22">
        <v>10</v>
      </c>
      <c r="O195" s="22" t="str">
        <f t="shared" si="35"/>
        <v>Promoter</v>
      </c>
      <c r="P195" s="30">
        <f t="shared" si="36"/>
        <v>4</v>
      </c>
      <c r="Q195" s="35">
        <f t="shared" si="37"/>
        <v>0.83</v>
      </c>
      <c r="R195" s="22">
        <f t="shared" si="38"/>
        <v>2</v>
      </c>
      <c r="S195" s="22" t="str">
        <f t="shared" si="39"/>
        <v>Medium</v>
      </c>
    </row>
    <row r="196" spans="1:19" x14ac:dyDescent="0.3">
      <c r="A196" s="22" t="s">
        <v>779</v>
      </c>
      <c r="B196" t="str">
        <f t="shared" si="30"/>
        <v>Pallavi Das</v>
      </c>
      <c r="C196" t="str">
        <f t="shared" si="31"/>
        <v>Finance</v>
      </c>
      <c r="D196" t="str">
        <f t="shared" si="32"/>
        <v>Ravi Prabhu</v>
      </c>
      <c r="E196" s="30" t="str">
        <f t="shared" si="33"/>
        <v>Active</v>
      </c>
      <c r="F196" s="22" t="s">
        <v>1700</v>
      </c>
      <c r="G196" s="24">
        <v>2.2000000000000002</v>
      </c>
      <c r="H196" s="24">
        <v>2.6</v>
      </c>
      <c r="I196" s="24">
        <v>2.5</v>
      </c>
      <c r="J196" s="24">
        <v>2.1</v>
      </c>
      <c r="K196" s="24">
        <v>2.2999999999999998</v>
      </c>
      <c r="L196" s="24">
        <v>2.8</v>
      </c>
      <c r="M196" s="25">
        <f t="shared" si="34"/>
        <v>2.42</v>
      </c>
      <c r="N196" s="22">
        <v>7</v>
      </c>
      <c r="O196" s="22" t="str">
        <f t="shared" si="35"/>
        <v>Passive</v>
      </c>
      <c r="P196" s="30">
        <f t="shared" si="36"/>
        <v>3</v>
      </c>
      <c r="Q196" s="35">
        <f t="shared" si="37"/>
        <v>0.83</v>
      </c>
      <c r="R196" s="22">
        <f t="shared" si="38"/>
        <v>2</v>
      </c>
      <c r="S196" s="22" t="str">
        <f t="shared" si="39"/>
        <v>Medium</v>
      </c>
    </row>
    <row r="197" spans="1:19" x14ac:dyDescent="0.3">
      <c r="A197" s="22" t="s">
        <v>782</v>
      </c>
      <c r="B197" t="str">
        <f t="shared" si="30"/>
        <v>Vikas Bansal</v>
      </c>
      <c r="C197" t="str">
        <f t="shared" si="31"/>
        <v>Engineering</v>
      </c>
      <c r="D197" t="str">
        <f t="shared" si="32"/>
        <v>Tejaswini Hegde</v>
      </c>
      <c r="E197" s="30" t="str">
        <f t="shared" si="33"/>
        <v>Active</v>
      </c>
      <c r="F197" s="22" t="s">
        <v>1700</v>
      </c>
      <c r="G197" s="24">
        <v>2.5</v>
      </c>
      <c r="H197" s="24">
        <v>2.1</v>
      </c>
      <c r="I197" s="24">
        <v>2.6</v>
      </c>
      <c r="J197" s="24">
        <v>3.4</v>
      </c>
      <c r="K197" s="24">
        <v>3.1</v>
      </c>
      <c r="L197" s="24">
        <v>2.9</v>
      </c>
      <c r="M197" s="25">
        <f t="shared" si="34"/>
        <v>2.77</v>
      </c>
      <c r="N197" s="22">
        <v>5</v>
      </c>
      <c r="O197" s="22" t="str">
        <f t="shared" si="35"/>
        <v>Detractor</v>
      </c>
      <c r="P197" s="30">
        <f t="shared" si="36"/>
        <v>3</v>
      </c>
      <c r="Q197" s="35">
        <f t="shared" si="37"/>
        <v>1.37</v>
      </c>
      <c r="R197" s="22">
        <f t="shared" si="38"/>
        <v>2</v>
      </c>
      <c r="S197" s="22" t="str">
        <f t="shared" si="39"/>
        <v>Medium</v>
      </c>
    </row>
    <row r="198" spans="1:19" x14ac:dyDescent="0.3">
      <c r="A198" s="22" t="s">
        <v>785</v>
      </c>
      <c r="B198" t="str">
        <f t="shared" si="30"/>
        <v>Mansi Naidu</v>
      </c>
      <c r="C198" t="str">
        <f t="shared" si="31"/>
        <v>Legal &amp; Compliance</v>
      </c>
      <c r="D198" t="str">
        <f t="shared" si="32"/>
        <v>Ramya Khanna</v>
      </c>
      <c r="E198" s="30" t="str">
        <f t="shared" si="33"/>
        <v>Active</v>
      </c>
      <c r="F198" s="22" t="s">
        <v>1700</v>
      </c>
      <c r="G198" s="24">
        <v>2.7</v>
      </c>
      <c r="H198" s="24">
        <v>2.7</v>
      </c>
      <c r="I198" s="24">
        <v>3.9</v>
      </c>
      <c r="J198" s="24">
        <v>3.3</v>
      </c>
      <c r="K198" s="24">
        <v>2.9</v>
      </c>
      <c r="L198" s="24">
        <v>3.2</v>
      </c>
      <c r="M198" s="25">
        <f t="shared" si="34"/>
        <v>3.12</v>
      </c>
      <c r="N198" s="22">
        <v>7</v>
      </c>
      <c r="O198" s="22" t="str">
        <f t="shared" si="35"/>
        <v>Passive</v>
      </c>
      <c r="P198" s="30">
        <f t="shared" si="36"/>
        <v>1</v>
      </c>
      <c r="Q198" s="35">
        <f t="shared" si="37"/>
        <v>1.1100000000000001</v>
      </c>
      <c r="R198" s="22">
        <f t="shared" si="38"/>
        <v>0</v>
      </c>
      <c r="S198" s="22" t="str">
        <f t="shared" si="39"/>
        <v>Low</v>
      </c>
    </row>
    <row r="199" spans="1:19" x14ac:dyDescent="0.3">
      <c r="A199" s="22" t="s">
        <v>788</v>
      </c>
      <c r="B199" t="str">
        <f t="shared" si="30"/>
        <v>Siddharth Dsouza</v>
      </c>
      <c r="C199" t="str">
        <f t="shared" si="31"/>
        <v>Sales</v>
      </c>
      <c r="D199" t="str">
        <f t="shared" si="32"/>
        <v>Yash Raghavan</v>
      </c>
      <c r="E199" s="30" t="str">
        <f t="shared" si="33"/>
        <v>Active</v>
      </c>
      <c r="F199" s="22" t="s">
        <v>1700</v>
      </c>
      <c r="G199" s="24">
        <v>3.1</v>
      </c>
      <c r="H199" s="24">
        <v>3.6</v>
      </c>
      <c r="I199" s="24">
        <v>2.8</v>
      </c>
      <c r="J199" s="24">
        <v>3.7</v>
      </c>
      <c r="K199" s="24">
        <v>3.2</v>
      </c>
      <c r="L199" s="24">
        <v>2.5</v>
      </c>
      <c r="M199" s="25">
        <f t="shared" si="34"/>
        <v>3.15</v>
      </c>
      <c r="N199" s="22">
        <v>6</v>
      </c>
      <c r="O199" s="22" t="str">
        <f t="shared" si="35"/>
        <v>Detractor</v>
      </c>
      <c r="P199" s="30">
        <f t="shared" si="36"/>
        <v>3</v>
      </c>
      <c r="Q199" s="35">
        <f t="shared" si="37"/>
        <v>0.79</v>
      </c>
      <c r="R199" s="22">
        <f t="shared" si="38"/>
        <v>2</v>
      </c>
      <c r="S199" s="22" t="str">
        <f t="shared" si="39"/>
        <v>Medium</v>
      </c>
    </row>
    <row r="200" spans="1:19" x14ac:dyDescent="0.3">
      <c r="A200" s="22" t="s">
        <v>791</v>
      </c>
      <c r="B200" t="str">
        <f t="shared" si="30"/>
        <v>Anjali Bansal</v>
      </c>
      <c r="C200" t="str">
        <f t="shared" si="31"/>
        <v>Operations</v>
      </c>
      <c r="D200" t="str">
        <f t="shared" si="32"/>
        <v>Amit Kumar</v>
      </c>
      <c r="E200" s="30" t="str">
        <f t="shared" si="33"/>
        <v>Active</v>
      </c>
      <c r="F200" s="22" t="s">
        <v>1700</v>
      </c>
      <c r="G200" s="24">
        <v>2.6</v>
      </c>
      <c r="H200" s="24">
        <v>2.2999999999999998</v>
      </c>
      <c r="I200" s="24">
        <v>2.5</v>
      </c>
      <c r="J200" s="24">
        <v>2.9</v>
      </c>
      <c r="K200" s="24">
        <v>2.5</v>
      </c>
      <c r="L200" s="24">
        <v>2.5</v>
      </c>
      <c r="M200" s="25">
        <f t="shared" si="34"/>
        <v>2.5499999999999998</v>
      </c>
      <c r="N200" s="22">
        <v>7</v>
      </c>
      <c r="O200" s="22" t="str">
        <f t="shared" si="35"/>
        <v>Passive</v>
      </c>
      <c r="P200" s="30">
        <f t="shared" si="36"/>
        <v>2</v>
      </c>
      <c r="Q200" s="35">
        <f t="shared" si="37"/>
        <v>0.81</v>
      </c>
      <c r="R200" s="22">
        <f t="shared" si="38"/>
        <v>2</v>
      </c>
      <c r="S200" s="22" t="str">
        <f t="shared" si="39"/>
        <v>Medium</v>
      </c>
    </row>
    <row r="201" spans="1:19" x14ac:dyDescent="0.3">
      <c r="A201" s="22" t="s">
        <v>794</v>
      </c>
      <c r="B201" t="str">
        <f t="shared" si="30"/>
        <v>Arun Jain</v>
      </c>
      <c r="C201" t="str">
        <f t="shared" si="31"/>
        <v>Operations</v>
      </c>
      <c r="D201" t="str">
        <f t="shared" si="32"/>
        <v>Ajay Kumar</v>
      </c>
      <c r="E201" s="30" t="str">
        <f t="shared" si="33"/>
        <v>Active</v>
      </c>
      <c r="F201" s="22" t="s">
        <v>1700</v>
      </c>
      <c r="G201" s="24">
        <v>2.7</v>
      </c>
      <c r="H201" s="24">
        <v>2.6</v>
      </c>
      <c r="I201" s="24">
        <v>2.8</v>
      </c>
      <c r="J201" s="24">
        <v>2.9</v>
      </c>
      <c r="K201" s="24">
        <v>2.7</v>
      </c>
      <c r="L201" s="24">
        <v>2.5</v>
      </c>
      <c r="M201" s="25">
        <f t="shared" si="34"/>
        <v>2.7</v>
      </c>
      <c r="N201" s="22">
        <v>8</v>
      </c>
      <c r="O201" s="22" t="str">
        <f t="shared" si="35"/>
        <v>Passive</v>
      </c>
      <c r="P201" s="30">
        <f t="shared" si="36"/>
        <v>1</v>
      </c>
      <c r="Q201" s="35">
        <f t="shared" si="37"/>
        <v>0.83</v>
      </c>
      <c r="R201" s="22">
        <f t="shared" si="38"/>
        <v>2</v>
      </c>
      <c r="S201" s="22" t="str">
        <f t="shared" si="39"/>
        <v>Medium</v>
      </c>
    </row>
    <row r="202" spans="1:19" x14ac:dyDescent="0.3">
      <c r="A202" s="22" t="s">
        <v>797</v>
      </c>
      <c r="B202" t="str">
        <f t="shared" si="30"/>
        <v>Anjali Shah</v>
      </c>
      <c r="C202" t="str">
        <f t="shared" si="31"/>
        <v>Marketing</v>
      </c>
      <c r="D202" t="str">
        <f t="shared" si="32"/>
        <v>Aishwarya Mukherjee</v>
      </c>
      <c r="E202" s="30" t="str">
        <f t="shared" si="33"/>
        <v>Active</v>
      </c>
      <c r="F202" s="22" t="s">
        <v>1701</v>
      </c>
      <c r="G202" s="24">
        <v>3.8</v>
      </c>
      <c r="H202" s="24">
        <v>3.5</v>
      </c>
      <c r="I202" s="24">
        <v>2.7</v>
      </c>
      <c r="J202" s="24">
        <v>3.3</v>
      </c>
      <c r="K202" s="24">
        <v>3.2</v>
      </c>
      <c r="L202" s="24">
        <v>2.9</v>
      </c>
      <c r="M202" s="25">
        <f t="shared" si="34"/>
        <v>3.23</v>
      </c>
      <c r="N202" s="22">
        <v>7</v>
      </c>
      <c r="O202" s="22" t="str">
        <f t="shared" si="35"/>
        <v>Passive</v>
      </c>
      <c r="P202" s="30">
        <f t="shared" si="36"/>
        <v>5</v>
      </c>
      <c r="Q202" s="35">
        <f t="shared" si="37"/>
        <v>0.97</v>
      </c>
      <c r="R202" s="22">
        <f t="shared" si="38"/>
        <v>1</v>
      </c>
      <c r="S202" s="22" t="str">
        <f t="shared" si="39"/>
        <v>Low</v>
      </c>
    </row>
    <row r="203" spans="1:19" x14ac:dyDescent="0.3">
      <c r="A203" s="22" t="s">
        <v>800</v>
      </c>
      <c r="B203" t="str">
        <f t="shared" si="30"/>
        <v>Ankit Mukherjee</v>
      </c>
      <c r="C203" t="str">
        <f t="shared" si="31"/>
        <v>Data &amp; Analytics</v>
      </c>
      <c r="D203" t="str">
        <f t="shared" si="32"/>
        <v>Trisha Jain</v>
      </c>
      <c r="E203" s="30" t="str">
        <f t="shared" si="33"/>
        <v>Active</v>
      </c>
      <c r="F203" s="22" t="s">
        <v>1700</v>
      </c>
      <c r="G203" s="24">
        <v>2.9</v>
      </c>
      <c r="H203" s="24">
        <v>2.7</v>
      </c>
      <c r="I203" s="24">
        <v>2.1</v>
      </c>
      <c r="J203" s="24">
        <v>3.1</v>
      </c>
      <c r="K203" s="24">
        <v>3.2</v>
      </c>
      <c r="L203" s="24">
        <v>3.4</v>
      </c>
      <c r="M203" s="25">
        <f t="shared" si="34"/>
        <v>2.9</v>
      </c>
      <c r="N203" s="22">
        <v>7</v>
      </c>
      <c r="O203" s="22" t="str">
        <f t="shared" si="35"/>
        <v>Passive</v>
      </c>
      <c r="P203" s="30">
        <f t="shared" si="36"/>
        <v>2</v>
      </c>
      <c r="Q203" s="35">
        <f t="shared" si="37"/>
        <v>0.82</v>
      </c>
      <c r="R203" s="22">
        <f t="shared" si="38"/>
        <v>2</v>
      </c>
      <c r="S203" s="22" t="str">
        <f t="shared" si="39"/>
        <v>Medium</v>
      </c>
    </row>
    <row r="204" spans="1:19" x14ac:dyDescent="0.3">
      <c r="A204" s="22" t="s">
        <v>803</v>
      </c>
      <c r="B204" t="str">
        <f t="shared" si="30"/>
        <v>Anjali Rao</v>
      </c>
      <c r="C204" t="str">
        <f t="shared" si="31"/>
        <v>Customer Support</v>
      </c>
      <c r="D204" t="str">
        <f t="shared" si="32"/>
        <v>Vidya Chatterjee</v>
      </c>
      <c r="E204" s="30" t="str">
        <f t="shared" si="33"/>
        <v>Active</v>
      </c>
      <c r="F204" s="22" t="s">
        <v>1700</v>
      </c>
      <c r="G204" s="24">
        <v>2.8</v>
      </c>
      <c r="H204" s="24">
        <v>2.9</v>
      </c>
      <c r="I204" s="24">
        <v>2.2999999999999998</v>
      </c>
      <c r="J204" s="24">
        <v>2.7</v>
      </c>
      <c r="K204" s="24">
        <v>2.8</v>
      </c>
      <c r="L204" s="24">
        <v>2.9</v>
      </c>
      <c r="M204" s="25">
        <f t="shared" si="34"/>
        <v>2.73</v>
      </c>
      <c r="N204" s="22">
        <v>7</v>
      </c>
      <c r="O204" s="22" t="str">
        <f t="shared" si="35"/>
        <v>Passive</v>
      </c>
      <c r="P204" s="30">
        <f t="shared" si="36"/>
        <v>3</v>
      </c>
      <c r="Q204" s="35">
        <f t="shared" si="37"/>
        <v>0.89</v>
      </c>
      <c r="R204" s="22">
        <f t="shared" si="38"/>
        <v>2</v>
      </c>
      <c r="S204" s="22" t="str">
        <f t="shared" si="39"/>
        <v>Medium</v>
      </c>
    </row>
    <row r="205" spans="1:19" x14ac:dyDescent="0.3">
      <c r="A205" s="22" t="s">
        <v>806</v>
      </c>
      <c r="B205" t="str">
        <f t="shared" si="30"/>
        <v>Anand Shetty</v>
      </c>
      <c r="C205" t="str">
        <f t="shared" si="31"/>
        <v>Marketing</v>
      </c>
      <c r="D205" t="str">
        <f t="shared" si="32"/>
        <v>Nandini Iyer</v>
      </c>
      <c r="E205" s="30" t="str">
        <f t="shared" si="33"/>
        <v>Active</v>
      </c>
      <c r="F205" s="22" t="s">
        <v>1700</v>
      </c>
      <c r="G205" s="24">
        <v>3.9</v>
      </c>
      <c r="H205" s="24">
        <v>3.6</v>
      </c>
      <c r="I205" s="24">
        <v>3.6</v>
      </c>
      <c r="J205" s="24">
        <v>4.5</v>
      </c>
      <c r="K205" s="24">
        <v>3.4</v>
      </c>
      <c r="L205" s="24">
        <v>4.3</v>
      </c>
      <c r="M205" s="25">
        <f t="shared" si="34"/>
        <v>3.88</v>
      </c>
      <c r="N205" s="22">
        <v>8</v>
      </c>
      <c r="O205" s="22" t="str">
        <f t="shared" si="35"/>
        <v>Passive</v>
      </c>
      <c r="P205" s="30">
        <f t="shared" si="36"/>
        <v>2</v>
      </c>
      <c r="Q205" s="35">
        <f t="shared" si="37"/>
        <v>0.77</v>
      </c>
      <c r="R205" s="22">
        <f t="shared" si="38"/>
        <v>1</v>
      </c>
      <c r="S205" s="22" t="str">
        <f t="shared" si="39"/>
        <v>Low</v>
      </c>
    </row>
    <row r="206" spans="1:19" x14ac:dyDescent="0.3">
      <c r="A206" s="22" t="s">
        <v>195</v>
      </c>
      <c r="B206" t="str">
        <f t="shared" si="30"/>
        <v>Srinivas Shah</v>
      </c>
      <c r="C206" t="str">
        <f t="shared" si="31"/>
        <v>Sales</v>
      </c>
      <c r="D206" t="str">
        <f t="shared" si="32"/>
        <v>Gayatri Tiwari</v>
      </c>
      <c r="E206" s="30" t="str">
        <f t="shared" si="33"/>
        <v>Active</v>
      </c>
      <c r="F206" s="22" t="s">
        <v>1700</v>
      </c>
      <c r="G206" s="24">
        <v>2.4</v>
      </c>
      <c r="H206" s="24">
        <v>2.5</v>
      </c>
      <c r="I206" s="24">
        <v>2.7</v>
      </c>
      <c r="J206" s="24">
        <v>3.4</v>
      </c>
      <c r="K206" s="24">
        <v>2.5</v>
      </c>
      <c r="L206" s="24">
        <v>2.7</v>
      </c>
      <c r="M206" s="25">
        <f t="shared" si="34"/>
        <v>2.7</v>
      </c>
      <c r="N206" s="22">
        <v>8</v>
      </c>
      <c r="O206" s="22" t="str">
        <f t="shared" si="35"/>
        <v>Passive</v>
      </c>
      <c r="P206" s="30">
        <f t="shared" si="36"/>
        <v>3</v>
      </c>
      <c r="Q206" s="35">
        <f t="shared" si="37"/>
        <v>1.05</v>
      </c>
      <c r="R206" s="22">
        <f t="shared" si="38"/>
        <v>1</v>
      </c>
      <c r="S206" s="22" t="str">
        <f t="shared" si="39"/>
        <v>Low</v>
      </c>
    </row>
    <row r="207" spans="1:19" x14ac:dyDescent="0.3">
      <c r="A207" s="22" t="s">
        <v>810</v>
      </c>
      <c r="B207" t="str">
        <f t="shared" si="30"/>
        <v>Meera Chatterjee</v>
      </c>
      <c r="C207" t="str">
        <f t="shared" si="31"/>
        <v>Engineering</v>
      </c>
      <c r="D207" t="str">
        <f t="shared" si="32"/>
        <v>Vikram Verma</v>
      </c>
      <c r="E207" s="30" t="str">
        <f t="shared" si="33"/>
        <v>Active</v>
      </c>
      <c r="F207" s="22" t="s">
        <v>1700</v>
      </c>
      <c r="G207" s="24">
        <v>4.5</v>
      </c>
      <c r="H207" s="24">
        <v>4.5</v>
      </c>
      <c r="I207" s="24">
        <v>4.2</v>
      </c>
      <c r="J207" s="24">
        <v>4</v>
      </c>
      <c r="K207" s="24">
        <v>3.9</v>
      </c>
      <c r="L207" s="24">
        <v>5</v>
      </c>
      <c r="M207" s="25">
        <f t="shared" si="34"/>
        <v>4.3499999999999996</v>
      </c>
      <c r="N207" s="22">
        <v>10</v>
      </c>
      <c r="O207" s="22" t="str">
        <f t="shared" si="35"/>
        <v>Promoter</v>
      </c>
      <c r="P207" s="30">
        <f t="shared" si="36"/>
        <v>4</v>
      </c>
      <c r="Q207" s="35">
        <f t="shared" si="37"/>
        <v>1.18</v>
      </c>
      <c r="R207" s="22">
        <f t="shared" si="38"/>
        <v>1</v>
      </c>
      <c r="S207" s="22" t="str">
        <f t="shared" si="39"/>
        <v>Low</v>
      </c>
    </row>
    <row r="208" spans="1:19" x14ac:dyDescent="0.3">
      <c r="A208" s="22" t="s">
        <v>813</v>
      </c>
      <c r="B208" t="str">
        <f t="shared" si="30"/>
        <v>Tejaswini Nair</v>
      </c>
      <c r="C208" t="str">
        <f t="shared" si="31"/>
        <v>Finance</v>
      </c>
      <c r="D208" t="str">
        <f t="shared" si="32"/>
        <v>Ravi Prabhu</v>
      </c>
      <c r="E208" s="30" t="str">
        <f t="shared" si="33"/>
        <v>Exited</v>
      </c>
      <c r="F208" s="22" t="s">
        <v>1701</v>
      </c>
      <c r="G208" s="24">
        <v>3.1</v>
      </c>
      <c r="H208" s="24">
        <v>4.5</v>
      </c>
      <c r="I208" s="24">
        <v>3.5</v>
      </c>
      <c r="J208" s="24">
        <v>3.7</v>
      </c>
      <c r="K208" s="24">
        <v>4</v>
      </c>
      <c r="L208" s="24">
        <v>3.8</v>
      </c>
      <c r="M208" s="25">
        <f t="shared" si="34"/>
        <v>3.77</v>
      </c>
      <c r="N208" s="22">
        <v>8</v>
      </c>
      <c r="O208" s="22" t="str">
        <f t="shared" si="35"/>
        <v>Passive</v>
      </c>
      <c r="P208" s="30">
        <f t="shared" si="36"/>
        <v>5</v>
      </c>
      <c r="Q208" s="35">
        <f t="shared" si="37"/>
        <v>1.01</v>
      </c>
      <c r="R208" s="22">
        <f t="shared" si="38"/>
        <v>1</v>
      </c>
      <c r="S208" s="22" t="str">
        <f t="shared" si="39"/>
        <v>Exited</v>
      </c>
    </row>
    <row r="209" spans="1:19" x14ac:dyDescent="0.3">
      <c r="A209" s="22" t="s">
        <v>816</v>
      </c>
      <c r="B209" t="str">
        <f t="shared" si="30"/>
        <v>Ashish Fernandes</v>
      </c>
      <c r="C209" t="str">
        <f t="shared" si="31"/>
        <v>Engineering</v>
      </c>
      <c r="D209" t="str">
        <f t="shared" si="32"/>
        <v>Madhuri Menon</v>
      </c>
      <c r="E209" s="30" t="str">
        <f t="shared" si="33"/>
        <v>Active</v>
      </c>
      <c r="F209" s="22" t="s">
        <v>1700</v>
      </c>
      <c r="G209" s="24">
        <v>3.2</v>
      </c>
      <c r="H209" s="24">
        <v>3.3</v>
      </c>
      <c r="I209" s="24">
        <v>2.7</v>
      </c>
      <c r="J209" s="24">
        <v>2.5</v>
      </c>
      <c r="K209" s="24">
        <v>3</v>
      </c>
      <c r="L209" s="24">
        <v>2.8</v>
      </c>
      <c r="M209" s="25">
        <f t="shared" si="34"/>
        <v>2.92</v>
      </c>
      <c r="N209" s="22">
        <v>7</v>
      </c>
      <c r="O209" s="22" t="str">
        <f t="shared" si="35"/>
        <v>Passive</v>
      </c>
      <c r="P209" s="30">
        <f t="shared" si="36"/>
        <v>3</v>
      </c>
      <c r="Q209" s="35">
        <f t="shared" si="37"/>
        <v>0.97</v>
      </c>
      <c r="R209" s="22">
        <f t="shared" si="38"/>
        <v>1</v>
      </c>
      <c r="S209" s="22" t="str">
        <f t="shared" si="39"/>
        <v>Low</v>
      </c>
    </row>
    <row r="210" spans="1:19" x14ac:dyDescent="0.3">
      <c r="A210" s="22" t="s">
        <v>819</v>
      </c>
      <c r="B210" t="str">
        <f t="shared" si="30"/>
        <v>Ritu Hegde</v>
      </c>
      <c r="C210" t="str">
        <f t="shared" si="31"/>
        <v>Customer Support</v>
      </c>
      <c r="D210" t="str">
        <f t="shared" si="32"/>
        <v>Anand Naidu</v>
      </c>
      <c r="E210" s="30" t="str">
        <f t="shared" si="33"/>
        <v>Active</v>
      </c>
      <c r="F210" s="22" t="s">
        <v>1700</v>
      </c>
      <c r="G210" s="24">
        <v>2.8</v>
      </c>
      <c r="H210" s="24">
        <v>3.5</v>
      </c>
      <c r="I210" s="24">
        <v>3.2</v>
      </c>
      <c r="J210" s="24">
        <v>2.9</v>
      </c>
      <c r="K210" s="24">
        <v>3.1</v>
      </c>
      <c r="L210" s="24">
        <v>3.5</v>
      </c>
      <c r="M210" s="25">
        <f t="shared" si="34"/>
        <v>3.17</v>
      </c>
      <c r="N210" s="22">
        <v>6</v>
      </c>
      <c r="O210" s="22" t="str">
        <f t="shared" si="35"/>
        <v>Detractor</v>
      </c>
      <c r="P210" s="30">
        <f t="shared" si="36"/>
        <v>2</v>
      </c>
      <c r="Q210" s="35">
        <f t="shared" si="37"/>
        <v>0.75</v>
      </c>
      <c r="R210" s="22">
        <f t="shared" si="38"/>
        <v>2</v>
      </c>
      <c r="S210" s="22" t="str">
        <f t="shared" si="39"/>
        <v>Medium</v>
      </c>
    </row>
    <row r="211" spans="1:19" x14ac:dyDescent="0.3">
      <c r="A211" s="22" t="s">
        <v>824</v>
      </c>
      <c r="B211" t="str">
        <f t="shared" si="30"/>
        <v>Srinivas Kumar</v>
      </c>
      <c r="C211" t="str">
        <f t="shared" si="31"/>
        <v>Product</v>
      </c>
      <c r="D211" t="str">
        <f t="shared" si="32"/>
        <v>Trisha Malhotra</v>
      </c>
      <c r="E211" s="30" t="str">
        <f t="shared" si="33"/>
        <v>Active</v>
      </c>
      <c r="F211" s="22" t="s">
        <v>1700</v>
      </c>
      <c r="G211" s="24">
        <v>4.5</v>
      </c>
      <c r="H211" s="24">
        <v>4.5999999999999996</v>
      </c>
      <c r="I211" s="24">
        <v>4.5</v>
      </c>
      <c r="J211" s="24">
        <v>4.4000000000000004</v>
      </c>
      <c r="K211" s="24">
        <v>4.3</v>
      </c>
      <c r="L211" s="24">
        <v>4.5999999999999996</v>
      </c>
      <c r="M211" s="25">
        <f t="shared" si="34"/>
        <v>4.4800000000000004</v>
      </c>
      <c r="N211" s="22">
        <v>9</v>
      </c>
      <c r="O211" s="22" t="str">
        <f t="shared" si="35"/>
        <v>Promoter</v>
      </c>
      <c r="P211" s="30">
        <f t="shared" si="36"/>
        <v>5</v>
      </c>
      <c r="Q211" s="35">
        <f t="shared" si="37"/>
        <v>1.23</v>
      </c>
      <c r="R211" s="22">
        <f t="shared" si="38"/>
        <v>1</v>
      </c>
      <c r="S211" s="22" t="str">
        <f t="shared" si="39"/>
        <v>Low</v>
      </c>
    </row>
    <row r="212" spans="1:19" x14ac:dyDescent="0.3">
      <c r="A212" s="22" t="s">
        <v>827</v>
      </c>
      <c r="B212" t="str">
        <f t="shared" si="30"/>
        <v>Tarun Das</v>
      </c>
      <c r="C212" t="str">
        <f t="shared" si="31"/>
        <v>Customer Support</v>
      </c>
      <c r="D212" t="str">
        <f t="shared" si="32"/>
        <v>Imran Joshi</v>
      </c>
      <c r="E212" s="30" t="str">
        <f t="shared" si="33"/>
        <v>Exited</v>
      </c>
      <c r="F212" s="22" t="s">
        <v>1700</v>
      </c>
      <c r="G212" s="24">
        <v>2.8</v>
      </c>
      <c r="H212" s="24">
        <v>2.6</v>
      </c>
      <c r="I212" s="24">
        <v>3.6</v>
      </c>
      <c r="J212" s="24">
        <v>3.6</v>
      </c>
      <c r="K212" s="24">
        <v>3.7</v>
      </c>
      <c r="L212" s="24">
        <v>2.6</v>
      </c>
      <c r="M212" s="25">
        <f t="shared" si="34"/>
        <v>3.15</v>
      </c>
      <c r="N212" s="22">
        <v>10</v>
      </c>
      <c r="O212" s="22" t="str">
        <f t="shared" si="35"/>
        <v>Promoter</v>
      </c>
      <c r="P212" s="30">
        <f t="shared" si="36"/>
        <v>5</v>
      </c>
      <c r="Q212" s="35">
        <f t="shared" si="37"/>
        <v>0.66</v>
      </c>
      <c r="R212" s="22">
        <f t="shared" si="38"/>
        <v>2</v>
      </c>
      <c r="S212" s="22" t="str">
        <f t="shared" si="39"/>
        <v>Exited</v>
      </c>
    </row>
    <row r="213" spans="1:19" x14ac:dyDescent="0.3">
      <c r="A213" s="22" t="s">
        <v>830</v>
      </c>
      <c r="B213" t="str">
        <f t="shared" si="30"/>
        <v>Arun Kamath</v>
      </c>
      <c r="C213" t="str">
        <f t="shared" si="31"/>
        <v>Product</v>
      </c>
      <c r="D213" t="str">
        <f t="shared" si="32"/>
        <v>Mansi Pillai</v>
      </c>
      <c r="E213" s="30" t="str">
        <f t="shared" si="33"/>
        <v>Active</v>
      </c>
      <c r="F213" s="22" t="s">
        <v>1700</v>
      </c>
      <c r="G213" s="24">
        <v>3.2</v>
      </c>
      <c r="H213" s="24">
        <v>3.7</v>
      </c>
      <c r="I213" s="24">
        <v>3.6</v>
      </c>
      <c r="J213" s="24">
        <v>3.2</v>
      </c>
      <c r="K213" s="24">
        <v>4</v>
      </c>
      <c r="L213" s="24">
        <v>3.6</v>
      </c>
      <c r="M213" s="25">
        <f t="shared" si="34"/>
        <v>3.55</v>
      </c>
      <c r="N213" s="22">
        <v>10</v>
      </c>
      <c r="O213" s="22" t="str">
        <f t="shared" si="35"/>
        <v>Promoter</v>
      </c>
      <c r="P213" s="30">
        <f t="shared" si="36"/>
        <v>3</v>
      </c>
      <c r="Q213" s="35">
        <f t="shared" si="37"/>
        <v>1.1100000000000001</v>
      </c>
      <c r="R213" s="22">
        <f t="shared" si="38"/>
        <v>0</v>
      </c>
      <c r="S213" s="22" t="str">
        <f t="shared" si="39"/>
        <v>Low</v>
      </c>
    </row>
    <row r="214" spans="1:19" x14ac:dyDescent="0.3">
      <c r="A214" s="22" t="s">
        <v>362</v>
      </c>
      <c r="B214" t="str">
        <f t="shared" si="30"/>
        <v>Vikram Verma</v>
      </c>
      <c r="C214" t="str">
        <f t="shared" si="31"/>
        <v>Engineering</v>
      </c>
      <c r="D214" t="str">
        <f t="shared" si="32"/>
        <v>Aishwarya Khan</v>
      </c>
      <c r="E214" s="30" t="str">
        <f t="shared" si="33"/>
        <v>Active</v>
      </c>
      <c r="F214" s="22" t="s">
        <v>1700</v>
      </c>
      <c r="G214" s="24">
        <v>3.5</v>
      </c>
      <c r="H214" s="24">
        <v>4</v>
      </c>
      <c r="I214" s="24">
        <v>3.5</v>
      </c>
      <c r="J214" s="24">
        <v>3.2</v>
      </c>
      <c r="K214" s="24">
        <v>3.2</v>
      </c>
      <c r="L214" s="24">
        <v>3.2</v>
      </c>
      <c r="M214" s="25">
        <f t="shared" si="34"/>
        <v>3.43</v>
      </c>
      <c r="N214" s="22">
        <v>10</v>
      </c>
      <c r="O214" s="22" t="str">
        <f t="shared" si="35"/>
        <v>Promoter</v>
      </c>
      <c r="P214" s="30">
        <f t="shared" si="36"/>
        <v>5</v>
      </c>
      <c r="Q214" s="35">
        <f t="shared" si="37"/>
        <v>1.17</v>
      </c>
      <c r="R214" s="22">
        <f t="shared" si="38"/>
        <v>1</v>
      </c>
      <c r="S214" s="22" t="str">
        <f t="shared" si="39"/>
        <v>Low</v>
      </c>
    </row>
    <row r="215" spans="1:19" x14ac:dyDescent="0.3">
      <c r="A215" s="22" t="s">
        <v>835</v>
      </c>
      <c r="B215" t="str">
        <f t="shared" si="30"/>
        <v>Kunal Subramanian</v>
      </c>
      <c r="C215" t="str">
        <f t="shared" si="31"/>
        <v>Human Resources</v>
      </c>
      <c r="D215" t="str">
        <f t="shared" si="32"/>
        <v>Akash Das</v>
      </c>
      <c r="E215" s="30" t="str">
        <f t="shared" si="33"/>
        <v>Exited</v>
      </c>
      <c r="F215" s="22" t="s">
        <v>1700</v>
      </c>
      <c r="G215" s="24">
        <v>2.4</v>
      </c>
      <c r="H215" s="24">
        <v>2.4</v>
      </c>
      <c r="I215" s="24">
        <v>2.6</v>
      </c>
      <c r="J215" s="24">
        <v>2.9</v>
      </c>
      <c r="K215" s="24">
        <v>2.2999999999999998</v>
      </c>
      <c r="L215" s="24">
        <v>2.8</v>
      </c>
      <c r="M215" s="25">
        <f t="shared" si="34"/>
        <v>2.57</v>
      </c>
      <c r="N215" s="22">
        <v>5</v>
      </c>
      <c r="O215" s="22" t="str">
        <f t="shared" si="35"/>
        <v>Detractor</v>
      </c>
      <c r="P215" s="30">
        <f t="shared" si="36"/>
        <v>4</v>
      </c>
      <c r="Q215" s="35">
        <f t="shared" si="37"/>
        <v>0.94</v>
      </c>
      <c r="R215" s="22">
        <f t="shared" si="38"/>
        <v>3</v>
      </c>
      <c r="S215" s="22" t="str">
        <f t="shared" si="39"/>
        <v>Exited</v>
      </c>
    </row>
    <row r="216" spans="1:19" x14ac:dyDescent="0.3">
      <c r="A216" s="22" t="s">
        <v>838</v>
      </c>
      <c r="B216" t="str">
        <f t="shared" si="30"/>
        <v>Krishna Siddiqui</v>
      </c>
      <c r="C216" t="str">
        <f t="shared" si="31"/>
        <v>Product</v>
      </c>
      <c r="D216" t="str">
        <f t="shared" si="32"/>
        <v>Trisha Malhotra</v>
      </c>
      <c r="E216" s="30" t="str">
        <f t="shared" si="33"/>
        <v>Active</v>
      </c>
      <c r="F216" s="22" t="s">
        <v>1700</v>
      </c>
      <c r="G216" s="24">
        <v>3.7</v>
      </c>
      <c r="H216" s="24">
        <v>3.8</v>
      </c>
      <c r="I216" s="24">
        <v>2.7</v>
      </c>
      <c r="J216" s="24">
        <v>3.1</v>
      </c>
      <c r="K216" s="24">
        <v>2.9</v>
      </c>
      <c r="L216" s="24">
        <v>3</v>
      </c>
      <c r="M216" s="25">
        <f t="shared" si="34"/>
        <v>3.2</v>
      </c>
      <c r="N216" s="22">
        <v>7</v>
      </c>
      <c r="O216" s="22" t="str">
        <f t="shared" si="35"/>
        <v>Passive</v>
      </c>
      <c r="P216" s="30">
        <f t="shared" si="36"/>
        <v>2</v>
      </c>
      <c r="Q216" s="35">
        <f t="shared" si="37"/>
        <v>1.1499999999999999</v>
      </c>
      <c r="R216" s="22">
        <f t="shared" si="38"/>
        <v>0</v>
      </c>
      <c r="S216" s="22" t="str">
        <f t="shared" si="39"/>
        <v>Low</v>
      </c>
    </row>
    <row r="217" spans="1:19" x14ac:dyDescent="0.3">
      <c r="A217" s="22" t="s">
        <v>841</v>
      </c>
      <c r="B217" t="str">
        <f t="shared" si="30"/>
        <v>Bhavana Siddiqui</v>
      </c>
      <c r="C217" t="str">
        <f t="shared" si="31"/>
        <v>Engineering</v>
      </c>
      <c r="D217" t="str">
        <f t="shared" si="32"/>
        <v>Madhuri Menon</v>
      </c>
      <c r="E217" s="30" t="str">
        <f t="shared" si="33"/>
        <v>Active</v>
      </c>
      <c r="F217" s="22" t="s">
        <v>1700</v>
      </c>
      <c r="G217" s="24">
        <v>3.6</v>
      </c>
      <c r="H217" s="24">
        <v>3.5</v>
      </c>
      <c r="I217" s="24">
        <v>3.2</v>
      </c>
      <c r="J217" s="24">
        <v>3.1</v>
      </c>
      <c r="K217" s="24">
        <v>3.3</v>
      </c>
      <c r="L217" s="24">
        <v>3.6</v>
      </c>
      <c r="M217" s="25">
        <f t="shared" si="34"/>
        <v>3.38</v>
      </c>
      <c r="N217" s="22">
        <v>8</v>
      </c>
      <c r="O217" s="22" t="str">
        <f t="shared" si="35"/>
        <v>Passive</v>
      </c>
      <c r="P217" s="30">
        <f t="shared" si="36"/>
        <v>3</v>
      </c>
      <c r="Q217" s="35">
        <f t="shared" si="37"/>
        <v>0.95</v>
      </c>
      <c r="R217" s="22">
        <f t="shared" si="38"/>
        <v>0</v>
      </c>
      <c r="S217" s="22" t="str">
        <f t="shared" si="39"/>
        <v>Low</v>
      </c>
    </row>
    <row r="218" spans="1:19" x14ac:dyDescent="0.3">
      <c r="A218" s="22" t="s">
        <v>844</v>
      </c>
      <c r="B218" t="str">
        <f t="shared" si="30"/>
        <v>Krishna Pillai</v>
      </c>
      <c r="C218" t="str">
        <f t="shared" si="31"/>
        <v>Sales</v>
      </c>
      <c r="D218" t="str">
        <f t="shared" si="32"/>
        <v>Kavya Krishnan</v>
      </c>
      <c r="E218" s="30" t="str">
        <f t="shared" si="33"/>
        <v>Active</v>
      </c>
      <c r="F218" s="22" t="s">
        <v>1700</v>
      </c>
      <c r="G218" s="24">
        <v>4.8</v>
      </c>
      <c r="H218" s="24">
        <v>3.6</v>
      </c>
      <c r="I218" s="24">
        <v>4.5</v>
      </c>
      <c r="J218" s="24">
        <v>4.2</v>
      </c>
      <c r="K218" s="24">
        <v>3.7</v>
      </c>
      <c r="L218" s="24">
        <v>3.8</v>
      </c>
      <c r="M218" s="25">
        <f t="shared" si="34"/>
        <v>4.0999999999999996</v>
      </c>
      <c r="N218" s="22">
        <v>9</v>
      </c>
      <c r="O218" s="22" t="str">
        <f t="shared" si="35"/>
        <v>Promoter</v>
      </c>
      <c r="P218" s="30">
        <f t="shared" si="36"/>
        <v>3</v>
      </c>
      <c r="Q218" s="35">
        <f t="shared" si="37"/>
        <v>0.91</v>
      </c>
      <c r="R218" s="22">
        <f t="shared" si="38"/>
        <v>0</v>
      </c>
      <c r="S218" s="22" t="str">
        <f t="shared" si="39"/>
        <v>Low</v>
      </c>
    </row>
    <row r="219" spans="1:19" x14ac:dyDescent="0.3">
      <c r="A219" s="22" t="s">
        <v>847</v>
      </c>
      <c r="B219" t="str">
        <f t="shared" si="30"/>
        <v>Nisha Subramanian</v>
      </c>
      <c r="C219" t="str">
        <f t="shared" si="31"/>
        <v>Customer Support</v>
      </c>
      <c r="D219" t="str">
        <f t="shared" si="32"/>
        <v>Vidya Chatterjee</v>
      </c>
      <c r="E219" s="30" t="str">
        <f t="shared" si="33"/>
        <v>Active</v>
      </c>
      <c r="F219" s="22" t="s">
        <v>1700</v>
      </c>
      <c r="G219" s="24">
        <v>2.5</v>
      </c>
      <c r="H219" s="24">
        <v>2.8</v>
      </c>
      <c r="I219" s="24">
        <v>3.2</v>
      </c>
      <c r="J219" s="24">
        <v>2.2999999999999998</v>
      </c>
      <c r="K219" s="24">
        <v>2.7</v>
      </c>
      <c r="L219" s="24">
        <v>2.2000000000000002</v>
      </c>
      <c r="M219" s="25">
        <f t="shared" si="34"/>
        <v>2.62</v>
      </c>
      <c r="N219" s="22">
        <v>5</v>
      </c>
      <c r="O219" s="22" t="str">
        <f t="shared" si="35"/>
        <v>Detractor</v>
      </c>
      <c r="P219" s="30">
        <f t="shared" si="36"/>
        <v>4</v>
      </c>
      <c r="Q219" s="35">
        <f t="shared" si="37"/>
        <v>0.72</v>
      </c>
      <c r="R219" s="22">
        <f t="shared" si="38"/>
        <v>4</v>
      </c>
      <c r="S219" s="22" t="str">
        <f t="shared" si="39"/>
        <v>High</v>
      </c>
    </row>
    <row r="220" spans="1:19" x14ac:dyDescent="0.3">
      <c r="A220" s="22" t="s">
        <v>850</v>
      </c>
      <c r="B220" t="str">
        <f t="shared" si="30"/>
        <v>Neha Patel</v>
      </c>
      <c r="C220" t="str">
        <f t="shared" si="31"/>
        <v>Customer Support</v>
      </c>
      <c r="D220" t="str">
        <f t="shared" si="32"/>
        <v>Isha Verma</v>
      </c>
      <c r="E220" s="30" t="str">
        <f t="shared" si="33"/>
        <v>Active</v>
      </c>
      <c r="F220" s="22" t="s">
        <v>1700</v>
      </c>
      <c r="G220" s="24">
        <v>3.8</v>
      </c>
      <c r="H220" s="24">
        <v>4</v>
      </c>
      <c r="I220" s="24">
        <v>3.4</v>
      </c>
      <c r="J220" s="24">
        <v>3</v>
      </c>
      <c r="K220" s="24">
        <v>3.6</v>
      </c>
      <c r="L220" s="24">
        <v>3</v>
      </c>
      <c r="M220" s="25">
        <f t="shared" si="34"/>
        <v>3.47</v>
      </c>
      <c r="N220" s="22">
        <v>9</v>
      </c>
      <c r="O220" s="22" t="str">
        <f t="shared" si="35"/>
        <v>Promoter</v>
      </c>
      <c r="P220" s="30">
        <f t="shared" si="36"/>
        <v>4</v>
      </c>
      <c r="Q220" s="35">
        <f t="shared" si="37"/>
        <v>0.91</v>
      </c>
      <c r="R220" s="22">
        <f t="shared" si="38"/>
        <v>1</v>
      </c>
      <c r="S220" s="22" t="str">
        <f t="shared" si="39"/>
        <v>Low</v>
      </c>
    </row>
    <row r="221" spans="1:19" x14ac:dyDescent="0.3">
      <c r="A221" s="22" t="s">
        <v>853</v>
      </c>
      <c r="B221" t="str">
        <f t="shared" si="30"/>
        <v>Madhuri Choudhary</v>
      </c>
      <c r="C221" t="str">
        <f t="shared" si="31"/>
        <v>Finance</v>
      </c>
      <c r="D221" t="str">
        <f t="shared" si="32"/>
        <v>Kritika Pandey</v>
      </c>
      <c r="E221" s="30" t="str">
        <f t="shared" si="33"/>
        <v>Active</v>
      </c>
      <c r="F221" s="22" t="s">
        <v>1700</v>
      </c>
      <c r="G221" s="24">
        <v>3.6</v>
      </c>
      <c r="H221" s="24">
        <v>3.6</v>
      </c>
      <c r="I221" s="24">
        <v>2.9</v>
      </c>
      <c r="J221" s="24">
        <v>3.4</v>
      </c>
      <c r="K221" s="24">
        <v>2.8</v>
      </c>
      <c r="L221" s="24">
        <v>3</v>
      </c>
      <c r="M221" s="25">
        <f t="shared" si="34"/>
        <v>3.22</v>
      </c>
      <c r="N221" s="22">
        <v>10</v>
      </c>
      <c r="O221" s="22" t="str">
        <f t="shared" si="35"/>
        <v>Promoter</v>
      </c>
      <c r="P221" s="30">
        <f t="shared" si="36"/>
        <v>4</v>
      </c>
      <c r="Q221" s="35">
        <f t="shared" si="37"/>
        <v>1.02</v>
      </c>
      <c r="R221" s="22">
        <f t="shared" si="38"/>
        <v>1</v>
      </c>
      <c r="S221" s="22" t="str">
        <f t="shared" si="39"/>
        <v>Low</v>
      </c>
    </row>
    <row r="222" spans="1:19" x14ac:dyDescent="0.3">
      <c r="A222" s="22" t="s">
        <v>856</v>
      </c>
      <c r="B222" t="str">
        <f t="shared" si="30"/>
        <v>Sai Khanna</v>
      </c>
      <c r="C222" t="str">
        <f t="shared" si="31"/>
        <v>Engineering</v>
      </c>
      <c r="D222" t="str">
        <f t="shared" si="32"/>
        <v>Vikas Singh</v>
      </c>
      <c r="E222" s="30" t="str">
        <f t="shared" si="33"/>
        <v>Active</v>
      </c>
      <c r="F222" s="22" t="s">
        <v>1700</v>
      </c>
      <c r="G222" s="24">
        <v>2.4</v>
      </c>
      <c r="H222" s="24">
        <v>4</v>
      </c>
      <c r="I222" s="24">
        <v>3.2</v>
      </c>
      <c r="J222" s="24">
        <v>3.8</v>
      </c>
      <c r="K222" s="24">
        <v>3.7</v>
      </c>
      <c r="L222" s="24">
        <v>3.5</v>
      </c>
      <c r="M222" s="25">
        <f t="shared" si="34"/>
        <v>3.43</v>
      </c>
      <c r="N222" s="22">
        <v>6</v>
      </c>
      <c r="O222" s="22" t="str">
        <f t="shared" si="35"/>
        <v>Detractor</v>
      </c>
      <c r="P222" s="30">
        <f t="shared" si="36"/>
        <v>2</v>
      </c>
      <c r="Q222" s="35">
        <f t="shared" si="37"/>
        <v>0.93</v>
      </c>
      <c r="R222" s="22">
        <f t="shared" si="38"/>
        <v>1</v>
      </c>
      <c r="S222" s="22" t="str">
        <f t="shared" si="39"/>
        <v>Low</v>
      </c>
    </row>
    <row r="223" spans="1:19" x14ac:dyDescent="0.3">
      <c r="A223" s="22" t="s">
        <v>859</v>
      </c>
      <c r="B223" t="str">
        <f t="shared" si="30"/>
        <v>Karan Varghese</v>
      </c>
      <c r="C223" t="str">
        <f t="shared" si="31"/>
        <v>Operations</v>
      </c>
      <c r="D223" t="str">
        <f t="shared" si="32"/>
        <v>Yash Shah</v>
      </c>
      <c r="E223" s="30" t="str">
        <f t="shared" si="33"/>
        <v>Active</v>
      </c>
      <c r="F223" s="22" t="s">
        <v>1700</v>
      </c>
      <c r="G223" s="24">
        <v>3.6</v>
      </c>
      <c r="H223" s="24">
        <v>3.6</v>
      </c>
      <c r="I223" s="24">
        <v>4</v>
      </c>
      <c r="J223" s="24">
        <v>3.8</v>
      </c>
      <c r="K223" s="24">
        <v>3.8</v>
      </c>
      <c r="L223" s="24">
        <v>3.6</v>
      </c>
      <c r="M223" s="25">
        <f t="shared" si="34"/>
        <v>3.73</v>
      </c>
      <c r="N223" s="22">
        <v>8</v>
      </c>
      <c r="O223" s="22" t="str">
        <f t="shared" si="35"/>
        <v>Passive</v>
      </c>
      <c r="P223" s="30">
        <f t="shared" si="36"/>
        <v>4</v>
      </c>
      <c r="Q223" s="35">
        <f t="shared" si="37"/>
        <v>0.78</v>
      </c>
      <c r="R223" s="22">
        <f t="shared" si="38"/>
        <v>2</v>
      </c>
      <c r="S223" s="22" t="str">
        <f t="shared" si="39"/>
        <v>Medium</v>
      </c>
    </row>
    <row r="224" spans="1:19" x14ac:dyDescent="0.3">
      <c r="A224" s="22" t="s">
        <v>862</v>
      </c>
      <c r="B224" t="str">
        <f t="shared" si="30"/>
        <v>Meera Kumar</v>
      </c>
      <c r="C224" t="str">
        <f t="shared" si="31"/>
        <v>Marketing</v>
      </c>
      <c r="D224" t="str">
        <f t="shared" si="32"/>
        <v>Nandini Iyer</v>
      </c>
      <c r="E224" s="30" t="str">
        <f t="shared" si="33"/>
        <v>Active</v>
      </c>
      <c r="F224" s="22" t="s">
        <v>1700</v>
      </c>
      <c r="G224" s="24">
        <v>3.3</v>
      </c>
      <c r="H224" s="24">
        <v>3.4</v>
      </c>
      <c r="I224" s="24">
        <v>3.7</v>
      </c>
      <c r="J224" s="24">
        <v>3.6</v>
      </c>
      <c r="K224" s="24">
        <v>3.6</v>
      </c>
      <c r="L224" s="24">
        <v>3.5</v>
      </c>
      <c r="M224" s="25">
        <f t="shared" si="34"/>
        <v>3.52</v>
      </c>
      <c r="N224" s="22">
        <v>9</v>
      </c>
      <c r="O224" s="22" t="str">
        <f t="shared" si="35"/>
        <v>Promoter</v>
      </c>
      <c r="P224" s="30">
        <f t="shared" si="36"/>
        <v>3</v>
      </c>
      <c r="Q224" s="35">
        <f t="shared" si="37"/>
        <v>0.95</v>
      </c>
      <c r="R224" s="22">
        <f t="shared" si="38"/>
        <v>0</v>
      </c>
      <c r="S224" s="22" t="str">
        <f t="shared" si="39"/>
        <v>Low</v>
      </c>
    </row>
    <row r="225" spans="1:19" x14ac:dyDescent="0.3">
      <c r="A225" s="22" t="s">
        <v>865</v>
      </c>
      <c r="B225" t="str">
        <f t="shared" si="30"/>
        <v>Aditya Bose</v>
      </c>
      <c r="C225" t="str">
        <f t="shared" si="31"/>
        <v>Data &amp; Analytics</v>
      </c>
      <c r="D225" t="str">
        <f t="shared" si="32"/>
        <v>Arun Mukherjee</v>
      </c>
      <c r="E225" s="30" t="str">
        <f t="shared" si="33"/>
        <v>Active</v>
      </c>
      <c r="F225" s="22" t="s">
        <v>1700</v>
      </c>
      <c r="G225" s="24">
        <v>3.3</v>
      </c>
      <c r="H225" s="24">
        <v>2.8</v>
      </c>
      <c r="I225" s="24">
        <v>3</v>
      </c>
      <c r="J225" s="24">
        <v>3.7</v>
      </c>
      <c r="K225" s="24">
        <v>3.4</v>
      </c>
      <c r="L225" s="24">
        <v>2.4</v>
      </c>
      <c r="M225" s="25">
        <f t="shared" si="34"/>
        <v>3.1</v>
      </c>
      <c r="N225" s="22">
        <v>8</v>
      </c>
      <c r="O225" s="22" t="str">
        <f t="shared" si="35"/>
        <v>Passive</v>
      </c>
      <c r="P225" s="30">
        <f t="shared" si="36"/>
        <v>3</v>
      </c>
      <c r="Q225" s="35">
        <f t="shared" si="37"/>
        <v>1</v>
      </c>
      <c r="R225" s="22">
        <f t="shared" si="38"/>
        <v>0</v>
      </c>
      <c r="S225" s="22" t="str">
        <f t="shared" si="39"/>
        <v>Low</v>
      </c>
    </row>
    <row r="226" spans="1:19" x14ac:dyDescent="0.3">
      <c r="A226" s="22" t="s">
        <v>384</v>
      </c>
      <c r="B226" t="str">
        <f t="shared" si="30"/>
        <v>Nandini Fernandes</v>
      </c>
      <c r="C226" t="str">
        <f t="shared" si="31"/>
        <v>Operations</v>
      </c>
      <c r="D226" t="str">
        <f t="shared" si="32"/>
        <v>Pallavi Shah</v>
      </c>
      <c r="E226" s="30" t="str">
        <f t="shared" si="33"/>
        <v>Active</v>
      </c>
      <c r="F226" s="22" t="s">
        <v>1700</v>
      </c>
      <c r="G226" s="24">
        <v>3.6</v>
      </c>
      <c r="H226" s="24">
        <v>3.7</v>
      </c>
      <c r="I226" s="24">
        <v>4.2</v>
      </c>
      <c r="J226" s="24">
        <v>3.7</v>
      </c>
      <c r="K226" s="24">
        <v>3.2</v>
      </c>
      <c r="L226" s="24">
        <v>2.9</v>
      </c>
      <c r="M226" s="25">
        <f t="shared" si="34"/>
        <v>3.55</v>
      </c>
      <c r="N226" s="22">
        <v>8</v>
      </c>
      <c r="O226" s="22" t="str">
        <f t="shared" si="35"/>
        <v>Passive</v>
      </c>
      <c r="P226" s="30">
        <f t="shared" si="36"/>
        <v>5</v>
      </c>
      <c r="Q226" s="35">
        <f t="shared" si="37"/>
        <v>0.76</v>
      </c>
      <c r="R226" s="22">
        <f t="shared" si="38"/>
        <v>2</v>
      </c>
      <c r="S226" s="22" t="str">
        <f t="shared" si="39"/>
        <v>Medium</v>
      </c>
    </row>
    <row r="227" spans="1:19" x14ac:dyDescent="0.3">
      <c r="A227" s="22" t="s">
        <v>869</v>
      </c>
      <c r="B227" t="str">
        <f t="shared" si="30"/>
        <v>Revathi Thomas</v>
      </c>
      <c r="C227" t="str">
        <f t="shared" si="31"/>
        <v>Operations</v>
      </c>
      <c r="D227" t="str">
        <f t="shared" si="32"/>
        <v>Ankit Khanna</v>
      </c>
      <c r="E227" s="30" t="str">
        <f t="shared" si="33"/>
        <v>Active</v>
      </c>
      <c r="F227" s="22" t="s">
        <v>1700</v>
      </c>
      <c r="G227" s="24">
        <v>3.7</v>
      </c>
      <c r="H227" s="24">
        <v>3.9</v>
      </c>
      <c r="I227" s="24">
        <v>4</v>
      </c>
      <c r="J227" s="24">
        <v>4.3</v>
      </c>
      <c r="K227" s="24">
        <v>4.2</v>
      </c>
      <c r="L227" s="24">
        <v>2.9</v>
      </c>
      <c r="M227" s="25">
        <f t="shared" si="34"/>
        <v>3.83</v>
      </c>
      <c r="N227" s="22">
        <v>9</v>
      </c>
      <c r="O227" s="22" t="str">
        <f t="shared" si="35"/>
        <v>Promoter</v>
      </c>
      <c r="P227" s="30">
        <f t="shared" si="36"/>
        <v>5</v>
      </c>
      <c r="Q227" s="35">
        <f t="shared" si="37"/>
        <v>0.66</v>
      </c>
      <c r="R227" s="22">
        <f t="shared" si="38"/>
        <v>2</v>
      </c>
      <c r="S227" s="22" t="str">
        <f t="shared" si="39"/>
        <v>Medium</v>
      </c>
    </row>
    <row r="228" spans="1:19" x14ac:dyDescent="0.3">
      <c r="A228" s="22" t="s">
        <v>872</v>
      </c>
      <c r="B228" t="str">
        <f t="shared" si="30"/>
        <v>Akash Bose</v>
      </c>
      <c r="C228" t="str">
        <f t="shared" si="31"/>
        <v>Engineering</v>
      </c>
      <c r="D228" t="str">
        <f t="shared" si="32"/>
        <v>Gaurav Fernandes</v>
      </c>
      <c r="E228" s="30" t="str">
        <f t="shared" si="33"/>
        <v>Active</v>
      </c>
      <c r="F228" s="22" t="s">
        <v>1700</v>
      </c>
      <c r="G228" s="24">
        <v>3.4</v>
      </c>
      <c r="H228" s="24">
        <v>4.2</v>
      </c>
      <c r="I228" s="24">
        <v>3.5</v>
      </c>
      <c r="J228" s="24">
        <v>4.2</v>
      </c>
      <c r="K228" s="24">
        <v>3.6</v>
      </c>
      <c r="L228" s="24">
        <v>3.5</v>
      </c>
      <c r="M228" s="25">
        <f t="shared" si="34"/>
        <v>3.73</v>
      </c>
      <c r="N228" s="22">
        <v>8</v>
      </c>
      <c r="O228" s="22" t="str">
        <f t="shared" si="35"/>
        <v>Passive</v>
      </c>
      <c r="P228" s="30">
        <f t="shared" si="36"/>
        <v>4</v>
      </c>
      <c r="Q228" s="35">
        <f t="shared" si="37"/>
        <v>1.31</v>
      </c>
      <c r="R228" s="22">
        <f t="shared" si="38"/>
        <v>1</v>
      </c>
      <c r="S228" s="22" t="str">
        <f t="shared" si="39"/>
        <v>Low</v>
      </c>
    </row>
    <row r="229" spans="1:19" x14ac:dyDescent="0.3">
      <c r="A229" s="22" t="s">
        <v>875</v>
      </c>
      <c r="B229" t="str">
        <f t="shared" si="30"/>
        <v>Venkat Menon</v>
      </c>
      <c r="C229" t="str">
        <f t="shared" si="31"/>
        <v>Operations</v>
      </c>
      <c r="D229" t="str">
        <f t="shared" si="32"/>
        <v>Nandini Fernandes</v>
      </c>
      <c r="E229" s="30" t="str">
        <f t="shared" si="33"/>
        <v>Active</v>
      </c>
      <c r="F229" s="22" t="s">
        <v>1701</v>
      </c>
      <c r="G229" s="24">
        <v>4.4000000000000004</v>
      </c>
      <c r="H229" s="24">
        <v>3.1</v>
      </c>
      <c r="I229" s="24">
        <v>3.8</v>
      </c>
      <c r="J229" s="24">
        <v>2.7</v>
      </c>
      <c r="K229" s="24">
        <v>3.8</v>
      </c>
      <c r="L229" s="24">
        <v>3.2</v>
      </c>
      <c r="M229" s="25">
        <f t="shared" si="34"/>
        <v>3.5</v>
      </c>
      <c r="N229" s="22">
        <v>9</v>
      </c>
      <c r="O229" s="22" t="str">
        <f t="shared" si="35"/>
        <v>Promoter</v>
      </c>
      <c r="P229" s="30">
        <f t="shared" si="36"/>
        <v>4</v>
      </c>
      <c r="Q229" s="35">
        <f t="shared" si="37"/>
        <v>0.81</v>
      </c>
      <c r="R229" s="22">
        <f t="shared" si="38"/>
        <v>2</v>
      </c>
      <c r="S229" s="22" t="str">
        <f t="shared" si="39"/>
        <v>Medium</v>
      </c>
    </row>
    <row r="230" spans="1:19" x14ac:dyDescent="0.3">
      <c r="A230" s="22" t="s">
        <v>878</v>
      </c>
      <c r="B230" t="str">
        <f t="shared" si="30"/>
        <v>Vikram Shah</v>
      </c>
      <c r="C230" t="str">
        <f t="shared" si="31"/>
        <v>Customer Support</v>
      </c>
      <c r="D230" t="str">
        <f t="shared" si="32"/>
        <v>Isha Verma</v>
      </c>
      <c r="E230" s="30" t="str">
        <f t="shared" si="33"/>
        <v>Active</v>
      </c>
      <c r="F230" s="22" t="s">
        <v>1700</v>
      </c>
      <c r="G230" s="24">
        <v>3.7</v>
      </c>
      <c r="H230" s="24">
        <v>3.5</v>
      </c>
      <c r="I230" s="24">
        <v>3.8</v>
      </c>
      <c r="J230" s="24">
        <v>3.5</v>
      </c>
      <c r="K230" s="24">
        <v>3.4</v>
      </c>
      <c r="L230" s="24">
        <v>3.1</v>
      </c>
      <c r="M230" s="25">
        <f t="shared" si="34"/>
        <v>3.5</v>
      </c>
      <c r="N230" s="22">
        <v>7</v>
      </c>
      <c r="O230" s="22" t="str">
        <f t="shared" si="35"/>
        <v>Passive</v>
      </c>
      <c r="P230" s="30">
        <f t="shared" si="36"/>
        <v>3</v>
      </c>
      <c r="Q230" s="35">
        <f t="shared" si="37"/>
        <v>0.69</v>
      </c>
      <c r="R230" s="22">
        <f t="shared" si="38"/>
        <v>1</v>
      </c>
      <c r="S230" s="22" t="str">
        <f t="shared" si="39"/>
        <v>Low</v>
      </c>
    </row>
    <row r="231" spans="1:19" x14ac:dyDescent="0.3">
      <c r="A231" s="22" t="s">
        <v>881</v>
      </c>
      <c r="B231" t="str">
        <f t="shared" si="30"/>
        <v>Sneha Chatterjee</v>
      </c>
      <c r="C231" t="str">
        <f t="shared" si="31"/>
        <v>Sales</v>
      </c>
      <c r="D231" t="str">
        <f t="shared" si="32"/>
        <v>Yash Raghavan</v>
      </c>
      <c r="E231" s="30" t="str">
        <f t="shared" si="33"/>
        <v>Active</v>
      </c>
      <c r="F231" s="22" t="s">
        <v>1700</v>
      </c>
      <c r="G231" s="24">
        <v>4.3</v>
      </c>
      <c r="H231" s="24">
        <v>3.8</v>
      </c>
      <c r="I231" s="24">
        <v>4.0999999999999996</v>
      </c>
      <c r="J231" s="24">
        <v>4</v>
      </c>
      <c r="K231" s="24">
        <v>3.8</v>
      </c>
      <c r="L231" s="24">
        <v>4</v>
      </c>
      <c r="M231" s="25">
        <f t="shared" si="34"/>
        <v>4</v>
      </c>
      <c r="N231" s="22">
        <v>8</v>
      </c>
      <c r="O231" s="22" t="str">
        <f t="shared" si="35"/>
        <v>Passive</v>
      </c>
      <c r="P231" s="30">
        <f t="shared" si="36"/>
        <v>4</v>
      </c>
      <c r="Q231" s="35">
        <f t="shared" si="37"/>
        <v>0.9</v>
      </c>
      <c r="R231" s="22">
        <f t="shared" si="38"/>
        <v>1</v>
      </c>
      <c r="S231" s="22" t="str">
        <f t="shared" si="39"/>
        <v>Low</v>
      </c>
    </row>
    <row r="232" spans="1:19" x14ac:dyDescent="0.3">
      <c r="A232" s="22" t="s">
        <v>884</v>
      </c>
      <c r="B232" t="str">
        <f t="shared" si="30"/>
        <v>Lakshmi Raghavan</v>
      </c>
      <c r="C232" t="str">
        <f t="shared" si="31"/>
        <v>Engineering</v>
      </c>
      <c r="D232" t="str">
        <f t="shared" si="32"/>
        <v>Gaurav Fernandes</v>
      </c>
      <c r="E232" s="30" t="str">
        <f t="shared" si="33"/>
        <v>Active</v>
      </c>
      <c r="F232" s="22" t="s">
        <v>1700</v>
      </c>
      <c r="G232" s="24">
        <v>4.0999999999999996</v>
      </c>
      <c r="H232" s="24">
        <v>4.4000000000000004</v>
      </c>
      <c r="I232" s="24">
        <v>4.0999999999999996</v>
      </c>
      <c r="J232" s="24">
        <v>3.2</v>
      </c>
      <c r="K232" s="24">
        <v>3.7</v>
      </c>
      <c r="L232" s="24">
        <v>3.9</v>
      </c>
      <c r="M232" s="25">
        <f t="shared" si="34"/>
        <v>3.9</v>
      </c>
      <c r="N232" s="22">
        <v>8</v>
      </c>
      <c r="O232" s="22" t="str">
        <f t="shared" si="35"/>
        <v>Passive</v>
      </c>
      <c r="P232" s="30">
        <f t="shared" si="36"/>
        <v>3</v>
      </c>
      <c r="Q232" s="35">
        <f t="shared" si="37"/>
        <v>1.44</v>
      </c>
      <c r="R232" s="22">
        <f t="shared" si="38"/>
        <v>0</v>
      </c>
      <c r="S232" s="22" t="str">
        <f t="shared" si="39"/>
        <v>Low</v>
      </c>
    </row>
    <row r="233" spans="1:19" x14ac:dyDescent="0.3">
      <c r="A233" s="22" t="s">
        <v>887</v>
      </c>
      <c r="B233" t="str">
        <f t="shared" si="30"/>
        <v>Nisha Reddy</v>
      </c>
      <c r="C233" t="str">
        <f t="shared" si="31"/>
        <v>Customer Support</v>
      </c>
      <c r="D233" t="str">
        <f t="shared" si="32"/>
        <v>Isha Verma</v>
      </c>
      <c r="E233" s="30" t="str">
        <f t="shared" si="33"/>
        <v>Active</v>
      </c>
      <c r="F233" s="22" t="s">
        <v>1700</v>
      </c>
      <c r="G233" s="24">
        <v>2.6</v>
      </c>
      <c r="H233" s="24">
        <v>2.6</v>
      </c>
      <c r="I233" s="24">
        <v>2.6</v>
      </c>
      <c r="J233" s="24">
        <v>2.2999999999999998</v>
      </c>
      <c r="K233" s="24">
        <v>2.7</v>
      </c>
      <c r="L233" s="24">
        <v>2.7</v>
      </c>
      <c r="M233" s="25">
        <f t="shared" si="34"/>
        <v>2.58</v>
      </c>
      <c r="N233" s="22">
        <v>7</v>
      </c>
      <c r="O233" s="22" t="str">
        <f t="shared" si="35"/>
        <v>Passive</v>
      </c>
      <c r="P233" s="30">
        <f t="shared" si="36"/>
        <v>2</v>
      </c>
      <c r="Q233" s="35">
        <f t="shared" si="37"/>
        <v>0.85</v>
      </c>
      <c r="R233" s="22">
        <f t="shared" si="38"/>
        <v>2</v>
      </c>
      <c r="S233" s="22" t="str">
        <f t="shared" si="39"/>
        <v>Medium</v>
      </c>
    </row>
    <row r="234" spans="1:19" x14ac:dyDescent="0.3">
      <c r="A234" s="22" t="s">
        <v>891</v>
      </c>
      <c r="B234" t="str">
        <f t="shared" si="30"/>
        <v>Anand Yadav</v>
      </c>
      <c r="C234" t="str">
        <f t="shared" si="31"/>
        <v>Product</v>
      </c>
      <c r="D234" t="str">
        <f t="shared" si="32"/>
        <v>Sachin Shetty</v>
      </c>
      <c r="E234" s="30" t="str">
        <f t="shared" si="33"/>
        <v>Active</v>
      </c>
      <c r="F234" s="22" t="s">
        <v>1700</v>
      </c>
      <c r="G234" s="24">
        <v>2.1</v>
      </c>
      <c r="H234" s="24">
        <v>2.2999999999999998</v>
      </c>
      <c r="I234" s="24">
        <v>2.6</v>
      </c>
      <c r="J234" s="24">
        <v>2</v>
      </c>
      <c r="K234" s="24">
        <v>2.2999999999999998</v>
      </c>
      <c r="L234" s="24">
        <v>2.5</v>
      </c>
      <c r="M234" s="25">
        <f t="shared" si="34"/>
        <v>2.2999999999999998</v>
      </c>
      <c r="N234" s="22">
        <v>7</v>
      </c>
      <c r="O234" s="22" t="str">
        <f t="shared" si="35"/>
        <v>Passive</v>
      </c>
      <c r="P234" s="30">
        <f t="shared" si="36"/>
        <v>2</v>
      </c>
      <c r="Q234" s="35">
        <f t="shared" si="37"/>
        <v>0.87</v>
      </c>
      <c r="R234" s="22">
        <f t="shared" si="38"/>
        <v>2</v>
      </c>
      <c r="S234" s="22" t="str">
        <f t="shared" si="39"/>
        <v>Medium</v>
      </c>
    </row>
    <row r="235" spans="1:19" x14ac:dyDescent="0.3">
      <c r="A235" s="22" t="s">
        <v>895</v>
      </c>
      <c r="B235" t="str">
        <f t="shared" si="30"/>
        <v>Arun Gupta</v>
      </c>
      <c r="C235" t="str">
        <f t="shared" si="31"/>
        <v>Marketing</v>
      </c>
      <c r="D235" t="str">
        <f t="shared" si="32"/>
        <v>Nandini Iyer</v>
      </c>
      <c r="E235" s="30" t="str">
        <f t="shared" si="33"/>
        <v>Exited</v>
      </c>
      <c r="F235" s="22" t="s">
        <v>1700</v>
      </c>
      <c r="G235" s="24">
        <v>2.5</v>
      </c>
      <c r="H235" s="24">
        <v>2.1</v>
      </c>
      <c r="I235" s="24">
        <v>1.4</v>
      </c>
      <c r="J235" s="24">
        <v>1.6</v>
      </c>
      <c r="K235" s="24">
        <v>1.8</v>
      </c>
      <c r="L235" s="24">
        <v>1.9</v>
      </c>
      <c r="M235" s="25">
        <f t="shared" si="34"/>
        <v>1.88</v>
      </c>
      <c r="N235" s="22">
        <v>6</v>
      </c>
      <c r="O235" s="22" t="str">
        <f t="shared" si="35"/>
        <v>Detractor</v>
      </c>
      <c r="P235" s="30">
        <f t="shared" si="36"/>
        <v>3</v>
      </c>
      <c r="Q235" s="35">
        <f t="shared" si="37"/>
        <v>0.76</v>
      </c>
      <c r="R235" s="22">
        <f t="shared" si="38"/>
        <v>3</v>
      </c>
      <c r="S235" s="22" t="str">
        <f t="shared" si="39"/>
        <v>Exited</v>
      </c>
    </row>
    <row r="236" spans="1:19" x14ac:dyDescent="0.3">
      <c r="A236" s="22" t="s">
        <v>899</v>
      </c>
      <c r="B236" t="str">
        <f t="shared" si="30"/>
        <v>Sanjay Chatterjee</v>
      </c>
      <c r="C236" t="str">
        <f t="shared" si="31"/>
        <v>Operations</v>
      </c>
      <c r="D236" t="str">
        <f t="shared" si="32"/>
        <v>Nandini Fernandes</v>
      </c>
      <c r="E236" s="30" t="str">
        <f t="shared" si="33"/>
        <v>Active</v>
      </c>
      <c r="F236" s="22" t="s">
        <v>1701</v>
      </c>
      <c r="G236" s="24">
        <v>3</v>
      </c>
      <c r="H236" s="24">
        <v>3</v>
      </c>
      <c r="I236" s="24">
        <v>2.7</v>
      </c>
      <c r="J236" s="24">
        <v>2.6</v>
      </c>
      <c r="K236" s="24">
        <v>3.1</v>
      </c>
      <c r="L236" s="24">
        <v>3</v>
      </c>
      <c r="M236" s="25">
        <f t="shared" si="34"/>
        <v>2.9</v>
      </c>
      <c r="N236" s="22">
        <v>6</v>
      </c>
      <c r="O236" s="22" t="str">
        <f t="shared" si="35"/>
        <v>Detractor</v>
      </c>
      <c r="P236" s="30">
        <f t="shared" si="36"/>
        <v>2</v>
      </c>
      <c r="Q236" s="35">
        <f t="shared" si="37"/>
        <v>0.99</v>
      </c>
      <c r="R236" s="22">
        <f t="shared" si="38"/>
        <v>2</v>
      </c>
      <c r="S236" s="22" t="str">
        <f t="shared" si="39"/>
        <v>Medium</v>
      </c>
    </row>
    <row r="237" spans="1:19" x14ac:dyDescent="0.3">
      <c r="A237" s="22" t="s">
        <v>514</v>
      </c>
      <c r="B237" t="str">
        <f t="shared" si="30"/>
        <v>Sachin Shetty</v>
      </c>
      <c r="C237" t="str">
        <f t="shared" si="31"/>
        <v>Product</v>
      </c>
      <c r="D237" t="str">
        <f t="shared" si="32"/>
        <v>Trisha Patel</v>
      </c>
      <c r="E237" s="30" t="str">
        <f t="shared" si="33"/>
        <v>Active</v>
      </c>
      <c r="F237" s="22" t="s">
        <v>1700</v>
      </c>
      <c r="G237" s="24">
        <v>2.7</v>
      </c>
      <c r="H237" s="24">
        <v>2.9</v>
      </c>
      <c r="I237" s="24">
        <v>3.3</v>
      </c>
      <c r="J237" s="24">
        <v>3.1</v>
      </c>
      <c r="K237" s="24">
        <v>3.6</v>
      </c>
      <c r="L237" s="24">
        <v>3</v>
      </c>
      <c r="M237" s="25">
        <f t="shared" si="34"/>
        <v>3.1</v>
      </c>
      <c r="N237" s="22">
        <v>7</v>
      </c>
      <c r="O237" s="22" t="str">
        <f t="shared" si="35"/>
        <v>Passive</v>
      </c>
      <c r="P237" s="30">
        <f t="shared" si="36"/>
        <v>5</v>
      </c>
      <c r="Q237" s="35">
        <f t="shared" si="37"/>
        <v>1.32</v>
      </c>
      <c r="R237" s="22">
        <f t="shared" si="38"/>
        <v>1</v>
      </c>
      <c r="S237" s="22" t="str">
        <f t="shared" si="39"/>
        <v>Low</v>
      </c>
    </row>
    <row r="238" spans="1:19" x14ac:dyDescent="0.3">
      <c r="A238" s="22" t="s">
        <v>904</v>
      </c>
      <c r="B238" t="str">
        <f t="shared" si="30"/>
        <v>Sanjana Mukherjee</v>
      </c>
      <c r="C238" t="str">
        <f t="shared" si="31"/>
        <v>Engineering</v>
      </c>
      <c r="D238" t="str">
        <f t="shared" si="32"/>
        <v>Vikas Singh</v>
      </c>
      <c r="E238" s="30" t="str">
        <f t="shared" si="33"/>
        <v>Active</v>
      </c>
      <c r="F238" s="22" t="s">
        <v>1700</v>
      </c>
      <c r="G238" s="24">
        <v>3.5</v>
      </c>
      <c r="H238" s="24">
        <v>3.9</v>
      </c>
      <c r="I238" s="24">
        <v>3</v>
      </c>
      <c r="J238" s="24">
        <v>3.9</v>
      </c>
      <c r="K238" s="24">
        <v>3</v>
      </c>
      <c r="L238" s="24">
        <v>3.9</v>
      </c>
      <c r="M238" s="25">
        <f t="shared" si="34"/>
        <v>3.53</v>
      </c>
      <c r="N238" s="22">
        <v>10</v>
      </c>
      <c r="O238" s="22" t="str">
        <f t="shared" si="35"/>
        <v>Promoter</v>
      </c>
      <c r="P238" s="30">
        <f t="shared" si="36"/>
        <v>4</v>
      </c>
      <c r="Q238" s="35">
        <f t="shared" si="37"/>
        <v>1.31</v>
      </c>
      <c r="R238" s="22">
        <f t="shared" si="38"/>
        <v>1</v>
      </c>
      <c r="S238" s="22" t="str">
        <f t="shared" si="39"/>
        <v>Low</v>
      </c>
    </row>
    <row r="239" spans="1:19" x14ac:dyDescent="0.3">
      <c r="A239" s="22" t="s">
        <v>129</v>
      </c>
      <c r="B239" t="str">
        <f t="shared" si="30"/>
        <v>Nandini Iyer</v>
      </c>
      <c r="C239" t="str">
        <f t="shared" si="31"/>
        <v>Marketing</v>
      </c>
      <c r="D239" t="str">
        <f t="shared" si="32"/>
        <v>Aishwarya Mukherjee</v>
      </c>
      <c r="E239" s="30" t="str">
        <f t="shared" si="33"/>
        <v>Active</v>
      </c>
      <c r="F239" s="22" t="s">
        <v>1700</v>
      </c>
      <c r="G239" s="24">
        <v>3.5</v>
      </c>
      <c r="H239" s="24">
        <v>3.1</v>
      </c>
      <c r="I239" s="24">
        <v>3.8</v>
      </c>
      <c r="J239" s="24">
        <v>3.4</v>
      </c>
      <c r="K239" s="24">
        <v>3.5</v>
      </c>
      <c r="L239" s="24">
        <v>3.2</v>
      </c>
      <c r="M239" s="25">
        <f t="shared" si="34"/>
        <v>3.42</v>
      </c>
      <c r="N239" s="22">
        <v>6</v>
      </c>
      <c r="O239" s="22" t="str">
        <f t="shared" si="35"/>
        <v>Detractor</v>
      </c>
      <c r="P239" s="30">
        <f t="shared" si="36"/>
        <v>2</v>
      </c>
      <c r="Q239" s="35">
        <f t="shared" si="37"/>
        <v>0.85</v>
      </c>
      <c r="R239" s="22">
        <f t="shared" si="38"/>
        <v>2</v>
      </c>
      <c r="S239" s="22" t="str">
        <f t="shared" si="39"/>
        <v>Medium</v>
      </c>
    </row>
    <row r="240" spans="1:19" x14ac:dyDescent="0.3">
      <c r="A240" s="22" t="s">
        <v>908</v>
      </c>
      <c r="B240" t="str">
        <f t="shared" si="30"/>
        <v>Sakshi Mukherjee</v>
      </c>
      <c r="C240" t="str">
        <f t="shared" si="31"/>
        <v>Engineering</v>
      </c>
      <c r="D240" t="str">
        <f t="shared" si="32"/>
        <v>Prakash Desai</v>
      </c>
      <c r="E240" s="30" t="str">
        <f t="shared" si="33"/>
        <v>Exited</v>
      </c>
      <c r="F240" s="22" t="s">
        <v>1700</v>
      </c>
      <c r="G240" s="24">
        <v>2.9</v>
      </c>
      <c r="H240" s="24">
        <v>2.5</v>
      </c>
      <c r="I240" s="24">
        <v>3.6</v>
      </c>
      <c r="J240" s="24">
        <v>2.8</v>
      </c>
      <c r="K240" s="24">
        <v>2.4</v>
      </c>
      <c r="L240" s="24">
        <v>3.1</v>
      </c>
      <c r="M240" s="25">
        <f t="shared" si="34"/>
        <v>2.88</v>
      </c>
      <c r="N240" s="22">
        <v>6</v>
      </c>
      <c r="O240" s="22" t="str">
        <f t="shared" si="35"/>
        <v>Detractor</v>
      </c>
      <c r="P240" s="30">
        <f t="shared" si="36"/>
        <v>3</v>
      </c>
      <c r="Q240" s="35">
        <f t="shared" si="37"/>
        <v>1.08</v>
      </c>
      <c r="R240" s="22">
        <f t="shared" si="38"/>
        <v>2</v>
      </c>
      <c r="S240" s="22" t="str">
        <f t="shared" si="39"/>
        <v>Exited</v>
      </c>
    </row>
    <row r="241" spans="1:19" x14ac:dyDescent="0.3">
      <c r="A241" s="22" t="s">
        <v>912</v>
      </c>
      <c r="B241" t="str">
        <f t="shared" si="30"/>
        <v>Ramya Khan</v>
      </c>
      <c r="C241" t="str">
        <f t="shared" si="31"/>
        <v>Legal &amp; Compliance</v>
      </c>
      <c r="D241" t="str">
        <f t="shared" si="32"/>
        <v>Swathi Mukherjee</v>
      </c>
      <c r="E241" s="30" t="str">
        <f t="shared" si="33"/>
        <v>Active</v>
      </c>
      <c r="F241" s="22" t="s">
        <v>1700</v>
      </c>
      <c r="G241" s="24">
        <v>3.4</v>
      </c>
      <c r="H241" s="24">
        <v>2.8</v>
      </c>
      <c r="I241" s="24">
        <v>2.9</v>
      </c>
      <c r="J241" s="24">
        <v>3.3</v>
      </c>
      <c r="K241" s="24">
        <v>3.2</v>
      </c>
      <c r="L241" s="24">
        <v>3</v>
      </c>
      <c r="M241" s="25">
        <f t="shared" si="34"/>
        <v>3.1</v>
      </c>
      <c r="N241" s="22">
        <v>7</v>
      </c>
      <c r="O241" s="22" t="str">
        <f t="shared" si="35"/>
        <v>Passive</v>
      </c>
      <c r="P241" s="30">
        <f t="shared" si="36"/>
        <v>5</v>
      </c>
      <c r="Q241" s="35">
        <f t="shared" si="37"/>
        <v>0.96</v>
      </c>
      <c r="R241" s="22">
        <f t="shared" si="38"/>
        <v>1</v>
      </c>
      <c r="S241" s="22" t="str">
        <f t="shared" si="39"/>
        <v>Low</v>
      </c>
    </row>
    <row r="242" spans="1:19" x14ac:dyDescent="0.3">
      <c r="A242" s="22" t="s">
        <v>727</v>
      </c>
      <c r="B242" t="str">
        <f t="shared" si="30"/>
        <v>Imran Joshi</v>
      </c>
      <c r="C242" t="str">
        <f t="shared" si="31"/>
        <v>Customer Support</v>
      </c>
      <c r="D242" t="str">
        <f t="shared" si="32"/>
        <v>Akash Dsouza</v>
      </c>
      <c r="E242" s="30" t="str">
        <f t="shared" si="33"/>
        <v>Active</v>
      </c>
      <c r="F242" s="22" t="s">
        <v>1701</v>
      </c>
      <c r="G242" s="24">
        <v>4.2</v>
      </c>
      <c r="H242" s="24">
        <v>4.5999999999999996</v>
      </c>
      <c r="I242" s="24">
        <v>4.0999999999999996</v>
      </c>
      <c r="J242" s="24">
        <v>3.9</v>
      </c>
      <c r="K242" s="24">
        <v>4.2</v>
      </c>
      <c r="L242" s="24">
        <v>4.8</v>
      </c>
      <c r="M242" s="25">
        <f t="shared" si="34"/>
        <v>4.3</v>
      </c>
      <c r="N242" s="22">
        <v>10</v>
      </c>
      <c r="O242" s="22" t="str">
        <f t="shared" si="35"/>
        <v>Promoter</v>
      </c>
      <c r="P242" s="30">
        <f t="shared" si="36"/>
        <v>5</v>
      </c>
      <c r="Q242" s="35">
        <f t="shared" si="37"/>
        <v>0.92</v>
      </c>
      <c r="R242" s="22">
        <f t="shared" si="38"/>
        <v>1</v>
      </c>
      <c r="S242" s="22" t="str">
        <f t="shared" si="39"/>
        <v>Low</v>
      </c>
    </row>
    <row r="243" spans="1:19" x14ac:dyDescent="0.3">
      <c r="A243" s="22" t="s">
        <v>917</v>
      </c>
      <c r="B243" t="str">
        <f t="shared" si="30"/>
        <v>Aarav Das</v>
      </c>
      <c r="C243" t="str">
        <f t="shared" si="31"/>
        <v>Engineering</v>
      </c>
      <c r="D243" t="str">
        <f t="shared" si="32"/>
        <v>Isha Jain</v>
      </c>
      <c r="E243" s="30" t="str">
        <f t="shared" si="33"/>
        <v>Active</v>
      </c>
      <c r="F243" s="22" t="s">
        <v>1700</v>
      </c>
      <c r="G243" s="24">
        <v>3.7</v>
      </c>
      <c r="H243" s="24">
        <v>3.4</v>
      </c>
      <c r="I243" s="24">
        <v>3.7</v>
      </c>
      <c r="J243" s="24">
        <v>3.4</v>
      </c>
      <c r="K243" s="24">
        <v>2.7</v>
      </c>
      <c r="L243" s="24">
        <v>4.2</v>
      </c>
      <c r="M243" s="25">
        <f t="shared" si="34"/>
        <v>3.52</v>
      </c>
      <c r="N243" s="22">
        <v>10</v>
      </c>
      <c r="O243" s="22" t="str">
        <f t="shared" si="35"/>
        <v>Promoter</v>
      </c>
      <c r="P243" s="30">
        <f t="shared" si="36"/>
        <v>3</v>
      </c>
      <c r="Q243" s="35">
        <f t="shared" si="37"/>
        <v>1.27</v>
      </c>
      <c r="R243" s="22">
        <f t="shared" si="38"/>
        <v>0</v>
      </c>
      <c r="S243" s="22" t="str">
        <f t="shared" si="39"/>
        <v>Low</v>
      </c>
    </row>
    <row r="244" spans="1:19" x14ac:dyDescent="0.3">
      <c r="A244" s="22" t="s">
        <v>920</v>
      </c>
      <c r="B244" t="str">
        <f t="shared" si="30"/>
        <v>Tanvi Yadav</v>
      </c>
      <c r="C244" t="str">
        <f t="shared" si="31"/>
        <v>Customer Support</v>
      </c>
      <c r="D244" t="str">
        <f t="shared" si="32"/>
        <v>Imran Joshi</v>
      </c>
      <c r="E244" s="30" t="str">
        <f t="shared" si="33"/>
        <v>Active</v>
      </c>
      <c r="F244" s="22" t="s">
        <v>1700</v>
      </c>
      <c r="G244" s="24">
        <v>2.2999999999999998</v>
      </c>
      <c r="H244" s="24">
        <v>2.2000000000000002</v>
      </c>
      <c r="I244" s="24">
        <v>3</v>
      </c>
      <c r="J244" s="24">
        <v>3.4</v>
      </c>
      <c r="K244" s="24">
        <v>2.9</v>
      </c>
      <c r="L244" s="24">
        <v>1.8</v>
      </c>
      <c r="M244" s="25">
        <f t="shared" si="34"/>
        <v>2.6</v>
      </c>
      <c r="N244" s="22">
        <v>9</v>
      </c>
      <c r="O244" s="22" t="str">
        <f t="shared" si="35"/>
        <v>Promoter</v>
      </c>
      <c r="P244" s="30">
        <f t="shared" si="36"/>
        <v>5</v>
      </c>
      <c r="Q244" s="35">
        <f t="shared" si="37"/>
        <v>0.83</v>
      </c>
      <c r="R244" s="22">
        <f t="shared" si="38"/>
        <v>3</v>
      </c>
      <c r="S244" s="22" t="str">
        <f t="shared" si="39"/>
        <v>High</v>
      </c>
    </row>
    <row r="245" spans="1:19" x14ac:dyDescent="0.3">
      <c r="A245" s="22" t="s">
        <v>923</v>
      </c>
      <c r="B245" t="str">
        <f t="shared" si="30"/>
        <v>Yash Joshi</v>
      </c>
      <c r="C245" t="str">
        <f t="shared" si="31"/>
        <v>Operations</v>
      </c>
      <c r="D245" t="str">
        <f t="shared" si="32"/>
        <v>Amit Kumar</v>
      </c>
      <c r="E245" s="30" t="str">
        <f t="shared" si="33"/>
        <v>Active</v>
      </c>
      <c r="F245" s="22" t="s">
        <v>1700</v>
      </c>
      <c r="G245" s="24">
        <v>3.4</v>
      </c>
      <c r="H245" s="24">
        <v>3.2</v>
      </c>
      <c r="I245" s="24">
        <v>3</v>
      </c>
      <c r="J245" s="24">
        <v>3.1</v>
      </c>
      <c r="K245" s="24">
        <v>2.4</v>
      </c>
      <c r="L245" s="24">
        <v>3.6</v>
      </c>
      <c r="M245" s="25">
        <f t="shared" si="34"/>
        <v>3.12</v>
      </c>
      <c r="N245" s="22">
        <v>8</v>
      </c>
      <c r="O245" s="22" t="str">
        <f t="shared" si="35"/>
        <v>Passive</v>
      </c>
      <c r="P245" s="30">
        <f t="shared" si="36"/>
        <v>3</v>
      </c>
      <c r="Q245" s="35">
        <f t="shared" si="37"/>
        <v>0.87</v>
      </c>
      <c r="R245" s="22">
        <f t="shared" si="38"/>
        <v>1</v>
      </c>
      <c r="S245" s="22" t="str">
        <f t="shared" si="39"/>
        <v>Low</v>
      </c>
    </row>
    <row r="246" spans="1:19" x14ac:dyDescent="0.3">
      <c r="A246" s="22" t="s">
        <v>926</v>
      </c>
      <c r="B246" t="str">
        <f t="shared" si="30"/>
        <v>Rajesh Raghavan</v>
      </c>
      <c r="C246" t="str">
        <f t="shared" si="31"/>
        <v>Legal &amp; Compliance</v>
      </c>
      <c r="D246" t="str">
        <f t="shared" si="32"/>
        <v>Ramya Khanna</v>
      </c>
      <c r="E246" s="30" t="str">
        <f t="shared" si="33"/>
        <v>Exited</v>
      </c>
      <c r="F246" s="22" t="s">
        <v>1700</v>
      </c>
      <c r="G246" s="24">
        <v>2.2000000000000002</v>
      </c>
      <c r="H246" s="24">
        <v>2.7</v>
      </c>
      <c r="I246" s="24">
        <v>3</v>
      </c>
      <c r="J246" s="24">
        <v>2.2999999999999998</v>
      </c>
      <c r="K246" s="24">
        <v>2.4</v>
      </c>
      <c r="L246" s="24">
        <v>2.6</v>
      </c>
      <c r="M246" s="25">
        <f t="shared" si="34"/>
        <v>2.5299999999999998</v>
      </c>
      <c r="N246" s="22">
        <v>6</v>
      </c>
      <c r="O246" s="22" t="str">
        <f t="shared" si="35"/>
        <v>Detractor</v>
      </c>
      <c r="P246" s="30">
        <f t="shared" si="36"/>
        <v>3</v>
      </c>
      <c r="Q246" s="35">
        <f t="shared" si="37"/>
        <v>0.83</v>
      </c>
      <c r="R246" s="22">
        <f t="shared" si="38"/>
        <v>3</v>
      </c>
      <c r="S246" s="22" t="str">
        <f t="shared" si="39"/>
        <v>Exited</v>
      </c>
    </row>
    <row r="247" spans="1:19" x14ac:dyDescent="0.3">
      <c r="A247" s="22" t="s">
        <v>929</v>
      </c>
      <c r="B247" t="str">
        <f t="shared" si="30"/>
        <v>Pranav Gupta</v>
      </c>
      <c r="C247" t="str">
        <f t="shared" si="31"/>
        <v>Marketing</v>
      </c>
      <c r="D247" t="str">
        <f t="shared" si="32"/>
        <v>Isha Chatterjee</v>
      </c>
      <c r="E247" s="30" t="str">
        <f t="shared" si="33"/>
        <v>Active</v>
      </c>
      <c r="F247" s="22" t="s">
        <v>1700</v>
      </c>
      <c r="G247" s="24">
        <v>3.7</v>
      </c>
      <c r="H247" s="24">
        <v>3.6</v>
      </c>
      <c r="I247" s="24">
        <v>4</v>
      </c>
      <c r="J247" s="24">
        <v>3.5</v>
      </c>
      <c r="K247" s="24">
        <v>3.8</v>
      </c>
      <c r="L247" s="24">
        <v>4.0999999999999996</v>
      </c>
      <c r="M247" s="25">
        <f t="shared" si="34"/>
        <v>3.78</v>
      </c>
      <c r="N247" s="22">
        <v>10</v>
      </c>
      <c r="O247" s="22" t="str">
        <f t="shared" si="35"/>
        <v>Promoter</v>
      </c>
      <c r="P247" s="30">
        <f t="shared" si="36"/>
        <v>3</v>
      </c>
      <c r="Q247" s="35">
        <f t="shared" si="37"/>
        <v>0.96</v>
      </c>
      <c r="R247" s="22">
        <f t="shared" si="38"/>
        <v>0</v>
      </c>
      <c r="S247" s="22" t="str">
        <f t="shared" si="39"/>
        <v>Low</v>
      </c>
    </row>
    <row r="248" spans="1:19" x14ac:dyDescent="0.3">
      <c r="A248" s="22" t="s">
        <v>104</v>
      </c>
      <c r="B248" t="str">
        <f t="shared" si="30"/>
        <v>Yamini Nair</v>
      </c>
      <c r="C248" t="str">
        <f t="shared" si="31"/>
        <v>Engineering</v>
      </c>
      <c r="D248" t="str">
        <f t="shared" si="32"/>
        <v>Aishwarya Khan</v>
      </c>
      <c r="E248" s="30" t="str">
        <f t="shared" si="33"/>
        <v>Active</v>
      </c>
      <c r="F248" s="22" t="s">
        <v>1700</v>
      </c>
      <c r="G248" s="24">
        <v>2.2999999999999998</v>
      </c>
      <c r="H248" s="24">
        <v>1.9</v>
      </c>
      <c r="I248" s="24">
        <v>2.7</v>
      </c>
      <c r="J248" s="24">
        <v>2.4</v>
      </c>
      <c r="K248" s="24">
        <v>2.2000000000000002</v>
      </c>
      <c r="L248" s="24">
        <v>2.1</v>
      </c>
      <c r="M248" s="25">
        <f t="shared" si="34"/>
        <v>2.27</v>
      </c>
      <c r="N248" s="22">
        <v>5</v>
      </c>
      <c r="O248" s="22" t="str">
        <f t="shared" si="35"/>
        <v>Detractor</v>
      </c>
      <c r="P248" s="30">
        <f t="shared" si="36"/>
        <v>3</v>
      </c>
      <c r="Q248" s="35">
        <f t="shared" si="37"/>
        <v>1.02</v>
      </c>
      <c r="R248" s="22">
        <f t="shared" si="38"/>
        <v>2</v>
      </c>
      <c r="S248" s="22" t="str">
        <f t="shared" si="39"/>
        <v>Medium</v>
      </c>
    </row>
    <row r="249" spans="1:19" x14ac:dyDescent="0.3">
      <c r="A249" s="22" t="s">
        <v>933</v>
      </c>
      <c r="B249" t="str">
        <f t="shared" si="30"/>
        <v>Ravi Khanna</v>
      </c>
      <c r="C249" t="str">
        <f t="shared" si="31"/>
        <v>Human Resources</v>
      </c>
      <c r="D249" t="str">
        <f t="shared" si="32"/>
        <v>Akash Das</v>
      </c>
      <c r="E249" s="30" t="str">
        <f t="shared" si="33"/>
        <v>Active</v>
      </c>
      <c r="F249" s="22" t="s">
        <v>1700</v>
      </c>
      <c r="G249" s="24">
        <v>3.1</v>
      </c>
      <c r="H249" s="24">
        <v>2.7</v>
      </c>
      <c r="I249" s="24">
        <v>2.9</v>
      </c>
      <c r="J249" s="24">
        <v>3</v>
      </c>
      <c r="K249" s="24">
        <v>3.4</v>
      </c>
      <c r="L249" s="24">
        <v>3.4</v>
      </c>
      <c r="M249" s="25">
        <f t="shared" si="34"/>
        <v>3.08</v>
      </c>
      <c r="N249" s="22">
        <v>9</v>
      </c>
      <c r="O249" s="22" t="str">
        <f t="shared" si="35"/>
        <v>Promoter</v>
      </c>
      <c r="P249" s="30">
        <f t="shared" si="36"/>
        <v>3</v>
      </c>
      <c r="Q249" s="35">
        <f t="shared" si="37"/>
        <v>0.73</v>
      </c>
      <c r="R249" s="22">
        <f t="shared" si="38"/>
        <v>1</v>
      </c>
      <c r="S249" s="22" t="str">
        <f t="shared" si="39"/>
        <v>Low</v>
      </c>
    </row>
    <row r="250" spans="1:19" x14ac:dyDescent="0.3">
      <c r="A250" s="22" t="s">
        <v>937</v>
      </c>
      <c r="B250" t="str">
        <f t="shared" si="30"/>
        <v>Vishal Kamath</v>
      </c>
      <c r="C250" t="str">
        <f t="shared" si="31"/>
        <v>Operations</v>
      </c>
      <c r="D250" t="str">
        <f t="shared" si="32"/>
        <v>Yash Shah</v>
      </c>
      <c r="E250" s="30" t="str">
        <f t="shared" si="33"/>
        <v>Active</v>
      </c>
      <c r="F250" s="22" t="s">
        <v>1700</v>
      </c>
      <c r="G250" s="24">
        <v>2.7</v>
      </c>
      <c r="H250" s="24">
        <v>3.1</v>
      </c>
      <c r="I250" s="24">
        <v>2.6</v>
      </c>
      <c r="J250" s="24">
        <v>3</v>
      </c>
      <c r="K250" s="24">
        <v>2.1</v>
      </c>
      <c r="L250" s="24">
        <v>2.9</v>
      </c>
      <c r="M250" s="25">
        <f t="shared" si="34"/>
        <v>2.73</v>
      </c>
      <c r="N250" s="22">
        <v>6</v>
      </c>
      <c r="O250" s="22" t="str">
        <f t="shared" si="35"/>
        <v>Detractor</v>
      </c>
      <c r="P250" s="30">
        <f t="shared" si="36"/>
        <v>3</v>
      </c>
      <c r="Q250" s="35">
        <f t="shared" si="37"/>
        <v>0.78</v>
      </c>
      <c r="R250" s="22">
        <f t="shared" si="38"/>
        <v>3</v>
      </c>
      <c r="S250" s="22" t="str">
        <f t="shared" si="39"/>
        <v>High</v>
      </c>
    </row>
    <row r="251" spans="1:19" x14ac:dyDescent="0.3">
      <c r="A251" s="22" t="s">
        <v>940</v>
      </c>
      <c r="B251" t="str">
        <f t="shared" si="30"/>
        <v>Arjun Mishra</v>
      </c>
      <c r="C251" t="str">
        <f t="shared" si="31"/>
        <v>Finance</v>
      </c>
      <c r="D251" t="str">
        <f t="shared" si="32"/>
        <v>Kritika Pandey</v>
      </c>
      <c r="E251" s="30" t="str">
        <f t="shared" si="33"/>
        <v>Active</v>
      </c>
      <c r="F251" s="22" t="s">
        <v>1700</v>
      </c>
      <c r="G251" s="24">
        <v>3.8</v>
      </c>
      <c r="H251" s="24">
        <v>3.7</v>
      </c>
      <c r="I251" s="24">
        <v>3</v>
      </c>
      <c r="J251" s="24">
        <v>3.6</v>
      </c>
      <c r="K251" s="24">
        <v>3.9</v>
      </c>
      <c r="L251" s="24">
        <v>3.3</v>
      </c>
      <c r="M251" s="25">
        <f t="shared" si="34"/>
        <v>3.55</v>
      </c>
      <c r="N251" s="22">
        <v>7</v>
      </c>
      <c r="O251" s="22" t="str">
        <f t="shared" si="35"/>
        <v>Passive</v>
      </c>
      <c r="P251" s="30">
        <f t="shared" si="36"/>
        <v>3</v>
      </c>
      <c r="Q251" s="35">
        <f t="shared" si="37"/>
        <v>1.21</v>
      </c>
      <c r="R251" s="22">
        <f t="shared" si="38"/>
        <v>0</v>
      </c>
      <c r="S251" s="22" t="str">
        <f t="shared" si="39"/>
        <v>Low</v>
      </c>
    </row>
    <row r="252" spans="1:19" x14ac:dyDescent="0.3">
      <c r="A252" s="22" t="s">
        <v>944</v>
      </c>
      <c r="B252" t="str">
        <f t="shared" si="30"/>
        <v>Manish Shetty</v>
      </c>
      <c r="C252" t="str">
        <f t="shared" si="31"/>
        <v>Data &amp; Analytics</v>
      </c>
      <c r="D252" t="str">
        <f t="shared" si="32"/>
        <v>Arun Mukherjee</v>
      </c>
      <c r="E252" s="30" t="str">
        <f t="shared" si="33"/>
        <v>Active</v>
      </c>
      <c r="F252" s="22" t="s">
        <v>1700</v>
      </c>
      <c r="G252" s="24">
        <v>4.2</v>
      </c>
      <c r="H252" s="24">
        <v>3.8</v>
      </c>
      <c r="I252" s="24">
        <v>4</v>
      </c>
      <c r="J252" s="24">
        <v>4.2</v>
      </c>
      <c r="K252" s="24">
        <v>4.2</v>
      </c>
      <c r="L252" s="24">
        <v>3.5</v>
      </c>
      <c r="M252" s="25">
        <f t="shared" si="34"/>
        <v>3.98</v>
      </c>
      <c r="N252" s="22">
        <v>10</v>
      </c>
      <c r="O252" s="22" t="str">
        <f t="shared" si="35"/>
        <v>Promoter</v>
      </c>
      <c r="P252" s="30">
        <f t="shared" si="36"/>
        <v>3</v>
      </c>
      <c r="Q252" s="35">
        <f t="shared" si="37"/>
        <v>1.32</v>
      </c>
      <c r="R252" s="22">
        <f t="shared" si="38"/>
        <v>0</v>
      </c>
      <c r="S252" s="22" t="str">
        <f t="shared" si="39"/>
        <v>Low</v>
      </c>
    </row>
    <row r="253" spans="1:19" x14ac:dyDescent="0.3">
      <c r="A253" s="22" t="s">
        <v>948</v>
      </c>
      <c r="B253" t="str">
        <f t="shared" si="30"/>
        <v>Anusha Verma</v>
      </c>
      <c r="C253" t="str">
        <f t="shared" si="31"/>
        <v>Marketing</v>
      </c>
      <c r="D253" t="str">
        <f t="shared" si="32"/>
        <v>Nandini Iyer</v>
      </c>
      <c r="E253" s="30" t="str">
        <f t="shared" si="33"/>
        <v>Active</v>
      </c>
      <c r="F253" s="22" t="s">
        <v>1700</v>
      </c>
      <c r="G253" s="24">
        <v>4.3</v>
      </c>
      <c r="H253" s="24">
        <v>3.7</v>
      </c>
      <c r="I253" s="24">
        <v>3.8</v>
      </c>
      <c r="J253" s="24">
        <v>4</v>
      </c>
      <c r="K253" s="24">
        <v>4.0999999999999996</v>
      </c>
      <c r="L253" s="24">
        <v>3.8</v>
      </c>
      <c r="M253" s="25">
        <f t="shared" si="34"/>
        <v>3.95</v>
      </c>
      <c r="N253" s="22">
        <v>10</v>
      </c>
      <c r="O253" s="22" t="str">
        <f t="shared" si="35"/>
        <v>Promoter</v>
      </c>
      <c r="P253" s="30">
        <f t="shared" si="36"/>
        <v>3</v>
      </c>
      <c r="Q253" s="35">
        <f t="shared" si="37"/>
        <v>0.76</v>
      </c>
      <c r="R253" s="22">
        <f t="shared" si="38"/>
        <v>1</v>
      </c>
      <c r="S253" s="22" t="str">
        <f t="shared" si="39"/>
        <v>Low</v>
      </c>
    </row>
    <row r="254" spans="1:19" x14ac:dyDescent="0.3">
      <c r="A254" s="22" t="s">
        <v>951</v>
      </c>
      <c r="B254" t="str">
        <f t="shared" si="30"/>
        <v>Swathi Banerjee</v>
      </c>
      <c r="C254" t="str">
        <f t="shared" si="31"/>
        <v>Engineering</v>
      </c>
      <c r="D254" t="str">
        <f t="shared" si="32"/>
        <v>Madhuri Menon</v>
      </c>
      <c r="E254" s="30" t="str">
        <f t="shared" si="33"/>
        <v>Exited</v>
      </c>
      <c r="F254" s="22" t="s">
        <v>1700</v>
      </c>
      <c r="G254" s="24">
        <v>1.9</v>
      </c>
      <c r="H254" s="24">
        <v>2.4</v>
      </c>
      <c r="I254" s="24">
        <v>2.9</v>
      </c>
      <c r="J254" s="24">
        <v>2.1</v>
      </c>
      <c r="K254" s="24">
        <v>2.2999999999999998</v>
      </c>
      <c r="L254" s="24">
        <v>2.2000000000000002</v>
      </c>
      <c r="M254" s="25">
        <f t="shared" si="34"/>
        <v>2.2999999999999998</v>
      </c>
      <c r="N254" s="22">
        <v>6</v>
      </c>
      <c r="O254" s="22" t="str">
        <f t="shared" si="35"/>
        <v>Detractor</v>
      </c>
      <c r="P254" s="30">
        <f t="shared" si="36"/>
        <v>2</v>
      </c>
      <c r="Q254" s="35">
        <f t="shared" si="37"/>
        <v>1.22</v>
      </c>
      <c r="R254" s="22">
        <f t="shared" si="38"/>
        <v>2</v>
      </c>
      <c r="S254" s="22" t="str">
        <f t="shared" si="39"/>
        <v>Exited</v>
      </c>
    </row>
    <row r="255" spans="1:19" x14ac:dyDescent="0.3">
      <c r="A255" s="22" t="s">
        <v>954</v>
      </c>
      <c r="B255" t="str">
        <f t="shared" si="30"/>
        <v>Aniket Bansal</v>
      </c>
      <c r="C255" t="str">
        <f t="shared" si="31"/>
        <v>Operations</v>
      </c>
      <c r="D255" t="str">
        <f t="shared" si="32"/>
        <v>Ajay Kumar</v>
      </c>
      <c r="E255" s="30" t="str">
        <f t="shared" si="33"/>
        <v>Active</v>
      </c>
      <c r="F255" s="22" t="s">
        <v>1700</v>
      </c>
      <c r="G255" s="24">
        <v>3</v>
      </c>
      <c r="H255" s="24">
        <v>3.4</v>
      </c>
      <c r="I255" s="24">
        <v>2.5</v>
      </c>
      <c r="J255" s="24">
        <v>3.1</v>
      </c>
      <c r="K255" s="24">
        <v>2.4</v>
      </c>
      <c r="L255" s="24">
        <v>2.4</v>
      </c>
      <c r="M255" s="25">
        <f t="shared" si="34"/>
        <v>2.8</v>
      </c>
      <c r="N255" s="22">
        <v>7</v>
      </c>
      <c r="O255" s="22" t="str">
        <f t="shared" si="35"/>
        <v>Passive</v>
      </c>
      <c r="P255" s="30">
        <f t="shared" si="36"/>
        <v>2</v>
      </c>
      <c r="Q255" s="35">
        <f t="shared" si="37"/>
        <v>0.82</v>
      </c>
      <c r="R255" s="22">
        <f t="shared" si="38"/>
        <v>2</v>
      </c>
      <c r="S255" s="22" t="str">
        <f t="shared" si="39"/>
        <v>Medium</v>
      </c>
    </row>
    <row r="256" spans="1:19" x14ac:dyDescent="0.3">
      <c r="A256" s="22" t="s">
        <v>957</v>
      </c>
      <c r="B256" t="str">
        <f t="shared" si="30"/>
        <v>Sneha Desai</v>
      </c>
      <c r="C256" t="str">
        <f t="shared" si="31"/>
        <v>Product</v>
      </c>
      <c r="D256" t="str">
        <f t="shared" si="32"/>
        <v>Sachin Shetty</v>
      </c>
      <c r="E256" s="30" t="str">
        <f t="shared" si="33"/>
        <v>Active</v>
      </c>
      <c r="F256" s="22" t="s">
        <v>1701</v>
      </c>
      <c r="G256" s="24">
        <v>3.1</v>
      </c>
      <c r="H256" s="24">
        <v>3.6</v>
      </c>
      <c r="I256" s="24">
        <v>2.7</v>
      </c>
      <c r="J256" s="24">
        <v>3</v>
      </c>
      <c r="K256" s="24">
        <v>3.3</v>
      </c>
      <c r="L256" s="24">
        <v>3.1</v>
      </c>
      <c r="M256" s="25">
        <f t="shared" si="34"/>
        <v>3.13</v>
      </c>
      <c r="N256" s="22">
        <v>10</v>
      </c>
      <c r="O256" s="22" t="str">
        <f t="shared" si="35"/>
        <v>Promoter</v>
      </c>
      <c r="P256" s="30">
        <f t="shared" si="36"/>
        <v>4</v>
      </c>
      <c r="Q256" s="35">
        <f t="shared" si="37"/>
        <v>1.2</v>
      </c>
      <c r="R256" s="22">
        <f t="shared" si="38"/>
        <v>1</v>
      </c>
      <c r="S256" s="22" t="str">
        <f t="shared" si="39"/>
        <v>Low</v>
      </c>
    </row>
    <row r="257" spans="1:19" x14ac:dyDescent="0.3">
      <c r="A257" s="22" t="s">
        <v>960</v>
      </c>
      <c r="B257" t="str">
        <f t="shared" si="30"/>
        <v>Deepak Chatterjee</v>
      </c>
      <c r="C257" t="str">
        <f t="shared" si="31"/>
        <v>Operations</v>
      </c>
      <c r="D257" t="str">
        <f t="shared" si="32"/>
        <v>Amit Kumar</v>
      </c>
      <c r="E257" s="30" t="str">
        <f t="shared" si="33"/>
        <v>Active</v>
      </c>
      <c r="F257" s="22" t="s">
        <v>1700</v>
      </c>
      <c r="G257" s="24">
        <v>3.8</v>
      </c>
      <c r="H257" s="24">
        <v>3.5</v>
      </c>
      <c r="I257" s="24">
        <v>3.2</v>
      </c>
      <c r="J257" s="24">
        <v>3.1</v>
      </c>
      <c r="K257" s="24">
        <v>3.3</v>
      </c>
      <c r="L257" s="24">
        <v>3.9</v>
      </c>
      <c r="M257" s="25">
        <f t="shared" si="34"/>
        <v>3.47</v>
      </c>
      <c r="N257" s="22">
        <v>9</v>
      </c>
      <c r="O257" s="22" t="str">
        <f t="shared" si="35"/>
        <v>Promoter</v>
      </c>
      <c r="P257" s="30">
        <f t="shared" si="36"/>
        <v>4</v>
      </c>
      <c r="Q257" s="35">
        <f t="shared" si="37"/>
        <v>0.96</v>
      </c>
      <c r="R257" s="22">
        <f t="shared" si="38"/>
        <v>1</v>
      </c>
      <c r="S257" s="22" t="str">
        <f t="shared" si="39"/>
        <v>Low</v>
      </c>
    </row>
    <row r="258" spans="1:19" x14ac:dyDescent="0.3">
      <c r="A258" s="22" t="s">
        <v>963</v>
      </c>
      <c r="B258" t="str">
        <f t="shared" ref="B258:B321" si="40">INDEX(M_Name,MATCH($A258,M_ID,0))</f>
        <v>Ankit Menon</v>
      </c>
      <c r="C258" t="str">
        <f t="shared" ref="C258:C321" si="41">INDEX(M_Dept,MATCH($A258,M_ID,0))</f>
        <v>Product</v>
      </c>
      <c r="D258" t="str">
        <f t="shared" ref="D258:D321" si="42">INDEX(M_Mgr,MATCH($A258,M_ID,0))</f>
        <v>Trisha Malhotra</v>
      </c>
      <c r="E258" s="30" t="str">
        <f t="shared" ref="E258:E321" si="43">INDEX(M_Status,MATCH($A258,M_ID,0))</f>
        <v>Active</v>
      </c>
      <c r="F258" s="22" t="s">
        <v>1700</v>
      </c>
      <c r="G258" s="24">
        <v>2.9</v>
      </c>
      <c r="H258" s="24">
        <v>3.8</v>
      </c>
      <c r="I258" s="24">
        <v>3.3</v>
      </c>
      <c r="J258" s="24">
        <v>3.3</v>
      </c>
      <c r="K258" s="24">
        <v>2.7</v>
      </c>
      <c r="L258" s="24">
        <v>3.2</v>
      </c>
      <c r="M258" s="25">
        <f t="shared" ref="M258:M321" si="44">ROUND(AVERAGE(G258:L258),2)</f>
        <v>3.2</v>
      </c>
      <c r="N258" s="22">
        <v>7</v>
      </c>
      <c r="O258" s="22" t="str">
        <f t="shared" ref="O258:O321" si="45">IF(N258&gt;=9,"Promoter",IF(N258&gt;=7,"Passive","Detractor"))</f>
        <v>Passive</v>
      </c>
      <c r="P258" s="30">
        <f t="shared" ref="P258:P321" si="46">INDEX(P_Rating,MATCH($A258,M_ID,0))</f>
        <v>4</v>
      </c>
      <c r="Q258" s="35">
        <f t="shared" ref="Q258:Q321" si="47">INDEX(C_Compa,MATCH($A258,M_ID,0))</f>
        <v>1.36</v>
      </c>
      <c r="R258" s="22">
        <f t="shared" ref="R258:R321" si="48">(M258&lt;EngThreshold)+(N258&lt;=6)+(Q258&lt;CompaThreshold)+(P258&gt;=4)</f>
        <v>1</v>
      </c>
      <c r="S258" s="22" t="str">
        <f t="shared" ref="S258:S321" si="49">IF(E258="Exited","Exited",IF(R258&gt;=3,"High",IF(R258=2,"Medium","Low")))</f>
        <v>Low</v>
      </c>
    </row>
    <row r="259" spans="1:19" x14ac:dyDescent="0.3">
      <c r="A259" s="22" t="s">
        <v>966</v>
      </c>
      <c r="B259" t="str">
        <f t="shared" si="40"/>
        <v>Abhishek Choudhary</v>
      </c>
      <c r="C259" t="str">
        <f t="shared" si="41"/>
        <v>Data &amp; Analytics</v>
      </c>
      <c r="D259" t="str">
        <f t="shared" si="42"/>
        <v>Arun Mukherjee</v>
      </c>
      <c r="E259" s="30" t="str">
        <f t="shared" si="43"/>
        <v>Active</v>
      </c>
      <c r="F259" s="22" t="s">
        <v>1700</v>
      </c>
      <c r="G259" s="24">
        <v>4.0999999999999996</v>
      </c>
      <c r="H259" s="24">
        <v>3.2</v>
      </c>
      <c r="I259" s="24">
        <v>3.7</v>
      </c>
      <c r="J259" s="24">
        <v>4.2</v>
      </c>
      <c r="K259" s="24">
        <v>3.3</v>
      </c>
      <c r="L259" s="24">
        <v>3.9</v>
      </c>
      <c r="M259" s="25">
        <f t="shared" si="44"/>
        <v>3.73</v>
      </c>
      <c r="N259" s="22">
        <v>7</v>
      </c>
      <c r="O259" s="22" t="str">
        <f t="shared" si="45"/>
        <v>Passive</v>
      </c>
      <c r="P259" s="30">
        <f t="shared" si="46"/>
        <v>4</v>
      </c>
      <c r="Q259" s="35">
        <f t="shared" si="47"/>
        <v>1.1599999999999999</v>
      </c>
      <c r="R259" s="22">
        <f t="shared" si="48"/>
        <v>1</v>
      </c>
      <c r="S259" s="22" t="str">
        <f t="shared" si="49"/>
        <v>Low</v>
      </c>
    </row>
    <row r="260" spans="1:19" x14ac:dyDescent="0.3">
      <c r="A260" s="22" t="s">
        <v>969</v>
      </c>
      <c r="B260" t="str">
        <f t="shared" si="40"/>
        <v>Priyanka Gowda</v>
      </c>
      <c r="C260" t="str">
        <f t="shared" si="41"/>
        <v>Engineering</v>
      </c>
      <c r="D260" t="str">
        <f t="shared" si="42"/>
        <v>Fatima Choudhary</v>
      </c>
      <c r="E260" s="30" t="str">
        <f t="shared" si="43"/>
        <v>Active</v>
      </c>
      <c r="F260" s="22" t="s">
        <v>1700</v>
      </c>
      <c r="G260" s="24">
        <v>2.5</v>
      </c>
      <c r="H260" s="24">
        <v>3.1</v>
      </c>
      <c r="I260" s="24">
        <v>3.3</v>
      </c>
      <c r="J260" s="24">
        <v>2.7</v>
      </c>
      <c r="K260" s="24">
        <v>2.6</v>
      </c>
      <c r="L260" s="24">
        <v>3</v>
      </c>
      <c r="M260" s="25">
        <f t="shared" si="44"/>
        <v>2.87</v>
      </c>
      <c r="N260" s="22">
        <v>7</v>
      </c>
      <c r="O260" s="22" t="str">
        <f t="shared" si="45"/>
        <v>Passive</v>
      </c>
      <c r="P260" s="30">
        <f t="shared" si="46"/>
        <v>3</v>
      </c>
      <c r="Q260" s="35">
        <f t="shared" si="47"/>
        <v>1.33</v>
      </c>
      <c r="R260" s="22">
        <f t="shared" si="48"/>
        <v>1</v>
      </c>
      <c r="S260" s="22" t="str">
        <f t="shared" si="49"/>
        <v>Low</v>
      </c>
    </row>
    <row r="261" spans="1:19" x14ac:dyDescent="0.3">
      <c r="A261" s="22" t="s">
        <v>643</v>
      </c>
      <c r="B261" t="str">
        <f t="shared" si="40"/>
        <v>Pooja Khanna</v>
      </c>
      <c r="C261" t="str">
        <f t="shared" si="41"/>
        <v>Customer Support</v>
      </c>
      <c r="D261" t="str">
        <f t="shared" si="42"/>
        <v>Vikram Joshi</v>
      </c>
      <c r="E261" s="30" t="str">
        <f t="shared" si="43"/>
        <v>Active</v>
      </c>
      <c r="F261" s="22" t="s">
        <v>1700</v>
      </c>
      <c r="G261" s="24">
        <v>3.8</v>
      </c>
      <c r="H261" s="24">
        <v>3.5</v>
      </c>
      <c r="I261" s="24">
        <v>3.9</v>
      </c>
      <c r="J261" s="24">
        <v>3.8</v>
      </c>
      <c r="K261" s="24">
        <v>3.8</v>
      </c>
      <c r="L261" s="24">
        <v>3.7</v>
      </c>
      <c r="M261" s="25">
        <f t="shared" si="44"/>
        <v>3.75</v>
      </c>
      <c r="N261" s="22">
        <v>9</v>
      </c>
      <c r="O261" s="22" t="str">
        <f t="shared" si="45"/>
        <v>Promoter</v>
      </c>
      <c r="P261" s="30">
        <f t="shared" si="46"/>
        <v>3</v>
      </c>
      <c r="Q261" s="35">
        <f t="shared" si="47"/>
        <v>0.66</v>
      </c>
      <c r="R261" s="22">
        <f t="shared" si="48"/>
        <v>1</v>
      </c>
      <c r="S261" s="22" t="str">
        <f t="shared" si="49"/>
        <v>Low</v>
      </c>
    </row>
    <row r="262" spans="1:19" x14ac:dyDescent="0.3">
      <c r="A262" s="22" t="s">
        <v>973</v>
      </c>
      <c r="B262" t="str">
        <f t="shared" si="40"/>
        <v>Priya Krishnan</v>
      </c>
      <c r="C262" t="str">
        <f t="shared" si="41"/>
        <v>Operations</v>
      </c>
      <c r="D262" t="str">
        <f t="shared" si="42"/>
        <v>Ankit Khanna</v>
      </c>
      <c r="E262" s="30" t="str">
        <f t="shared" si="43"/>
        <v>Active</v>
      </c>
      <c r="F262" s="22" t="s">
        <v>1700</v>
      </c>
      <c r="G262" s="24">
        <v>2.8</v>
      </c>
      <c r="H262" s="24">
        <v>2.9</v>
      </c>
      <c r="I262" s="24">
        <v>3.3</v>
      </c>
      <c r="J262" s="24">
        <v>3</v>
      </c>
      <c r="K262" s="24">
        <v>3.8</v>
      </c>
      <c r="L262" s="24">
        <v>3.3</v>
      </c>
      <c r="M262" s="25">
        <f t="shared" si="44"/>
        <v>3.18</v>
      </c>
      <c r="N262" s="22">
        <v>6</v>
      </c>
      <c r="O262" s="22" t="str">
        <f t="shared" si="45"/>
        <v>Detractor</v>
      </c>
      <c r="P262" s="30">
        <f t="shared" si="46"/>
        <v>5</v>
      </c>
      <c r="Q262" s="35">
        <f t="shared" si="47"/>
        <v>0.96</v>
      </c>
      <c r="R262" s="22">
        <f t="shared" si="48"/>
        <v>2</v>
      </c>
      <c r="S262" s="22" t="str">
        <f t="shared" si="49"/>
        <v>Medium</v>
      </c>
    </row>
    <row r="263" spans="1:19" x14ac:dyDescent="0.3">
      <c r="A263" s="22" t="s">
        <v>976</v>
      </c>
      <c r="B263" t="str">
        <f t="shared" si="40"/>
        <v>Kritika Bose</v>
      </c>
      <c r="C263" t="str">
        <f t="shared" si="41"/>
        <v>Marketing</v>
      </c>
      <c r="D263" t="str">
        <f t="shared" si="42"/>
        <v>Nandini Iyer</v>
      </c>
      <c r="E263" s="30" t="str">
        <f t="shared" si="43"/>
        <v>Active</v>
      </c>
      <c r="F263" s="22" t="s">
        <v>1700</v>
      </c>
      <c r="G263" s="24">
        <v>3.3</v>
      </c>
      <c r="H263" s="24">
        <v>3</v>
      </c>
      <c r="I263" s="24">
        <v>3.1</v>
      </c>
      <c r="J263" s="24">
        <v>4.0999999999999996</v>
      </c>
      <c r="K263" s="24">
        <v>3</v>
      </c>
      <c r="L263" s="24">
        <v>2.9</v>
      </c>
      <c r="M263" s="25">
        <f t="shared" si="44"/>
        <v>3.23</v>
      </c>
      <c r="N263" s="22">
        <v>6</v>
      </c>
      <c r="O263" s="22" t="str">
        <f t="shared" si="45"/>
        <v>Detractor</v>
      </c>
      <c r="P263" s="30">
        <f t="shared" si="46"/>
        <v>2</v>
      </c>
      <c r="Q263" s="35">
        <f t="shared" si="47"/>
        <v>0.75</v>
      </c>
      <c r="R263" s="22">
        <f t="shared" si="48"/>
        <v>2</v>
      </c>
      <c r="S263" s="22" t="str">
        <f t="shared" si="49"/>
        <v>Medium</v>
      </c>
    </row>
    <row r="264" spans="1:19" x14ac:dyDescent="0.3">
      <c r="A264" s="22" t="s">
        <v>979</v>
      </c>
      <c r="B264" t="str">
        <f t="shared" si="40"/>
        <v>Trisha Hegde</v>
      </c>
      <c r="C264" t="str">
        <f t="shared" si="41"/>
        <v>Sales</v>
      </c>
      <c r="D264" t="str">
        <f t="shared" si="42"/>
        <v>Kavya Krishnan</v>
      </c>
      <c r="E264" s="30" t="str">
        <f t="shared" si="43"/>
        <v>Active</v>
      </c>
      <c r="F264" s="22" t="s">
        <v>1701</v>
      </c>
      <c r="G264" s="24">
        <v>2.9</v>
      </c>
      <c r="H264" s="24">
        <v>2.7</v>
      </c>
      <c r="I264" s="24">
        <v>3.2</v>
      </c>
      <c r="J264" s="24">
        <v>3.2</v>
      </c>
      <c r="K264" s="24">
        <v>3.6</v>
      </c>
      <c r="L264" s="24">
        <v>4.0999999999999996</v>
      </c>
      <c r="M264" s="25">
        <f t="shared" si="44"/>
        <v>3.28</v>
      </c>
      <c r="N264" s="22">
        <v>9</v>
      </c>
      <c r="O264" s="22" t="str">
        <f t="shared" si="45"/>
        <v>Promoter</v>
      </c>
      <c r="P264" s="30">
        <f t="shared" si="46"/>
        <v>3</v>
      </c>
      <c r="Q264" s="35">
        <f t="shared" si="47"/>
        <v>0.73</v>
      </c>
      <c r="R264" s="22">
        <f t="shared" si="48"/>
        <v>1</v>
      </c>
      <c r="S264" s="22" t="str">
        <f t="shared" si="49"/>
        <v>Low</v>
      </c>
    </row>
    <row r="265" spans="1:19" x14ac:dyDescent="0.3">
      <c r="A265" s="22" t="s">
        <v>982</v>
      </c>
      <c r="B265" t="str">
        <f t="shared" si="40"/>
        <v>Manish Mukherjee</v>
      </c>
      <c r="C265" t="str">
        <f t="shared" si="41"/>
        <v>Engineering</v>
      </c>
      <c r="D265" t="str">
        <f t="shared" si="42"/>
        <v>Vikas Singh</v>
      </c>
      <c r="E265" s="30" t="str">
        <f t="shared" si="43"/>
        <v>Active</v>
      </c>
      <c r="F265" s="22" t="s">
        <v>1700</v>
      </c>
      <c r="G265" s="24">
        <v>3.5</v>
      </c>
      <c r="H265" s="24">
        <v>3.3</v>
      </c>
      <c r="I265" s="24">
        <v>3.3</v>
      </c>
      <c r="J265" s="24">
        <v>3.4</v>
      </c>
      <c r="K265" s="24">
        <v>4</v>
      </c>
      <c r="L265" s="24">
        <v>3.8</v>
      </c>
      <c r="M265" s="25">
        <f t="shared" si="44"/>
        <v>3.55</v>
      </c>
      <c r="N265" s="22">
        <v>8</v>
      </c>
      <c r="O265" s="22" t="str">
        <f t="shared" si="45"/>
        <v>Passive</v>
      </c>
      <c r="P265" s="30">
        <f t="shared" si="46"/>
        <v>3</v>
      </c>
      <c r="Q265" s="35">
        <f t="shared" si="47"/>
        <v>1.1000000000000001</v>
      </c>
      <c r="R265" s="22">
        <f t="shared" si="48"/>
        <v>0</v>
      </c>
      <c r="S265" s="22" t="str">
        <f t="shared" si="49"/>
        <v>Low</v>
      </c>
    </row>
    <row r="266" spans="1:19" x14ac:dyDescent="0.3">
      <c r="A266" s="22" t="s">
        <v>502</v>
      </c>
      <c r="B266" t="str">
        <f t="shared" si="40"/>
        <v>Kritika Pandey</v>
      </c>
      <c r="C266" t="str">
        <f t="shared" si="41"/>
        <v>Finance</v>
      </c>
      <c r="D266" t="str">
        <f t="shared" si="42"/>
        <v>Karan Patel</v>
      </c>
      <c r="E266" s="30" t="str">
        <f t="shared" si="43"/>
        <v>Active</v>
      </c>
      <c r="F266" s="22" t="s">
        <v>1700</v>
      </c>
      <c r="G266" s="24">
        <v>3.3</v>
      </c>
      <c r="H266" s="24">
        <v>3.6</v>
      </c>
      <c r="I266" s="24">
        <v>3</v>
      </c>
      <c r="J266" s="24">
        <v>2.9</v>
      </c>
      <c r="K266" s="24">
        <v>2.9</v>
      </c>
      <c r="L266" s="24">
        <v>2.7</v>
      </c>
      <c r="M266" s="25">
        <f t="shared" si="44"/>
        <v>3.07</v>
      </c>
      <c r="N266" s="22">
        <v>7</v>
      </c>
      <c r="O266" s="22" t="str">
        <f t="shared" si="45"/>
        <v>Passive</v>
      </c>
      <c r="P266" s="30">
        <f t="shared" si="46"/>
        <v>4</v>
      </c>
      <c r="Q266" s="35">
        <f t="shared" si="47"/>
        <v>0.91</v>
      </c>
      <c r="R266" s="22">
        <f t="shared" si="48"/>
        <v>1</v>
      </c>
      <c r="S266" s="22" t="str">
        <f t="shared" si="49"/>
        <v>Low</v>
      </c>
    </row>
    <row r="267" spans="1:19" x14ac:dyDescent="0.3">
      <c r="A267" s="22" t="s">
        <v>987</v>
      </c>
      <c r="B267" t="str">
        <f t="shared" si="40"/>
        <v>Manish Krishnan</v>
      </c>
      <c r="C267" t="str">
        <f t="shared" si="41"/>
        <v>Finance</v>
      </c>
      <c r="D267" t="str">
        <f t="shared" si="42"/>
        <v>Ravi Prabhu</v>
      </c>
      <c r="E267" s="30" t="str">
        <f t="shared" si="43"/>
        <v>Active</v>
      </c>
      <c r="F267" s="22" t="s">
        <v>1700</v>
      </c>
      <c r="G267" s="24">
        <v>3.2</v>
      </c>
      <c r="H267" s="24">
        <v>3.4</v>
      </c>
      <c r="I267" s="24">
        <v>3.3</v>
      </c>
      <c r="J267" s="24">
        <v>2.7</v>
      </c>
      <c r="K267" s="24">
        <v>3.6</v>
      </c>
      <c r="L267" s="24">
        <v>3</v>
      </c>
      <c r="M267" s="25">
        <f t="shared" si="44"/>
        <v>3.2</v>
      </c>
      <c r="N267" s="22">
        <v>10</v>
      </c>
      <c r="O267" s="22" t="str">
        <f t="shared" si="45"/>
        <v>Promoter</v>
      </c>
      <c r="P267" s="30">
        <f t="shared" si="46"/>
        <v>3</v>
      </c>
      <c r="Q267" s="35">
        <f t="shared" si="47"/>
        <v>0.82</v>
      </c>
      <c r="R267" s="22">
        <f t="shared" si="48"/>
        <v>1</v>
      </c>
      <c r="S267" s="22" t="str">
        <f t="shared" si="49"/>
        <v>Low</v>
      </c>
    </row>
    <row r="268" spans="1:19" x14ac:dyDescent="0.3">
      <c r="A268" s="22" t="s">
        <v>990</v>
      </c>
      <c r="B268" t="str">
        <f t="shared" si="40"/>
        <v>Abhishek Malhotra</v>
      </c>
      <c r="C268" t="str">
        <f t="shared" si="41"/>
        <v>Engineering</v>
      </c>
      <c r="D268" t="str">
        <f t="shared" si="42"/>
        <v>Prakash Desai</v>
      </c>
      <c r="E268" s="30" t="str">
        <f t="shared" si="43"/>
        <v>Active</v>
      </c>
      <c r="F268" s="22" t="s">
        <v>1700</v>
      </c>
      <c r="G268" s="24">
        <v>2.2000000000000002</v>
      </c>
      <c r="H268" s="24">
        <v>2.2000000000000002</v>
      </c>
      <c r="I268" s="24">
        <v>2.1</v>
      </c>
      <c r="J268" s="24">
        <v>2.8</v>
      </c>
      <c r="K268" s="24">
        <v>2.7</v>
      </c>
      <c r="L268" s="24">
        <v>2.9</v>
      </c>
      <c r="M268" s="25">
        <f t="shared" si="44"/>
        <v>2.48</v>
      </c>
      <c r="N268" s="22">
        <v>7</v>
      </c>
      <c r="O268" s="22" t="str">
        <f t="shared" si="45"/>
        <v>Passive</v>
      </c>
      <c r="P268" s="30">
        <f t="shared" si="46"/>
        <v>4</v>
      </c>
      <c r="Q268" s="35">
        <f t="shared" si="47"/>
        <v>0.96</v>
      </c>
      <c r="R268" s="22">
        <f t="shared" si="48"/>
        <v>2</v>
      </c>
      <c r="S268" s="22" t="str">
        <f t="shared" si="49"/>
        <v>Medium</v>
      </c>
    </row>
    <row r="269" spans="1:19" x14ac:dyDescent="0.3">
      <c r="A269" s="22" t="s">
        <v>993</v>
      </c>
      <c r="B269" t="str">
        <f t="shared" si="40"/>
        <v>Kunal Agarwal</v>
      </c>
      <c r="C269" t="str">
        <f t="shared" si="41"/>
        <v>Engineering</v>
      </c>
      <c r="D269" t="str">
        <f t="shared" si="42"/>
        <v>Gaurav Fernandes</v>
      </c>
      <c r="E269" s="30" t="str">
        <f t="shared" si="43"/>
        <v>Exited</v>
      </c>
      <c r="F269" s="22" t="s">
        <v>1700</v>
      </c>
      <c r="G269" s="24">
        <v>1.9</v>
      </c>
      <c r="H269" s="24">
        <v>2.5</v>
      </c>
      <c r="I269" s="24">
        <v>2.4</v>
      </c>
      <c r="J269" s="24">
        <v>2.4</v>
      </c>
      <c r="K269" s="24">
        <v>3.3</v>
      </c>
      <c r="L269" s="24">
        <v>2</v>
      </c>
      <c r="M269" s="25">
        <f t="shared" si="44"/>
        <v>2.42</v>
      </c>
      <c r="N269" s="22">
        <v>5</v>
      </c>
      <c r="O269" s="22" t="str">
        <f t="shared" si="45"/>
        <v>Detractor</v>
      </c>
      <c r="P269" s="30">
        <f t="shared" si="46"/>
        <v>3</v>
      </c>
      <c r="Q269" s="35">
        <f t="shared" si="47"/>
        <v>1.1499999999999999</v>
      </c>
      <c r="R269" s="22">
        <f t="shared" si="48"/>
        <v>2</v>
      </c>
      <c r="S269" s="22" t="str">
        <f t="shared" si="49"/>
        <v>Exited</v>
      </c>
    </row>
    <row r="270" spans="1:19" x14ac:dyDescent="0.3">
      <c r="A270" s="22" t="s">
        <v>996</v>
      </c>
      <c r="B270" t="str">
        <f t="shared" si="40"/>
        <v>Kunal Pillai</v>
      </c>
      <c r="C270" t="str">
        <f t="shared" si="41"/>
        <v>Engineering</v>
      </c>
      <c r="D270" t="str">
        <f t="shared" si="42"/>
        <v>Madhuri Menon</v>
      </c>
      <c r="E270" s="30" t="str">
        <f t="shared" si="43"/>
        <v>Active</v>
      </c>
      <c r="F270" s="22" t="s">
        <v>1700</v>
      </c>
      <c r="G270" s="24">
        <v>3.5</v>
      </c>
      <c r="H270" s="24">
        <v>3.5</v>
      </c>
      <c r="I270" s="24">
        <v>3.4</v>
      </c>
      <c r="J270" s="24">
        <v>3.7</v>
      </c>
      <c r="K270" s="24">
        <v>3.2</v>
      </c>
      <c r="L270" s="24">
        <v>3.6</v>
      </c>
      <c r="M270" s="25">
        <f t="shared" si="44"/>
        <v>3.48</v>
      </c>
      <c r="N270" s="22">
        <v>10</v>
      </c>
      <c r="O270" s="22" t="str">
        <f t="shared" si="45"/>
        <v>Promoter</v>
      </c>
      <c r="P270" s="30">
        <f t="shared" si="46"/>
        <v>3</v>
      </c>
      <c r="Q270" s="35">
        <f t="shared" si="47"/>
        <v>1.19</v>
      </c>
      <c r="R270" s="22">
        <f t="shared" si="48"/>
        <v>0</v>
      </c>
      <c r="S270" s="22" t="str">
        <f t="shared" si="49"/>
        <v>Low</v>
      </c>
    </row>
    <row r="271" spans="1:19" x14ac:dyDescent="0.3">
      <c r="A271" s="22" t="s">
        <v>999</v>
      </c>
      <c r="B271" t="str">
        <f t="shared" si="40"/>
        <v>Varsha Patel</v>
      </c>
      <c r="C271" t="str">
        <f t="shared" si="41"/>
        <v>Customer Support</v>
      </c>
      <c r="D271" t="str">
        <f t="shared" si="42"/>
        <v>Ashish Varghese</v>
      </c>
      <c r="E271" s="30" t="str">
        <f t="shared" si="43"/>
        <v>Active</v>
      </c>
      <c r="F271" s="22" t="s">
        <v>1701</v>
      </c>
      <c r="G271" s="24">
        <v>3.9</v>
      </c>
      <c r="H271" s="24">
        <v>3.9</v>
      </c>
      <c r="I271" s="24">
        <v>4</v>
      </c>
      <c r="J271" s="24">
        <v>4.3</v>
      </c>
      <c r="K271" s="24">
        <v>4.3</v>
      </c>
      <c r="L271" s="24">
        <v>4.0999999999999996</v>
      </c>
      <c r="M271" s="25">
        <f t="shared" si="44"/>
        <v>4.08</v>
      </c>
      <c r="N271" s="22">
        <v>9</v>
      </c>
      <c r="O271" s="22" t="str">
        <f t="shared" si="45"/>
        <v>Promoter</v>
      </c>
      <c r="P271" s="30">
        <f t="shared" si="46"/>
        <v>3</v>
      </c>
      <c r="Q271" s="35">
        <f t="shared" si="47"/>
        <v>0.62</v>
      </c>
      <c r="R271" s="22">
        <f t="shared" si="48"/>
        <v>1</v>
      </c>
      <c r="S271" s="22" t="str">
        <f t="shared" si="49"/>
        <v>Low</v>
      </c>
    </row>
    <row r="272" spans="1:19" x14ac:dyDescent="0.3">
      <c r="A272" s="22" t="s">
        <v>1002</v>
      </c>
      <c r="B272" t="str">
        <f t="shared" si="40"/>
        <v>Ananya Desai</v>
      </c>
      <c r="C272" t="str">
        <f t="shared" si="41"/>
        <v>Marketing</v>
      </c>
      <c r="D272" t="str">
        <f t="shared" si="42"/>
        <v>Nandini Iyer</v>
      </c>
      <c r="E272" s="30" t="str">
        <f t="shared" si="43"/>
        <v>Active</v>
      </c>
      <c r="F272" s="22" t="s">
        <v>1700</v>
      </c>
      <c r="G272" s="24">
        <v>2.4</v>
      </c>
      <c r="H272" s="24">
        <v>2.8</v>
      </c>
      <c r="I272" s="24">
        <v>2.7</v>
      </c>
      <c r="J272" s="24">
        <v>2.2999999999999998</v>
      </c>
      <c r="K272" s="24">
        <v>2.1</v>
      </c>
      <c r="L272" s="24">
        <v>2.7</v>
      </c>
      <c r="M272" s="25">
        <f t="shared" si="44"/>
        <v>2.5</v>
      </c>
      <c r="N272" s="22">
        <v>7</v>
      </c>
      <c r="O272" s="22" t="str">
        <f t="shared" si="45"/>
        <v>Passive</v>
      </c>
      <c r="P272" s="30">
        <f t="shared" si="46"/>
        <v>2</v>
      </c>
      <c r="Q272" s="35">
        <f t="shared" si="47"/>
        <v>1.04</v>
      </c>
      <c r="R272" s="22">
        <f t="shared" si="48"/>
        <v>1</v>
      </c>
      <c r="S272" s="22" t="str">
        <f t="shared" si="49"/>
        <v>Low</v>
      </c>
    </row>
    <row r="273" spans="1:19" x14ac:dyDescent="0.3">
      <c r="A273" s="22" t="s">
        <v>1005</v>
      </c>
      <c r="B273" t="str">
        <f t="shared" si="40"/>
        <v>Vinay Agarwal</v>
      </c>
      <c r="C273" t="str">
        <f t="shared" si="41"/>
        <v>Sales</v>
      </c>
      <c r="D273" t="str">
        <f t="shared" si="42"/>
        <v>Yash Raghavan</v>
      </c>
      <c r="E273" s="30" t="str">
        <f t="shared" si="43"/>
        <v>Active</v>
      </c>
      <c r="F273" s="22" t="s">
        <v>1701</v>
      </c>
      <c r="G273" s="24">
        <v>3</v>
      </c>
      <c r="H273" s="24">
        <v>4</v>
      </c>
      <c r="I273" s="24">
        <v>4.2</v>
      </c>
      <c r="J273" s="24">
        <v>4.0999999999999996</v>
      </c>
      <c r="K273" s="24">
        <v>3.6</v>
      </c>
      <c r="L273" s="24">
        <v>4.4000000000000004</v>
      </c>
      <c r="M273" s="25">
        <f t="shared" si="44"/>
        <v>3.88</v>
      </c>
      <c r="N273" s="22">
        <v>10</v>
      </c>
      <c r="O273" s="22" t="str">
        <f t="shared" si="45"/>
        <v>Promoter</v>
      </c>
      <c r="P273" s="30">
        <f t="shared" si="46"/>
        <v>3</v>
      </c>
      <c r="Q273" s="35">
        <f t="shared" si="47"/>
        <v>1.1499999999999999</v>
      </c>
      <c r="R273" s="22">
        <f t="shared" si="48"/>
        <v>0</v>
      </c>
      <c r="S273" s="22" t="str">
        <f t="shared" si="49"/>
        <v>Low</v>
      </c>
    </row>
    <row r="274" spans="1:19" x14ac:dyDescent="0.3">
      <c r="A274" s="22" t="s">
        <v>308</v>
      </c>
      <c r="B274" t="str">
        <f t="shared" si="40"/>
        <v>Aishwarya Fernandes</v>
      </c>
      <c r="C274" t="str">
        <f t="shared" si="41"/>
        <v>Data &amp; Analytics</v>
      </c>
      <c r="D274" t="str">
        <f t="shared" si="42"/>
        <v>Arvind Rao (CEO)</v>
      </c>
      <c r="E274" s="30" t="str">
        <f t="shared" si="43"/>
        <v>Active</v>
      </c>
      <c r="F274" s="22" t="s">
        <v>1700</v>
      </c>
      <c r="G274" s="24">
        <v>2.5</v>
      </c>
      <c r="H274" s="24">
        <v>2.4</v>
      </c>
      <c r="I274" s="24">
        <v>2.9</v>
      </c>
      <c r="J274" s="24">
        <v>3.4</v>
      </c>
      <c r="K274" s="24">
        <v>2.9</v>
      </c>
      <c r="L274" s="24">
        <v>2.8</v>
      </c>
      <c r="M274" s="25">
        <f t="shared" si="44"/>
        <v>2.82</v>
      </c>
      <c r="N274" s="22">
        <v>6</v>
      </c>
      <c r="O274" s="22" t="str">
        <f t="shared" si="45"/>
        <v>Detractor</v>
      </c>
      <c r="P274" s="30">
        <f t="shared" si="46"/>
        <v>4</v>
      </c>
      <c r="Q274" s="35">
        <f t="shared" si="47"/>
        <v>1.1000000000000001</v>
      </c>
      <c r="R274" s="22">
        <f t="shared" si="48"/>
        <v>3</v>
      </c>
      <c r="S274" s="22" t="str">
        <f t="shared" si="49"/>
        <v>High</v>
      </c>
    </row>
    <row r="275" spans="1:19" x14ac:dyDescent="0.3">
      <c r="A275" s="22" t="s">
        <v>1010</v>
      </c>
      <c r="B275" t="str">
        <f t="shared" si="40"/>
        <v>Joseph Gowda</v>
      </c>
      <c r="C275" t="str">
        <f t="shared" si="41"/>
        <v>Operations</v>
      </c>
      <c r="D275" t="str">
        <f t="shared" si="42"/>
        <v>Nandini Fernandes</v>
      </c>
      <c r="E275" s="30" t="str">
        <f t="shared" si="43"/>
        <v>Active</v>
      </c>
      <c r="F275" s="22" t="s">
        <v>1700</v>
      </c>
      <c r="G275" s="24">
        <v>3.6</v>
      </c>
      <c r="H275" s="24">
        <v>2.9</v>
      </c>
      <c r="I275" s="24">
        <v>3.3</v>
      </c>
      <c r="J275" s="24">
        <v>3.2</v>
      </c>
      <c r="K275" s="24">
        <v>3.2</v>
      </c>
      <c r="L275" s="24">
        <v>2.9</v>
      </c>
      <c r="M275" s="25">
        <f t="shared" si="44"/>
        <v>3.18</v>
      </c>
      <c r="N275" s="22">
        <v>7</v>
      </c>
      <c r="O275" s="22" t="str">
        <f t="shared" si="45"/>
        <v>Passive</v>
      </c>
      <c r="P275" s="30">
        <f t="shared" si="46"/>
        <v>4</v>
      </c>
      <c r="Q275" s="35">
        <f t="shared" si="47"/>
        <v>0.67</v>
      </c>
      <c r="R275" s="22">
        <f t="shared" si="48"/>
        <v>2</v>
      </c>
      <c r="S275" s="22" t="str">
        <f t="shared" si="49"/>
        <v>Medium</v>
      </c>
    </row>
    <row r="276" spans="1:19" x14ac:dyDescent="0.3">
      <c r="A276" s="22" t="s">
        <v>1013</v>
      </c>
      <c r="B276" t="str">
        <f t="shared" si="40"/>
        <v>Akash Patel</v>
      </c>
      <c r="C276" t="str">
        <f t="shared" si="41"/>
        <v>Customer Support</v>
      </c>
      <c r="D276" t="str">
        <f t="shared" si="42"/>
        <v>Vidya Chatterjee</v>
      </c>
      <c r="E276" s="30" t="str">
        <f t="shared" si="43"/>
        <v>Active</v>
      </c>
      <c r="F276" s="22" t="s">
        <v>1700</v>
      </c>
      <c r="G276" s="24">
        <v>2.5</v>
      </c>
      <c r="H276" s="24">
        <v>2.1</v>
      </c>
      <c r="I276" s="24">
        <v>2.6</v>
      </c>
      <c r="J276" s="24">
        <v>3</v>
      </c>
      <c r="K276" s="24">
        <v>2.9</v>
      </c>
      <c r="L276" s="24">
        <v>2.4</v>
      </c>
      <c r="M276" s="25">
        <f t="shared" si="44"/>
        <v>2.58</v>
      </c>
      <c r="N276" s="22">
        <v>5</v>
      </c>
      <c r="O276" s="22" t="str">
        <f t="shared" si="45"/>
        <v>Detractor</v>
      </c>
      <c r="P276" s="30">
        <f t="shared" si="46"/>
        <v>3</v>
      </c>
      <c r="Q276" s="35">
        <f t="shared" si="47"/>
        <v>0.57999999999999996</v>
      </c>
      <c r="R276" s="22">
        <f t="shared" si="48"/>
        <v>3</v>
      </c>
      <c r="S276" s="22" t="str">
        <f t="shared" si="49"/>
        <v>High</v>
      </c>
    </row>
    <row r="277" spans="1:19" x14ac:dyDescent="0.3">
      <c r="A277" s="22" t="s">
        <v>1016</v>
      </c>
      <c r="B277" t="str">
        <f t="shared" si="40"/>
        <v>Pooja Kamath</v>
      </c>
      <c r="C277" t="str">
        <f t="shared" si="41"/>
        <v>Customer Support</v>
      </c>
      <c r="D277" t="str">
        <f t="shared" si="42"/>
        <v>Anjali Iyer</v>
      </c>
      <c r="E277" s="30" t="str">
        <f t="shared" si="43"/>
        <v>Active</v>
      </c>
      <c r="F277" s="22" t="s">
        <v>1700</v>
      </c>
      <c r="G277" s="24">
        <v>3.3</v>
      </c>
      <c r="H277" s="24">
        <v>3.4</v>
      </c>
      <c r="I277" s="24">
        <v>3</v>
      </c>
      <c r="J277" s="24">
        <v>2.9</v>
      </c>
      <c r="K277" s="24">
        <v>3.8</v>
      </c>
      <c r="L277" s="24">
        <v>2.6</v>
      </c>
      <c r="M277" s="25">
        <f t="shared" si="44"/>
        <v>3.17</v>
      </c>
      <c r="N277" s="22">
        <v>7</v>
      </c>
      <c r="O277" s="22" t="str">
        <f t="shared" si="45"/>
        <v>Passive</v>
      </c>
      <c r="P277" s="30">
        <f t="shared" si="46"/>
        <v>3</v>
      </c>
      <c r="Q277" s="35">
        <f t="shared" si="47"/>
        <v>0.59</v>
      </c>
      <c r="R277" s="22">
        <f t="shared" si="48"/>
        <v>1</v>
      </c>
      <c r="S277" s="22" t="str">
        <f t="shared" si="49"/>
        <v>Low</v>
      </c>
    </row>
    <row r="278" spans="1:19" x14ac:dyDescent="0.3">
      <c r="A278" s="22" t="s">
        <v>1019</v>
      </c>
      <c r="B278" t="str">
        <f t="shared" si="40"/>
        <v>Ankit Joshi</v>
      </c>
      <c r="C278" t="str">
        <f t="shared" si="41"/>
        <v>Customer Support</v>
      </c>
      <c r="D278" t="str">
        <f t="shared" si="42"/>
        <v>Anjali Iyer</v>
      </c>
      <c r="E278" s="30" t="str">
        <f t="shared" si="43"/>
        <v>Active</v>
      </c>
      <c r="F278" s="22" t="s">
        <v>1700</v>
      </c>
      <c r="G278" s="24">
        <v>3.2</v>
      </c>
      <c r="H278" s="24">
        <v>3.4</v>
      </c>
      <c r="I278" s="24">
        <v>3.2</v>
      </c>
      <c r="J278" s="24">
        <v>3.7</v>
      </c>
      <c r="K278" s="24">
        <v>2.9</v>
      </c>
      <c r="L278" s="24">
        <v>2.8</v>
      </c>
      <c r="M278" s="25">
        <f t="shared" si="44"/>
        <v>3.2</v>
      </c>
      <c r="N278" s="22">
        <v>10</v>
      </c>
      <c r="O278" s="22" t="str">
        <f t="shared" si="45"/>
        <v>Promoter</v>
      </c>
      <c r="P278" s="30">
        <f t="shared" si="46"/>
        <v>4</v>
      </c>
      <c r="Q278" s="35">
        <f t="shared" si="47"/>
        <v>0.56000000000000005</v>
      </c>
      <c r="R278" s="22">
        <f t="shared" si="48"/>
        <v>2</v>
      </c>
      <c r="S278" s="22" t="str">
        <f t="shared" si="49"/>
        <v>Medium</v>
      </c>
    </row>
    <row r="279" spans="1:19" x14ac:dyDescent="0.3">
      <c r="A279" s="22" t="s">
        <v>1022</v>
      </c>
      <c r="B279" t="str">
        <f t="shared" si="40"/>
        <v>Vikas Raghavan</v>
      </c>
      <c r="C279" t="str">
        <f t="shared" si="41"/>
        <v>Operations</v>
      </c>
      <c r="D279" t="str">
        <f t="shared" si="42"/>
        <v>Ankit Khanna</v>
      </c>
      <c r="E279" s="30" t="str">
        <f t="shared" si="43"/>
        <v>Active</v>
      </c>
      <c r="F279" s="22" t="s">
        <v>1701</v>
      </c>
      <c r="G279" s="24">
        <v>2.4</v>
      </c>
      <c r="H279" s="24">
        <v>2.7</v>
      </c>
      <c r="I279" s="24">
        <v>2.8</v>
      </c>
      <c r="J279" s="24">
        <v>3.1</v>
      </c>
      <c r="K279" s="24">
        <v>2.6</v>
      </c>
      <c r="L279" s="24">
        <v>3.5</v>
      </c>
      <c r="M279" s="25">
        <f t="shared" si="44"/>
        <v>2.85</v>
      </c>
      <c r="N279" s="22">
        <v>7</v>
      </c>
      <c r="O279" s="22" t="str">
        <f t="shared" si="45"/>
        <v>Passive</v>
      </c>
      <c r="P279" s="30">
        <f t="shared" si="46"/>
        <v>4</v>
      </c>
      <c r="Q279" s="35">
        <f t="shared" si="47"/>
        <v>0.84</v>
      </c>
      <c r="R279" s="22">
        <f t="shared" si="48"/>
        <v>3</v>
      </c>
      <c r="S279" s="22" t="str">
        <f t="shared" si="49"/>
        <v>High</v>
      </c>
    </row>
    <row r="280" spans="1:19" x14ac:dyDescent="0.3">
      <c r="A280" s="22" t="s">
        <v>434</v>
      </c>
      <c r="B280" t="str">
        <f t="shared" si="40"/>
        <v>Karan Verma</v>
      </c>
      <c r="C280" t="str">
        <f t="shared" si="41"/>
        <v>Data &amp; Analytics</v>
      </c>
      <c r="D280" t="str">
        <f t="shared" si="42"/>
        <v>Trisha Jain</v>
      </c>
      <c r="E280" s="30" t="str">
        <f t="shared" si="43"/>
        <v>Active</v>
      </c>
      <c r="F280" s="22" t="s">
        <v>1700</v>
      </c>
      <c r="G280" s="24">
        <v>3.2</v>
      </c>
      <c r="H280" s="24">
        <v>3.4</v>
      </c>
      <c r="I280" s="24">
        <v>3.2</v>
      </c>
      <c r="J280" s="24">
        <v>2.9</v>
      </c>
      <c r="K280" s="24">
        <v>3.3</v>
      </c>
      <c r="L280" s="24">
        <v>3.4</v>
      </c>
      <c r="M280" s="25">
        <f t="shared" si="44"/>
        <v>3.23</v>
      </c>
      <c r="N280" s="22">
        <v>7</v>
      </c>
      <c r="O280" s="22" t="str">
        <f t="shared" si="45"/>
        <v>Passive</v>
      </c>
      <c r="P280" s="30">
        <f t="shared" si="46"/>
        <v>3</v>
      </c>
      <c r="Q280" s="35">
        <f t="shared" si="47"/>
        <v>0.86</v>
      </c>
      <c r="R280" s="22">
        <f t="shared" si="48"/>
        <v>1</v>
      </c>
      <c r="S280" s="22" t="str">
        <f t="shared" si="49"/>
        <v>Low</v>
      </c>
    </row>
    <row r="281" spans="1:19" x14ac:dyDescent="0.3">
      <c r="A281" s="22" t="s">
        <v>1026</v>
      </c>
      <c r="B281" t="str">
        <f t="shared" si="40"/>
        <v>Tanvi Kamath</v>
      </c>
      <c r="C281" t="str">
        <f t="shared" si="41"/>
        <v>Finance</v>
      </c>
      <c r="D281" t="str">
        <f t="shared" si="42"/>
        <v>Ravi Prabhu</v>
      </c>
      <c r="E281" s="30" t="str">
        <f t="shared" si="43"/>
        <v>Exited</v>
      </c>
      <c r="F281" s="22" t="s">
        <v>1700</v>
      </c>
      <c r="G281" s="24">
        <v>2.2000000000000002</v>
      </c>
      <c r="H281" s="24">
        <v>2.9</v>
      </c>
      <c r="I281" s="24">
        <v>2.9</v>
      </c>
      <c r="J281" s="24">
        <v>2.2000000000000002</v>
      </c>
      <c r="K281" s="24">
        <v>2.2999999999999998</v>
      </c>
      <c r="L281" s="24">
        <v>3.1</v>
      </c>
      <c r="M281" s="25">
        <f t="shared" si="44"/>
        <v>2.6</v>
      </c>
      <c r="N281" s="22">
        <v>8</v>
      </c>
      <c r="O281" s="22" t="str">
        <f t="shared" si="45"/>
        <v>Passive</v>
      </c>
      <c r="P281" s="30">
        <f t="shared" si="46"/>
        <v>4</v>
      </c>
      <c r="Q281" s="35">
        <f t="shared" si="47"/>
        <v>1.24</v>
      </c>
      <c r="R281" s="22">
        <f t="shared" si="48"/>
        <v>2</v>
      </c>
      <c r="S281" s="22" t="str">
        <f t="shared" si="49"/>
        <v>Exited</v>
      </c>
    </row>
    <row r="282" spans="1:19" x14ac:dyDescent="0.3">
      <c r="A282" s="22" t="s">
        <v>1029</v>
      </c>
      <c r="B282" t="str">
        <f t="shared" si="40"/>
        <v>Srinivas Nair</v>
      </c>
      <c r="C282" t="str">
        <f t="shared" si="41"/>
        <v>Customer Support</v>
      </c>
      <c r="D282" t="str">
        <f t="shared" si="42"/>
        <v>Vidya Chatterjee</v>
      </c>
      <c r="E282" s="30" t="str">
        <f t="shared" si="43"/>
        <v>Active</v>
      </c>
      <c r="F282" s="22" t="s">
        <v>1701</v>
      </c>
      <c r="G282" s="24">
        <v>2.2999999999999998</v>
      </c>
      <c r="H282" s="24">
        <v>2</v>
      </c>
      <c r="I282" s="24">
        <v>2.1</v>
      </c>
      <c r="J282" s="24">
        <v>2.7</v>
      </c>
      <c r="K282" s="24">
        <v>2.2000000000000002</v>
      </c>
      <c r="L282" s="24">
        <v>2.4</v>
      </c>
      <c r="M282" s="25">
        <f t="shared" si="44"/>
        <v>2.2799999999999998</v>
      </c>
      <c r="N282" s="22">
        <v>7</v>
      </c>
      <c r="O282" s="22" t="str">
        <f t="shared" si="45"/>
        <v>Passive</v>
      </c>
      <c r="P282" s="30">
        <f t="shared" si="46"/>
        <v>1</v>
      </c>
      <c r="Q282" s="35">
        <f t="shared" si="47"/>
        <v>0.79</v>
      </c>
      <c r="R282" s="22">
        <f t="shared" si="48"/>
        <v>2</v>
      </c>
      <c r="S282" s="22" t="str">
        <f t="shared" si="49"/>
        <v>Medium</v>
      </c>
    </row>
    <row r="283" spans="1:19" x14ac:dyDescent="0.3">
      <c r="A283" s="22" t="s">
        <v>1032</v>
      </c>
      <c r="B283" t="str">
        <f t="shared" si="40"/>
        <v>Priya Mishra</v>
      </c>
      <c r="C283" t="str">
        <f t="shared" si="41"/>
        <v>Customer Support</v>
      </c>
      <c r="D283" t="str">
        <f t="shared" si="42"/>
        <v>Anand Naidu</v>
      </c>
      <c r="E283" s="30" t="str">
        <f t="shared" si="43"/>
        <v>Active</v>
      </c>
      <c r="F283" s="22" t="s">
        <v>1700</v>
      </c>
      <c r="G283" s="24">
        <v>3</v>
      </c>
      <c r="H283" s="24">
        <v>2</v>
      </c>
      <c r="I283" s="24">
        <v>2.8</v>
      </c>
      <c r="J283" s="24">
        <v>3.2</v>
      </c>
      <c r="K283" s="24">
        <v>2.1</v>
      </c>
      <c r="L283" s="24">
        <v>2.6</v>
      </c>
      <c r="M283" s="25">
        <f t="shared" si="44"/>
        <v>2.62</v>
      </c>
      <c r="N283" s="22">
        <v>9</v>
      </c>
      <c r="O283" s="22" t="str">
        <f t="shared" si="45"/>
        <v>Promoter</v>
      </c>
      <c r="P283" s="30">
        <f t="shared" si="46"/>
        <v>2</v>
      </c>
      <c r="Q283" s="35">
        <f t="shared" si="47"/>
        <v>0.61</v>
      </c>
      <c r="R283" s="22">
        <f t="shared" si="48"/>
        <v>2</v>
      </c>
      <c r="S283" s="22" t="str">
        <f t="shared" si="49"/>
        <v>Medium</v>
      </c>
    </row>
    <row r="284" spans="1:19" x14ac:dyDescent="0.3">
      <c r="A284" s="22" t="s">
        <v>1035</v>
      </c>
      <c r="B284" t="str">
        <f t="shared" si="40"/>
        <v>Isha Khanna</v>
      </c>
      <c r="C284" t="str">
        <f t="shared" si="41"/>
        <v>Product</v>
      </c>
      <c r="D284" t="str">
        <f t="shared" si="42"/>
        <v>Sachin Shetty</v>
      </c>
      <c r="E284" s="30" t="str">
        <f t="shared" si="43"/>
        <v>Exited</v>
      </c>
      <c r="F284" s="22" t="s">
        <v>1700</v>
      </c>
      <c r="G284" s="24">
        <v>4.2</v>
      </c>
      <c r="H284" s="24">
        <v>3.6</v>
      </c>
      <c r="I284" s="24">
        <v>4</v>
      </c>
      <c r="J284" s="24">
        <v>3.1</v>
      </c>
      <c r="K284" s="24">
        <v>3.8</v>
      </c>
      <c r="L284" s="24">
        <v>3.5</v>
      </c>
      <c r="M284" s="25">
        <f t="shared" si="44"/>
        <v>3.7</v>
      </c>
      <c r="N284" s="22">
        <v>10</v>
      </c>
      <c r="O284" s="22" t="str">
        <f t="shared" si="45"/>
        <v>Promoter</v>
      </c>
      <c r="P284" s="30">
        <f t="shared" si="46"/>
        <v>3</v>
      </c>
      <c r="Q284" s="35">
        <f t="shared" si="47"/>
        <v>1.05</v>
      </c>
      <c r="R284" s="22">
        <f t="shared" si="48"/>
        <v>0</v>
      </c>
      <c r="S284" s="22" t="str">
        <f t="shared" si="49"/>
        <v>Exited</v>
      </c>
    </row>
    <row r="285" spans="1:19" x14ac:dyDescent="0.3">
      <c r="A285" s="22" t="s">
        <v>1038</v>
      </c>
      <c r="B285" t="str">
        <f t="shared" si="40"/>
        <v>Kunal Fernandes</v>
      </c>
      <c r="C285" t="str">
        <f t="shared" si="41"/>
        <v>Customer Support</v>
      </c>
      <c r="D285" t="str">
        <f t="shared" si="42"/>
        <v>Imran Joshi</v>
      </c>
      <c r="E285" s="30" t="str">
        <f t="shared" si="43"/>
        <v>Exited</v>
      </c>
      <c r="F285" s="22" t="s">
        <v>1700</v>
      </c>
      <c r="G285" s="24">
        <v>2.6</v>
      </c>
      <c r="H285" s="24">
        <v>2.9</v>
      </c>
      <c r="I285" s="24">
        <v>2.5</v>
      </c>
      <c r="J285" s="24">
        <v>3</v>
      </c>
      <c r="K285" s="24">
        <v>2.2999999999999998</v>
      </c>
      <c r="L285" s="24">
        <v>3.3</v>
      </c>
      <c r="M285" s="25">
        <f t="shared" si="44"/>
        <v>2.77</v>
      </c>
      <c r="N285" s="22">
        <v>7</v>
      </c>
      <c r="O285" s="22" t="str">
        <f t="shared" si="45"/>
        <v>Passive</v>
      </c>
      <c r="P285" s="30">
        <f t="shared" si="46"/>
        <v>3</v>
      </c>
      <c r="Q285" s="35">
        <f t="shared" si="47"/>
        <v>0.89</v>
      </c>
      <c r="R285" s="22">
        <f t="shared" si="48"/>
        <v>2</v>
      </c>
      <c r="S285" s="22" t="str">
        <f t="shared" si="49"/>
        <v>Exited</v>
      </c>
    </row>
    <row r="286" spans="1:19" x14ac:dyDescent="0.3">
      <c r="A286" s="22" t="s">
        <v>1041</v>
      </c>
      <c r="B286" t="str">
        <f t="shared" si="40"/>
        <v>Tarun Siddiqui</v>
      </c>
      <c r="C286" t="str">
        <f t="shared" si="41"/>
        <v>Finance</v>
      </c>
      <c r="D286" t="str">
        <f t="shared" si="42"/>
        <v>Ravi Prabhu</v>
      </c>
      <c r="E286" s="30" t="str">
        <f t="shared" si="43"/>
        <v>Active</v>
      </c>
      <c r="F286" s="22" t="s">
        <v>1700</v>
      </c>
      <c r="G286" s="24">
        <v>3.1</v>
      </c>
      <c r="H286" s="24">
        <v>2.9</v>
      </c>
      <c r="I286" s="24">
        <v>2.4</v>
      </c>
      <c r="J286" s="24">
        <v>3</v>
      </c>
      <c r="K286" s="24">
        <v>2.5</v>
      </c>
      <c r="L286" s="24">
        <v>2.7</v>
      </c>
      <c r="M286" s="25">
        <f t="shared" si="44"/>
        <v>2.77</v>
      </c>
      <c r="N286" s="22">
        <v>7</v>
      </c>
      <c r="O286" s="22" t="str">
        <f t="shared" si="45"/>
        <v>Passive</v>
      </c>
      <c r="P286" s="30">
        <f t="shared" si="46"/>
        <v>4</v>
      </c>
      <c r="Q286" s="35">
        <f t="shared" si="47"/>
        <v>0.99</v>
      </c>
      <c r="R286" s="22">
        <f t="shared" si="48"/>
        <v>2</v>
      </c>
      <c r="S286" s="22" t="str">
        <f t="shared" si="49"/>
        <v>Medium</v>
      </c>
    </row>
    <row r="287" spans="1:19" x14ac:dyDescent="0.3">
      <c r="A287" s="22" t="s">
        <v>1044</v>
      </c>
      <c r="B287" t="str">
        <f t="shared" si="40"/>
        <v>Farhan Thomas</v>
      </c>
      <c r="C287" t="str">
        <f t="shared" si="41"/>
        <v>Engineering</v>
      </c>
      <c r="D287" t="str">
        <f t="shared" si="42"/>
        <v>Tejaswini Hegde</v>
      </c>
      <c r="E287" s="30" t="str">
        <f t="shared" si="43"/>
        <v>Active</v>
      </c>
      <c r="F287" s="22" t="s">
        <v>1700</v>
      </c>
      <c r="G287" s="24">
        <v>3</v>
      </c>
      <c r="H287" s="24">
        <v>3.2</v>
      </c>
      <c r="I287" s="24">
        <v>3.3</v>
      </c>
      <c r="J287" s="24">
        <v>2.7</v>
      </c>
      <c r="K287" s="24">
        <v>3.4</v>
      </c>
      <c r="L287" s="24">
        <v>2.9</v>
      </c>
      <c r="M287" s="25">
        <f t="shared" si="44"/>
        <v>3.08</v>
      </c>
      <c r="N287" s="22">
        <v>7</v>
      </c>
      <c r="O287" s="22" t="str">
        <f t="shared" si="45"/>
        <v>Passive</v>
      </c>
      <c r="P287" s="30">
        <f t="shared" si="46"/>
        <v>3</v>
      </c>
      <c r="Q287" s="35">
        <f t="shared" si="47"/>
        <v>1.21</v>
      </c>
      <c r="R287" s="22">
        <f t="shared" si="48"/>
        <v>0</v>
      </c>
      <c r="S287" s="22" t="str">
        <f t="shared" si="49"/>
        <v>Low</v>
      </c>
    </row>
    <row r="288" spans="1:19" x14ac:dyDescent="0.3">
      <c r="A288" s="22" t="s">
        <v>1047</v>
      </c>
      <c r="B288" t="str">
        <f t="shared" si="40"/>
        <v>Sai Iyer</v>
      </c>
      <c r="C288" t="str">
        <f t="shared" si="41"/>
        <v>Sales</v>
      </c>
      <c r="D288" t="str">
        <f t="shared" si="42"/>
        <v>Madhuri Malhotra</v>
      </c>
      <c r="E288" s="30" t="str">
        <f t="shared" si="43"/>
        <v>Active</v>
      </c>
      <c r="F288" s="22" t="s">
        <v>1700</v>
      </c>
      <c r="G288" s="24">
        <v>1.8</v>
      </c>
      <c r="H288" s="24">
        <v>2</v>
      </c>
      <c r="I288" s="24">
        <v>1.7</v>
      </c>
      <c r="J288" s="24">
        <v>1.7</v>
      </c>
      <c r="K288" s="24">
        <v>1.4</v>
      </c>
      <c r="L288" s="24">
        <v>1.9</v>
      </c>
      <c r="M288" s="25">
        <f t="shared" si="44"/>
        <v>1.75</v>
      </c>
      <c r="N288" s="22">
        <v>6</v>
      </c>
      <c r="O288" s="22" t="str">
        <f t="shared" si="45"/>
        <v>Detractor</v>
      </c>
      <c r="P288" s="30">
        <f t="shared" si="46"/>
        <v>2</v>
      </c>
      <c r="Q288" s="35">
        <f t="shared" si="47"/>
        <v>0.98</v>
      </c>
      <c r="R288" s="22">
        <f t="shared" si="48"/>
        <v>2</v>
      </c>
      <c r="S288" s="22" t="str">
        <f t="shared" si="49"/>
        <v>Medium</v>
      </c>
    </row>
    <row r="289" spans="1:19" x14ac:dyDescent="0.3">
      <c r="A289" s="22" t="s">
        <v>1050</v>
      </c>
      <c r="B289" t="str">
        <f t="shared" si="40"/>
        <v>Joseph Pandey</v>
      </c>
      <c r="C289" t="str">
        <f t="shared" si="41"/>
        <v>Operations</v>
      </c>
      <c r="D289" t="str">
        <f t="shared" si="42"/>
        <v>Nandini Fernandes</v>
      </c>
      <c r="E289" s="30" t="str">
        <f t="shared" si="43"/>
        <v>Active</v>
      </c>
      <c r="F289" s="22" t="s">
        <v>1700</v>
      </c>
      <c r="G289" s="24">
        <v>3.2</v>
      </c>
      <c r="H289" s="24">
        <v>3.2</v>
      </c>
      <c r="I289" s="24">
        <v>2.4</v>
      </c>
      <c r="J289" s="24">
        <v>2.4</v>
      </c>
      <c r="K289" s="24">
        <v>2.9</v>
      </c>
      <c r="L289" s="24">
        <v>2.9</v>
      </c>
      <c r="M289" s="25">
        <f t="shared" si="44"/>
        <v>2.83</v>
      </c>
      <c r="N289" s="22">
        <v>7</v>
      </c>
      <c r="O289" s="22" t="str">
        <f t="shared" si="45"/>
        <v>Passive</v>
      </c>
      <c r="P289" s="30">
        <f t="shared" si="46"/>
        <v>4</v>
      </c>
      <c r="Q289" s="35">
        <f t="shared" si="47"/>
        <v>0.77</v>
      </c>
      <c r="R289" s="22">
        <f t="shared" si="48"/>
        <v>3</v>
      </c>
      <c r="S289" s="22" t="str">
        <f t="shared" si="49"/>
        <v>High</v>
      </c>
    </row>
    <row r="290" spans="1:19" x14ac:dyDescent="0.3">
      <c r="A290" s="22" t="s">
        <v>1053</v>
      </c>
      <c r="B290" t="str">
        <f t="shared" si="40"/>
        <v>Tanvi Verma</v>
      </c>
      <c r="C290" t="str">
        <f t="shared" si="41"/>
        <v>Customer Support</v>
      </c>
      <c r="D290" t="str">
        <f t="shared" si="42"/>
        <v>Anjali Iyer</v>
      </c>
      <c r="E290" s="30" t="str">
        <f t="shared" si="43"/>
        <v>Active</v>
      </c>
      <c r="F290" s="22" t="s">
        <v>1700</v>
      </c>
      <c r="G290" s="24">
        <v>2.2999999999999998</v>
      </c>
      <c r="H290" s="24">
        <v>3.5</v>
      </c>
      <c r="I290" s="24">
        <v>3.3</v>
      </c>
      <c r="J290" s="24">
        <v>3.6</v>
      </c>
      <c r="K290" s="24">
        <v>3</v>
      </c>
      <c r="L290" s="24">
        <v>3.5</v>
      </c>
      <c r="M290" s="25">
        <f t="shared" si="44"/>
        <v>3.2</v>
      </c>
      <c r="N290" s="22">
        <v>5</v>
      </c>
      <c r="O290" s="22" t="str">
        <f t="shared" si="45"/>
        <v>Detractor</v>
      </c>
      <c r="P290" s="30">
        <f t="shared" si="46"/>
        <v>4</v>
      </c>
      <c r="Q290" s="35">
        <f t="shared" si="47"/>
        <v>0.7</v>
      </c>
      <c r="R290" s="22">
        <f t="shared" si="48"/>
        <v>3</v>
      </c>
      <c r="S290" s="22" t="str">
        <f t="shared" si="49"/>
        <v>High</v>
      </c>
    </row>
    <row r="291" spans="1:19" x14ac:dyDescent="0.3">
      <c r="A291" s="22" t="s">
        <v>1056</v>
      </c>
      <c r="B291" t="str">
        <f t="shared" si="40"/>
        <v>Revathi Das</v>
      </c>
      <c r="C291" t="str">
        <f t="shared" si="41"/>
        <v>Product</v>
      </c>
      <c r="D291" t="str">
        <f t="shared" si="42"/>
        <v>Sachin Shetty</v>
      </c>
      <c r="E291" s="30" t="str">
        <f t="shared" si="43"/>
        <v>Active</v>
      </c>
      <c r="F291" s="22" t="s">
        <v>1700</v>
      </c>
      <c r="G291" s="24">
        <v>3.1</v>
      </c>
      <c r="H291" s="24">
        <v>3.3</v>
      </c>
      <c r="I291" s="24">
        <v>3.4</v>
      </c>
      <c r="J291" s="24">
        <v>3.7</v>
      </c>
      <c r="K291" s="24">
        <v>2.9</v>
      </c>
      <c r="L291" s="24">
        <v>3.4</v>
      </c>
      <c r="M291" s="25">
        <f t="shared" si="44"/>
        <v>3.3</v>
      </c>
      <c r="N291" s="22">
        <v>10</v>
      </c>
      <c r="O291" s="22" t="str">
        <f t="shared" si="45"/>
        <v>Promoter</v>
      </c>
      <c r="P291" s="30">
        <f t="shared" si="46"/>
        <v>3</v>
      </c>
      <c r="Q291" s="35">
        <f t="shared" si="47"/>
        <v>1.18</v>
      </c>
      <c r="R291" s="22">
        <f t="shared" si="48"/>
        <v>0</v>
      </c>
      <c r="S291" s="22" t="str">
        <f t="shared" si="49"/>
        <v>Low</v>
      </c>
    </row>
    <row r="292" spans="1:19" x14ac:dyDescent="0.3">
      <c r="A292" s="22" t="s">
        <v>1059</v>
      </c>
      <c r="B292" t="str">
        <f t="shared" si="40"/>
        <v>Swathi Fernandes</v>
      </c>
      <c r="C292" t="str">
        <f t="shared" si="41"/>
        <v>Sales</v>
      </c>
      <c r="D292" t="str">
        <f t="shared" si="42"/>
        <v>Kavya Krishnan</v>
      </c>
      <c r="E292" s="30" t="str">
        <f t="shared" si="43"/>
        <v>Active</v>
      </c>
      <c r="F292" s="22" t="s">
        <v>1701</v>
      </c>
      <c r="G292" s="24">
        <v>3.9</v>
      </c>
      <c r="H292" s="24">
        <v>3.8</v>
      </c>
      <c r="I292" s="24">
        <v>3.8</v>
      </c>
      <c r="J292" s="24">
        <v>4.0999999999999996</v>
      </c>
      <c r="K292" s="24">
        <v>3.9</v>
      </c>
      <c r="L292" s="24">
        <v>3.7</v>
      </c>
      <c r="M292" s="25">
        <f t="shared" si="44"/>
        <v>3.87</v>
      </c>
      <c r="N292" s="22">
        <v>9</v>
      </c>
      <c r="O292" s="22" t="str">
        <f t="shared" si="45"/>
        <v>Promoter</v>
      </c>
      <c r="P292" s="30">
        <f t="shared" si="46"/>
        <v>3</v>
      </c>
      <c r="Q292" s="35">
        <f t="shared" si="47"/>
        <v>1.1000000000000001</v>
      </c>
      <c r="R292" s="22">
        <f t="shared" si="48"/>
        <v>0</v>
      </c>
      <c r="S292" s="22" t="str">
        <f t="shared" si="49"/>
        <v>Low</v>
      </c>
    </row>
    <row r="293" spans="1:19" x14ac:dyDescent="0.3">
      <c r="A293" s="22" t="s">
        <v>1063</v>
      </c>
      <c r="B293" t="str">
        <f t="shared" si="40"/>
        <v>Arjun Shetty</v>
      </c>
      <c r="C293" t="str">
        <f t="shared" si="41"/>
        <v>Engineering</v>
      </c>
      <c r="D293" t="str">
        <f t="shared" si="42"/>
        <v>Harsh Siddiqui</v>
      </c>
      <c r="E293" s="30" t="str">
        <f t="shared" si="43"/>
        <v>Active</v>
      </c>
      <c r="F293" s="22" t="s">
        <v>1700</v>
      </c>
      <c r="G293" s="24">
        <v>3.7</v>
      </c>
      <c r="H293" s="24">
        <v>3.3</v>
      </c>
      <c r="I293" s="24">
        <v>3.2</v>
      </c>
      <c r="J293" s="24">
        <v>2.6</v>
      </c>
      <c r="K293" s="24">
        <v>3.2</v>
      </c>
      <c r="L293" s="24">
        <v>2.9</v>
      </c>
      <c r="M293" s="25">
        <f t="shared" si="44"/>
        <v>3.15</v>
      </c>
      <c r="N293" s="22">
        <v>7</v>
      </c>
      <c r="O293" s="22" t="str">
        <f t="shared" si="45"/>
        <v>Passive</v>
      </c>
      <c r="P293" s="30">
        <f t="shared" si="46"/>
        <v>3</v>
      </c>
      <c r="Q293" s="35">
        <f t="shared" si="47"/>
        <v>0.85</v>
      </c>
      <c r="R293" s="22">
        <f t="shared" si="48"/>
        <v>1</v>
      </c>
      <c r="S293" s="22" t="str">
        <f t="shared" si="49"/>
        <v>Low</v>
      </c>
    </row>
    <row r="294" spans="1:19" x14ac:dyDescent="0.3">
      <c r="A294" s="22" t="s">
        <v>1066</v>
      </c>
      <c r="B294" t="str">
        <f t="shared" si="40"/>
        <v>Ajay Jain</v>
      </c>
      <c r="C294" t="str">
        <f t="shared" si="41"/>
        <v>Customer Support</v>
      </c>
      <c r="D294" t="str">
        <f t="shared" si="42"/>
        <v>Anand Naidu</v>
      </c>
      <c r="E294" s="30" t="str">
        <f t="shared" si="43"/>
        <v>Exited</v>
      </c>
      <c r="F294" s="22" t="s">
        <v>1700</v>
      </c>
      <c r="G294" s="24">
        <v>2</v>
      </c>
      <c r="H294" s="24">
        <v>1.8</v>
      </c>
      <c r="I294" s="24">
        <v>2</v>
      </c>
      <c r="J294" s="24">
        <v>1.8</v>
      </c>
      <c r="K294" s="24">
        <v>1.9</v>
      </c>
      <c r="L294" s="24">
        <v>2.4</v>
      </c>
      <c r="M294" s="25">
        <f t="shared" si="44"/>
        <v>1.98</v>
      </c>
      <c r="N294" s="22">
        <v>5</v>
      </c>
      <c r="O294" s="22" t="str">
        <f t="shared" si="45"/>
        <v>Detractor</v>
      </c>
      <c r="P294" s="30">
        <f t="shared" si="46"/>
        <v>1</v>
      </c>
      <c r="Q294" s="35">
        <f t="shared" si="47"/>
        <v>0.65</v>
      </c>
      <c r="R294" s="22">
        <f t="shared" si="48"/>
        <v>3</v>
      </c>
      <c r="S294" s="22" t="str">
        <f t="shared" si="49"/>
        <v>Exited</v>
      </c>
    </row>
    <row r="295" spans="1:19" x14ac:dyDescent="0.3">
      <c r="A295" s="22" t="s">
        <v>1069</v>
      </c>
      <c r="B295" t="str">
        <f t="shared" si="40"/>
        <v>Rakesh Desai</v>
      </c>
      <c r="C295" t="str">
        <f t="shared" si="41"/>
        <v>Legal &amp; Compliance</v>
      </c>
      <c r="D295" t="str">
        <f t="shared" si="42"/>
        <v>Swathi Mukherjee</v>
      </c>
      <c r="E295" s="30" t="str">
        <f t="shared" si="43"/>
        <v>Active</v>
      </c>
      <c r="F295" s="22" t="s">
        <v>1700</v>
      </c>
      <c r="G295" s="24">
        <v>4</v>
      </c>
      <c r="H295" s="24">
        <v>3.2</v>
      </c>
      <c r="I295" s="24">
        <v>2.8</v>
      </c>
      <c r="J295" s="24">
        <v>3.1</v>
      </c>
      <c r="K295" s="24">
        <v>2.2999999999999998</v>
      </c>
      <c r="L295" s="24">
        <v>3.3</v>
      </c>
      <c r="M295" s="25">
        <f t="shared" si="44"/>
        <v>3.12</v>
      </c>
      <c r="N295" s="22">
        <v>6</v>
      </c>
      <c r="O295" s="22" t="str">
        <f t="shared" si="45"/>
        <v>Detractor</v>
      </c>
      <c r="P295" s="30">
        <f t="shared" si="46"/>
        <v>3</v>
      </c>
      <c r="Q295" s="35">
        <f t="shared" si="47"/>
        <v>1.22</v>
      </c>
      <c r="R295" s="22">
        <f t="shared" si="48"/>
        <v>1</v>
      </c>
      <c r="S295" s="22" t="str">
        <f t="shared" si="49"/>
        <v>Low</v>
      </c>
    </row>
    <row r="296" spans="1:19" x14ac:dyDescent="0.3">
      <c r="A296" s="22" t="s">
        <v>1072</v>
      </c>
      <c r="B296" t="str">
        <f t="shared" si="40"/>
        <v>Sindhu Gowda</v>
      </c>
      <c r="C296" t="str">
        <f t="shared" si="41"/>
        <v>Customer Support</v>
      </c>
      <c r="D296" t="str">
        <f t="shared" si="42"/>
        <v>Ashish Varghese</v>
      </c>
      <c r="E296" s="30" t="str">
        <f t="shared" si="43"/>
        <v>Exited</v>
      </c>
      <c r="F296" s="22" t="s">
        <v>1700</v>
      </c>
      <c r="G296" s="24">
        <v>2.5</v>
      </c>
      <c r="H296" s="24">
        <v>2.5</v>
      </c>
      <c r="I296" s="24">
        <v>2.2999999999999998</v>
      </c>
      <c r="J296" s="24">
        <v>2.9</v>
      </c>
      <c r="K296" s="24">
        <v>2.1</v>
      </c>
      <c r="L296" s="24">
        <v>2.6</v>
      </c>
      <c r="M296" s="25">
        <f t="shared" si="44"/>
        <v>2.48</v>
      </c>
      <c r="N296" s="22">
        <v>7</v>
      </c>
      <c r="O296" s="22" t="str">
        <f t="shared" si="45"/>
        <v>Passive</v>
      </c>
      <c r="P296" s="30">
        <f t="shared" si="46"/>
        <v>3</v>
      </c>
      <c r="Q296" s="35">
        <f t="shared" si="47"/>
        <v>0.59</v>
      </c>
      <c r="R296" s="22">
        <f t="shared" si="48"/>
        <v>2</v>
      </c>
      <c r="S296" s="22" t="str">
        <f t="shared" si="49"/>
        <v>Exited</v>
      </c>
    </row>
    <row r="297" spans="1:19" x14ac:dyDescent="0.3">
      <c r="A297" s="22" t="s">
        <v>1075</v>
      </c>
      <c r="B297" t="str">
        <f t="shared" si="40"/>
        <v>Farhan Shetty</v>
      </c>
      <c r="C297" t="str">
        <f t="shared" si="41"/>
        <v>Engineering</v>
      </c>
      <c r="D297" t="str">
        <f t="shared" si="42"/>
        <v>Vikas Singh</v>
      </c>
      <c r="E297" s="30" t="str">
        <f t="shared" si="43"/>
        <v>Exited</v>
      </c>
      <c r="F297" s="22" t="s">
        <v>1700</v>
      </c>
      <c r="G297" s="24">
        <v>2.6</v>
      </c>
      <c r="H297" s="24">
        <v>2.1</v>
      </c>
      <c r="I297" s="24">
        <v>2.1</v>
      </c>
      <c r="J297" s="24">
        <v>2.4</v>
      </c>
      <c r="K297" s="24">
        <v>2.6</v>
      </c>
      <c r="L297" s="24">
        <v>2</v>
      </c>
      <c r="M297" s="25">
        <f t="shared" si="44"/>
        <v>2.2999999999999998</v>
      </c>
      <c r="N297" s="22">
        <v>9</v>
      </c>
      <c r="O297" s="22" t="str">
        <f t="shared" si="45"/>
        <v>Promoter</v>
      </c>
      <c r="P297" s="30">
        <f t="shared" si="46"/>
        <v>3</v>
      </c>
      <c r="Q297" s="35">
        <f t="shared" si="47"/>
        <v>1.41</v>
      </c>
      <c r="R297" s="22">
        <f t="shared" si="48"/>
        <v>1</v>
      </c>
      <c r="S297" s="22" t="str">
        <f t="shared" si="49"/>
        <v>Exited</v>
      </c>
    </row>
    <row r="298" spans="1:19" x14ac:dyDescent="0.3">
      <c r="A298" s="22" t="s">
        <v>1078</v>
      </c>
      <c r="B298" t="str">
        <f t="shared" si="40"/>
        <v>Rakesh Patel</v>
      </c>
      <c r="C298" t="str">
        <f t="shared" si="41"/>
        <v>Customer Support</v>
      </c>
      <c r="D298" t="str">
        <f t="shared" si="42"/>
        <v>Vidya Chatterjee</v>
      </c>
      <c r="E298" s="30" t="str">
        <f t="shared" si="43"/>
        <v>Active</v>
      </c>
      <c r="F298" s="22" t="s">
        <v>1700</v>
      </c>
      <c r="G298" s="24">
        <v>3</v>
      </c>
      <c r="H298" s="24">
        <v>2.7</v>
      </c>
      <c r="I298" s="24">
        <v>3.3</v>
      </c>
      <c r="J298" s="24">
        <v>3.4</v>
      </c>
      <c r="K298" s="24">
        <v>4.0999999999999996</v>
      </c>
      <c r="L298" s="24">
        <v>3.6</v>
      </c>
      <c r="M298" s="25">
        <f t="shared" si="44"/>
        <v>3.35</v>
      </c>
      <c r="N298" s="22">
        <v>10</v>
      </c>
      <c r="O298" s="22" t="str">
        <f t="shared" si="45"/>
        <v>Promoter</v>
      </c>
      <c r="P298" s="30">
        <f t="shared" si="46"/>
        <v>4</v>
      </c>
      <c r="Q298" s="35">
        <f t="shared" si="47"/>
        <v>0.65</v>
      </c>
      <c r="R298" s="22">
        <f t="shared" si="48"/>
        <v>2</v>
      </c>
      <c r="S298" s="22" t="str">
        <f t="shared" si="49"/>
        <v>Medium</v>
      </c>
    </row>
    <row r="299" spans="1:19" x14ac:dyDescent="0.3">
      <c r="A299" s="22" t="s">
        <v>1081</v>
      </c>
      <c r="B299" t="str">
        <f t="shared" si="40"/>
        <v>Vikram Bose</v>
      </c>
      <c r="C299" t="str">
        <f t="shared" si="41"/>
        <v>Sales</v>
      </c>
      <c r="D299" t="str">
        <f t="shared" si="42"/>
        <v>Nikhil Agarwal</v>
      </c>
      <c r="E299" s="30" t="str">
        <f t="shared" si="43"/>
        <v>Active</v>
      </c>
      <c r="F299" s="22" t="s">
        <v>1701</v>
      </c>
      <c r="G299" s="24">
        <v>4.0999999999999996</v>
      </c>
      <c r="H299" s="24">
        <v>4</v>
      </c>
      <c r="I299" s="24">
        <v>3.7</v>
      </c>
      <c r="J299" s="24">
        <v>3.8</v>
      </c>
      <c r="K299" s="24">
        <v>4</v>
      </c>
      <c r="L299" s="24">
        <v>4.8</v>
      </c>
      <c r="M299" s="25">
        <f t="shared" si="44"/>
        <v>4.07</v>
      </c>
      <c r="N299" s="22">
        <v>8</v>
      </c>
      <c r="O299" s="22" t="str">
        <f t="shared" si="45"/>
        <v>Passive</v>
      </c>
      <c r="P299" s="30">
        <f t="shared" si="46"/>
        <v>5</v>
      </c>
      <c r="Q299" s="35">
        <f t="shared" si="47"/>
        <v>1.07</v>
      </c>
      <c r="R299" s="22">
        <f t="shared" si="48"/>
        <v>1</v>
      </c>
      <c r="S299" s="22" t="str">
        <f t="shared" si="49"/>
        <v>Low</v>
      </c>
    </row>
    <row r="300" spans="1:19" x14ac:dyDescent="0.3">
      <c r="A300" s="22" t="s">
        <v>1084</v>
      </c>
      <c r="B300" t="str">
        <f t="shared" si="40"/>
        <v>Sachin Singh</v>
      </c>
      <c r="C300" t="str">
        <f t="shared" si="41"/>
        <v>Human Resources</v>
      </c>
      <c r="D300" t="str">
        <f t="shared" si="42"/>
        <v>Ajay Patel</v>
      </c>
      <c r="E300" s="30" t="str">
        <f t="shared" si="43"/>
        <v>Active</v>
      </c>
      <c r="F300" s="22" t="s">
        <v>1700</v>
      </c>
      <c r="G300" s="24">
        <v>3.5</v>
      </c>
      <c r="H300" s="24">
        <v>2.8</v>
      </c>
      <c r="I300" s="24">
        <v>3.4</v>
      </c>
      <c r="J300" s="24">
        <v>3.6</v>
      </c>
      <c r="K300" s="24">
        <v>3.9</v>
      </c>
      <c r="L300" s="24">
        <v>4.2</v>
      </c>
      <c r="M300" s="25">
        <f t="shared" si="44"/>
        <v>3.57</v>
      </c>
      <c r="N300" s="22">
        <v>8</v>
      </c>
      <c r="O300" s="22" t="str">
        <f t="shared" si="45"/>
        <v>Passive</v>
      </c>
      <c r="P300" s="30">
        <f t="shared" si="46"/>
        <v>3</v>
      </c>
      <c r="Q300" s="35">
        <f t="shared" si="47"/>
        <v>0.93</v>
      </c>
      <c r="R300" s="22">
        <f t="shared" si="48"/>
        <v>0</v>
      </c>
      <c r="S300" s="22" t="str">
        <f t="shared" si="49"/>
        <v>Low</v>
      </c>
    </row>
    <row r="301" spans="1:19" x14ac:dyDescent="0.3">
      <c r="A301" s="22" t="s">
        <v>1087</v>
      </c>
      <c r="B301" t="str">
        <f t="shared" si="40"/>
        <v>Rajesh Krishnan</v>
      </c>
      <c r="C301" t="str">
        <f t="shared" si="41"/>
        <v>Operations</v>
      </c>
      <c r="D301" t="str">
        <f t="shared" si="42"/>
        <v>Amit Kumar</v>
      </c>
      <c r="E301" s="30" t="str">
        <f t="shared" si="43"/>
        <v>Active</v>
      </c>
      <c r="F301" s="22" t="s">
        <v>1700</v>
      </c>
      <c r="G301" s="24">
        <v>3.2</v>
      </c>
      <c r="H301" s="24">
        <v>3.5</v>
      </c>
      <c r="I301" s="24">
        <v>3.6</v>
      </c>
      <c r="J301" s="24">
        <v>3.3</v>
      </c>
      <c r="K301" s="24">
        <v>3.8</v>
      </c>
      <c r="L301" s="24">
        <v>3.2</v>
      </c>
      <c r="M301" s="25">
        <f t="shared" si="44"/>
        <v>3.43</v>
      </c>
      <c r="N301" s="22">
        <v>9</v>
      </c>
      <c r="O301" s="22" t="str">
        <f t="shared" si="45"/>
        <v>Promoter</v>
      </c>
      <c r="P301" s="30">
        <f t="shared" si="46"/>
        <v>3</v>
      </c>
      <c r="Q301" s="35">
        <f t="shared" si="47"/>
        <v>0.61</v>
      </c>
      <c r="R301" s="22">
        <f t="shared" si="48"/>
        <v>1</v>
      </c>
      <c r="S301" s="22" t="str">
        <f t="shared" si="49"/>
        <v>Low</v>
      </c>
    </row>
    <row r="302" spans="1:19" x14ac:dyDescent="0.3">
      <c r="A302" s="22" t="s">
        <v>1090</v>
      </c>
      <c r="B302" t="str">
        <f t="shared" si="40"/>
        <v>Gaurav Nair</v>
      </c>
      <c r="C302" t="str">
        <f t="shared" si="41"/>
        <v>Engineering</v>
      </c>
      <c r="D302" t="str">
        <f t="shared" si="42"/>
        <v>Vikas Singh</v>
      </c>
      <c r="E302" s="30" t="str">
        <f t="shared" si="43"/>
        <v>Active</v>
      </c>
      <c r="F302" s="22" t="s">
        <v>1700</v>
      </c>
      <c r="G302" s="24">
        <v>3.2</v>
      </c>
      <c r="H302" s="24">
        <v>2.6</v>
      </c>
      <c r="I302" s="24">
        <v>3.1</v>
      </c>
      <c r="J302" s="24">
        <v>2.6</v>
      </c>
      <c r="K302" s="24">
        <v>2.9</v>
      </c>
      <c r="L302" s="24">
        <v>3.1</v>
      </c>
      <c r="M302" s="25">
        <f t="shared" si="44"/>
        <v>2.92</v>
      </c>
      <c r="N302" s="22">
        <v>9</v>
      </c>
      <c r="O302" s="22" t="str">
        <f t="shared" si="45"/>
        <v>Promoter</v>
      </c>
      <c r="P302" s="30">
        <f t="shared" si="46"/>
        <v>3</v>
      </c>
      <c r="Q302" s="35">
        <f t="shared" si="47"/>
        <v>1.41</v>
      </c>
      <c r="R302" s="22">
        <f t="shared" si="48"/>
        <v>1</v>
      </c>
      <c r="S302" s="22" t="str">
        <f t="shared" si="49"/>
        <v>Low</v>
      </c>
    </row>
    <row r="303" spans="1:19" x14ac:dyDescent="0.3">
      <c r="A303" s="22" t="s">
        <v>1093</v>
      </c>
      <c r="B303" t="str">
        <f t="shared" si="40"/>
        <v>Shreya Thomas</v>
      </c>
      <c r="C303" t="str">
        <f t="shared" si="41"/>
        <v>Marketing</v>
      </c>
      <c r="D303" t="str">
        <f t="shared" si="42"/>
        <v>Isha Chatterjee</v>
      </c>
      <c r="E303" s="30" t="str">
        <f t="shared" si="43"/>
        <v>Active</v>
      </c>
      <c r="F303" s="22" t="s">
        <v>1700</v>
      </c>
      <c r="G303" s="24">
        <v>2.7</v>
      </c>
      <c r="H303" s="24">
        <v>2.8</v>
      </c>
      <c r="I303" s="24">
        <v>2.6</v>
      </c>
      <c r="J303" s="24">
        <v>2.2999999999999998</v>
      </c>
      <c r="K303" s="24">
        <v>2.8</v>
      </c>
      <c r="L303" s="24">
        <v>2.7</v>
      </c>
      <c r="M303" s="25">
        <f t="shared" si="44"/>
        <v>2.65</v>
      </c>
      <c r="N303" s="22">
        <v>5</v>
      </c>
      <c r="O303" s="22" t="str">
        <f t="shared" si="45"/>
        <v>Detractor</v>
      </c>
      <c r="P303" s="30">
        <f t="shared" si="46"/>
        <v>3</v>
      </c>
      <c r="Q303" s="35">
        <f t="shared" si="47"/>
        <v>0.99</v>
      </c>
      <c r="R303" s="22">
        <f t="shared" si="48"/>
        <v>2</v>
      </c>
      <c r="S303" s="22" t="str">
        <f t="shared" si="49"/>
        <v>Medium</v>
      </c>
    </row>
    <row r="304" spans="1:19" x14ac:dyDescent="0.3">
      <c r="A304" s="22" t="s">
        <v>1096</v>
      </c>
      <c r="B304" t="str">
        <f t="shared" si="40"/>
        <v>Rakesh Thomas</v>
      </c>
      <c r="C304" t="str">
        <f t="shared" si="41"/>
        <v>Engineering</v>
      </c>
      <c r="D304" t="str">
        <f t="shared" si="42"/>
        <v>Isha Jain</v>
      </c>
      <c r="E304" s="30" t="str">
        <f t="shared" si="43"/>
        <v>Active</v>
      </c>
      <c r="F304" s="22" t="s">
        <v>1700</v>
      </c>
      <c r="G304" s="24">
        <v>3.5</v>
      </c>
      <c r="H304" s="24">
        <v>3.7</v>
      </c>
      <c r="I304" s="24">
        <v>3.7</v>
      </c>
      <c r="J304" s="24">
        <v>3.8</v>
      </c>
      <c r="K304" s="24">
        <v>2.8</v>
      </c>
      <c r="L304" s="24">
        <v>4.5</v>
      </c>
      <c r="M304" s="25">
        <f t="shared" si="44"/>
        <v>3.67</v>
      </c>
      <c r="N304" s="22">
        <v>10</v>
      </c>
      <c r="O304" s="22" t="str">
        <f t="shared" si="45"/>
        <v>Promoter</v>
      </c>
      <c r="P304" s="30">
        <f t="shared" si="46"/>
        <v>4</v>
      </c>
      <c r="Q304" s="35">
        <f t="shared" si="47"/>
        <v>1.47</v>
      </c>
      <c r="R304" s="22">
        <f t="shared" si="48"/>
        <v>1</v>
      </c>
      <c r="S304" s="22" t="str">
        <f t="shared" si="49"/>
        <v>Low</v>
      </c>
    </row>
    <row r="305" spans="1:19" x14ac:dyDescent="0.3">
      <c r="A305" s="22" t="s">
        <v>1099</v>
      </c>
      <c r="B305" t="str">
        <f t="shared" si="40"/>
        <v>Harini Khan</v>
      </c>
      <c r="C305" t="str">
        <f t="shared" si="41"/>
        <v>Sales</v>
      </c>
      <c r="D305" t="str">
        <f t="shared" si="42"/>
        <v>Srinivas Shah</v>
      </c>
      <c r="E305" s="30" t="str">
        <f t="shared" si="43"/>
        <v>Active</v>
      </c>
      <c r="F305" s="22" t="s">
        <v>1700</v>
      </c>
      <c r="G305" s="24">
        <v>3.8</v>
      </c>
      <c r="H305" s="24">
        <v>4</v>
      </c>
      <c r="I305" s="24">
        <v>3.3</v>
      </c>
      <c r="J305" s="24">
        <v>4</v>
      </c>
      <c r="K305" s="24">
        <v>3.7</v>
      </c>
      <c r="L305" s="24">
        <v>3.6</v>
      </c>
      <c r="M305" s="25">
        <f t="shared" si="44"/>
        <v>3.73</v>
      </c>
      <c r="N305" s="22">
        <v>9</v>
      </c>
      <c r="O305" s="22" t="str">
        <f t="shared" si="45"/>
        <v>Promoter</v>
      </c>
      <c r="P305" s="30">
        <f t="shared" si="46"/>
        <v>5</v>
      </c>
      <c r="Q305" s="35">
        <f t="shared" si="47"/>
        <v>1.06</v>
      </c>
      <c r="R305" s="22">
        <f t="shared" si="48"/>
        <v>1</v>
      </c>
      <c r="S305" s="22" t="str">
        <f t="shared" si="49"/>
        <v>Low</v>
      </c>
    </row>
    <row r="306" spans="1:19" x14ac:dyDescent="0.3">
      <c r="A306" s="22" t="s">
        <v>1102</v>
      </c>
      <c r="B306" t="str">
        <f t="shared" si="40"/>
        <v>Abhishek Sharma</v>
      </c>
      <c r="C306" t="str">
        <f t="shared" si="41"/>
        <v>Operations</v>
      </c>
      <c r="D306" t="str">
        <f t="shared" si="42"/>
        <v>Nandini Fernandes</v>
      </c>
      <c r="E306" s="30" t="str">
        <f t="shared" si="43"/>
        <v>Active</v>
      </c>
      <c r="F306" s="22" t="s">
        <v>1700</v>
      </c>
      <c r="G306" s="24">
        <v>3.2</v>
      </c>
      <c r="H306" s="24">
        <v>3.3</v>
      </c>
      <c r="I306" s="24">
        <v>2.2000000000000002</v>
      </c>
      <c r="J306" s="24">
        <v>2.9</v>
      </c>
      <c r="K306" s="24">
        <v>2.8</v>
      </c>
      <c r="L306" s="24">
        <v>3</v>
      </c>
      <c r="M306" s="25">
        <f t="shared" si="44"/>
        <v>2.9</v>
      </c>
      <c r="N306" s="22">
        <v>7</v>
      </c>
      <c r="O306" s="22" t="str">
        <f t="shared" si="45"/>
        <v>Passive</v>
      </c>
      <c r="P306" s="30">
        <f t="shared" si="46"/>
        <v>3</v>
      </c>
      <c r="Q306" s="35">
        <f t="shared" si="47"/>
        <v>0.82</v>
      </c>
      <c r="R306" s="22">
        <f t="shared" si="48"/>
        <v>2</v>
      </c>
      <c r="S306" s="22" t="str">
        <f t="shared" si="49"/>
        <v>Medium</v>
      </c>
    </row>
    <row r="307" spans="1:19" x14ac:dyDescent="0.3">
      <c r="A307" s="22" t="s">
        <v>1105</v>
      </c>
      <c r="B307" t="str">
        <f t="shared" si="40"/>
        <v>Ravi Pandey</v>
      </c>
      <c r="C307" t="str">
        <f t="shared" si="41"/>
        <v>Data &amp; Analytics</v>
      </c>
      <c r="D307" t="str">
        <f t="shared" si="42"/>
        <v>Arun Mukherjee</v>
      </c>
      <c r="E307" s="30" t="str">
        <f t="shared" si="43"/>
        <v>Active</v>
      </c>
      <c r="F307" s="22" t="s">
        <v>1700</v>
      </c>
      <c r="G307" s="24">
        <v>4.0999999999999996</v>
      </c>
      <c r="H307" s="24">
        <v>3.5</v>
      </c>
      <c r="I307" s="24">
        <v>4.3</v>
      </c>
      <c r="J307" s="24">
        <v>3.1</v>
      </c>
      <c r="K307" s="24">
        <v>3.5</v>
      </c>
      <c r="L307" s="24">
        <v>4</v>
      </c>
      <c r="M307" s="25">
        <f t="shared" si="44"/>
        <v>3.75</v>
      </c>
      <c r="N307" s="22">
        <v>9</v>
      </c>
      <c r="O307" s="22" t="str">
        <f t="shared" si="45"/>
        <v>Promoter</v>
      </c>
      <c r="P307" s="30">
        <f t="shared" si="46"/>
        <v>4</v>
      </c>
      <c r="Q307" s="35">
        <f t="shared" si="47"/>
        <v>1.29</v>
      </c>
      <c r="R307" s="22">
        <f t="shared" si="48"/>
        <v>1</v>
      </c>
      <c r="S307" s="22" t="str">
        <f t="shared" si="49"/>
        <v>Low</v>
      </c>
    </row>
    <row r="308" spans="1:19" x14ac:dyDescent="0.3">
      <c r="A308" s="22" t="s">
        <v>1108</v>
      </c>
      <c r="B308" t="str">
        <f t="shared" si="40"/>
        <v>Anjali Mehta</v>
      </c>
      <c r="C308" t="str">
        <f t="shared" si="41"/>
        <v>Engineering</v>
      </c>
      <c r="D308" t="str">
        <f t="shared" si="42"/>
        <v>Gaurav Fernandes</v>
      </c>
      <c r="E308" s="30" t="str">
        <f t="shared" si="43"/>
        <v>Active</v>
      </c>
      <c r="F308" s="22" t="s">
        <v>1701</v>
      </c>
      <c r="G308" s="24">
        <v>2.9</v>
      </c>
      <c r="H308" s="24">
        <v>3.7</v>
      </c>
      <c r="I308" s="24">
        <v>3.7</v>
      </c>
      <c r="J308" s="24">
        <v>3.7</v>
      </c>
      <c r="K308" s="24">
        <v>4.0999999999999996</v>
      </c>
      <c r="L308" s="24">
        <v>3.9</v>
      </c>
      <c r="M308" s="25">
        <f t="shared" si="44"/>
        <v>3.67</v>
      </c>
      <c r="N308" s="22">
        <v>10</v>
      </c>
      <c r="O308" s="22" t="str">
        <f t="shared" si="45"/>
        <v>Promoter</v>
      </c>
      <c r="P308" s="30">
        <f t="shared" si="46"/>
        <v>3</v>
      </c>
      <c r="Q308" s="35">
        <f t="shared" si="47"/>
        <v>1.41</v>
      </c>
      <c r="R308" s="22">
        <f t="shared" si="48"/>
        <v>0</v>
      </c>
      <c r="S308" s="22" t="str">
        <f t="shared" si="49"/>
        <v>Low</v>
      </c>
    </row>
    <row r="309" spans="1:19" x14ac:dyDescent="0.3">
      <c r="A309" s="22" t="s">
        <v>1111</v>
      </c>
      <c r="B309" t="str">
        <f t="shared" si="40"/>
        <v>Sanjay Saxena</v>
      </c>
      <c r="C309" t="str">
        <f t="shared" si="41"/>
        <v>Customer Support</v>
      </c>
      <c r="D309" t="str">
        <f t="shared" si="42"/>
        <v>Anjali Iyer</v>
      </c>
      <c r="E309" s="30" t="str">
        <f t="shared" si="43"/>
        <v>Active</v>
      </c>
      <c r="F309" s="22" t="s">
        <v>1700</v>
      </c>
      <c r="G309" s="24">
        <v>2.4</v>
      </c>
      <c r="H309" s="24">
        <v>2.8</v>
      </c>
      <c r="I309" s="24">
        <v>3.3</v>
      </c>
      <c r="J309" s="24">
        <v>2.7</v>
      </c>
      <c r="K309" s="24">
        <v>2.8</v>
      </c>
      <c r="L309" s="24">
        <v>2.6</v>
      </c>
      <c r="M309" s="25">
        <f t="shared" si="44"/>
        <v>2.77</v>
      </c>
      <c r="N309" s="22">
        <v>10</v>
      </c>
      <c r="O309" s="22" t="str">
        <f t="shared" si="45"/>
        <v>Promoter</v>
      </c>
      <c r="P309" s="30">
        <f t="shared" si="46"/>
        <v>3</v>
      </c>
      <c r="Q309" s="35">
        <f t="shared" si="47"/>
        <v>0.72</v>
      </c>
      <c r="R309" s="22">
        <f t="shared" si="48"/>
        <v>2</v>
      </c>
      <c r="S309" s="22" t="str">
        <f t="shared" si="49"/>
        <v>Medium</v>
      </c>
    </row>
    <row r="310" spans="1:19" x14ac:dyDescent="0.3">
      <c r="A310" s="22" t="s">
        <v>1114</v>
      </c>
      <c r="B310" t="str">
        <f t="shared" si="40"/>
        <v>Kunal Mukherjee</v>
      </c>
      <c r="C310" t="str">
        <f t="shared" si="41"/>
        <v>Engineering</v>
      </c>
      <c r="D310" t="str">
        <f t="shared" si="42"/>
        <v>Tejaswini Hegde</v>
      </c>
      <c r="E310" s="30" t="str">
        <f t="shared" si="43"/>
        <v>Active</v>
      </c>
      <c r="F310" s="22" t="s">
        <v>1700</v>
      </c>
      <c r="G310" s="24">
        <v>2.7</v>
      </c>
      <c r="H310" s="24">
        <v>3.5</v>
      </c>
      <c r="I310" s="24">
        <v>2.9</v>
      </c>
      <c r="J310" s="24">
        <v>2.5</v>
      </c>
      <c r="K310" s="24">
        <v>3</v>
      </c>
      <c r="L310" s="24">
        <v>3.1</v>
      </c>
      <c r="M310" s="25">
        <f t="shared" si="44"/>
        <v>2.95</v>
      </c>
      <c r="N310" s="22">
        <v>6</v>
      </c>
      <c r="O310" s="22" t="str">
        <f t="shared" si="45"/>
        <v>Detractor</v>
      </c>
      <c r="P310" s="30">
        <f t="shared" si="46"/>
        <v>3</v>
      </c>
      <c r="Q310" s="35">
        <f t="shared" si="47"/>
        <v>1.27</v>
      </c>
      <c r="R310" s="22">
        <f t="shared" si="48"/>
        <v>2</v>
      </c>
      <c r="S310" s="22" t="str">
        <f t="shared" si="49"/>
        <v>Medium</v>
      </c>
    </row>
    <row r="311" spans="1:19" x14ac:dyDescent="0.3">
      <c r="A311" s="22" t="s">
        <v>685</v>
      </c>
      <c r="B311" t="str">
        <f t="shared" si="40"/>
        <v>Swathi Mukherjee</v>
      </c>
      <c r="C311" t="str">
        <f t="shared" si="41"/>
        <v>Legal &amp; Compliance</v>
      </c>
      <c r="D311" t="str">
        <f t="shared" si="42"/>
        <v>Lakshmi Subramanian</v>
      </c>
      <c r="E311" s="30" t="str">
        <f t="shared" si="43"/>
        <v>Active</v>
      </c>
      <c r="F311" s="22" t="s">
        <v>1701</v>
      </c>
      <c r="G311" s="24">
        <v>3.8</v>
      </c>
      <c r="H311" s="24">
        <v>3.8</v>
      </c>
      <c r="I311" s="24">
        <v>3.6</v>
      </c>
      <c r="J311" s="24">
        <v>4.0999999999999996</v>
      </c>
      <c r="K311" s="24">
        <v>3.8</v>
      </c>
      <c r="L311" s="24">
        <v>4.2</v>
      </c>
      <c r="M311" s="25">
        <f t="shared" si="44"/>
        <v>3.88</v>
      </c>
      <c r="N311" s="22">
        <v>8</v>
      </c>
      <c r="O311" s="22" t="str">
        <f t="shared" si="45"/>
        <v>Passive</v>
      </c>
      <c r="P311" s="30">
        <f t="shared" si="46"/>
        <v>4</v>
      </c>
      <c r="Q311" s="35">
        <f t="shared" si="47"/>
        <v>1</v>
      </c>
      <c r="R311" s="22">
        <f t="shared" si="48"/>
        <v>1</v>
      </c>
      <c r="S311" s="22" t="str">
        <f t="shared" si="49"/>
        <v>Low</v>
      </c>
    </row>
    <row r="312" spans="1:19" x14ac:dyDescent="0.3">
      <c r="A312" s="22" t="s">
        <v>1118</v>
      </c>
      <c r="B312" t="str">
        <f t="shared" si="40"/>
        <v>Tarun Tiwari</v>
      </c>
      <c r="C312" t="str">
        <f t="shared" si="41"/>
        <v>Sales</v>
      </c>
      <c r="D312" t="str">
        <f t="shared" si="42"/>
        <v>Madhuri Malhotra</v>
      </c>
      <c r="E312" s="30" t="str">
        <f t="shared" si="43"/>
        <v>Active</v>
      </c>
      <c r="F312" s="22" t="s">
        <v>1700</v>
      </c>
      <c r="G312" s="24">
        <v>3.2</v>
      </c>
      <c r="H312" s="24">
        <v>3</v>
      </c>
      <c r="I312" s="24">
        <v>2.8</v>
      </c>
      <c r="J312" s="24">
        <v>3.5</v>
      </c>
      <c r="K312" s="24">
        <v>3.2</v>
      </c>
      <c r="L312" s="24">
        <v>3.9</v>
      </c>
      <c r="M312" s="25">
        <f t="shared" si="44"/>
        <v>3.27</v>
      </c>
      <c r="N312" s="22">
        <v>7</v>
      </c>
      <c r="O312" s="22" t="str">
        <f t="shared" si="45"/>
        <v>Passive</v>
      </c>
      <c r="P312" s="30">
        <f t="shared" si="46"/>
        <v>3</v>
      </c>
      <c r="Q312" s="35">
        <f t="shared" si="47"/>
        <v>1.02</v>
      </c>
      <c r="R312" s="22">
        <f t="shared" si="48"/>
        <v>0</v>
      </c>
      <c r="S312" s="22" t="str">
        <f t="shared" si="49"/>
        <v>Low</v>
      </c>
    </row>
    <row r="313" spans="1:19" x14ac:dyDescent="0.3">
      <c r="A313" s="22" t="s">
        <v>1121</v>
      </c>
      <c r="B313" t="str">
        <f t="shared" si="40"/>
        <v>Ritu Chatterjee</v>
      </c>
      <c r="C313" t="str">
        <f t="shared" si="41"/>
        <v>Operations</v>
      </c>
      <c r="D313" t="str">
        <f t="shared" si="42"/>
        <v>Pallavi Nair</v>
      </c>
      <c r="E313" s="30" t="str">
        <f t="shared" si="43"/>
        <v>Active</v>
      </c>
      <c r="F313" s="22" t="s">
        <v>1701</v>
      </c>
      <c r="G313" s="24">
        <v>2.2000000000000002</v>
      </c>
      <c r="H313" s="24">
        <v>2.2999999999999998</v>
      </c>
      <c r="I313" s="24">
        <v>2.1</v>
      </c>
      <c r="J313" s="24">
        <v>1.8</v>
      </c>
      <c r="K313" s="24">
        <v>2.1</v>
      </c>
      <c r="L313" s="24">
        <v>3</v>
      </c>
      <c r="M313" s="25">
        <f t="shared" si="44"/>
        <v>2.25</v>
      </c>
      <c r="N313" s="22">
        <v>4</v>
      </c>
      <c r="O313" s="22" t="str">
        <f t="shared" si="45"/>
        <v>Detractor</v>
      </c>
      <c r="P313" s="30">
        <f t="shared" si="46"/>
        <v>2</v>
      </c>
      <c r="Q313" s="35">
        <f t="shared" si="47"/>
        <v>0.96</v>
      </c>
      <c r="R313" s="22">
        <f t="shared" si="48"/>
        <v>2</v>
      </c>
      <c r="S313" s="22" t="str">
        <f t="shared" si="49"/>
        <v>Medium</v>
      </c>
    </row>
    <row r="314" spans="1:19" x14ac:dyDescent="0.3">
      <c r="A314" s="22" t="s">
        <v>1124</v>
      </c>
      <c r="B314" t="str">
        <f t="shared" si="40"/>
        <v>Mohit Bose</v>
      </c>
      <c r="C314" t="str">
        <f t="shared" si="41"/>
        <v>Customer Support</v>
      </c>
      <c r="D314" t="str">
        <f t="shared" si="42"/>
        <v>Vidya Chatterjee</v>
      </c>
      <c r="E314" s="30" t="str">
        <f t="shared" si="43"/>
        <v>Active</v>
      </c>
      <c r="F314" s="22" t="s">
        <v>1700</v>
      </c>
      <c r="G314" s="24">
        <v>3.5</v>
      </c>
      <c r="H314" s="24">
        <v>3.8</v>
      </c>
      <c r="I314" s="24">
        <v>2.6</v>
      </c>
      <c r="J314" s="24">
        <v>2.8</v>
      </c>
      <c r="K314" s="24">
        <v>3.6</v>
      </c>
      <c r="L314" s="24">
        <v>3.1</v>
      </c>
      <c r="M314" s="25">
        <f t="shared" si="44"/>
        <v>3.23</v>
      </c>
      <c r="N314" s="22">
        <v>9</v>
      </c>
      <c r="O314" s="22" t="str">
        <f t="shared" si="45"/>
        <v>Promoter</v>
      </c>
      <c r="P314" s="30">
        <f t="shared" si="46"/>
        <v>4</v>
      </c>
      <c r="Q314" s="35">
        <f t="shared" si="47"/>
        <v>0.84</v>
      </c>
      <c r="R314" s="22">
        <f t="shared" si="48"/>
        <v>2</v>
      </c>
      <c r="S314" s="22" t="str">
        <f t="shared" si="49"/>
        <v>Medium</v>
      </c>
    </row>
    <row r="315" spans="1:19" x14ac:dyDescent="0.3">
      <c r="A315" s="22" t="s">
        <v>1127</v>
      </c>
      <c r="B315" t="str">
        <f t="shared" si="40"/>
        <v>Sanjay Thomas</v>
      </c>
      <c r="C315" t="str">
        <f t="shared" si="41"/>
        <v>Legal &amp; Compliance</v>
      </c>
      <c r="D315" t="str">
        <f t="shared" si="42"/>
        <v>Lakshmi Subramanian</v>
      </c>
      <c r="E315" s="30" t="str">
        <f t="shared" si="43"/>
        <v>Active</v>
      </c>
      <c r="F315" s="22" t="s">
        <v>1700</v>
      </c>
      <c r="G315" s="24">
        <v>3.7</v>
      </c>
      <c r="H315" s="24">
        <v>3.6</v>
      </c>
      <c r="I315" s="24">
        <v>3.5</v>
      </c>
      <c r="J315" s="24">
        <v>3.9</v>
      </c>
      <c r="K315" s="24">
        <v>3.4</v>
      </c>
      <c r="L315" s="24">
        <v>3</v>
      </c>
      <c r="M315" s="25">
        <f t="shared" si="44"/>
        <v>3.52</v>
      </c>
      <c r="N315" s="22">
        <v>7</v>
      </c>
      <c r="O315" s="22" t="str">
        <f t="shared" si="45"/>
        <v>Passive</v>
      </c>
      <c r="P315" s="30">
        <f t="shared" si="46"/>
        <v>3</v>
      </c>
      <c r="Q315" s="35">
        <f t="shared" si="47"/>
        <v>1.02</v>
      </c>
      <c r="R315" s="22">
        <f t="shared" si="48"/>
        <v>0</v>
      </c>
      <c r="S315" s="22" t="str">
        <f t="shared" si="49"/>
        <v>Low</v>
      </c>
    </row>
    <row r="316" spans="1:19" x14ac:dyDescent="0.3">
      <c r="A316" s="22" t="s">
        <v>1131</v>
      </c>
      <c r="B316" t="str">
        <f t="shared" si="40"/>
        <v>Revathi Fernandes</v>
      </c>
      <c r="C316" t="str">
        <f t="shared" si="41"/>
        <v>Legal &amp; Compliance</v>
      </c>
      <c r="D316" t="str">
        <f t="shared" si="42"/>
        <v>Ramya Khanna</v>
      </c>
      <c r="E316" s="30" t="str">
        <f t="shared" si="43"/>
        <v>Active</v>
      </c>
      <c r="F316" s="22" t="s">
        <v>1700</v>
      </c>
      <c r="G316" s="24">
        <v>2.9</v>
      </c>
      <c r="H316" s="24">
        <v>2.6</v>
      </c>
      <c r="I316" s="24">
        <v>2.4</v>
      </c>
      <c r="J316" s="24">
        <v>2</v>
      </c>
      <c r="K316" s="24">
        <v>2.4</v>
      </c>
      <c r="L316" s="24">
        <v>2.4</v>
      </c>
      <c r="M316" s="25">
        <f t="shared" si="44"/>
        <v>2.4500000000000002</v>
      </c>
      <c r="N316" s="22">
        <v>7</v>
      </c>
      <c r="O316" s="22" t="str">
        <f t="shared" si="45"/>
        <v>Passive</v>
      </c>
      <c r="P316" s="30">
        <f t="shared" si="46"/>
        <v>4</v>
      </c>
      <c r="Q316" s="35">
        <f t="shared" si="47"/>
        <v>1.23</v>
      </c>
      <c r="R316" s="22">
        <f t="shared" si="48"/>
        <v>2</v>
      </c>
      <c r="S316" s="22" t="str">
        <f t="shared" si="49"/>
        <v>Medium</v>
      </c>
    </row>
    <row r="317" spans="1:19" x14ac:dyDescent="0.3">
      <c r="A317" s="22" t="s">
        <v>1134</v>
      </c>
      <c r="B317" t="str">
        <f t="shared" si="40"/>
        <v>Fatima Patel</v>
      </c>
      <c r="C317" t="str">
        <f t="shared" si="41"/>
        <v>Sales</v>
      </c>
      <c r="D317" t="str">
        <f t="shared" si="42"/>
        <v>Srinivas Shah</v>
      </c>
      <c r="E317" s="30" t="str">
        <f t="shared" si="43"/>
        <v>Active</v>
      </c>
      <c r="F317" s="22" t="s">
        <v>1700</v>
      </c>
      <c r="G317" s="24">
        <v>3.6</v>
      </c>
      <c r="H317" s="24">
        <v>3.2</v>
      </c>
      <c r="I317" s="24">
        <v>3.8</v>
      </c>
      <c r="J317" s="24">
        <v>3</v>
      </c>
      <c r="K317" s="24">
        <v>2.4</v>
      </c>
      <c r="L317" s="24">
        <v>3</v>
      </c>
      <c r="M317" s="25">
        <f t="shared" si="44"/>
        <v>3.17</v>
      </c>
      <c r="N317" s="22">
        <v>6</v>
      </c>
      <c r="O317" s="22" t="str">
        <f t="shared" si="45"/>
        <v>Detractor</v>
      </c>
      <c r="P317" s="30">
        <f t="shared" si="46"/>
        <v>3</v>
      </c>
      <c r="Q317" s="35">
        <f t="shared" si="47"/>
        <v>1.1599999999999999</v>
      </c>
      <c r="R317" s="22">
        <f t="shared" si="48"/>
        <v>1</v>
      </c>
      <c r="S317" s="22" t="str">
        <f t="shared" si="49"/>
        <v>Low</v>
      </c>
    </row>
    <row r="318" spans="1:19" x14ac:dyDescent="0.3">
      <c r="A318" s="22" t="s">
        <v>1137</v>
      </c>
      <c r="B318" t="str">
        <f t="shared" si="40"/>
        <v>Nisha Choudhary</v>
      </c>
      <c r="C318" t="str">
        <f t="shared" si="41"/>
        <v>Finance</v>
      </c>
      <c r="D318" t="str">
        <f t="shared" si="42"/>
        <v>Kritika Pandey</v>
      </c>
      <c r="E318" s="30" t="str">
        <f t="shared" si="43"/>
        <v>Active</v>
      </c>
      <c r="F318" s="22" t="s">
        <v>1700</v>
      </c>
      <c r="G318" s="24">
        <v>2.2999999999999998</v>
      </c>
      <c r="H318" s="24">
        <v>2.5</v>
      </c>
      <c r="I318" s="24">
        <v>2.9</v>
      </c>
      <c r="J318" s="24">
        <v>3.1</v>
      </c>
      <c r="K318" s="24">
        <v>2.7</v>
      </c>
      <c r="L318" s="24">
        <v>2.2000000000000002</v>
      </c>
      <c r="M318" s="25">
        <f t="shared" si="44"/>
        <v>2.62</v>
      </c>
      <c r="N318" s="22">
        <v>9</v>
      </c>
      <c r="O318" s="22" t="str">
        <f t="shared" si="45"/>
        <v>Promoter</v>
      </c>
      <c r="P318" s="30">
        <f t="shared" si="46"/>
        <v>5</v>
      </c>
      <c r="Q318" s="35">
        <f t="shared" si="47"/>
        <v>1.23</v>
      </c>
      <c r="R318" s="22">
        <f t="shared" si="48"/>
        <v>2</v>
      </c>
      <c r="S318" s="22" t="str">
        <f t="shared" si="49"/>
        <v>Medium</v>
      </c>
    </row>
    <row r="319" spans="1:19" x14ac:dyDescent="0.3">
      <c r="A319" s="22" t="s">
        <v>1140</v>
      </c>
      <c r="B319" t="str">
        <f t="shared" si="40"/>
        <v>Amit Desai</v>
      </c>
      <c r="C319" t="str">
        <f t="shared" si="41"/>
        <v>Engineering</v>
      </c>
      <c r="D319" t="str">
        <f t="shared" si="42"/>
        <v>Isha Jain</v>
      </c>
      <c r="E319" s="30" t="str">
        <f t="shared" si="43"/>
        <v>Active</v>
      </c>
      <c r="F319" s="22" t="s">
        <v>1701</v>
      </c>
      <c r="G319" s="24">
        <v>3.5</v>
      </c>
      <c r="H319" s="24">
        <v>2.9</v>
      </c>
      <c r="I319" s="24">
        <v>2.8</v>
      </c>
      <c r="J319" s="24">
        <v>3.5</v>
      </c>
      <c r="K319" s="24">
        <v>3.4</v>
      </c>
      <c r="L319" s="24">
        <v>3.1</v>
      </c>
      <c r="M319" s="25">
        <f t="shared" si="44"/>
        <v>3.2</v>
      </c>
      <c r="N319" s="22">
        <v>9</v>
      </c>
      <c r="O319" s="22" t="str">
        <f t="shared" si="45"/>
        <v>Promoter</v>
      </c>
      <c r="P319" s="30">
        <f t="shared" si="46"/>
        <v>4</v>
      </c>
      <c r="Q319" s="35">
        <f t="shared" si="47"/>
        <v>1.17</v>
      </c>
      <c r="R319" s="22">
        <f t="shared" si="48"/>
        <v>1</v>
      </c>
      <c r="S319" s="22" t="str">
        <f t="shared" si="49"/>
        <v>Low</v>
      </c>
    </row>
    <row r="320" spans="1:19" x14ac:dyDescent="0.3">
      <c r="A320" s="22" t="s">
        <v>1143</v>
      </c>
      <c r="B320" t="str">
        <f t="shared" si="40"/>
        <v>Neha Siddiqui</v>
      </c>
      <c r="C320" t="str">
        <f t="shared" si="41"/>
        <v>Engineering</v>
      </c>
      <c r="D320" t="str">
        <f t="shared" si="42"/>
        <v>Tejaswini Hegde</v>
      </c>
      <c r="E320" s="30" t="str">
        <f t="shared" si="43"/>
        <v>Active</v>
      </c>
      <c r="F320" s="22" t="s">
        <v>1700</v>
      </c>
      <c r="G320" s="24">
        <v>3.9</v>
      </c>
      <c r="H320" s="24">
        <v>3.6</v>
      </c>
      <c r="I320" s="24">
        <v>3.7</v>
      </c>
      <c r="J320" s="24">
        <v>4</v>
      </c>
      <c r="K320" s="24">
        <v>3.9</v>
      </c>
      <c r="L320" s="24">
        <v>4.3</v>
      </c>
      <c r="M320" s="25">
        <f t="shared" si="44"/>
        <v>3.9</v>
      </c>
      <c r="N320" s="22">
        <v>8</v>
      </c>
      <c r="O320" s="22" t="str">
        <f t="shared" si="45"/>
        <v>Passive</v>
      </c>
      <c r="P320" s="30">
        <f t="shared" si="46"/>
        <v>5</v>
      </c>
      <c r="Q320" s="35">
        <f t="shared" si="47"/>
        <v>1.06</v>
      </c>
      <c r="R320" s="22">
        <f t="shared" si="48"/>
        <v>1</v>
      </c>
      <c r="S320" s="22" t="str">
        <f t="shared" si="49"/>
        <v>Low</v>
      </c>
    </row>
    <row r="321" spans="1:19" x14ac:dyDescent="0.3">
      <c r="A321" s="22" t="s">
        <v>1146</v>
      </c>
      <c r="B321" t="str">
        <f t="shared" si="40"/>
        <v>Prakash Raghavan</v>
      </c>
      <c r="C321" t="str">
        <f t="shared" si="41"/>
        <v>Operations</v>
      </c>
      <c r="D321" t="str">
        <f t="shared" si="42"/>
        <v>Yash Shah</v>
      </c>
      <c r="E321" s="30" t="str">
        <f t="shared" si="43"/>
        <v>Active</v>
      </c>
      <c r="F321" s="22" t="s">
        <v>1700</v>
      </c>
      <c r="G321" s="24">
        <v>3.5</v>
      </c>
      <c r="H321" s="24">
        <v>3.9</v>
      </c>
      <c r="I321" s="24">
        <v>3.7</v>
      </c>
      <c r="J321" s="24">
        <v>3.8</v>
      </c>
      <c r="K321" s="24">
        <v>3.7</v>
      </c>
      <c r="L321" s="24">
        <v>4.5</v>
      </c>
      <c r="M321" s="25">
        <f t="shared" si="44"/>
        <v>3.85</v>
      </c>
      <c r="N321" s="22">
        <v>10</v>
      </c>
      <c r="O321" s="22" t="str">
        <f t="shared" si="45"/>
        <v>Promoter</v>
      </c>
      <c r="P321" s="30">
        <f t="shared" si="46"/>
        <v>5</v>
      </c>
      <c r="Q321" s="35">
        <f t="shared" si="47"/>
        <v>1.07</v>
      </c>
      <c r="R321" s="22">
        <f t="shared" si="48"/>
        <v>1</v>
      </c>
      <c r="S321" s="22" t="str">
        <f t="shared" si="49"/>
        <v>Low</v>
      </c>
    </row>
    <row r="322" spans="1:19" x14ac:dyDescent="0.3">
      <c r="A322" s="22" t="s">
        <v>1149</v>
      </c>
      <c r="B322" t="str">
        <f t="shared" ref="B322:B385" si="50">INDEX(M_Name,MATCH($A322,M_ID,0))</f>
        <v>Imran Gupta</v>
      </c>
      <c r="C322" t="str">
        <f t="shared" ref="C322:C385" si="51">INDEX(M_Dept,MATCH($A322,M_ID,0))</f>
        <v>Sales</v>
      </c>
      <c r="D322" t="str">
        <f t="shared" ref="D322:D385" si="52">INDEX(M_Mgr,MATCH($A322,M_ID,0))</f>
        <v>Yash Raghavan</v>
      </c>
      <c r="E322" s="30" t="str">
        <f t="shared" ref="E322:E385" si="53">INDEX(M_Status,MATCH($A322,M_ID,0))</f>
        <v>Active</v>
      </c>
      <c r="F322" s="22" t="s">
        <v>1700</v>
      </c>
      <c r="G322" s="24">
        <v>3.2</v>
      </c>
      <c r="H322" s="24">
        <v>4.0999999999999996</v>
      </c>
      <c r="I322" s="24">
        <v>3.5</v>
      </c>
      <c r="J322" s="24">
        <v>2.8</v>
      </c>
      <c r="K322" s="24">
        <v>3.3</v>
      </c>
      <c r="L322" s="24">
        <v>3.3</v>
      </c>
      <c r="M322" s="25">
        <f t="shared" ref="M322:M385" si="54">ROUND(AVERAGE(G322:L322),2)</f>
        <v>3.37</v>
      </c>
      <c r="N322" s="22">
        <v>8</v>
      </c>
      <c r="O322" s="22" t="str">
        <f t="shared" ref="O322:O385" si="55">IF(N322&gt;=9,"Promoter",IF(N322&gt;=7,"Passive","Detractor"))</f>
        <v>Passive</v>
      </c>
      <c r="P322" s="30">
        <f t="shared" ref="P322:P385" si="56">INDEX(P_Rating,MATCH($A322,M_ID,0))</f>
        <v>5</v>
      </c>
      <c r="Q322" s="35">
        <f t="shared" ref="Q322:Q385" si="57">INDEX(C_Compa,MATCH($A322,M_ID,0))</f>
        <v>0.81</v>
      </c>
      <c r="R322" s="22">
        <f t="shared" ref="R322:R385" si="58">(M322&lt;EngThreshold)+(N322&lt;=6)+(Q322&lt;CompaThreshold)+(P322&gt;=4)</f>
        <v>2</v>
      </c>
      <c r="S322" s="22" t="str">
        <f t="shared" ref="S322:S385" si="59">IF(E322="Exited","Exited",IF(R322&gt;=3,"High",IF(R322=2,"Medium","Low")))</f>
        <v>Medium</v>
      </c>
    </row>
    <row r="323" spans="1:19" x14ac:dyDescent="0.3">
      <c r="A323" s="22" t="s">
        <v>1152</v>
      </c>
      <c r="B323" t="str">
        <f t="shared" si="50"/>
        <v>Radhika Kapoor</v>
      </c>
      <c r="C323" t="str">
        <f t="shared" si="51"/>
        <v>Product</v>
      </c>
      <c r="D323" t="str">
        <f t="shared" si="52"/>
        <v>Sachin Shetty</v>
      </c>
      <c r="E323" s="30" t="str">
        <f t="shared" si="53"/>
        <v>Active</v>
      </c>
      <c r="F323" s="22" t="s">
        <v>1701</v>
      </c>
      <c r="G323" s="24">
        <v>3.8</v>
      </c>
      <c r="H323" s="24">
        <v>3.7</v>
      </c>
      <c r="I323" s="24">
        <v>4</v>
      </c>
      <c r="J323" s="24">
        <v>4.4000000000000004</v>
      </c>
      <c r="K323" s="24">
        <v>4.5</v>
      </c>
      <c r="L323" s="24">
        <v>3.8</v>
      </c>
      <c r="M323" s="25">
        <f t="shared" si="54"/>
        <v>4.03</v>
      </c>
      <c r="N323" s="22">
        <v>10</v>
      </c>
      <c r="O323" s="22" t="str">
        <f t="shared" si="55"/>
        <v>Promoter</v>
      </c>
      <c r="P323" s="30">
        <f t="shared" si="56"/>
        <v>5</v>
      </c>
      <c r="Q323" s="35">
        <f t="shared" si="57"/>
        <v>0.89</v>
      </c>
      <c r="R323" s="22">
        <f t="shared" si="58"/>
        <v>2</v>
      </c>
      <c r="S323" s="22" t="str">
        <f t="shared" si="59"/>
        <v>Medium</v>
      </c>
    </row>
    <row r="324" spans="1:19" x14ac:dyDescent="0.3">
      <c r="A324" s="22" t="s">
        <v>1155</v>
      </c>
      <c r="B324" t="str">
        <f t="shared" si="50"/>
        <v>Dev Bansal</v>
      </c>
      <c r="C324" t="str">
        <f t="shared" si="51"/>
        <v>Sales</v>
      </c>
      <c r="D324" t="str">
        <f t="shared" si="52"/>
        <v>Kavya Krishnan</v>
      </c>
      <c r="E324" s="30" t="str">
        <f t="shared" si="53"/>
        <v>Active</v>
      </c>
      <c r="F324" s="22" t="s">
        <v>1701</v>
      </c>
      <c r="G324" s="24">
        <v>3.7</v>
      </c>
      <c r="H324" s="24">
        <v>3.9</v>
      </c>
      <c r="I324" s="24">
        <v>2.7</v>
      </c>
      <c r="J324" s="24">
        <v>3</v>
      </c>
      <c r="K324" s="24">
        <v>3.5</v>
      </c>
      <c r="L324" s="24">
        <v>3.2</v>
      </c>
      <c r="M324" s="25">
        <f t="shared" si="54"/>
        <v>3.33</v>
      </c>
      <c r="N324" s="22">
        <v>10</v>
      </c>
      <c r="O324" s="22" t="str">
        <f t="shared" si="55"/>
        <v>Promoter</v>
      </c>
      <c r="P324" s="30">
        <f t="shared" si="56"/>
        <v>4</v>
      </c>
      <c r="Q324" s="35">
        <f t="shared" si="57"/>
        <v>0.86</v>
      </c>
      <c r="R324" s="22">
        <f t="shared" si="58"/>
        <v>2</v>
      </c>
      <c r="S324" s="22" t="str">
        <f t="shared" si="59"/>
        <v>Medium</v>
      </c>
    </row>
    <row r="325" spans="1:19" x14ac:dyDescent="0.3">
      <c r="A325" s="22" t="s">
        <v>1158</v>
      </c>
      <c r="B325" t="str">
        <f t="shared" si="50"/>
        <v>Divya Banerjee</v>
      </c>
      <c r="C325" t="str">
        <f t="shared" si="51"/>
        <v>Operations</v>
      </c>
      <c r="D325" t="str">
        <f t="shared" si="52"/>
        <v>Ramya Menon</v>
      </c>
      <c r="E325" s="30" t="str">
        <f t="shared" si="53"/>
        <v>Active</v>
      </c>
      <c r="F325" s="22" t="s">
        <v>1700</v>
      </c>
      <c r="G325" s="24">
        <v>4</v>
      </c>
      <c r="H325" s="24">
        <v>3.4</v>
      </c>
      <c r="I325" s="24">
        <v>3.5</v>
      </c>
      <c r="J325" s="24">
        <v>3.8</v>
      </c>
      <c r="K325" s="24">
        <v>3.8</v>
      </c>
      <c r="L325" s="24">
        <v>4</v>
      </c>
      <c r="M325" s="25">
        <f t="shared" si="54"/>
        <v>3.75</v>
      </c>
      <c r="N325" s="22">
        <v>9</v>
      </c>
      <c r="O325" s="22" t="str">
        <f t="shared" si="55"/>
        <v>Promoter</v>
      </c>
      <c r="P325" s="30">
        <f t="shared" si="56"/>
        <v>3</v>
      </c>
      <c r="Q325" s="35">
        <f t="shared" si="57"/>
        <v>0.74</v>
      </c>
      <c r="R325" s="22">
        <f t="shared" si="58"/>
        <v>1</v>
      </c>
      <c r="S325" s="22" t="str">
        <f t="shared" si="59"/>
        <v>Low</v>
      </c>
    </row>
    <row r="326" spans="1:19" x14ac:dyDescent="0.3">
      <c r="A326" s="22" t="s">
        <v>1161</v>
      </c>
      <c r="B326" t="str">
        <f t="shared" si="50"/>
        <v>Aditya Nair</v>
      </c>
      <c r="C326" t="str">
        <f t="shared" si="51"/>
        <v>Customer Support</v>
      </c>
      <c r="D326" t="str">
        <f t="shared" si="52"/>
        <v>Anjali Iyer</v>
      </c>
      <c r="E326" s="30" t="str">
        <f t="shared" si="53"/>
        <v>Active</v>
      </c>
      <c r="F326" s="22" t="s">
        <v>1700</v>
      </c>
      <c r="G326" s="24">
        <v>3.6</v>
      </c>
      <c r="H326" s="24">
        <v>4.2</v>
      </c>
      <c r="I326" s="24">
        <v>3.9</v>
      </c>
      <c r="J326" s="24">
        <v>3.8</v>
      </c>
      <c r="K326" s="24">
        <v>4.4000000000000004</v>
      </c>
      <c r="L326" s="24">
        <v>4.4000000000000004</v>
      </c>
      <c r="M326" s="25">
        <f t="shared" si="54"/>
        <v>4.05</v>
      </c>
      <c r="N326" s="22">
        <v>10</v>
      </c>
      <c r="O326" s="22" t="str">
        <f t="shared" si="55"/>
        <v>Promoter</v>
      </c>
      <c r="P326" s="30">
        <f t="shared" si="56"/>
        <v>4</v>
      </c>
      <c r="Q326" s="35">
        <f t="shared" si="57"/>
        <v>0.81</v>
      </c>
      <c r="R326" s="22">
        <f t="shared" si="58"/>
        <v>2</v>
      </c>
      <c r="S326" s="22" t="str">
        <f t="shared" si="59"/>
        <v>Medium</v>
      </c>
    </row>
    <row r="327" spans="1:19" x14ac:dyDescent="0.3">
      <c r="A327" s="22" t="s">
        <v>1164</v>
      </c>
      <c r="B327" t="str">
        <f t="shared" si="50"/>
        <v>Ramya Verma</v>
      </c>
      <c r="C327" t="str">
        <f t="shared" si="51"/>
        <v>Data &amp; Analytics</v>
      </c>
      <c r="D327" t="str">
        <f t="shared" si="52"/>
        <v>Karan Verma</v>
      </c>
      <c r="E327" s="30" t="str">
        <f t="shared" si="53"/>
        <v>Active</v>
      </c>
      <c r="F327" s="22" t="s">
        <v>1700</v>
      </c>
      <c r="G327" s="24">
        <v>4.0999999999999996</v>
      </c>
      <c r="H327" s="24">
        <v>4.4000000000000004</v>
      </c>
      <c r="I327" s="24">
        <v>4.0999999999999996</v>
      </c>
      <c r="J327" s="24">
        <v>4.3</v>
      </c>
      <c r="K327" s="24">
        <v>4.2</v>
      </c>
      <c r="L327" s="24">
        <v>4.3</v>
      </c>
      <c r="M327" s="25">
        <f t="shared" si="54"/>
        <v>4.2300000000000004</v>
      </c>
      <c r="N327" s="22">
        <v>10</v>
      </c>
      <c r="O327" s="22" t="str">
        <f t="shared" si="55"/>
        <v>Promoter</v>
      </c>
      <c r="P327" s="30">
        <f t="shared" si="56"/>
        <v>4</v>
      </c>
      <c r="Q327" s="35">
        <f t="shared" si="57"/>
        <v>1.22</v>
      </c>
      <c r="R327" s="22">
        <f t="shared" si="58"/>
        <v>1</v>
      </c>
      <c r="S327" s="22" t="str">
        <f t="shared" si="59"/>
        <v>Low</v>
      </c>
    </row>
    <row r="328" spans="1:19" x14ac:dyDescent="0.3">
      <c r="A328" s="22" t="s">
        <v>1167</v>
      </c>
      <c r="B328" t="str">
        <f t="shared" si="50"/>
        <v>Keerthi Agarwal</v>
      </c>
      <c r="C328" t="str">
        <f t="shared" si="51"/>
        <v>Operations</v>
      </c>
      <c r="D328" t="str">
        <f t="shared" si="52"/>
        <v>Ankit Khanna</v>
      </c>
      <c r="E328" s="30" t="str">
        <f t="shared" si="53"/>
        <v>Active</v>
      </c>
      <c r="F328" s="22" t="s">
        <v>1701</v>
      </c>
      <c r="G328" s="24">
        <v>3.7</v>
      </c>
      <c r="H328" s="24">
        <v>3.6</v>
      </c>
      <c r="I328" s="24">
        <v>3.4</v>
      </c>
      <c r="J328" s="24">
        <v>3.6</v>
      </c>
      <c r="K328" s="24">
        <v>2.9</v>
      </c>
      <c r="L328" s="24">
        <v>3.6</v>
      </c>
      <c r="M328" s="25">
        <f t="shared" si="54"/>
        <v>3.47</v>
      </c>
      <c r="N328" s="22">
        <v>9</v>
      </c>
      <c r="O328" s="22" t="str">
        <f t="shared" si="55"/>
        <v>Promoter</v>
      </c>
      <c r="P328" s="30">
        <f t="shared" si="56"/>
        <v>3</v>
      </c>
      <c r="Q328" s="35">
        <f t="shared" si="57"/>
        <v>0.99</v>
      </c>
      <c r="R328" s="22">
        <f t="shared" si="58"/>
        <v>0</v>
      </c>
      <c r="S328" s="22" t="str">
        <f t="shared" si="59"/>
        <v>Low</v>
      </c>
    </row>
    <row r="329" spans="1:19" x14ac:dyDescent="0.3">
      <c r="A329" s="22" t="s">
        <v>1170</v>
      </c>
      <c r="B329" t="str">
        <f t="shared" si="50"/>
        <v>Vishal Subramanian</v>
      </c>
      <c r="C329" t="str">
        <f t="shared" si="51"/>
        <v>Operations</v>
      </c>
      <c r="D329" t="str">
        <f t="shared" si="52"/>
        <v>Ramya Menon</v>
      </c>
      <c r="E329" s="30" t="str">
        <f t="shared" si="53"/>
        <v>Active</v>
      </c>
      <c r="F329" s="22" t="s">
        <v>1700</v>
      </c>
      <c r="G329" s="24">
        <v>3.2</v>
      </c>
      <c r="H329" s="24">
        <v>4</v>
      </c>
      <c r="I329" s="24">
        <v>3.3</v>
      </c>
      <c r="J329" s="24">
        <v>3.4</v>
      </c>
      <c r="K329" s="24">
        <v>3.2</v>
      </c>
      <c r="L329" s="24">
        <v>3</v>
      </c>
      <c r="M329" s="25">
        <f t="shared" si="54"/>
        <v>3.35</v>
      </c>
      <c r="N329" s="22">
        <v>9</v>
      </c>
      <c r="O329" s="22" t="str">
        <f t="shared" si="55"/>
        <v>Promoter</v>
      </c>
      <c r="P329" s="30">
        <f t="shared" si="56"/>
        <v>4</v>
      </c>
      <c r="Q329" s="35">
        <f t="shared" si="57"/>
        <v>0.85</v>
      </c>
      <c r="R329" s="22">
        <f t="shared" si="58"/>
        <v>2</v>
      </c>
      <c r="S329" s="22" t="str">
        <f t="shared" si="59"/>
        <v>Medium</v>
      </c>
    </row>
    <row r="330" spans="1:19" x14ac:dyDescent="0.3">
      <c r="A330" s="22" t="s">
        <v>1173</v>
      </c>
      <c r="B330" t="str">
        <f t="shared" si="50"/>
        <v>Akash Fernandes</v>
      </c>
      <c r="C330" t="str">
        <f t="shared" si="51"/>
        <v>Engineering</v>
      </c>
      <c r="D330" t="str">
        <f t="shared" si="52"/>
        <v>Fatima Choudhary</v>
      </c>
      <c r="E330" s="30" t="str">
        <f t="shared" si="53"/>
        <v>Active</v>
      </c>
      <c r="F330" s="22" t="s">
        <v>1700</v>
      </c>
      <c r="G330" s="24">
        <v>3.4</v>
      </c>
      <c r="H330" s="24">
        <v>2.9</v>
      </c>
      <c r="I330" s="24">
        <v>3</v>
      </c>
      <c r="J330" s="24">
        <v>2.8</v>
      </c>
      <c r="K330" s="24">
        <v>2.9</v>
      </c>
      <c r="L330" s="24">
        <v>3.1</v>
      </c>
      <c r="M330" s="25">
        <f t="shared" si="54"/>
        <v>3.02</v>
      </c>
      <c r="N330" s="22">
        <v>6</v>
      </c>
      <c r="O330" s="22" t="str">
        <f t="shared" si="55"/>
        <v>Detractor</v>
      </c>
      <c r="P330" s="30">
        <f t="shared" si="56"/>
        <v>2</v>
      </c>
      <c r="Q330" s="35">
        <f t="shared" si="57"/>
        <v>1.02</v>
      </c>
      <c r="R330" s="22">
        <f t="shared" si="58"/>
        <v>1</v>
      </c>
      <c r="S330" s="22" t="str">
        <f t="shared" si="59"/>
        <v>Low</v>
      </c>
    </row>
    <row r="331" spans="1:19" x14ac:dyDescent="0.3">
      <c r="A331" s="22" t="s">
        <v>1176</v>
      </c>
      <c r="B331" t="str">
        <f t="shared" si="50"/>
        <v>Prakash Singh</v>
      </c>
      <c r="C331" t="str">
        <f t="shared" si="51"/>
        <v>Sales</v>
      </c>
      <c r="D331" t="str">
        <f t="shared" si="52"/>
        <v>Yash Raghavan</v>
      </c>
      <c r="E331" s="30" t="str">
        <f t="shared" si="53"/>
        <v>Active</v>
      </c>
      <c r="F331" s="22" t="s">
        <v>1700</v>
      </c>
      <c r="G331" s="24">
        <v>3</v>
      </c>
      <c r="H331" s="24">
        <v>3</v>
      </c>
      <c r="I331" s="24">
        <v>3.1</v>
      </c>
      <c r="J331" s="24">
        <v>4.2</v>
      </c>
      <c r="K331" s="24">
        <v>3.5</v>
      </c>
      <c r="L331" s="24">
        <v>3</v>
      </c>
      <c r="M331" s="25">
        <f t="shared" si="54"/>
        <v>3.3</v>
      </c>
      <c r="N331" s="22">
        <v>9</v>
      </c>
      <c r="O331" s="22" t="str">
        <f t="shared" si="55"/>
        <v>Promoter</v>
      </c>
      <c r="P331" s="30">
        <f t="shared" si="56"/>
        <v>3</v>
      </c>
      <c r="Q331" s="35">
        <f t="shared" si="57"/>
        <v>0.96</v>
      </c>
      <c r="R331" s="22">
        <f t="shared" si="58"/>
        <v>0</v>
      </c>
      <c r="S331" s="22" t="str">
        <f t="shared" si="59"/>
        <v>Low</v>
      </c>
    </row>
    <row r="332" spans="1:19" x14ac:dyDescent="0.3">
      <c r="A332" s="22" t="s">
        <v>1179</v>
      </c>
      <c r="B332" t="str">
        <f t="shared" si="50"/>
        <v>Sindhu Kapoor</v>
      </c>
      <c r="C332" t="str">
        <f t="shared" si="51"/>
        <v>Data &amp; Analytics</v>
      </c>
      <c r="D332" t="str">
        <f t="shared" si="52"/>
        <v>Karan Verma</v>
      </c>
      <c r="E332" s="30" t="str">
        <f t="shared" si="53"/>
        <v>Active</v>
      </c>
      <c r="F332" s="22" t="s">
        <v>1701</v>
      </c>
      <c r="G332" s="24">
        <v>3</v>
      </c>
      <c r="H332" s="24">
        <v>3.5</v>
      </c>
      <c r="I332" s="24">
        <v>3.9</v>
      </c>
      <c r="J332" s="24">
        <v>2.8</v>
      </c>
      <c r="K332" s="24">
        <v>4</v>
      </c>
      <c r="L332" s="24">
        <v>3</v>
      </c>
      <c r="M332" s="25">
        <f t="shared" si="54"/>
        <v>3.37</v>
      </c>
      <c r="N332" s="22">
        <v>8</v>
      </c>
      <c r="O332" s="22" t="str">
        <f t="shared" si="55"/>
        <v>Passive</v>
      </c>
      <c r="P332" s="30">
        <f t="shared" si="56"/>
        <v>3</v>
      </c>
      <c r="Q332" s="35">
        <f t="shared" si="57"/>
        <v>0.88</v>
      </c>
      <c r="R332" s="22">
        <f t="shared" si="58"/>
        <v>1</v>
      </c>
      <c r="S332" s="22" t="str">
        <f t="shared" si="59"/>
        <v>Low</v>
      </c>
    </row>
    <row r="333" spans="1:19" x14ac:dyDescent="0.3">
      <c r="A333" s="22" t="s">
        <v>1182</v>
      </c>
      <c r="B333" t="str">
        <f t="shared" si="50"/>
        <v>Swathi Khanna</v>
      </c>
      <c r="C333" t="str">
        <f t="shared" si="51"/>
        <v>Engineering</v>
      </c>
      <c r="D333" t="str">
        <f t="shared" si="52"/>
        <v>Madhuri Menon</v>
      </c>
      <c r="E333" s="30" t="str">
        <f t="shared" si="53"/>
        <v>Active</v>
      </c>
      <c r="F333" s="22" t="s">
        <v>1700</v>
      </c>
      <c r="G333" s="24">
        <v>3.1</v>
      </c>
      <c r="H333" s="24">
        <v>3.6</v>
      </c>
      <c r="I333" s="24">
        <v>3.2</v>
      </c>
      <c r="J333" s="24">
        <v>3.5</v>
      </c>
      <c r="K333" s="24">
        <v>3.4</v>
      </c>
      <c r="L333" s="24">
        <v>3.1</v>
      </c>
      <c r="M333" s="25">
        <f t="shared" si="54"/>
        <v>3.32</v>
      </c>
      <c r="N333" s="22">
        <v>8</v>
      </c>
      <c r="O333" s="22" t="str">
        <f t="shared" si="55"/>
        <v>Passive</v>
      </c>
      <c r="P333" s="30">
        <f t="shared" si="56"/>
        <v>3</v>
      </c>
      <c r="Q333" s="35">
        <f t="shared" si="57"/>
        <v>1.38</v>
      </c>
      <c r="R333" s="22">
        <f t="shared" si="58"/>
        <v>0</v>
      </c>
      <c r="S333" s="22" t="str">
        <f t="shared" si="59"/>
        <v>Low</v>
      </c>
    </row>
    <row r="334" spans="1:19" x14ac:dyDescent="0.3">
      <c r="A334" s="22" t="s">
        <v>1185</v>
      </c>
      <c r="B334" t="str">
        <f t="shared" si="50"/>
        <v>Siddharth Reddy</v>
      </c>
      <c r="C334" t="str">
        <f t="shared" si="51"/>
        <v>Marketing</v>
      </c>
      <c r="D334" t="str">
        <f t="shared" si="52"/>
        <v>Isha Chatterjee</v>
      </c>
      <c r="E334" s="30" t="str">
        <f t="shared" si="53"/>
        <v>Active</v>
      </c>
      <c r="F334" s="22" t="s">
        <v>1700</v>
      </c>
      <c r="G334" s="24">
        <v>3.9</v>
      </c>
      <c r="H334" s="24">
        <v>3.3</v>
      </c>
      <c r="I334" s="24">
        <v>3.6</v>
      </c>
      <c r="J334" s="24">
        <v>3.3</v>
      </c>
      <c r="K334" s="24">
        <v>3.7</v>
      </c>
      <c r="L334" s="24">
        <v>3.9</v>
      </c>
      <c r="M334" s="25">
        <f t="shared" si="54"/>
        <v>3.62</v>
      </c>
      <c r="N334" s="22">
        <v>8</v>
      </c>
      <c r="O334" s="22" t="str">
        <f t="shared" si="55"/>
        <v>Passive</v>
      </c>
      <c r="P334" s="30">
        <f t="shared" si="56"/>
        <v>5</v>
      </c>
      <c r="Q334" s="35">
        <f t="shared" si="57"/>
        <v>1.0900000000000001</v>
      </c>
      <c r="R334" s="22">
        <f t="shared" si="58"/>
        <v>1</v>
      </c>
      <c r="S334" s="22" t="str">
        <f t="shared" si="59"/>
        <v>Low</v>
      </c>
    </row>
    <row r="335" spans="1:19" x14ac:dyDescent="0.3">
      <c r="A335" s="22" t="s">
        <v>1188</v>
      </c>
      <c r="B335" t="str">
        <f t="shared" si="50"/>
        <v>Megha Subramanian</v>
      </c>
      <c r="C335" t="str">
        <f t="shared" si="51"/>
        <v>Customer Support</v>
      </c>
      <c r="D335" t="str">
        <f t="shared" si="52"/>
        <v>Imran Joshi</v>
      </c>
      <c r="E335" s="30" t="str">
        <f t="shared" si="53"/>
        <v>Exited</v>
      </c>
      <c r="F335" s="22" t="s">
        <v>1700</v>
      </c>
      <c r="G335" s="24">
        <v>3.1</v>
      </c>
      <c r="H335" s="24">
        <v>2.8</v>
      </c>
      <c r="I335" s="24">
        <v>3.3</v>
      </c>
      <c r="J335" s="24">
        <v>2.8</v>
      </c>
      <c r="K335" s="24">
        <v>3.1</v>
      </c>
      <c r="L335" s="24">
        <v>3.3</v>
      </c>
      <c r="M335" s="25">
        <f t="shared" si="54"/>
        <v>3.07</v>
      </c>
      <c r="N335" s="22">
        <v>9</v>
      </c>
      <c r="O335" s="22" t="str">
        <f t="shared" si="55"/>
        <v>Promoter</v>
      </c>
      <c r="P335" s="30">
        <f t="shared" si="56"/>
        <v>1</v>
      </c>
      <c r="Q335" s="35">
        <f t="shared" si="57"/>
        <v>0.79</v>
      </c>
      <c r="R335" s="22">
        <f t="shared" si="58"/>
        <v>1</v>
      </c>
      <c r="S335" s="22" t="str">
        <f t="shared" si="59"/>
        <v>Exited</v>
      </c>
    </row>
    <row r="336" spans="1:19" x14ac:dyDescent="0.3">
      <c r="A336" s="22" t="s">
        <v>1191</v>
      </c>
      <c r="B336" t="str">
        <f t="shared" si="50"/>
        <v>Farhan Kamath</v>
      </c>
      <c r="C336" t="str">
        <f t="shared" si="51"/>
        <v>Operations</v>
      </c>
      <c r="D336" t="str">
        <f t="shared" si="52"/>
        <v>Yash Shah</v>
      </c>
      <c r="E336" s="30" t="str">
        <f t="shared" si="53"/>
        <v>Active</v>
      </c>
      <c r="F336" s="22" t="s">
        <v>1700</v>
      </c>
      <c r="G336" s="24">
        <v>3.8</v>
      </c>
      <c r="H336" s="24">
        <v>3.9</v>
      </c>
      <c r="I336" s="24">
        <v>3.5</v>
      </c>
      <c r="J336" s="24">
        <v>3.4</v>
      </c>
      <c r="K336" s="24">
        <v>3.4</v>
      </c>
      <c r="L336" s="24">
        <v>3.7</v>
      </c>
      <c r="M336" s="25">
        <f t="shared" si="54"/>
        <v>3.62</v>
      </c>
      <c r="N336" s="22">
        <v>9</v>
      </c>
      <c r="O336" s="22" t="str">
        <f t="shared" si="55"/>
        <v>Promoter</v>
      </c>
      <c r="P336" s="30">
        <f t="shared" si="56"/>
        <v>3</v>
      </c>
      <c r="Q336" s="35">
        <f t="shared" si="57"/>
        <v>0.8</v>
      </c>
      <c r="R336" s="22">
        <f t="shared" si="58"/>
        <v>1</v>
      </c>
      <c r="S336" s="22" t="str">
        <f t="shared" si="59"/>
        <v>Low</v>
      </c>
    </row>
    <row r="337" spans="1:19" x14ac:dyDescent="0.3">
      <c r="A337" s="22" t="s">
        <v>1194</v>
      </c>
      <c r="B337" t="str">
        <f t="shared" si="50"/>
        <v>Rahul Siddiqui</v>
      </c>
      <c r="C337" t="str">
        <f t="shared" si="51"/>
        <v>Customer Support</v>
      </c>
      <c r="D337" t="str">
        <f t="shared" si="52"/>
        <v>Ashish Varghese</v>
      </c>
      <c r="E337" s="30" t="str">
        <f t="shared" si="53"/>
        <v>Active</v>
      </c>
      <c r="F337" s="22" t="s">
        <v>1700</v>
      </c>
      <c r="G337" s="24">
        <v>3.3</v>
      </c>
      <c r="H337" s="24">
        <v>3.4</v>
      </c>
      <c r="I337" s="24">
        <v>3.4</v>
      </c>
      <c r="J337" s="24">
        <v>3.8</v>
      </c>
      <c r="K337" s="24">
        <v>3.1</v>
      </c>
      <c r="L337" s="24">
        <v>3.4</v>
      </c>
      <c r="M337" s="25">
        <f t="shared" si="54"/>
        <v>3.4</v>
      </c>
      <c r="N337" s="22">
        <v>9</v>
      </c>
      <c r="O337" s="22" t="str">
        <f t="shared" si="55"/>
        <v>Promoter</v>
      </c>
      <c r="P337" s="30">
        <f t="shared" si="56"/>
        <v>3</v>
      </c>
      <c r="Q337" s="35">
        <f t="shared" si="57"/>
        <v>0.64</v>
      </c>
      <c r="R337" s="22">
        <f t="shared" si="58"/>
        <v>1</v>
      </c>
      <c r="S337" s="22" t="str">
        <f t="shared" si="59"/>
        <v>Low</v>
      </c>
    </row>
    <row r="338" spans="1:19" x14ac:dyDescent="0.3">
      <c r="A338" s="22" t="s">
        <v>1197</v>
      </c>
      <c r="B338" t="str">
        <f t="shared" si="50"/>
        <v>Ajay Naidu</v>
      </c>
      <c r="C338" t="str">
        <f t="shared" si="51"/>
        <v>Engineering</v>
      </c>
      <c r="D338" t="str">
        <f t="shared" si="52"/>
        <v>Isha Jain</v>
      </c>
      <c r="E338" s="30" t="str">
        <f t="shared" si="53"/>
        <v>Active</v>
      </c>
      <c r="F338" s="22" t="s">
        <v>1700</v>
      </c>
      <c r="G338" s="24">
        <v>2.6</v>
      </c>
      <c r="H338" s="24">
        <v>3.1</v>
      </c>
      <c r="I338" s="24">
        <v>3.1</v>
      </c>
      <c r="J338" s="24">
        <v>2.6</v>
      </c>
      <c r="K338" s="24">
        <v>3.1</v>
      </c>
      <c r="L338" s="24">
        <v>3.2</v>
      </c>
      <c r="M338" s="25">
        <f t="shared" si="54"/>
        <v>2.95</v>
      </c>
      <c r="N338" s="22">
        <v>7</v>
      </c>
      <c r="O338" s="22" t="str">
        <f t="shared" si="55"/>
        <v>Passive</v>
      </c>
      <c r="P338" s="30">
        <f t="shared" si="56"/>
        <v>4</v>
      </c>
      <c r="Q338" s="35">
        <f t="shared" si="57"/>
        <v>0.94</v>
      </c>
      <c r="R338" s="22">
        <f t="shared" si="58"/>
        <v>2</v>
      </c>
      <c r="S338" s="22" t="str">
        <f t="shared" si="59"/>
        <v>Medium</v>
      </c>
    </row>
    <row r="339" spans="1:19" x14ac:dyDescent="0.3">
      <c r="A339" s="22" t="s">
        <v>1200</v>
      </c>
      <c r="B339" t="str">
        <f t="shared" si="50"/>
        <v>Sai Kulkarni</v>
      </c>
      <c r="C339" t="str">
        <f t="shared" si="51"/>
        <v>Operations</v>
      </c>
      <c r="D339" t="str">
        <f t="shared" si="52"/>
        <v>Nandini Fernandes</v>
      </c>
      <c r="E339" s="30" t="str">
        <f t="shared" si="53"/>
        <v>Exited</v>
      </c>
      <c r="F339" s="22" t="s">
        <v>1700</v>
      </c>
      <c r="G339" s="24">
        <v>3.1</v>
      </c>
      <c r="H339" s="24">
        <v>3.2</v>
      </c>
      <c r="I339" s="24">
        <v>3</v>
      </c>
      <c r="J339" s="24">
        <v>3.1</v>
      </c>
      <c r="K339" s="24">
        <v>3.4</v>
      </c>
      <c r="L339" s="24">
        <v>3.1</v>
      </c>
      <c r="M339" s="25">
        <f t="shared" si="54"/>
        <v>3.15</v>
      </c>
      <c r="N339" s="22">
        <v>6</v>
      </c>
      <c r="O339" s="22" t="str">
        <f t="shared" si="55"/>
        <v>Detractor</v>
      </c>
      <c r="P339" s="30">
        <f t="shared" si="56"/>
        <v>3</v>
      </c>
      <c r="Q339" s="35">
        <f t="shared" si="57"/>
        <v>0.86</v>
      </c>
      <c r="R339" s="22">
        <f t="shared" si="58"/>
        <v>2</v>
      </c>
      <c r="S339" s="22" t="str">
        <f t="shared" si="59"/>
        <v>Exited</v>
      </c>
    </row>
    <row r="340" spans="1:19" x14ac:dyDescent="0.3">
      <c r="A340" s="22" t="s">
        <v>161</v>
      </c>
      <c r="B340" t="str">
        <f t="shared" si="50"/>
        <v>Lakshmi Subramanian</v>
      </c>
      <c r="C340" t="str">
        <f t="shared" si="51"/>
        <v>Legal &amp; Compliance</v>
      </c>
      <c r="D340" t="str">
        <f t="shared" si="52"/>
        <v>Aditi Nair</v>
      </c>
      <c r="E340" s="30" t="str">
        <f t="shared" si="53"/>
        <v>Active</v>
      </c>
      <c r="F340" s="22" t="s">
        <v>1700</v>
      </c>
      <c r="G340" s="24">
        <v>3.5</v>
      </c>
      <c r="H340" s="24">
        <v>2.5</v>
      </c>
      <c r="I340" s="24">
        <v>2.9</v>
      </c>
      <c r="J340" s="24">
        <v>2.9</v>
      </c>
      <c r="K340" s="24">
        <v>2.7</v>
      </c>
      <c r="L340" s="24">
        <v>2.6</v>
      </c>
      <c r="M340" s="25">
        <f t="shared" si="54"/>
        <v>2.85</v>
      </c>
      <c r="N340" s="22">
        <v>7</v>
      </c>
      <c r="O340" s="22" t="str">
        <f t="shared" si="55"/>
        <v>Passive</v>
      </c>
      <c r="P340" s="30">
        <f t="shared" si="56"/>
        <v>1</v>
      </c>
      <c r="Q340" s="35">
        <f t="shared" si="57"/>
        <v>1.1299999999999999</v>
      </c>
      <c r="R340" s="22">
        <f t="shared" si="58"/>
        <v>1</v>
      </c>
      <c r="S340" s="22" t="str">
        <f t="shared" si="59"/>
        <v>Low</v>
      </c>
    </row>
    <row r="341" spans="1:19" x14ac:dyDescent="0.3">
      <c r="A341" s="22" t="s">
        <v>1207</v>
      </c>
      <c r="B341" t="str">
        <f t="shared" si="50"/>
        <v>Rohan Raghavan</v>
      </c>
      <c r="C341" t="str">
        <f t="shared" si="51"/>
        <v>Engineering</v>
      </c>
      <c r="D341" t="str">
        <f t="shared" si="52"/>
        <v>Bhavana Hegde</v>
      </c>
      <c r="E341" s="30" t="str">
        <f t="shared" si="53"/>
        <v>Active</v>
      </c>
      <c r="F341" s="22" t="s">
        <v>1700</v>
      </c>
      <c r="G341" s="24">
        <v>3.7</v>
      </c>
      <c r="H341" s="24">
        <v>3.4</v>
      </c>
      <c r="I341" s="24">
        <v>3.5</v>
      </c>
      <c r="J341" s="24">
        <v>4.0999999999999996</v>
      </c>
      <c r="K341" s="24">
        <v>3.4</v>
      </c>
      <c r="L341" s="24">
        <v>3.7</v>
      </c>
      <c r="M341" s="25">
        <f t="shared" si="54"/>
        <v>3.63</v>
      </c>
      <c r="N341" s="22">
        <v>7</v>
      </c>
      <c r="O341" s="22" t="str">
        <f t="shared" si="55"/>
        <v>Passive</v>
      </c>
      <c r="P341" s="30">
        <f t="shared" si="56"/>
        <v>4</v>
      </c>
      <c r="Q341" s="35">
        <f t="shared" si="57"/>
        <v>0.95</v>
      </c>
      <c r="R341" s="22">
        <f t="shared" si="58"/>
        <v>1</v>
      </c>
      <c r="S341" s="22" t="str">
        <f t="shared" si="59"/>
        <v>Low</v>
      </c>
    </row>
    <row r="342" spans="1:19" x14ac:dyDescent="0.3">
      <c r="A342" s="22" t="s">
        <v>1210</v>
      </c>
      <c r="B342" t="str">
        <f t="shared" si="50"/>
        <v>Gayatri Naidu</v>
      </c>
      <c r="C342" t="str">
        <f t="shared" si="51"/>
        <v>Customer Support</v>
      </c>
      <c r="D342" t="str">
        <f t="shared" si="52"/>
        <v>Ashish Varghese</v>
      </c>
      <c r="E342" s="30" t="str">
        <f t="shared" si="53"/>
        <v>Exited</v>
      </c>
      <c r="F342" s="22" t="s">
        <v>1700</v>
      </c>
      <c r="G342" s="24">
        <v>1.7</v>
      </c>
      <c r="H342" s="24">
        <v>2.5</v>
      </c>
      <c r="I342" s="24">
        <v>2.6</v>
      </c>
      <c r="J342" s="24">
        <v>2</v>
      </c>
      <c r="K342" s="24">
        <v>2.1</v>
      </c>
      <c r="L342" s="24">
        <v>2.2000000000000002</v>
      </c>
      <c r="M342" s="25">
        <f t="shared" si="54"/>
        <v>2.1800000000000002</v>
      </c>
      <c r="N342" s="22">
        <v>5</v>
      </c>
      <c r="O342" s="22" t="str">
        <f t="shared" si="55"/>
        <v>Detractor</v>
      </c>
      <c r="P342" s="30">
        <f t="shared" si="56"/>
        <v>4</v>
      </c>
      <c r="Q342" s="35">
        <f t="shared" si="57"/>
        <v>0.71</v>
      </c>
      <c r="R342" s="22">
        <f t="shared" si="58"/>
        <v>4</v>
      </c>
      <c r="S342" s="22" t="str">
        <f t="shared" si="59"/>
        <v>Exited</v>
      </c>
    </row>
    <row r="343" spans="1:19" x14ac:dyDescent="0.3">
      <c r="A343" s="22" t="s">
        <v>1213</v>
      </c>
      <c r="B343" t="str">
        <f t="shared" si="50"/>
        <v>Kiran Bose</v>
      </c>
      <c r="C343" t="str">
        <f t="shared" si="51"/>
        <v>Sales</v>
      </c>
      <c r="D343" t="str">
        <f t="shared" si="52"/>
        <v>Kavya Krishnan</v>
      </c>
      <c r="E343" s="30" t="str">
        <f t="shared" si="53"/>
        <v>Active</v>
      </c>
      <c r="F343" s="22" t="s">
        <v>1700</v>
      </c>
      <c r="G343" s="24">
        <v>2.2999999999999998</v>
      </c>
      <c r="H343" s="24">
        <v>3.2</v>
      </c>
      <c r="I343" s="24">
        <v>3</v>
      </c>
      <c r="J343" s="24">
        <v>3.1</v>
      </c>
      <c r="K343" s="24">
        <v>3.3</v>
      </c>
      <c r="L343" s="24">
        <v>3</v>
      </c>
      <c r="M343" s="25">
        <f t="shared" si="54"/>
        <v>2.98</v>
      </c>
      <c r="N343" s="22">
        <v>6</v>
      </c>
      <c r="O343" s="22" t="str">
        <f t="shared" si="55"/>
        <v>Detractor</v>
      </c>
      <c r="P343" s="30">
        <f t="shared" si="56"/>
        <v>2</v>
      </c>
      <c r="Q343" s="35">
        <f t="shared" si="57"/>
        <v>0.81</v>
      </c>
      <c r="R343" s="22">
        <f t="shared" si="58"/>
        <v>3</v>
      </c>
      <c r="S343" s="22" t="str">
        <f t="shared" si="59"/>
        <v>High</v>
      </c>
    </row>
    <row r="344" spans="1:19" x14ac:dyDescent="0.3">
      <c r="A344" s="22" t="s">
        <v>1216</v>
      </c>
      <c r="B344" t="str">
        <f t="shared" si="50"/>
        <v>Trisha Gowda</v>
      </c>
      <c r="C344" t="str">
        <f t="shared" si="51"/>
        <v>Operations</v>
      </c>
      <c r="D344" t="str">
        <f t="shared" si="52"/>
        <v>Ramya Menon</v>
      </c>
      <c r="E344" s="30" t="str">
        <f t="shared" si="53"/>
        <v>Exited</v>
      </c>
      <c r="F344" s="22" t="s">
        <v>1700</v>
      </c>
      <c r="G344" s="24">
        <v>3</v>
      </c>
      <c r="H344" s="24">
        <v>2.6</v>
      </c>
      <c r="I344" s="24">
        <v>3.3</v>
      </c>
      <c r="J344" s="24">
        <v>2.5</v>
      </c>
      <c r="K344" s="24">
        <v>3.4</v>
      </c>
      <c r="L344" s="24">
        <v>3.3</v>
      </c>
      <c r="M344" s="25">
        <f t="shared" si="54"/>
        <v>3.02</v>
      </c>
      <c r="N344" s="22">
        <v>5</v>
      </c>
      <c r="O344" s="22" t="str">
        <f t="shared" si="55"/>
        <v>Detractor</v>
      </c>
      <c r="P344" s="30">
        <f t="shared" si="56"/>
        <v>4</v>
      </c>
      <c r="Q344" s="35">
        <f t="shared" si="57"/>
        <v>0.71</v>
      </c>
      <c r="R344" s="22">
        <f t="shared" si="58"/>
        <v>3</v>
      </c>
      <c r="S344" s="22" t="str">
        <f t="shared" si="59"/>
        <v>Exited</v>
      </c>
    </row>
    <row r="345" spans="1:19" x14ac:dyDescent="0.3">
      <c r="A345" s="22" t="s">
        <v>1219</v>
      </c>
      <c r="B345" t="str">
        <f t="shared" si="50"/>
        <v>Pooja Subramanian</v>
      </c>
      <c r="C345" t="str">
        <f t="shared" si="51"/>
        <v>Operations</v>
      </c>
      <c r="D345" t="str">
        <f t="shared" si="52"/>
        <v>Nandini Fernandes</v>
      </c>
      <c r="E345" s="30" t="str">
        <f t="shared" si="53"/>
        <v>Active</v>
      </c>
      <c r="F345" s="22" t="s">
        <v>1700</v>
      </c>
      <c r="G345" s="24">
        <v>2.5</v>
      </c>
      <c r="H345" s="24">
        <v>2.8</v>
      </c>
      <c r="I345" s="24">
        <v>3.6</v>
      </c>
      <c r="J345" s="24">
        <v>3.4</v>
      </c>
      <c r="K345" s="24">
        <v>3.2</v>
      </c>
      <c r="L345" s="24">
        <v>2.9</v>
      </c>
      <c r="M345" s="25">
        <f t="shared" si="54"/>
        <v>3.07</v>
      </c>
      <c r="N345" s="22">
        <v>8</v>
      </c>
      <c r="O345" s="22" t="str">
        <f t="shared" si="55"/>
        <v>Passive</v>
      </c>
      <c r="P345" s="30">
        <f t="shared" si="56"/>
        <v>3</v>
      </c>
      <c r="Q345" s="35">
        <f t="shared" si="57"/>
        <v>0.79</v>
      </c>
      <c r="R345" s="22">
        <f t="shared" si="58"/>
        <v>1</v>
      </c>
      <c r="S345" s="22" t="str">
        <f t="shared" si="59"/>
        <v>Low</v>
      </c>
    </row>
    <row r="346" spans="1:19" x14ac:dyDescent="0.3">
      <c r="A346" s="22" t="s">
        <v>1222</v>
      </c>
      <c r="B346" t="str">
        <f t="shared" si="50"/>
        <v>Nikhil Nair</v>
      </c>
      <c r="C346" t="str">
        <f t="shared" si="51"/>
        <v>Data &amp; Analytics</v>
      </c>
      <c r="D346" t="str">
        <f t="shared" si="52"/>
        <v>Arun Mukherjee</v>
      </c>
      <c r="E346" s="30" t="str">
        <f t="shared" si="53"/>
        <v>Active</v>
      </c>
      <c r="F346" s="22" t="s">
        <v>1700</v>
      </c>
      <c r="G346" s="24">
        <v>3.1</v>
      </c>
      <c r="H346" s="24">
        <v>2.9</v>
      </c>
      <c r="I346" s="24">
        <v>2.6</v>
      </c>
      <c r="J346" s="24">
        <v>2.6</v>
      </c>
      <c r="K346" s="24">
        <v>2.5</v>
      </c>
      <c r="L346" s="24">
        <v>1.9</v>
      </c>
      <c r="M346" s="25">
        <f t="shared" si="54"/>
        <v>2.6</v>
      </c>
      <c r="N346" s="22">
        <v>9</v>
      </c>
      <c r="O346" s="22" t="str">
        <f t="shared" si="55"/>
        <v>Promoter</v>
      </c>
      <c r="P346" s="30">
        <f t="shared" si="56"/>
        <v>2</v>
      </c>
      <c r="Q346" s="35">
        <f t="shared" si="57"/>
        <v>1.22</v>
      </c>
      <c r="R346" s="22">
        <f t="shared" si="58"/>
        <v>1</v>
      </c>
      <c r="S346" s="22" t="str">
        <f t="shared" si="59"/>
        <v>Low</v>
      </c>
    </row>
    <row r="347" spans="1:19" x14ac:dyDescent="0.3">
      <c r="A347" s="22" t="s">
        <v>1225</v>
      </c>
      <c r="B347" t="str">
        <f t="shared" si="50"/>
        <v>Imran Mukherjee</v>
      </c>
      <c r="C347" t="str">
        <f t="shared" si="51"/>
        <v>Engineering</v>
      </c>
      <c r="D347" t="str">
        <f t="shared" si="52"/>
        <v>Isha Jain</v>
      </c>
      <c r="E347" s="30" t="str">
        <f t="shared" si="53"/>
        <v>Active</v>
      </c>
      <c r="F347" s="22" t="s">
        <v>1700</v>
      </c>
      <c r="G347" s="24">
        <v>2.8</v>
      </c>
      <c r="H347" s="24">
        <v>3</v>
      </c>
      <c r="I347" s="24">
        <v>3.3</v>
      </c>
      <c r="J347" s="24">
        <v>3.5</v>
      </c>
      <c r="K347" s="24">
        <v>3</v>
      </c>
      <c r="L347" s="24">
        <v>2.7</v>
      </c>
      <c r="M347" s="25">
        <f t="shared" si="54"/>
        <v>3.05</v>
      </c>
      <c r="N347" s="22">
        <v>8</v>
      </c>
      <c r="O347" s="22" t="str">
        <f t="shared" si="55"/>
        <v>Passive</v>
      </c>
      <c r="P347" s="30">
        <f t="shared" si="56"/>
        <v>3</v>
      </c>
      <c r="Q347" s="35">
        <f t="shared" si="57"/>
        <v>0.92</v>
      </c>
      <c r="R347" s="22">
        <f t="shared" si="58"/>
        <v>0</v>
      </c>
      <c r="S347" s="22" t="str">
        <f t="shared" si="59"/>
        <v>Low</v>
      </c>
    </row>
    <row r="348" spans="1:19" x14ac:dyDescent="0.3">
      <c r="A348" s="22" t="s">
        <v>1228</v>
      </c>
      <c r="B348" t="str">
        <f t="shared" si="50"/>
        <v>Vinay Krishnan</v>
      </c>
      <c r="C348" t="str">
        <f t="shared" si="51"/>
        <v>Customer Support</v>
      </c>
      <c r="D348" t="str">
        <f t="shared" si="52"/>
        <v>Anjali Iyer</v>
      </c>
      <c r="E348" s="30" t="str">
        <f t="shared" si="53"/>
        <v>Active</v>
      </c>
      <c r="F348" s="22" t="s">
        <v>1700</v>
      </c>
      <c r="G348" s="24">
        <v>3.5</v>
      </c>
      <c r="H348" s="24">
        <v>3.4</v>
      </c>
      <c r="I348" s="24">
        <v>3.2</v>
      </c>
      <c r="J348" s="24">
        <v>3.3</v>
      </c>
      <c r="K348" s="24">
        <v>3.5</v>
      </c>
      <c r="L348" s="24">
        <v>3.4</v>
      </c>
      <c r="M348" s="25">
        <f t="shared" si="54"/>
        <v>3.38</v>
      </c>
      <c r="N348" s="22">
        <v>9</v>
      </c>
      <c r="O348" s="22" t="str">
        <f t="shared" si="55"/>
        <v>Promoter</v>
      </c>
      <c r="P348" s="30">
        <f t="shared" si="56"/>
        <v>3</v>
      </c>
      <c r="Q348" s="35">
        <f t="shared" si="57"/>
        <v>0.76</v>
      </c>
      <c r="R348" s="22">
        <f t="shared" si="58"/>
        <v>1</v>
      </c>
      <c r="S348" s="22" t="str">
        <f t="shared" si="59"/>
        <v>Low</v>
      </c>
    </row>
    <row r="349" spans="1:19" x14ac:dyDescent="0.3">
      <c r="A349" s="22" t="s">
        <v>1231</v>
      </c>
      <c r="B349" t="str">
        <f t="shared" si="50"/>
        <v>Tarun Mehta</v>
      </c>
      <c r="C349" t="str">
        <f t="shared" si="51"/>
        <v>Customer Support</v>
      </c>
      <c r="D349" t="str">
        <f t="shared" si="52"/>
        <v>Akash Dsouza</v>
      </c>
      <c r="E349" s="30" t="str">
        <f t="shared" si="53"/>
        <v>Active</v>
      </c>
      <c r="F349" s="22" t="s">
        <v>1700</v>
      </c>
      <c r="G349" s="24">
        <v>3.1</v>
      </c>
      <c r="H349" s="24">
        <v>3.1</v>
      </c>
      <c r="I349" s="24">
        <v>3</v>
      </c>
      <c r="J349" s="24">
        <v>3.4</v>
      </c>
      <c r="K349" s="24">
        <v>3.6</v>
      </c>
      <c r="L349" s="24">
        <v>3.1</v>
      </c>
      <c r="M349" s="25">
        <f t="shared" si="54"/>
        <v>3.22</v>
      </c>
      <c r="N349" s="22">
        <v>6</v>
      </c>
      <c r="O349" s="22" t="str">
        <f t="shared" si="55"/>
        <v>Detractor</v>
      </c>
      <c r="P349" s="30">
        <f t="shared" si="56"/>
        <v>3</v>
      </c>
      <c r="Q349" s="35">
        <f t="shared" si="57"/>
        <v>0.54</v>
      </c>
      <c r="R349" s="22">
        <f t="shared" si="58"/>
        <v>2</v>
      </c>
      <c r="S349" s="22" t="str">
        <f t="shared" si="59"/>
        <v>Medium</v>
      </c>
    </row>
    <row r="350" spans="1:19" x14ac:dyDescent="0.3">
      <c r="A350" s="22" t="s">
        <v>1234</v>
      </c>
      <c r="B350" t="str">
        <f t="shared" si="50"/>
        <v>Mohit Nair</v>
      </c>
      <c r="C350" t="str">
        <f t="shared" si="51"/>
        <v>Data &amp; Analytics</v>
      </c>
      <c r="D350" t="str">
        <f t="shared" si="52"/>
        <v>Arun Mukherjee</v>
      </c>
      <c r="E350" s="30" t="str">
        <f t="shared" si="53"/>
        <v>Exited</v>
      </c>
      <c r="F350" s="22" t="s">
        <v>1700</v>
      </c>
      <c r="G350" s="24">
        <v>3</v>
      </c>
      <c r="H350" s="24">
        <v>2.1</v>
      </c>
      <c r="I350" s="24">
        <v>3.2</v>
      </c>
      <c r="J350" s="24">
        <v>3.6</v>
      </c>
      <c r="K350" s="24">
        <v>3</v>
      </c>
      <c r="L350" s="24">
        <v>3.1</v>
      </c>
      <c r="M350" s="25">
        <f t="shared" si="54"/>
        <v>3</v>
      </c>
      <c r="N350" s="22">
        <v>5</v>
      </c>
      <c r="O350" s="22" t="str">
        <f t="shared" si="55"/>
        <v>Detractor</v>
      </c>
      <c r="P350" s="30">
        <f t="shared" si="56"/>
        <v>3</v>
      </c>
      <c r="Q350" s="35">
        <f t="shared" si="57"/>
        <v>0.99</v>
      </c>
      <c r="R350" s="22">
        <f t="shared" si="58"/>
        <v>1</v>
      </c>
      <c r="S350" s="22" t="str">
        <f t="shared" si="59"/>
        <v>Exited</v>
      </c>
    </row>
    <row r="351" spans="1:19" x14ac:dyDescent="0.3">
      <c r="A351" s="22" t="s">
        <v>1237</v>
      </c>
      <c r="B351" t="str">
        <f t="shared" si="50"/>
        <v>Akash Naidu</v>
      </c>
      <c r="C351" t="str">
        <f t="shared" si="51"/>
        <v>Engineering</v>
      </c>
      <c r="D351" t="str">
        <f t="shared" si="52"/>
        <v>Isha Jain</v>
      </c>
      <c r="E351" s="30" t="str">
        <f t="shared" si="53"/>
        <v>Active</v>
      </c>
      <c r="F351" s="22" t="s">
        <v>1700</v>
      </c>
      <c r="G351" s="24">
        <v>3.5</v>
      </c>
      <c r="H351" s="24">
        <v>3.3</v>
      </c>
      <c r="I351" s="24">
        <v>3.1</v>
      </c>
      <c r="J351" s="24">
        <v>2.8</v>
      </c>
      <c r="K351" s="24">
        <v>2.9</v>
      </c>
      <c r="L351" s="24">
        <v>3.2</v>
      </c>
      <c r="M351" s="25">
        <f t="shared" si="54"/>
        <v>3.13</v>
      </c>
      <c r="N351" s="22">
        <v>9</v>
      </c>
      <c r="O351" s="22" t="str">
        <f t="shared" si="55"/>
        <v>Promoter</v>
      </c>
      <c r="P351" s="30">
        <f t="shared" si="56"/>
        <v>3</v>
      </c>
      <c r="Q351" s="35">
        <f t="shared" si="57"/>
        <v>1.03</v>
      </c>
      <c r="R351" s="22">
        <f t="shared" si="58"/>
        <v>0</v>
      </c>
      <c r="S351" s="22" t="str">
        <f t="shared" si="59"/>
        <v>Low</v>
      </c>
    </row>
    <row r="352" spans="1:19" x14ac:dyDescent="0.3">
      <c r="A352" s="22" t="s">
        <v>1240</v>
      </c>
      <c r="B352" t="str">
        <f t="shared" si="50"/>
        <v>Pallavi Desai</v>
      </c>
      <c r="C352" t="str">
        <f t="shared" si="51"/>
        <v>Customer Support</v>
      </c>
      <c r="D352" t="str">
        <f t="shared" si="52"/>
        <v>Isha Verma</v>
      </c>
      <c r="E352" s="30" t="str">
        <f t="shared" si="53"/>
        <v>Active</v>
      </c>
      <c r="F352" s="22" t="s">
        <v>1700</v>
      </c>
      <c r="G352" s="24">
        <v>3.4</v>
      </c>
      <c r="H352" s="24">
        <v>4.2</v>
      </c>
      <c r="I352" s="24">
        <v>3</v>
      </c>
      <c r="J352" s="24">
        <v>4.0999999999999996</v>
      </c>
      <c r="K352" s="24">
        <v>2.9</v>
      </c>
      <c r="L352" s="24">
        <v>3.3</v>
      </c>
      <c r="M352" s="25">
        <f t="shared" si="54"/>
        <v>3.48</v>
      </c>
      <c r="N352" s="22">
        <v>9</v>
      </c>
      <c r="O352" s="22" t="str">
        <f t="shared" si="55"/>
        <v>Promoter</v>
      </c>
      <c r="P352" s="30">
        <f t="shared" si="56"/>
        <v>3</v>
      </c>
      <c r="Q352" s="35">
        <f t="shared" si="57"/>
        <v>0.8</v>
      </c>
      <c r="R352" s="22">
        <f t="shared" si="58"/>
        <v>1</v>
      </c>
      <c r="S352" s="22" t="str">
        <f t="shared" si="59"/>
        <v>Low</v>
      </c>
    </row>
    <row r="353" spans="1:19" x14ac:dyDescent="0.3">
      <c r="A353" s="22" t="s">
        <v>1243</v>
      </c>
      <c r="B353" t="str">
        <f t="shared" si="50"/>
        <v>Imran Das</v>
      </c>
      <c r="C353" t="str">
        <f t="shared" si="51"/>
        <v>Finance</v>
      </c>
      <c r="D353" t="str">
        <f t="shared" si="52"/>
        <v>Kritika Pandey</v>
      </c>
      <c r="E353" s="30" t="str">
        <f t="shared" si="53"/>
        <v>Exited</v>
      </c>
      <c r="F353" s="22" t="s">
        <v>1700</v>
      </c>
      <c r="G353" s="24">
        <v>2.2000000000000002</v>
      </c>
      <c r="H353" s="24">
        <v>2.2999999999999998</v>
      </c>
      <c r="I353" s="24">
        <v>2.5</v>
      </c>
      <c r="J353" s="24">
        <v>2.5</v>
      </c>
      <c r="K353" s="24">
        <v>1.7</v>
      </c>
      <c r="L353" s="24">
        <v>2.2999999999999998</v>
      </c>
      <c r="M353" s="25">
        <f t="shared" si="54"/>
        <v>2.25</v>
      </c>
      <c r="N353" s="22">
        <v>7</v>
      </c>
      <c r="O353" s="22" t="str">
        <f t="shared" si="55"/>
        <v>Passive</v>
      </c>
      <c r="P353" s="30">
        <f t="shared" si="56"/>
        <v>3</v>
      </c>
      <c r="Q353" s="35">
        <f t="shared" si="57"/>
        <v>0.86</v>
      </c>
      <c r="R353" s="22">
        <f t="shared" si="58"/>
        <v>2</v>
      </c>
      <c r="S353" s="22" t="str">
        <f t="shared" si="59"/>
        <v>Exited</v>
      </c>
    </row>
    <row r="354" spans="1:19" x14ac:dyDescent="0.3">
      <c r="A354" s="22" t="s">
        <v>1246</v>
      </c>
      <c r="B354" t="str">
        <f t="shared" si="50"/>
        <v>Anusha Das</v>
      </c>
      <c r="C354" t="str">
        <f t="shared" si="51"/>
        <v>Finance</v>
      </c>
      <c r="D354" t="str">
        <f t="shared" si="52"/>
        <v>Kritika Pandey</v>
      </c>
      <c r="E354" s="30" t="str">
        <f t="shared" si="53"/>
        <v>Active</v>
      </c>
      <c r="F354" s="22" t="s">
        <v>1701</v>
      </c>
      <c r="G354" s="24">
        <v>2.9</v>
      </c>
      <c r="H354" s="24">
        <v>3</v>
      </c>
      <c r="I354" s="24">
        <v>3.5</v>
      </c>
      <c r="J354" s="24">
        <v>3.2</v>
      </c>
      <c r="K354" s="24">
        <v>2.9</v>
      </c>
      <c r="L354" s="24">
        <v>2.7</v>
      </c>
      <c r="M354" s="25">
        <f t="shared" si="54"/>
        <v>3.03</v>
      </c>
      <c r="N354" s="22">
        <v>8</v>
      </c>
      <c r="O354" s="22" t="str">
        <f t="shared" si="55"/>
        <v>Passive</v>
      </c>
      <c r="P354" s="30">
        <f t="shared" si="56"/>
        <v>2</v>
      </c>
      <c r="Q354" s="35">
        <f t="shared" si="57"/>
        <v>1.1000000000000001</v>
      </c>
      <c r="R354" s="22">
        <f t="shared" si="58"/>
        <v>0</v>
      </c>
      <c r="S354" s="22" t="str">
        <f t="shared" si="59"/>
        <v>Low</v>
      </c>
    </row>
    <row r="355" spans="1:19" x14ac:dyDescent="0.3">
      <c r="A355" s="22" t="s">
        <v>1249</v>
      </c>
      <c r="B355" t="str">
        <f t="shared" si="50"/>
        <v>Imran Thomas</v>
      </c>
      <c r="C355" t="str">
        <f t="shared" si="51"/>
        <v>Operations</v>
      </c>
      <c r="D355" t="str">
        <f t="shared" si="52"/>
        <v>Pallavi Nair</v>
      </c>
      <c r="E355" s="30" t="str">
        <f t="shared" si="53"/>
        <v>Exited</v>
      </c>
      <c r="F355" s="22" t="s">
        <v>1700</v>
      </c>
      <c r="G355" s="24">
        <v>2.7</v>
      </c>
      <c r="H355" s="24">
        <v>2.6</v>
      </c>
      <c r="I355" s="24">
        <v>3.1</v>
      </c>
      <c r="J355" s="24">
        <v>2.1</v>
      </c>
      <c r="K355" s="24">
        <v>2.4</v>
      </c>
      <c r="L355" s="24">
        <v>2.9</v>
      </c>
      <c r="M355" s="25">
        <f t="shared" si="54"/>
        <v>2.63</v>
      </c>
      <c r="N355" s="22">
        <v>6</v>
      </c>
      <c r="O355" s="22" t="str">
        <f t="shared" si="55"/>
        <v>Detractor</v>
      </c>
      <c r="P355" s="30">
        <f t="shared" si="56"/>
        <v>5</v>
      </c>
      <c r="Q355" s="35">
        <f t="shared" si="57"/>
        <v>0.66</v>
      </c>
      <c r="R355" s="22">
        <f t="shared" si="58"/>
        <v>4</v>
      </c>
      <c r="S355" s="22" t="str">
        <f t="shared" si="59"/>
        <v>Exited</v>
      </c>
    </row>
    <row r="356" spans="1:19" x14ac:dyDescent="0.3">
      <c r="A356" s="22" t="s">
        <v>1252</v>
      </c>
      <c r="B356" t="str">
        <f t="shared" si="50"/>
        <v>Vinay Nair</v>
      </c>
      <c r="C356" t="str">
        <f t="shared" si="51"/>
        <v>Engineering</v>
      </c>
      <c r="D356" t="str">
        <f t="shared" si="52"/>
        <v>Bhavana Hegde</v>
      </c>
      <c r="E356" s="30" t="str">
        <f t="shared" si="53"/>
        <v>Active</v>
      </c>
      <c r="F356" s="22" t="s">
        <v>1700</v>
      </c>
      <c r="G356" s="24">
        <v>3.7</v>
      </c>
      <c r="H356" s="24">
        <v>4.3</v>
      </c>
      <c r="I356" s="24">
        <v>3.9</v>
      </c>
      <c r="J356" s="24">
        <v>4</v>
      </c>
      <c r="K356" s="24">
        <v>4.3</v>
      </c>
      <c r="L356" s="24">
        <v>3.3</v>
      </c>
      <c r="M356" s="25">
        <f t="shared" si="54"/>
        <v>3.92</v>
      </c>
      <c r="N356" s="22">
        <v>10</v>
      </c>
      <c r="O356" s="22" t="str">
        <f t="shared" si="55"/>
        <v>Promoter</v>
      </c>
      <c r="P356" s="30">
        <f t="shared" si="56"/>
        <v>4</v>
      </c>
      <c r="Q356" s="35">
        <f t="shared" si="57"/>
        <v>1.18</v>
      </c>
      <c r="R356" s="22">
        <f t="shared" si="58"/>
        <v>1</v>
      </c>
      <c r="S356" s="22" t="str">
        <f t="shared" si="59"/>
        <v>Low</v>
      </c>
    </row>
    <row r="357" spans="1:19" x14ac:dyDescent="0.3">
      <c r="A357" s="22" t="s">
        <v>1255</v>
      </c>
      <c r="B357" t="str">
        <f t="shared" si="50"/>
        <v>Trisha Menon</v>
      </c>
      <c r="C357" t="str">
        <f t="shared" si="51"/>
        <v>Engineering</v>
      </c>
      <c r="D357" t="str">
        <f t="shared" si="52"/>
        <v>Fatima Choudhary</v>
      </c>
      <c r="E357" s="30" t="str">
        <f t="shared" si="53"/>
        <v>Active</v>
      </c>
      <c r="F357" s="22" t="s">
        <v>1700</v>
      </c>
      <c r="G357" s="24">
        <v>3.6</v>
      </c>
      <c r="H357" s="24">
        <v>2.9</v>
      </c>
      <c r="I357" s="24">
        <v>3.7</v>
      </c>
      <c r="J357" s="24">
        <v>4</v>
      </c>
      <c r="K357" s="24">
        <v>3.8</v>
      </c>
      <c r="L357" s="24">
        <v>3.7</v>
      </c>
      <c r="M357" s="25">
        <f t="shared" si="54"/>
        <v>3.62</v>
      </c>
      <c r="N357" s="22">
        <v>9</v>
      </c>
      <c r="O357" s="22" t="str">
        <f t="shared" si="55"/>
        <v>Promoter</v>
      </c>
      <c r="P357" s="30">
        <f t="shared" si="56"/>
        <v>3</v>
      </c>
      <c r="Q357" s="35">
        <f t="shared" si="57"/>
        <v>1.01</v>
      </c>
      <c r="R357" s="22">
        <f t="shared" si="58"/>
        <v>0</v>
      </c>
      <c r="S357" s="22" t="str">
        <f t="shared" si="59"/>
        <v>Low</v>
      </c>
    </row>
    <row r="358" spans="1:19" x14ac:dyDescent="0.3">
      <c r="A358" s="22" t="s">
        <v>1258</v>
      </c>
      <c r="B358" t="str">
        <f t="shared" si="50"/>
        <v>Abhishek Kapoor</v>
      </c>
      <c r="C358" t="str">
        <f t="shared" si="51"/>
        <v>Operations</v>
      </c>
      <c r="D358" t="str">
        <f t="shared" si="52"/>
        <v>Amit Kumar</v>
      </c>
      <c r="E358" s="30" t="str">
        <f t="shared" si="53"/>
        <v>Active</v>
      </c>
      <c r="F358" s="22" t="s">
        <v>1700</v>
      </c>
      <c r="G358" s="24">
        <v>3.1</v>
      </c>
      <c r="H358" s="24">
        <v>3.2</v>
      </c>
      <c r="I358" s="24">
        <v>2.6</v>
      </c>
      <c r="J358" s="24">
        <v>3.6</v>
      </c>
      <c r="K358" s="24">
        <v>2.4</v>
      </c>
      <c r="L358" s="24">
        <v>3.1</v>
      </c>
      <c r="M358" s="25">
        <f t="shared" si="54"/>
        <v>3</v>
      </c>
      <c r="N358" s="22">
        <v>7</v>
      </c>
      <c r="O358" s="22" t="str">
        <f t="shared" si="55"/>
        <v>Passive</v>
      </c>
      <c r="P358" s="30">
        <f t="shared" si="56"/>
        <v>3</v>
      </c>
      <c r="Q358" s="35">
        <f t="shared" si="57"/>
        <v>0.86</v>
      </c>
      <c r="R358" s="22">
        <f t="shared" si="58"/>
        <v>1</v>
      </c>
      <c r="S358" s="22" t="str">
        <f t="shared" si="59"/>
        <v>Low</v>
      </c>
    </row>
    <row r="359" spans="1:19" x14ac:dyDescent="0.3">
      <c r="A359" s="22" t="s">
        <v>1261</v>
      </c>
      <c r="B359" t="str">
        <f t="shared" si="50"/>
        <v>Rohit Patel</v>
      </c>
      <c r="C359" t="str">
        <f t="shared" si="51"/>
        <v>Engineering</v>
      </c>
      <c r="D359" t="str">
        <f t="shared" si="52"/>
        <v>Vikas Singh</v>
      </c>
      <c r="E359" s="30" t="str">
        <f t="shared" si="53"/>
        <v>Active</v>
      </c>
      <c r="F359" s="22" t="s">
        <v>1700</v>
      </c>
      <c r="G359" s="24">
        <v>3.8</v>
      </c>
      <c r="H359" s="24">
        <v>3</v>
      </c>
      <c r="I359" s="24">
        <v>3.1</v>
      </c>
      <c r="J359" s="24">
        <v>3.7</v>
      </c>
      <c r="K359" s="24">
        <v>3.1</v>
      </c>
      <c r="L359" s="24">
        <v>2.7</v>
      </c>
      <c r="M359" s="25">
        <f t="shared" si="54"/>
        <v>3.23</v>
      </c>
      <c r="N359" s="22">
        <v>10</v>
      </c>
      <c r="O359" s="22" t="str">
        <f t="shared" si="55"/>
        <v>Promoter</v>
      </c>
      <c r="P359" s="30">
        <f t="shared" si="56"/>
        <v>5</v>
      </c>
      <c r="Q359" s="35">
        <f t="shared" si="57"/>
        <v>1.03</v>
      </c>
      <c r="R359" s="22">
        <f t="shared" si="58"/>
        <v>1</v>
      </c>
      <c r="S359" s="22" t="str">
        <f t="shared" si="59"/>
        <v>Low</v>
      </c>
    </row>
    <row r="360" spans="1:19" x14ac:dyDescent="0.3">
      <c r="A360" s="22" t="s">
        <v>1264</v>
      </c>
      <c r="B360" t="str">
        <f t="shared" si="50"/>
        <v>Rohan Banerjee</v>
      </c>
      <c r="C360" t="str">
        <f t="shared" si="51"/>
        <v>Engineering</v>
      </c>
      <c r="D360" t="str">
        <f t="shared" si="52"/>
        <v>Isha Jain</v>
      </c>
      <c r="E360" s="30" t="str">
        <f t="shared" si="53"/>
        <v>Active</v>
      </c>
      <c r="F360" s="22" t="s">
        <v>1700</v>
      </c>
      <c r="G360" s="24">
        <v>3.7</v>
      </c>
      <c r="H360" s="24">
        <v>3</v>
      </c>
      <c r="I360" s="24">
        <v>4.2</v>
      </c>
      <c r="J360" s="24">
        <v>4.0999999999999996</v>
      </c>
      <c r="K360" s="24">
        <v>4.2</v>
      </c>
      <c r="L360" s="24">
        <v>3.7</v>
      </c>
      <c r="M360" s="25">
        <f t="shared" si="54"/>
        <v>3.82</v>
      </c>
      <c r="N360" s="22">
        <v>5</v>
      </c>
      <c r="O360" s="22" t="str">
        <f t="shared" si="55"/>
        <v>Detractor</v>
      </c>
      <c r="P360" s="30">
        <f t="shared" si="56"/>
        <v>5</v>
      </c>
      <c r="Q360" s="35">
        <f t="shared" si="57"/>
        <v>1.51</v>
      </c>
      <c r="R360" s="22">
        <f t="shared" si="58"/>
        <v>2</v>
      </c>
      <c r="S360" s="22" t="str">
        <f t="shared" si="59"/>
        <v>Medium</v>
      </c>
    </row>
    <row r="361" spans="1:19" x14ac:dyDescent="0.3">
      <c r="A361" s="22" t="s">
        <v>1267</v>
      </c>
      <c r="B361" t="str">
        <f t="shared" si="50"/>
        <v>Amit Nair</v>
      </c>
      <c r="C361" t="str">
        <f t="shared" si="51"/>
        <v>Engineering</v>
      </c>
      <c r="D361" t="str">
        <f t="shared" si="52"/>
        <v>Fatima Choudhary</v>
      </c>
      <c r="E361" s="30" t="str">
        <f t="shared" si="53"/>
        <v>Active</v>
      </c>
      <c r="F361" s="22" t="s">
        <v>1701</v>
      </c>
      <c r="G361" s="24">
        <v>3.2</v>
      </c>
      <c r="H361" s="24">
        <v>2.4</v>
      </c>
      <c r="I361" s="24">
        <v>3.9</v>
      </c>
      <c r="J361" s="24">
        <v>3.2</v>
      </c>
      <c r="K361" s="24">
        <v>2.5</v>
      </c>
      <c r="L361" s="24">
        <v>2.4</v>
      </c>
      <c r="M361" s="25">
        <f t="shared" si="54"/>
        <v>2.93</v>
      </c>
      <c r="N361" s="22">
        <v>6</v>
      </c>
      <c r="O361" s="22" t="str">
        <f t="shared" si="55"/>
        <v>Detractor</v>
      </c>
      <c r="P361" s="30">
        <f t="shared" si="56"/>
        <v>4</v>
      </c>
      <c r="Q361" s="35">
        <f t="shared" si="57"/>
        <v>1.37</v>
      </c>
      <c r="R361" s="22">
        <f t="shared" si="58"/>
        <v>3</v>
      </c>
      <c r="S361" s="22" t="str">
        <f t="shared" si="59"/>
        <v>High</v>
      </c>
    </row>
    <row r="362" spans="1:19" x14ac:dyDescent="0.3">
      <c r="A362" s="22" t="s">
        <v>1270</v>
      </c>
      <c r="B362" t="str">
        <f t="shared" si="50"/>
        <v>Ritu Joshi</v>
      </c>
      <c r="C362" t="str">
        <f t="shared" si="51"/>
        <v>Data &amp; Analytics</v>
      </c>
      <c r="D362" t="str">
        <f t="shared" si="52"/>
        <v>Arun Mukherjee</v>
      </c>
      <c r="E362" s="30" t="str">
        <f t="shared" si="53"/>
        <v>Active</v>
      </c>
      <c r="F362" s="22" t="s">
        <v>1700</v>
      </c>
      <c r="G362" s="24">
        <v>3.7</v>
      </c>
      <c r="H362" s="24">
        <v>3.9</v>
      </c>
      <c r="I362" s="24">
        <v>4.3</v>
      </c>
      <c r="J362" s="24">
        <v>3.8</v>
      </c>
      <c r="K362" s="24">
        <v>4.5</v>
      </c>
      <c r="L362" s="24">
        <v>4.4000000000000004</v>
      </c>
      <c r="M362" s="25">
        <f t="shared" si="54"/>
        <v>4.0999999999999996</v>
      </c>
      <c r="N362" s="22">
        <v>10</v>
      </c>
      <c r="O362" s="22" t="str">
        <f t="shared" si="55"/>
        <v>Promoter</v>
      </c>
      <c r="P362" s="30">
        <f t="shared" si="56"/>
        <v>3</v>
      </c>
      <c r="Q362" s="35">
        <f t="shared" si="57"/>
        <v>1.21</v>
      </c>
      <c r="R362" s="22">
        <f t="shared" si="58"/>
        <v>0</v>
      </c>
      <c r="S362" s="22" t="str">
        <f t="shared" si="59"/>
        <v>Low</v>
      </c>
    </row>
    <row r="363" spans="1:19" x14ac:dyDescent="0.3">
      <c r="A363" s="22" t="s">
        <v>1273</v>
      </c>
      <c r="B363" t="str">
        <f t="shared" si="50"/>
        <v>Ashish Rao</v>
      </c>
      <c r="C363" t="str">
        <f t="shared" si="51"/>
        <v>Operations</v>
      </c>
      <c r="D363" t="str">
        <f t="shared" si="52"/>
        <v>Pallavi Shah</v>
      </c>
      <c r="E363" s="30" t="str">
        <f t="shared" si="53"/>
        <v>Active</v>
      </c>
      <c r="F363" s="22" t="s">
        <v>1701</v>
      </c>
      <c r="G363" s="24">
        <v>3</v>
      </c>
      <c r="H363" s="24">
        <v>3.8</v>
      </c>
      <c r="I363" s="24">
        <v>3.1</v>
      </c>
      <c r="J363" s="24">
        <v>3.7</v>
      </c>
      <c r="K363" s="24">
        <v>3.3</v>
      </c>
      <c r="L363" s="24">
        <v>3.2</v>
      </c>
      <c r="M363" s="25">
        <f t="shared" si="54"/>
        <v>3.35</v>
      </c>
      <c r="N363" s="22">
        <v>7</v>
      </c>
      <c r="O363" s="22" t="str">
        <f t="shared" si="55"/>
        <v>Passive</v>
      </c>
      <c r="P363" s="30">
        <f t="shared" si="56"/>
        <v>3</v>
      </c>
      <c r="Q363" s="35">
        <f t="shared" si="57"/>
        <v>1.01</v>
      </c>
      <c r="R363" s="22">
        <f t="shared" si="58"/>
        <v>0</v>
      </c>
      <c r="S363" s="22" t="str">
        <f t="shared" si="59"/>
        <v>Low</v>
      </c>
    </row>
    <row r="364" spans="1:19" x14ac:dyDescent="0.3">
      <c r="A364" s="22" t="s">
        <v>1276</v>
      </c>
      <c r="B364" t="str">
        <f t="shared" si="50"/>
        <v>Nikhil Singh</v>
      </c>
      <c r="C364" t="str">
        <f t="shared" si="51"/>
        <v>Sales</v>
      </c>
      <c r="D364" t="str">
        <f t="shared" si="52"/>
        <v>Srinivas Shah</v>
      </c>
      <c r="E364" s="30" t="str">
        <f t="shared" si="53"/>
        <v>Exited</v>
      </c>
      <c r="F364" s="22" t="s">
        <v>1700</v>
      </c>
      <c r="G364" s="24">
        <v>2.2999999999999998</v>
      </c>
      <c r="H364" s="24">
        <v>3.2</v>
      </c>
      <c r="I364" s="24">
        <v>3.2</v>
      </c>
      <c r="J364" s="24">
        <v>2.7</v>
      </c>
      <c r="K364" s="24">
        <v>3.4</v>
      </c>
      <c r="L364" s="24">
        <v>3.7</v>
      </c>
      <c r="M364" s="25">
        <f t="shared" si="54"/>
        <v>3.08</v>
      </c>
      <c r="N364" s="22">
        <v>9</v>
      </c>
      <c r="O364" s="22" t="str">
        <f t="shared" si="55"/>
        <v>Promoter</v>
      </c>
      <c r="P364" s="30">
        <f t="shared" si="56"/>
        <v>3</v>
      </c>
      <c r="Q364" s="35">
        <f t="shared" si="57"/>
        <v>1.03</v>
      </c>
      <c r="R364" s="22">
        <f t="shared" si="58"/>
        <v>0</v>
      </c>
      <c r="S364" s="22" t="str">
        <f t="shared" si="59"/>
        <v>Exited</v>
      </c>
    </row>
    <row r="365" spans="1:19" x14ac:dyDescent="0.3">
      <c r="A365" s="22" t="s">
        <v>523</v>
      </c>
      <c r="B365" t="str">
        <f t="shared" si="50"/>
        <v>Arun Khan</v>
      </c>
      <c r="C365" t="str">
        <f t="shared" si="51"/>
        <v>Marketing</v>
      </c>
      <c r="D365" t="str">
        <f t="shared" si="52"/>
        <v>Arvind Rao (CEO)</v>
      </c>
      <c r="E365" s="30" t="str">
        <f t="shared" si="53"/>
        <v>Active</v>
      </c>
      <c r="F365" s="22" t="s">
        <v>1700</v>
      </c>
      <c r="G365" s="24">
        <v>3.7</v>
      </c>
      <c r="H365" s="24">
        <v>3.7</v>
      </c>
      <c r="I365" s="24">
        <v>3.4</v>
      </c>
      <c r="J365" s="24">
        <v>3.7</v>
      </c>
      <c r="K365" s="24">
        <v>3.2</v>
      </c>
      <c r="L365" s="24">
        <v>4</v>
      </c>
      <c r="M365" s="25">
        <f t="shared" si="54"/>
        <v>3.62</v>
      </c>
      <c r="N365" s="22">
        <v>7</v>
      </c>
      <c r="O365" s="22" t="str">
        <f t="shared" si="55"/>
        <v>Passive</v>
      </c>
      <c r="P365" s="30">
        <f t="shared" si="56"/>
        <v>3</v>
      </c>
      <c r="Q365" s="35">
        <f t="shared" si="57"/>
        <v>1.04</v>
      </c>
      <c r="R365" s="22">
        <f t="shared" si="58"/>
        <v>0</v>
      </c>
      <c r="S365" s="22" t="str">
        <f t="shared" si="59"/>
        <v>Low</v>
      </c>
    </row>
    <row r="366" spans="1:19" x14ac:dyDescent="0.3">
      <c r="A366" s="22" t="s">
        <v>1281</v>
      </c>
      <c r="B366" t="str">
        <f t="shared" si="50"/>
        <v>Rashmi Mishra</v>
      </c>
      <c r="C366" t="str">
        <f t="shared" si="51"/>
        <v>Engineering</v>
      </c>
      <c r="D366" t="str">
        <f t="shared" si="52"/>
        <v>Fatima Choudhary</v>
      </c>
      <c r="E366" s="30" t="str">
        <f t="shared" si="53"/>
        <v>Exited</v>
      </c>
      <c r="F366" s="22" t="s">
        <v>1700</v>
      </c>
      <c r="G366" s="24">
        <v>2.8</v>
      </c>
      <c r="H366" s="24">
        <v>3.2</v>
      </c>
      <c r="I366" s="24">
        <v>3.1</v>
      </c>
      <c r="J366" s="24">
        <v>2.7</v>
      </c>
      <c r="K366" s="24">
        <v>3.2</v>
      </c>
      <c r="L366" s="24">
        <v>3.5</v>
      </c>
      <c r="M366" s="25">
        <f t="shared" si="54"/>
        <v>3.08</v>
      </c>
      <c r="N366" s="22">
        <v>10</v>
      </c>
      <c r="O366" s="22" t="str">
        <f t="shared" si="55"/>
        <v>Promoter</v>
      </c>
      <c r="P366" s="30">
        <f t="shared" si="56"/>
        <v>4</v>
      </c>
      <c r="Q366" s="35">
        <f t="shared" si="57"/>
        <v>1.32</v>
      </c>
      <c r="R366" s="22">
        <f t="shared" si="58"/>
        <v>1</v>
      </c>
      <c r="S366" s="22" t="str">
        <f t="shared" si="59"/>
        <v>Exited</v>
      </c>
    </row>
    <row r="367" spans="1:19" x14ac:dyDescent="0.3">
      <c r="A367" s="22" t="s">
        <v>1284</v>
      </c>
      <c r="B367" t="str">
        <f t="shared" si="50"/>
        <v>Anjali Gupta</v>
      </c>
      <c r="C367" t="str">
        <f t="shared" si="51"/>
        <v>Customer Support</v>
      </c>
      <c r="D367" t="str">
        <f t="shared" si="52"/>
        <v>Isha Verma</v>
      </c>
      <c r="E367" s="30" t="str">
        <f t="shared" si="53"/>
        <v>Active</v>
      </c>
      <c r="F367" s="22" t="s">
        <v>1700</v>
      </c>
      <c r="G367" s="24">
        <v>4.3</v>
      </c>
      <c r="H367" s="24">
        <v>4.5</v>
      </c>
      <c r="I367" s="24">
        <v>3.6</v>
      </c>
      <c r="J367" s="24">
        <v>4.4000000000000004</v>
      </c>
      <c r="K367" s="24">
        <v>4</v>
      </c>
      <c r="L367" s="24">
        <v>3.9</v>
      </c>
      <c r="M367" s="25">
        <f t="shared" si="54"/>
        <v>4.12</v>
      </c>
      <c r="N367" s="22">
        <v>10</v>
      </c>
      <c r="O367" s="22" t="str">
        <f t="shared" si="55"/>
        <v>Promoter</v>
      </c>
      <c r="P367" s="30">
        <f t="shared" si="56"/>
        <v>5</v>
      </c>
      <c r="Q367" s="35">
        <f t="shared" si="57"/>
        <v>0.89</v>
      </c>
      <c r="R367" s="22">
        <f t="shared" si="58"/>
        <v>2</v>
      </c>
      <c r="S367" s="22" t="str">
        <f t="shared" si="59"/>
        <v>Medium</v>
      </c>
    </row>
    <row r="368" spans="1:19" x14ac:dyDescent="0.3">
      <c r="A368" s="22" t="s">
        <v>1287</v>
      </c>
      <c r="B368" t="str">
        <f t="shared" si="50"/>
        <v>Mary Dsouza</v>
      </c>
      <c r="C368" t="str">
        <f t="shared" si="51"/>
        <v>Engineering</v>
      </c>
      <c r="D368" t="str">
        <f t="shared" si="52"/>
        <v>Prakash Desai</v>
      </c>
      <c r="E368" s="30" t="str">
        <f t="shared" si="53"/>
        <v>Active</v>
      </c>
      <c r="F368" s="22" t="s">
        <v>1700</v>
      </c>
      <c r="G368" s="24">
        <v>3.3</v>
      </c>
      <c r="H368" s="24">
        <v>3.3</v>
      </c>
      <c r="I368" s="24">
        <v>3.5</v>
      </c>
      <c r="J368" s="24">
        <v>3.7</v>
      </c>
      <c r="K368" s="24">
        <v>3.6</v>
      </c>
      <c r="L368" s="24">
        <v>3.1</v>
      </c>
      <c r="M368" s="25">
        <f t="shared" si="54"/>
        <v>3.42</v>
      </c>
      <c r="N368" s="22">
        <v>7</v>
      </c>
      <c r="O368" s="22" t="str">
        <f t="shared" si="55"/>
        <v>Passive</v>
      </c>
      <c r="P368" s="30">
        <f t="shared" si="56"/>
        <v>4</v>
      </c>
      <c r="Q368" s="35">
        <f t="shared" si="57"/>
        <v>0.98</v>
      </c>
      <c r="R368" s="22">
        <f t="shared" si="58"/>
        <v>1</v>
      </c>
      <c r="S368" s="22" t="str">
        <f t="shared" si="59"/>
        <v>Low</v>
      </c>
    </row>
    <row r="369" spans="1:19" x14ac:dyDescent="0.3">
      <c r="A369" s="22" t="s">
        <v>1290</v>
      </c>
      <c r="B369" t="str">
        <f t="shared" si="50"/>
        <v>Ravi Kamath</v>
      </c>
      <c r="C369" t="str">
        <f t="shared" si="51"/>
        <v>Human Resources</v>
      </c>
      <c r="D369" t="str">
        <f t="shared" si="52"/>
        <v>Akash Das</v>
      </c>
      <c r="E369" s="30" t="str">
        <f t="shared" si="53"/>
        <v>Active</v>
      </c>
      <c r="F369" s="22" t="s">
        <v>1700</v>
      </c>
      <c r="G369" s="24">
        <v>2.1</v>
      </c>
      <c r="H369" s="24">
        <v>3</v>
      </c>
      <c r="I369" s="24">
        <v>1.9</v>
      </c>
      <c r="J369" s="24">
        <v>3.4</v>
      </c>
      <c r="K369" s="24">
        <v>3</v>
      </c>
      <c r="L369" s="24">
        <v>2.4</v>
      </c>
      <c r="M369" s="25">
        <f t="shared" si="54"/>
        <v>2.63</v>
      </c>
      <c r="N369" s="22">
        <v>8</v>
      </c>
      <c r="O369" s="22" t="str">
        <f t="shared" si="55"/>
        <v>Passive</v>
      </c>
      <c r="P369" s="30">
        <f t="shared" si="56"/>
        <v>2</v>
      </c>
      <c r="Q369" s="35">
        <f t="shared" si="57"/>
        <v>0.85</v>
      </c>
      <c r="R369" s="22">
        <f t="shared" si="58"/>
        <v>2</v>
      </c>
      <c r="S369" s="22" t="str">
        <f t="shared" si="59"/>
        <v>Medium</v>
      </c>
    </row>
    <row r="370" spans="1:19" x14ac:dyDescent="0.3">
      <c r="A370" s="22" t="s">
        <v>1205</v>
      </c>
      <c r="B370" t="str">
        <f t="shared" si="50"/>
        <v>Aditi Nair</v>
      </c>
      <c r="C370" t="str">
        <f t="shared" si="51"/>
        <v>Legal &amp; Compliance</v>
      </c>
      <c r="D370" t="str">
        <f t="shared" si="52"/>
        <v>Arvind Rao (CEO)</v>
      </c>
      <c r="E370" s="30" t="str">
        <f t="shared" si="53"/>
        <v>Active</v>
      </c>
      <c r="F370" s="22" t="s">
        <v>1700</v>
      </c>
      <c r="G370" s="24">
        <v>3.3</v>
      </c>
      <c r="H370" s="24">
        <v>3.7</v>
      </c>
      <c r="I370" s="24">
        <v>3.9</v>
      </c>
      <c r="J370" s="24">
        <v>3.4</v>
      </c>
      <c r="K370" s="24">
        <v>3.5</v>
      </c>
      <c r="L370" s="24">
        <v>3.2</v>
      </c>
      <c r="M370" s="25">
        <f t="shared" si="54"/>
        <v>3.5</v>
      </c>
      <c r="N370" s="22">
        <v>9</v>
      </c>
      <c r="O370" s="22" t="str">
        <f t="shared" si="55"/>
        <v>Promoter</v>
      </c>
      <c r="P370" s="30">
        <f t="shared" si="56"/>
        <v>3</v>
      </c>
      <c r="Q370" s="35">
        <f t="shared" si="57"/>
        <v>1.01</v>
      </c>
      <c r="R370" s="22">
        <f t="shared" si="58"/>
        <v>0</v>
      </c>
      <c r="S370" s="22" t="str">
        <f t="shared" si="59"/>
        <v>Low</v>
      </c>
    </row>
    <row r="371" spans="1:19" x14ac:dyDescent="0.3">
      <c r="A371" s="22" t="s">
        <v>1295</v>
      </c>
      <c r="B371" t="str">
        <f t="shared" si="50"/>
        <v>Venkat Bansal</v>
      </c>
      <c r="C371" t="str">
        <f t="shared" si="51"/>
        <v>Marketing</v>
      </c>
      <c r="D371" t="str">
        <f t="shared" si="52"/>
        <v>Isha Chatterjee</v>
      </c>
      <c r="E371" s="30" t="str">
        <f t="shared" si="53"/>
        <v>Active</v>
      </c>
      <c r="F371" s="22" t="s">
        <v>1700</v>
      </c>
      <c r="G371" s="24">
        <v>3.1</v>
      </c>
      <c r="H371" s="24">
        <v>3.5</v>
      </c>
      <c r="I371" s="24">
        <v>3.2</v>
      </c>
      <c r="J371" s="24">
        <v>3.7</v>
      </c>
      <c r="K371" s="24">
        <v>3.1</v>
      </c>
      <c r="L371" s="24">
        <v>3.7</v>
      </c>
      <c r="M371" s="25">
        <f t="shared" si="54"/>
        <v>3.38</v>
      </c>
      <c r="N371" s="22">
        <v>10</v>
      </c>
      <c r="O371" s="22" t="str">
        <f t="shared" si="55"/>
        <v>Promoter</v>
      </c>
      <c r="P371" s="30">
        <f t="shared" si="56"/>
        <v>2</v>
      </c>
      <c r="Q371" s="35">
        <f t="shared" si="57"/>
        <v>0.85</v>
      </c>
      <c r="R371" s="22">
        <f t="shared" si="58"/>
        <v>1</v>
      </c>
      <c r="S371" s="22" t="str">
        <f t="shared" si="59"/>
        <v>Low</v>
      </c>
    </row>
    <row r="372" spans="1:19" x14ac:dyDescent="0.3">
      <c r="A372" s="22" t="s">
        <v>1298</v>
      </c>
      <c r="B372" t="str">
        <f t="shared" si="50"/>
        <v>Shreya Varghese</v>
      </c>
      <c r="C372" t="str">
        <f t="shared" si="51"/>
        <v>Sales</v>
      </c>
      <c r="D372" t="str">
        <f t="shared" si="52"/>
        <v>Nikhil Agarwal</v>
      </c>
      <c r="E372" s="30" t="str">
        <f t="shared" si="53"/>
        <v>Active</v>
      </c>
      <c r="F372" s="22" t="s">
        <v>1700</v>
      </c>
      <c r="G372" s="24">
        <v>2</v>
      </c>
      <c r="H372" s="24">
        <v>3</v>
      </c>
      <c r="I372" s="24">
        <v>2.7</v>
      </c>
      <c r="J372" s="24">
        <v>2.2999999999999998</v>
      </c>
      <c r="K372" s="24">
        <v>2</v>
      </c>
      <c r="L372" s="24">
        <v>2.2000000000000002</v>
      </c>
      <c r="M372" s="25">
        <f t="shared" si="54"/>
        <v>2.37</v>
      </c>
      <c r="N372" s="22">
        <v>7</v>
      </c>
      <c r="O372" s="22" t="str">
        <f t="shared" si="55"/>
        <v>Passive</v>
      </c>
      <c r="P372" s="30">
        <f t="shared" si="56"/>
        <v>1</v>
      </c>
      <c r="Q372" s="35">
        <f t="shared" si="57"/>
        <v>0.97</v>
      </c>
      <c r="R372" s="22">
        <f t="shared" si="58"/>
        <v>1</v>
      </c>
      <c r="S372" s="22" t="str">
        <f t="shared" si="59"/>
        <v>Low</v>
      </c>
    </row>
    <row r="373" spans="1:19" x14ac:dyDescent="0.3">
      <c r="A373" s="22" t="s">
        <v>1301</v>
      </c>
      <c r="B373" t="str">
        <f t="shared" si="50"/>
        <v>Joseph Gupta</v>
      </c>
      <c r="C373" t="str">
        <f t="shared" si="51"/>
        <v>Data &amp; Analytics</v>
      </c>
      <c r="D373" t="str">
        <f t="shared" si="52"/>
        <v>Karan Verma</v>
      </c>
      <c r="E373" s="30" t="str">
        <f t="shared" si="53"/>
        <v>Exited</v>
      </c>
      <c r="F373" s="22" t="s">
        <v>1700</v>
      </c>
      <c r="G373" s="24">
        <v>3.8</v>
      </c>
      <c r="H373" s="24">
        <v>3.5</v>
      </c>
      <c r="I373" s="24">
        <v>3.8</v>
      </c>
      <c r="J373" s="24">
        <v>3.1</v>
      </c>
      <c r="K373" s="24">
        <v>3.2</v>
      </c>
      <c r="L373" s="24">
        <v>3.2</v>
      </c>
      <c r="M373" s="25">
        <f t="shared" si="54"/>
        <v>3.43</v>
      </c>
      <c r="N373" s="22">
        <v>6</v>
      </c>
      <c r="O373" s="22" t="str">
        <f t="shared" si="55"/>
        <v>Detractor</v>
      </c>
      <c r="P373" s="30">
        <f t="shared" si="56"/>
        <v>4</v>
      </c>
      <c r="Q373" s="35">
        <f t="shared" si="57"/>
        <v>1.34</v>
      </c>
      <c r="R373" s="22">
        <f t="shared" si="58"/>
        <v>2</v>
      </c>
      <c r="S373" s="22" t="str">
        <f t="shared" si="59"/>
        <v>Exited</v>
      </c>
    </row>
    <row r="374" spans="1:19" x14ac:dyDescent="0.3">
      <c r="A374" s="22" t="s">
        <v>139</v>
      </c>
      <c r="B374" t="str">
        <f t="shared" si="50"/>
        <v>Imran Mishra</v>
      </c>
      <c r="C374" t="str">
        <f t="shared" si="51"/>
        <v>Operations</v>
      </c>
      <c r="D374" t="str">
        <f t="shared" si="52"/>
        <v>Tejaswini Naidu</v>
      </c>
      <c r="E374" s="30" t="str">
        <f t="shared" si="53"/>
        <v>Active</v>
      </c>
      <c r="F374" s="22" t="s">
        <v>1700</v>
      </c>
      <c r="G374" s="24">
        <v>3.5</v>
      </c>
      <c r="H374" s="24">
        <v>3.4</v>
      </c>
      <c r="I374" s="24">
        <v>3</v>
      </c>
      <c r="J374" s="24">
        <v>3.5</v>
      </c>
      <c r="K374" s="24">
        <v>2.7</v>
      </c>
      <c r="L374" s="24">
        <v>3.1</v>
      </c>
      <c r="M374" s="25">
        <f t="shared" si="54"/>
        <v>3.2</v>
      </c>
      <c r="N374" s="22">
        <v>9</v>
      </c>
      <c r="O374" s="22" t="str">
        <f t="shared" si="55"/>
        <v>Promoter</v>
      </c>
      <c r="P374" s="30">
        <f t="shared" si="56"/>
        <v>4</v>
      </c>
      <c r="Q374" s="35">
        <f t="shared" si="57"/>
        <v>0.88</v>
      </c>
      <c r="R374" s="22">
        <f t="shared" si="58"/>
        <v>2</v>
      </c>
      <c r="S374" s="22" t="str">
        <f t="shared" si="59"/>
        <v>Medium</v>
      </c>
    </row>
    <row r="375" spans="1:19" x14ac:dyDescent="0.3">
      <c r="A375" s="22" t="s">
        <v>1305</v>
      </c>
      <c r="B375" t="str">
        <f t="shared" si="50"/>
        <v>Isha Choudhary</v>
      </c>
      <c r="C375" t="str">
        <f t="shared" si="51"/>
        <v>Engineering</v>
      </c>
      <c r="D375" t="str">
        <f t="shared" si="52"/>
        <v>Vikas Singh</v>
      </c>
      <c r="E375" s="30" t="str">
        <f t="shared" si="53"/>
        <v>Exited</v>
      </c>
      <c r="F375" s="22" t="s">
        <v>1700</v>
      </c>
      <c r="G375" s="24">
        <v>1.9</v>
      </c>
      <c r="H375" s="24">
        <v>1.8</v>
      </c>
      <c r="I375" s="24">
        <v>2.5</v>
      </c>
      <c r="J375" s="24">
        <v>2.5</v>
      </c>
      <c r="K375" s="24">
        <v>2.8</v>
      </c>
      <c r="L375" s="24">
        <v>2.2999999999999998</v>
      </c>
      <c r="M375" s="25">
        <f t="shared" si="54"/>
        <v>2.2999999999999998</v>
      </c>
      <c r="N375" s="22">
        <v>6</v>
      </c>
      <c r="O375" s="22" t="str">
        <f t="shared" si="55"/>
        <v>Detractor</v>
      </c>
      <c r="P375" s="30">
        <f t="shared" si="56"/>
        <v>4</v>
      </c>
      <c r="Q375" s="35">
        <f t="shared" si="57"/>
        <v>1.0900000000000001</v>
      </c>
      <c r="R375" s="22">
        <f t="shared" si="58"/>
        <v>3</v>
      </c>
      <c r="S375" s="22" t="str">
        <f t="shared" si="59"/>
        <v>Exited</v>
      </c>
    </row>
    <row r="376" spans="1:19" x14ac:dyDescent="0.3">
      <c r="A376" s="22" t="s">
        <v>1308</v>
      </c>
      <c r="B376" t="str">
        <f t="shared" si="50"/>
        <v>Rakesh Jain</v>
      </c>
      <c r="C376" t="str">
        <f t="shared" si="51"/>
        <v>Sales</v>
      </c>
      <c r="D376" t="str">
        <f t="shared" si="52"/>
        <v>Kavya Krishnan</v>
      </c>
      <c r="E376" s="30" t="str">
        <f t="shared" si="53"/>
        <v>Exited</v>
      </c>
      <c r="F376" s="22" t="s">
        <v>1700</v>
      </c>
      <c r="G376" s="24">
        <v>2</v>
      </c>
      <c r="H376" s="24">
        <v>2.4</v>
      </c>
      <c r="I376" s="24">
        <v>1.5</v>
      </c>
      <c r="J376" s="24">
        <v>2</v>
      </c>
      <c r="K376" s="24">
        <v>1.7</v>
      </c>
      <c r="L376" s="24">
        <v>2</v>
      </c>
      <c r="M376" s="25">
        <f t="shared" si="54"/>
        <v>1.93</v>
      </c>
      <c r="N376" s="22">
        <v>7</v>
      </c>
      <c r="O376" s="22" t="str">
        <f t="shared" si="55"/>
        <v>Passive</v>
      </c>
      <c r="P376" s="30">
        <f t="shared" si="56"/>
        <v>3</v>
      </c>
      <c r="Q376" s="35">
        <f t="shared" si="57"/>
        <v>1.1000000000000001</v>
      </c>
      <c r="R376" s="22">
        <f t="shared" si="58"/>
        <v>1</v>
      </c>
      <c r="S376" s="22" t="str">
        <f t="shared" si="59"/>
        <v>Exited</v>
      </c>
    </row>
    <row r="377" spans="1:19" x14ac:dyDescent="0.3">
      <c r="A377" s="22" t="s">
        <v>1311</v>
      </c>
      <c r="B377" t="str">
        <f t="shared" si="50"/>
        <v>Mary Prabhu</v>
      </c>
      <c r="C377" t="str">
        <f t="shared" si="51"/>
        <v>Operations</v>
      </c>
      <c r="D377" t="str">
        <f t="shared" si="52"/>
        <v>Yash Shah</v>
      </c>
      <c r="E377" s="30" t="str">
        <f t="shared" si="53"/>
        <v>Active</v>
      </c>
      <c r="F377" s="22" t="s">
        <v>1700</v>
      </c>
      <c r="G377" s="24">
        <v>4.0999999999999996</v>
      </c>
      <c r="H377" s="24">
        <v>4.3</v>
      </c>
      <c r="I377" s="24">
        <v>4.3</v>
      </c>
      <c r="J377" s="24">
        <v>4.3</v>
      </c>
      <c r="K377" s="24">
        <v>4.2</v>
      </c>
      <c r="L377" s="24">
        <v>4.4000000000000004</v>
      </c>
      <c r="M377" s="25">
        <f t="shared" si="54"/>
        <v>4.2699999999999996</v>
      </c>
      <c r="N377" s="22">
        <v>10</v>
      </c>
      <c r="O377" s="22" t="str">
        <f t="shared" si="55"/>
        <v>Promoter</v>
      </c>
      <c r="P377" s="30">
        <f t="shared" si="56"/>
        <v>5</v>
      </c>
      <c r="Q377" s="35">
        <f t="shared" si="57"/>
        <v>1.07</v>
      </c>
      <c r="R377" s="22">
        <f t="shared" si="58"/>
        <v>1</v>
      </c>
      <c r="S377" s="22" t="str">
        <f t="shared" si="59"/>
        <v>Low</v>
      </c>
    </row>
    <row r="378" spans="1:19" x14ac:dyDescent="0.3">
      <c r="A378" s="22" t="s">
        <v>1314</v>
      </c>
      <c r="B378" t="str">
        <f t="shared" si="50"/>
        <v>Anand Siddiqui</v>
      </c>
      <c r="C378" t="str">
        <f t="shared" si="51"/>
        <v>Engineering</v>
      </c>
      <c r="D378" t="str">
        <f t="shared" si="52"/>
        <v>Harsh Siddiqui</v>
      </c>
      <c r="E378" s="30" t="str">
        <f t="shared" si="53"/>
        <v>Active</v>
      </c>
      <c r="F378" s="22" t="s">
        <v>1700</v>
      </c>
      <c r="G378" s="24">
        <v>4.0999999999999996</v>
      </c>
      <c r="H378" s="24">
        <v>4.2</v>
      </c>
      <c r="I378" s="24">
        <v>4.4000000000000004</v>
      </c>
      <c r="J378" s="24">
        <v>3.7</v>
      </c>
      <c r="K378" s="24">
        <v>3.9</v>
      </c>
      <c r="L378" s="24">
        <v>3.6</v>
      </c>
      <c r="M378" s="25">
        <f t="shared" si="54"/>
        <v>3.98</v>
      </c>
      <c r="N378" s="22">
        <v>9</v>
      </c>
      <c r="O378" s="22" t="str">
        <f t="shared" si="55"/>
        <v>Promoter</v>
      </c>
      <c r="P378" s="30">
        <f t="shared" si="56"/>
        <v>4</v>
      </c>
      <c r="Q378" s="35">
        <f t="shared" si="57"/>
        <v>1.27</v>
      </c>
      <c r="R378" s="22">
        <f t="shared" si="58"/>
        <v>1</v>
      </c>
      <c r="S378" s="22" t="str">
        <f t="shared" si="59"/>
        <v>Low</v>
      </c>
    </row>
    <row r="379" spans="1:19" x14ac:dyDescent="0.3">
      <c r="A379" s="22" t="s">
        <v>1317</v>
      </c>
      <c r="B379" t="str">
        <f t="shared" si="50"/>
        <v>Sachin Raghavan</v>
      </c>
      <c r="C379" t="str">
        <f t="shared" si="51"/>
        <v>Engineering</v>
      </c>
      <c r="D379" t="str">
        <f t="shared" si="52"/>
        <v>Madhuri Menon</v>
      </c>
      <c r="E379" s="30" t="str">
        <f t="shared" si="53"/>
        <v>Active</v>
      </c>
      <c r="F379" s="22" t="s">
        <v>1700</v>
      </c>
      <c r="G379" s="24">
        <v>2.1</v>
      </c>
      <c r="H379" s="24">
        <v>3</v>
      </c>
      <c r="I379" s="24">
        <v>2.7</v>
      </c>
      <c r="J379" s="24">
        <v>3.3</v>
      </c>
      <c r="K379" s="24">
        <v>2.6</v>
      </c>
      <c r="L379" s="24">
        <v>2.6</v>
      </c>
      <c r="M379" s="25">
        <f t="shared" si="54"/>
        <v>2.72</v>
      </c>
      <c r="N379" s="22">
        <v>6</v>
      </c>
      <c r="O379" s="22" t="str">
        <f t="shared" si="55"/>
        <v>Detractor</v>
      </c>
      <c r="P379" s="30">
        <f t="shared" si="56"/>
        <v>4</v>
      </c>
      <c r="Q379" s="35">
        <f t="shared" si="57"/>
        <v>1.1499999999999999</v>
      </c>
      <c r="R379" s="22">
        <f t="shared" si="58"/>
        <v>3</v>
      </c>
      <c r="S379" s="22" t="str">
        <f t="shared" si="59"/>
        <v>High</v>
      </c>
    </row>
    <row r="380" spans="1:19" x14ac:dyDescent="0.3">
      <c r="A380" s="22" t="s">
        <v>1320</v>
      </c>
      <c r="B380" t="str">
        <f t="shared" si="50"/>
        <v>Dev Saxena</v>
      </c>
      <c r="C380" t="str">
        <f t="shared" si="51"/>
        <v>Customer Support</v>
      </c>
      <c r="D380" t="str">
        <f t="shared" si="52"/>
        <v>Ashish Varghese</v>
      </c>
      <c r="E380" s="30" t="str">
        <f t="shared" si="53"/>
        <v>Active</v>
      </c>
      <c r="F380" s="22" t="s">
        <v>1700</v>
      </c>
      <c r="G380" s="24">
        <v>3.2</v>
      </c>
      <c r="H380" s="24">
        <v>3.8</v>
      </c>
      <c r="I380" s="24">
        <v>3.3</v>
      </c>
      <c r="J380" s="24">
        <v>3.5</v>
      </c>
      <c r="K380" s="24">
        <v>3.4</v>
      </c>
      <c r="L380" s="24">
        <v>4</v>
      </c>
      <c r="M380" s="25">
        <f t="shared" si="54"/>
        <v>3.53</v>
      </c>
      <c r="N380" s="22">
        <v>7</v>
      </c>
      <c r="O380" s="22" t="str">
        <f t="shared" si="55"/>
        <v>Passive</v>
      </c>
      <c r="P380" s="30">
        <f t="shared" si="56"/>
        <v>3</v>
      </c>
      <c r="Q380" s="35">
        <f t="shared" si="57"/>
        <v>0.87</v>
      </c>
      <c r="R380" s="22">
        <f t="shared" si="58"/>
        <v>1</v>
      </c>
      <c r="S380" s="22" t="str">
        <f t="shared" si="59"/>
        <v>Low</v>
      </c>
    </row>
    <row r="381" spans="1:19" x14ac:dyDescent="0.3">
      <c r="A381" s="22" t="s">
        <v>1323</v>
      </c>
      <c r="B381" t="str">
        <f t="shared" si="50"/>
        <v>Siddharth Malhotra</v>
      </c>
      <c r="C381" t="str">
        <f t="shared" si="51"/>
        <v>Data &amp; Analytics</v>
      </c>
      <c r="D381" t="str">
        <f t="shared" si="52"/>
        <v>Karan Verma</v>
      </c>
      <c r="E381" s="30" t="str">
        <f t="shared" si="53"/>
        <v>Active</v>
      </c>
      <c r="F381" s="22" t="s">
        <v>1701</v>
      </c>
      <c r="G381" s="24">
        <v>2.9</v>
      </c>
      <c r="H381" s="24">
        <v>2.5</v>
      </c>
      <c r="I381" s="24">
        <v>2.5</v>
      </c>
      <c r="J381" s="24">
        <v>2.6</v>
      </c>
      <c r="K381" s="24">
        <v>2.2999999999999998</v>
      </c>
      <c r="L381" s="24">
        <v>2.2999999999999998</v>
      </c>
      <c r="M381" s="25">
        <f t="shared" si="54"/>
        <v>2.52</v>
      </c>
      <c r="N381" s="22">
        <v>6</v>
      </c>
      <c r="O381" s="22" t="str">
        <f t="shared" si="55"/>
        <v>Detractor</v>
      </c>
      <c r="P381" s="30">
        <f t="shared" si="56"/>
        <v>1</v>
      </c>
      <c r="Q381" s="35">
        <f t="shared" si="57"/>
        <v>1.19</v>
      </c>
      <c r="R381" s="22">
        <f t="shared" si="58"/>
        <v>2</v>
      </c>
      <c r="S381" s="22" t="str">
        <f t="shared" si="59"/>
        <v>Medium</v>
      </c>
    </row>
    <row r="382" spans="1:19" x14ac:dyDescent="0.3">
      <c r="A382" s="22" t="s">
        <v>1326</v>
      </c>
      <c r="B382" t="str">
        <f t="shared" si="50"/>
        <v>Ravi Gupta</v>
      </c>
      <c r="C382" t="str">
        <f t="shared" si="51"/>
        <v>Marketing</v>
      </c>
      <c r="D382" t="str">
        <f t="shared" si="52"/>
        <v>Isha Chatterjee</v>
      </c>
      <c r="E382" s="30" t="str">
        <f t="shared" si="53"/>
        <v>Active</v>
      </c>
      <c r="F382" s="22" t="s">
        <v>1700</v>
      </c>
      <c r="G382" s="24">
        <v>3</v>
      </c>
      <c r="H382" s="24">
        <v>2.8</v>
      </c>
      <c r="I382" s="24">
        <v>2.7</v>
      </c>
      <c r="J382" s="24">
        <v>2.9</v>
      </c>
      <c r="K382" s="24">
        <v>4.3</v>
      </c>
      <c r="L382" s="24">
        <v>2.6</v>
      </c>
      <c r="M382" s="25">
        <f t="shared" si="54"/>
        <v>3.05</v>
      </c>
      <c r="N382" s="22">
        <v>10</v>
      </c>
      <c r="O382" s="22" t="str">
        <f t="shared" si="55"/>
        <v>Promoter</v>
      </c>
      <c r="P382" s="30">
        <f t="shared" si="56"/>
        <v>1</v>
      </c>
      <c r="Q382" s="35">
        <f t="shared" si="57"/>
        <v>0.94</v>
      </c>
      <c r="R382" s="22">
        <f t="shared" si="58"/>
        <v>0</v>
      </c>
      <c r="S382" s="22" t="str">
        <f t="shared" si="59"/>
        <v>Low</v>
      </c>
    </row>
    <row r="383" spans="1:19" x14ac:dyDescent="0.3">
      <c r="A383" s="22" t="s">
        <v>1329</v>
      </c>
      <c r="B383" t="str">
        <f t="shared" si="50"/>
        <v>Ritu Nair</v>
      </c>
      <c r="C383" t="str">
        <f t="shared" si="51"/>
        <v>Sales</v>
      </c>
      <c r="D383" t="str">
        <f t="shared" si="52"/>
        <v>Kavya Krishnan</v>
      </c>
      <c r="E383" s="30" t="str">
        <f t="shared" si="53"/>
        <v>Active</v>
      </c>
      <c r="F383" s="22" t="s">
        <v>1700</v>
      </c>
      <c r="G383" s="24">
        <v>2.1</v>
      </c>
      <c r="H383" s="24">
        <v>2</v>
      </c>
      <c r="I383" s="24">
        <v>1.8</v>
      </c>
      <c r="J383" s="24">
        <v>2.4</v>
      </c>
      <c r="K383" s="24">
        <v>2.1</v>
      </c>
      <c r="L383" s="24">
        <v>2.6</v>
      </c>
      <c r="M383" s="25">
        <f t="shared" si="54"/>
        <v>2.17</v>
      </c>
      <c r="N383" s="22">
        <v>6</v>
      </c>
      <c r="O383" s="22" t="str">
        <f t="shared" si="55"/>
        <v>Detractor</v>
      </c>
      <c r="P383" s="30">
        <f t="shared" si="56"/>
        <v>2</v>
      </c>
      <c r="Q383" s="35">
        <f t="shared" si="57"/>
        <v>1.05</v>
      </c>
      <c r="R383" s="22">
        <f t="shared" si="58"/>
        <v>2</v>
      </c>
      <c r="S383" s="22" t="str">
        <f t="shared" si="59"/>
        <v>Medium</v>
      </c>
    </row>
    <row r="384" spans="1:19" x14ac:dyDescent="0.3">
      <c r="A384" s="22" t="s">
        <v>1332</v>
      </c>
      <c r="B384" t="str">
        <f t="shared" si="50"/>
        <v>Keerthi Kamath</v>
      </c>
      <c r="C384" t="str">
        <f t="shared" si="51"/>
        <v>Sales</v>
      </c>
      <c r="D384" t="str">
        <f t="shared" si="52"/>
        <v>Kavya Krishnan</v>
      </c>
      <c r="E384" s="30" t="str">
        <f t="shared" si="53"/>
        <v>Exited</v>
      </c>
      <c r="F384" s="22" t="s">
        <v>1700</v>
      </c>
      <c r="G384" s="24">
        <v>2.4</v>
      </c>
      <c r="H384" s="24">
        <v>3.1</v>
      </c>
      <c r="I384" s="24">
        <v>2.9</v>
      </c>
      <c r="J384" s="24">
        <v>2.5</v>
      </c>
      <c r="K384" s="24">
        <v>2.2000000000000002</v>
      </c>
      <c r="L384" s="24">
        <v>2.9</v>
      </c>
      <c r="M384" s="25">
        <f t="shared" si="54"/>
        <v>2.67</v>
      </c>
      <c r="N384" s="22">
        <v>10</v>
      </c>
      <c r="O384" s="22" t="str">
        <f t="shared" si="55"/>
        <v>Promoter</v>
      </c>
      <c r="P384" s="30">
        <f t="shared" si="56"/>
        <v>3</v>
      </c>
      <c r="Q384" s="35">
        <f t="shared" si="57"/>
        <v>1.06</v>
      </c>
      <c r="R384" s="22">
        <f t="shared" si="58"/>
        <v>1</v>
      </c>
      <c r="S384" s="22" t="str">
        <f t="shared" si="59"/>
        <v>Exited</v>
      </c>
    </row>
    <row r="385" spans="1:19" x14ac:dyDescent="0.3">
      <c r="A385" s="22" t="s">
        <v>1335</v>
      </c>
      <c r="B385" t="str">
        <f t="shared" si="50"/>
        <v>Sakshi Varghese</v>
      </c>
      <c r="C385" t="str">
        <f t="shared" si="51"/>
        <v>Sales</v>
      </c>
      <c r="D385" t="str">
        <f t="shared" si="52"/>
        <v>Nikhil Agarwal</v>
      </c>
      <c r="E385" s="30" t="str">
        <f t="shared" si="53"/>
        <v>Active</v>
      </c>
      <c r="F385" s="22" t="s">
        <v>1700</v>
      </c>
      <c r="G385" s="24">
        <v>2.5</v>
      </c>
      <c r="H385" s="24">
        <v>2.9</v>
      </c>
      <c r="I385" s="24">
        <v>2.6</v>
      </c>
      <c r="J385" s="24">
        <v>2.1</v>
      </c>
      <c r="K385" s="24">
        <v>2.2999999999999998</v>
      </c>
      <c r="L385" s="24">
        <v>2.2000000000000002</v>
      </c>
      <c r="M385" s="25">
        <f t="shared" si="54"/>
        <v>2.4300000000000002</v>
      </c>
      <c r="N385" s="22">
        <v>5</v>
      </c>
      <c r="O385" s="22" t="str">
        <f t="shared" si="55"/>
        <v>Detractor</v>
      </c>
      <c r="P385" s="30">
        <f t="shared" si="56"/>
        <v>3</v>
      </c>
      <c r="Q385" s="35">
        <f t="shared" si="57"/>
        <v>0.87</v>
      </c>
      <c r="R385" s="22">
        <f t="shared" si="58"/>
        <v>3</v>
      </c>
      <c r="S385" s="22" t="str">
        <f t="shared" si="59"/>
        <v>High</v>
      </c>
    </row>
    <row r="386" spans="1:19" x14ac:dyDescent="0.3">
      <c r="A386" s="22" t="s">
        <v>1338</v>
      </c>
      <c r="B386" t="str">
        <f t="shared" ref="B386:B449" si="60">INDEX(M_Name,MATCH($A386,M_ID,0))</f>
        <v>Mohit Desai</v>
      </c>
      <c r="C386" t="str">
        <f t="shared" ref="C386:C449" si="61">INDEX(M_Dept,MATCH($A386,M_ID,0))</f>
        <v>Legal &amp; Compliance</v>
      </c>
      <c r="D386" t="str">
        <f t="shared" ref="D386:D449" si="62">INDEX(M_Mgr,MATCH($A386,M_ID,0))</f>
        <v>Ramya Khanna</v>
      </c>
      <c r="E386" s="30" t="str">
        <f t="shared" ref="E386:E449" si="63">INDEX(M_Status,MATCH($A386,M_ID,0))</f>
        <v>Active</v>
      </c>
      <c r="F386" s="22" t="s">
        <v>1700</v>
      </c>
      <c r="G386" s="24">
        <v>3.6</v>
      </c>
      <c r="H386" s="24">
        <v>3</v>
      </c>
      <c r="I386" s="24">
        <v>3.9</v>
      </c>
      <c r="J386" s="24">
        <v>3.8</v>
      </c>
      <c r="K386" s="24">
        <v>3.1</v>
      </c>
      <c r="L386" s="24">
        <v>3.1</v>
      </c>
      <c r="M386" s="25">
        <f t="shared" ref="M386:M449" si="64">ROUND(AVERAGE(G386:L386),2)</f>
        <v>3.42</v>
      </c>
      <c r="N386" s="22">
        <v>7</v>
      </c>
      <c r="O386" s="22" t="str">
        <f t="shared" ref="O386:O449" si="65">IF(N386&gt;=9,"Promoter",IF(N386&gt;=7,"Passive","Detractor"))</f>
        <v>Passive</v>
      </c>
      <c r="P386" s="30">
        <f t="shared" ref="P386:P449" si="66">INDEX(P_Rating,MATCH($A386,M_ID,0))</f>
        <v>3</v>
      </c>
      <c r="Q386" s="35">
        <f t="shared" ref="Q386:Q449" si="67">INDEX(C_Compa,MATCH($A386,M_ID,0))</f>
        <v>1.1100000000000001</v>
      </c>
      <c r="R386" s="22">
        <f t="shared" ref="R386:R449" si="68">(M386&lt;EngThreshold)+(N386&lt;=6)+(Q386&lt;CompaThreshold)+(P386&gt;=4)</f>
        <v>0</v>
      </c>
      <c r="S386" s="22" t="str">
        <f t="shared" ref="S386:S449" si="69">IF(E386="Exited","Exited",IF(R386&gt;=3,"High",IF(R386=2,"Medium","Low")))</f>
        <v>Low</v>
      </c>
    </row>
    <row r="387" spans="1:19" x14ac:dyDescent="0.3">
      <c r="A387" s="22" t="s">
        <v>1341</v>
      </c>
      <c r="B387" t="str">
        <f t="shared" si="60"/>
        <v>Ajay Bose</v>
      </c>
      <c r="C387" t="str">
        <f t="shared" si="61"/>
        <v>Legal &amp; Compliance</v>
      </c>
      <c r="D387" t="str">
        <f t="shared" si="62"/>
        <v>Ramya Khanna</v>
      </c>
      <c r="E387" s="30" t="str">
        <f t="shared" si="63"/>
        <v>Active</v>
      </c>
      <c r="F387" s="22" t="s">
        <v>1700</v>
      </c>
      <c r="G387" s="24">
        <v>3.3</v>
      </c>
      <c r="H387" s="24">
        <v>3.3</v>
      </c>
      <c r="I387" s="24">
        <v>3.8</v>
      </c>
      <c r="J387" s="24">
        <v>4.0999999999999996</v>
      </c>
      <c r="K387" s="24">
        <v>3.7</v>
      </c>
      <c r="L387" s="24">
        <v>3.4</v>
      </c>
      <c r="M387" s="25">
        <f t="shared" si="64"/>
        <v>3.6</v>
      </c>
      <c r="N387" s="22">
        <v>8</v>
      </c>
      <c r="O387" s="22" t="str">
        <f t="shared" si="65"/>
        <v>Passive</v>
      </c>
      <c r="P387" s="30">
        <f t="shared" si="66"/>
        <v>5</v>
      </c>
      <c r="Q387" s="35">
        <f t="shared" si="67"/>
        <v>0.83</v>
      </c>
      <c r="R387" s="22">
        <f t="shared" si="68"/>
        <v>2</v>
      </c>
      <c r="S387" s="22" t="str">
        <f t="shared" si="69"/>
        <v>Medium</v>
      </c>
    </row>
    <row r="388" spans="1:19" x14ac:dyDescent="0.3">
      <c r="A388" s="22" t="s">
        <v>1344</v>
      </c>
      <c r="B388" t="str">
        <f t="shared" si="60"/>
        <v>Rakesh Khanna</v>
      </c>
      <c r="C388" t="str">
        <f t="shared" si="61"/>
        <v>Marketing</v>
      </c>
      <c r="D388" t="str">
        <f t="shared" si="62"/>
        <v>Nandini Iyer</v>
      </c>
      <c r="E388" s="30" t="str">
        <f t="shared" si="63"/>
        <v>Active</v>
      </c>
      <c r="F388" s="22" t="s">
        <v>1700</v>
      </c>
      <c r="G388" s="24">
        <v>2.8</v>
      </c>
      <c r="H388" s="24">
        <v>3.3</v>
      </c>
      <c r="I388" s="24">
        <v>3</v>
      </c>
      <c r="J388" s="24">
        <v>2.8</v>
      </c>
      <c r="K388" s="24">
        <v>2.7</v>
      </c>
      <c r="L388" s="24">
        <v>2.6</v>
      </c>
      <c r="M388" s="25">
        <f t="shared" si="64"/>
        <v>2.87</v>
      </c>
      <c r="N388" s="22">
        <v>9</v>
      </c>
      <c r="O388" s="22" t="str">
        <f t="shared" si="65"/>
        <v>Promoter</v>
      </c>
      <c r="P388" s="30">
        <f t="shared" si="66"/>
        <v>3</v>
      </c>
      <c r="Q388" s="35">
        <f t="shared" si="67"/>
        <v>0.91</v>
      </c>
      <c r="R388" s="22">
        <f t="shared" si="68"/>
        <v>1</v>
      </c>
      <c r="S388" s="22" t="str">
        <f t="shared" si="69"/>
        <v>Low</v>
      </c>
    </row>
    <row r="389" spans="1:19" x14ac:dyDescent="0.3">
      <c r="A389" s="22" t="s">
        <v>1347</v>
      </c>
      <c r="B389" t="str">
        <f t="shared" si="60"/>
        <v>Shreya Jain</v>
      </c>
      <c r="C389" t="str">
        <f t="shared" si="61"/>
        <v>Engineering</v>
      </c>
      <c r="D389" t="str">
        <f t="shared" si="62"/>
        <v>Tejaswini Hegde</v>
      </c>
      <c r="E389" s="30" t="str">
        <f t="shared" si="63"/>
        <v>Active</v>
      </c>
      <c r="F389" s="22" t="s">
        <v>1700</v>
      </c>
      <c r="G389" s="24">
        <v>3.6</v>
      </c>
      <c r="H389" s="24">
        <v>3.6</v>
      </c>
      <c r="I389" s="24">
        <v>4.0999999999999996</v>
      </c>
      <c r="J389" s="24">
        <v>3.8</v>
      </c>
      <c r="K389" s="24">
        <v>3.7</v>
      </c>
      <c r="L389" s="24">
        <v>3.1</v>
      </c>
      <c r="M389" s="25">
        <f t="shared" si="64"/>
        <v>3.65</v>
      </c>
      <c r="N389" s="22">
        <v>8</v>
      </c>
      <c r="O389" s="22" t="str">
        <f t="shared" si="65"/>
        <v>Passive</v>
      </c>
      <c r="P389" s="30">
        <f t="shared" si="66"/>
        <v>3</v>
      </c>
      <c r="Q389" s="35">
        <f t="shared" si="67"/>
        <v>0.93</v>
      </c>
      <c r="R389" s="22">
        <f t="shared" si="68"/>
        <v>0</v>
      </c>
      <c r="S389" s="22" t="str">
        <f t="shared" si="69"/>
        <v>Low</v>
      </c>
    </row>
    <row r="390" spans="1:19" x14ac:dyDescent="0.3">
      <c r="A390" s="22" t="s">
        <v>1350</v>
      </c>
      <c r="B390" t="str">
        <f t="shared" si="60"/>
        <v>Sneha Yadav</v>
      </c>
      <c r="C390" t="str">
        <f t="shared" si="61"/>
        <v>Engineering</v>
      </c>
      <c r="D390" t="str">
        <f t="shared" si="62"/>
        <v>Bhavana Hegde</v>
      </c>
      <c r="E390" s="30" t="str">
        <f t="shared" si="63"/>
        <v>Active</v>
      </c>
      <c r="F390" s="22" t="s">
        <v>1700</v>
      </c>
      <c r="G390" s="24">
        <v>3.4</v>
      </c>
      <c r="H390" s="24">
        <v>3.5</v>
      </c>
      <c r="I390" s="24">
        <v>3.3</v>
      </c>
      <c r="J390" s="24">
        <v>3.3</v>
      </c>
      <c r="K390" s="24">
        <v>2.9</v>
      </c>
      <c r="L390" s="24">
        <v>3.4</v>
      </c>
      <c r="M390" s="25">
        <f t="shared" si="64"/>
        <v>3.3</v>
      </c>
      <c r="N390" s="22">
        <v>9</v>
      </c>
      <c r="O390" s="22" t="str">
        <f t="shared" si="65"/>
        <v>Promoter</v>
      </c>
      <c r="P390" s="30">
        <f t="shared" si="66"/>
        <v>4</v>
      </c>
      <c r="Q390" s="35">
        <f t="shared" si="67"/>
        <v>1.08</v>
      </c>
      <c r="R390" s="22">
        <f t="shared" si="68"/>
        <v>1</v>
      </c>
      <c r="S390" s="22" t="str">
        <f t="shared" si="69"/>
        <v>Low</v>
      </c>
    </row>
    <row r="391" spans="1:19" x14ac:dyDescent="0.3">
      <c r="A391" s="22" t="s">
        <v>1353</v>
      </c>
      <c r="B391" t="str">
        <f t="shared" si="60"/>
        <v>Harsh Kapoor</v>
      </c>
      <c r="C391" t="str">
        <f t="shared" si="61"/>
        <v>Operations</v>
      </c>
      <c r="D391" t="str">
        <f t="shared" si="62"/>
        <v>Ankit Khanna</v>
      </c>
      <c r="E391" s="30" t="str">
        <f t="shared" si="63"/>
        <v>Active</v>
      </c>
      <c r="F391" s="22" t="s">
        <v>1700</v>
      </c>
      <c r="G391" s="24">
        <v>3.4</v>
      </c>
      <c r="H391" s="24">
        <v>3.3</v>
      </c>
      <c r="I391" s="24">
        <v>3.3</v>
      </c>
      <c r="J391" s="24">
        <v>3.4</v>
      </c>
      <c r="K391" s="24">
        <v>3.5</v>
      </c>
      <c r="L391" s="24">
        <v>3.1</v>
      </c>
      <c r="M391" s="25">
        <f t="shared" si="64"/>
        <v>3.33</v>
      </c>
      <c r="N391" s="22">
        <v>8</v>
      </c>
      <c r="O391" s="22" t="str">
        <f t="shared" si="65"/>
        <v>Passive</v>
      </c>
      <c r="P391" s="30">
        <f t="shared" si="66"/>
        <v>4</v>
      </c>
      <c r="Q391" s="35">
        <f t="shared" si="67"/>
        <v>0.69</v>
      </c>
      <c r="R391" s="22">
        <f t="shared" si="68"/>
        <v>2</v>
      </c>
      <c r="S391" s="22" t="str">
        <f t="shared" si="69"/>
        <v>Medium</v>
      </c>
    </row>
    <row r="392" spans="1:19" x14ac:dyDescent="0.3">
      <c r="A392" s="22" t="s">
        <v>1356</v>
      </c>
      <c r="B392" t="str">
        <f t="shared" si="60"/>
        <v>Venkat Iyer</v>
      </c>
      <c r="C392" t="str">
        <f t="shared" si="61"/>
        <v>Data &amp; Analytics</v>
      </c>
      <c r="D392" t="str">
        <f t="shared" si="62"/>
        <v>Karan Verma</v>
      </c>
      <c r="E392" s="30" t="str">
        <f t="shared" si="63"/>
        <v>Exited</v>
      </c>
      <c r="F392" s="22" t="s">
        <v>1700</v>
      </c>
      <c r="G392" s="24">
        <v>1.8</v>
      </c>
      <c r="H392" s="24">
        <v>2.6</v>
      </c>
      <c r="I392" s="24">
        <v>2.5</v>
      </c>
      <c r="J392" s="24">
        <v>2.4</v>
      </c>
      <c r="K392" s="24">
        <v>2.2999999999999998</v>
      </c>
      <c r="L392" s="24">
        <v>2.6</v>
      </c>
      <c r="M392" s="25">
        <f t="shared" si="64"/>
        <v>2.37</v>
      </c>
      <c r="N392" s="22">
        <v>5</v>
      </c>
      <c r="O392" s="22" t="str">
        <f t="shared" si="65"/>
        <v>Detractor</v>
      </c>
      <c r="P392" s="30">
        <f t="shared" si="66"/>
        <v>3</v>
      </c>
      <c r="Q392" s="35">
        <f t="shared" si="67"/>
        <v>0.95</v>
      </c>
      <c r="R392" s="22">
        <f t="shared" si="68"/>
        <v>2</v>
      </c>
      <c r="S392" s="22" t="str">
        <f t="shared" si="69"/>
        <v>Exited</v>
      </c>
    </row>
    <row r="393" spans="1:19" x14ac:dyDescent="0.3">
      <c r="A393" s="22" t="s">
        <v>1359</v>
      </c>
      <c r="B393" t="str">
        <f t="shared" si="60"/>
        <v>Sowmya Khan</v>
      </c>
      <c r="C393" t="str">
        <f t="shared" si="61"/>
        <v>Legal &amp; Compliance</v>
      </c>
      <c r="D393" t="str">
        <f t="shared" si="62"/>
        <v>Swathi Mukherjee</v>
      </c>
      <c r="E393" s="30" t="str">
        <f t="shared" si="63"/>
        <v>Active</v>
      </c>
      <c r="F393" s="22" t="s">
        <v>1700</v>
      </c>
      <c r="G393" s="24">
        <v>2.2999999999999998</v>
      </c>
      <c r="H393" s="24">
        <v>1.6</v>
      </c>
      <c r="I393" s="24">
        <v>2.2000000000000002</v>
      </c>
      <c r="J393" s="24">
        <v>1.7</v>
      </c>
      <c r="K393" s="24">
        <v>1.7</v>
      </c>
      <c r="L393" s="24">
        <v>1.6</v>
      </c>
      <c r="M393" s="25">
        <f t="shared" si="64"/>
        <v>1.85</v>
      </c>
      <c r="N393" s="22">
        <v>5</v>
      </c>
      <c r="O393" s="22" t="str">
        <f t="shared" si="65"/>
        <v>Detractor</v>
      </c>
      <c r="P393" s="30">
        <f t="shared" si="66"/>
        <v>2</v>
      </c>
      <c r="Q393" s="35">
        <f t="shared" si="67"/>
        <v>0.94</v>
      </c>
      <c r="R393" s="22">
        <f t="shared" si="68"/>
        <v>2</v>
      </c>
      <c r="S393" s="22" t="str">
        <f t="shared" si="69"/>
        <v>Medium</v>
      </c>
    </row>
    <row r="394" spans="1:19" x14ac:dyDescent="0.3">
      <c r="A394" s="22" t="s">
        <v>1362</v>
      </c>
      <c r="B394" t="str">
        <f t="shared" si="60"/>
        <v>Suresh Chatterjee</v>
      </c>
      <c r="C394" t="str">
        <f t="shared" si="61"/>
        <v>Product</v>
      </c>
      <c r="D394" t="str">
        <f t="shared" si="62"/>
        <v>Mansi Pillai</v>
      </c>
      <c r="E394" s="30" t="str">
        <f t="shared" si="63"/>
        <v>Active</v>
      </c>
      <c r="F394" s="22" t="s">
        <v>1700</v>
      </c>
      <c r="G394" s="24">
        <v>4.3</v>
      </c>
      <c r="H394" s="24">
        <v>3.8</v>
      </c>
      <c r="I394" s="24">
        <v>4</v>
      </c>
      <c r="J394" s="24">
        <v>3.5</v>
      </c>
      <c r="K394" s="24">
        <v>3.6</v>
      </c>
      <c r="L394" s="24">
        <v>4.3</v>
      </c>
      <c r="M394" s="25">
        <f t="shared" si="64"/>
        <v>3.92</v>
      </c>
      <c r="N394" s="22">
        <v>10</v>
      </c>
      <c r="O394" s="22" t="str">
        <f t="shared" si="65"/>
        <v>Promoter</v>
      </c>
      <c r="P394" s="30">
        <f t="shared" si="66"/>
        <v>5</v>
      </c>
      <c r="Q394" s="35">
        <f t="shared" si="67"/>
        <v>1.24</v>
      </c>
      <c r="R394" s="22">
        <f t="shared" si="68"/>
        <v>1</v>
      </c>
      <c r="S394" s="22" t="str">
        <f t="shared" si="69"/>
        <v>Low</v>
      </c>
    </row>
    <row r="395" spans="1:19" x14ac:dyDescent="0.3">
      <c r="A395" s="22" t="s">
        <v>1365</v>
      </c>
      <c r="B395" t="str">
        <f t="shared" si="60"/>
        <v>Aditya Das</v>
      </c>
      <c r="C395" t="str">
        <f t="shared" si="61"/>
        <v>Engineering</v>
      </c>
      <c r="D395" t="str">
        <f t="shared" si="62"/>
        <v>Gaurav Fernandes</v>
      </c>
      <c r="E395" s="30" t="str">
        <f t="shared" si="63"/>
        <v>Exited</v>
      </c>
      <c r="F395" s="22" t="s">
        <v>1700</v>
      </c>
      <c r="G395" s="24">
        <v>4.4000000000000004</v>
      </c>
      <c r="H395" s="24">
        <v>3.9</v>
      </c>
      <c r="I395" s="24">
        <v>3.4</v>
      </c>
      <c r="J395" s="24">
        <v>3.8</v>
      </c>
      <c r="K395" s="24">
        <v>4.0999999999999996</v>
      </c>
      <c r="L395" s="24">
        <v>3.9</v>
      </c>
      <c r="M395" s="25">
        <f t="shared" si="64"/>
        <v>3.92</v>
      </c>
      <c r="N395" s="22">
        <v>9</v>
      </c>
      <c r="O395" s="22" t="str">
        <f t="shared" si="65"/>
        <v>Promoter</v>
      </c>
      <c r="P395" s="30">
        <f t="shared" si="66"/>
        <v>5</v>
      </c>
      <c r="Q395" s="35">
        <f t="shared" si="67"/>
        <v>1.37</v>
      </c>
      <c r="R395" s="22">
        <f t="shared" si="68"/>
        <v>1</v>
      </c>
      <c r="S395" s="22" t="str">
        <f t="shared" si="69"/>
        <v>Exited</v>
      </c>
    </row>
    <row r="396" spans="1:19" x14ac:dyDescent="0.3">
      <c r="A396" s="22" t="s">
        <v>1368</v>
      </c>
      <c r="B396" t="str">
        <f t="shared" si="60"/>
        <v>Ankit Banerjee</v>
      </c>
      <c r="C396" t="str">
        <f t="shared" si="61"/>
        <v>Operations</v>
      </c>
      <c r="D396" t="str">
        <f t="shared" si="62"/>
        <v>Yash Shah</v>
      </c>
      <c r="E396" s="30" t="str">
        <f t="shared" si="63"/>
        <v>Active</v>
      </c>
      <c r="F396" s="22" t="s">
        <v>1700</v>
      </c>
      <c r="G396" s="24">
        <v>3.9</v>
      </c>
      <c r="H396" s="24">
        <v>3.9</v>
      </c>
      <c r="I396" s="24">
        <v>3.5</v>
      </c>
      <c r="J396" s="24">
        <v>4.0999999999999996</v>
      </c>
      <c r="K396" s="24">
        <v>3.9</v>
      </c>
      <c r="L396" s="24">
        <v>4.3</v>
      </c>
      <c r="M396" s="25">
        <f t="shared" si="64"/>
        <v>3.93</v>
      </c>
      <c r="N396" s="22">
        <v>10</v>
      </c>
      <c r="O396" s="22" t="str">
        <f t="shared" si="65"/>
        <v>Promoter</v>
      </c>
      <c r="P396" s="30">
        <f t="shared" si="66"/>
        <v>3</v>
      </c>
      <c r="Q396" s="35">
        <f t="shared" si="67"/>
        <v>1.03</v>
      </c>
      <c r="R396" s="22">
        <f t="shared" si="68"/>
        <v>0</v>
      </c>
      <c r="S396" s="22" t="str">
        <f t="shared" si="69"/>
        <v>Low</v>
      </c>
    </row>
    <row r="397" spans="1:19" x14ac:dyDescent="0.3">
      <c r="A397" s="22" t="s">
        <v>1371</v>
      </c>
      <c r="B397" t="str">
        <f t="shared" si="60"/>
        <v>Aniket Hegde</v>
      </c>
      <c r="C397" t="str">
        <f t="shared" si="61"/>
        <v>Marketing</v>
      </c>
      <c r="D397" t="str">
        <f t="shared" si="62"/>
        <v>Isha Chatterjee</v>
      </c>
      <c r="E397" s="30" t="str">
        <f t="shared" si="63"/>
        <v>Active</v>
      </c>
      <c r="F397" s="22" t="s">
        <v>1700</v>
      </c>
      <c r="G397" s="24">
        <v>3.5</v>
      </c>
      <c r="H397" s="24">
        <v>3.8</v>
      </c>
      <c r="I397" s="24">
        <v>3.2</v>
      </c>
      <c r="J397" s="24">
        <v>3.4</v>
      </c>
      <c r="K397" s="24">
        <v>2.8</v>
      </c>
      <c r="L397" s="24">
        <v>3.4</v>
      </c>
      <c r="M397" s="25">
        <f t="shared" si="64"/>
        <v>3.35</v>
      </c>
      <c r="N397" s="22">
        <v>9</v>
      </c>
      <c r="O397" s="22" t="str">
        <f t="shared" si="65"/>
        <v>Promoter</v>
      </c>
      <c r="P397" s="30">
        <f t="shared" si="66"/>
        <v>4</v>
      </c>
      <c r="Q397" s="35">
        <f t="shared" si="67"/>
        <v>0.75</v>
      </c>
      <c r="R397" s="22">
        <f t="shared" si="68"/>
        <v>2</v>
      </c>
      <c r="S397" s="22" t="str">
        <f t="shared" si="69"/>
        <v>Medium</v>
      </c>
    </row>
    <row r="398" spans="1:19" x14ac:dyDescent="0.3">
      <c r="A398" s="22" t="s">
        <v>1374</v>
      </c>
      <c r="B398" t="str">
        <f t="shared" si="60"/>
        <v>Bhavana Dsouza</v>
      </c>
      <c r="C398" t="str">
        <f t="shared" si="61"/>
        <v>Product</v>
      </c>
      <c r="D398" t="str">
        <f t="shared" si="62"/>
        <v>Sachin Shetty</v>
      </c>
      <c r="E398" s="30" t="str">
        <f t="shared" si="63"/>
        <v>Active</v>
      </c>
      <c r="F398" s="22" t="s">
        <v>1700</v>
      </c>
      <c r="G398" s="24">
        <v>3.2</v>
      </c>
      <c r="H398" s="24">
        <v>3.4</v>
      </c>
      <c r="I398" s="24">
        <v>2.6</v>
      </c>
      <c r="J398" s="24">
        <v>2.7</v>
      </c>
      <c r="K398" s="24">
        <v>3.1</v>
      </c>
      <c r="L398" s="24">
        <v>3.5</v>
      </c>
      <c r="M398" s="25">
        <f t="shared" si="64"/>
        <v>3.08</v>
      </c>
      <c r="N398" s="22">
        <v>8</v>
      </c>
      <c r="O398" s="22" t="str">
        <f t="shared" si="65"/>
        <v>Passive</v>
      </c>
      <c r="P398" s="30">
        <f t="shared" si="66"/>
        <v>2</v>
      </c>
      <c r="Q398" s="35">
        <f t="shared" si="67"/>
        <v>1.26</v>
      </c>
      <c r="R398" s="22">
        <f t="shared" si="68"/>
        <v>0</v>
      </c>
      <c r="S398" s="22" t="str">
        <f t="shared" si="69"/>
        <v>Low</v>
      </c>
    </row>
    <row r="399" spans="1:19" x14ac:dyDescent="0.3">
      <c r="A399" s="22" t="s">
        <v>1377</v>
      </c>
      <c r="B399" t="str">
        <f t="shared" si="60"/>
        <v>Vidya Desai</v>
      </c>
      <c r="C399" t="str">
        <f t="shared" si="61"/>
        <v>Customer Support</v>
      </c>
      <c r="D399" t="str">
        <f t="shared" si="62"/>
        <v>Ashish Varghese</v>
      </c>
      <c r="E399" s="30" t="str">
        <f t="shared" si="63"/>
        <v>Active</v>
      </c>
      <c r="F399" s="22" t="s">
        <v>1700</v>
      </c>
      <c r="G399" s="24">
        <v>3.2</v>
      </c>
      <c r="H399" s="24">
        <v>3.4</v>
      </c>
      <c r="I399" s="24">
        <v>3.4</v>
      </c>
      <c r="J399" s="24">
        <v>3</v>
      </c>
      <c r="K399" s="24">
        <v>3.6</v>
      </c>
      <c r="L399" s="24">
        <v>3.2</v>
      </c>
      <c r="M399" s="25">
        <f t="shared" si="64"/>
        <v>3.3</v>
      </c>
      <c r="N399" s="22">
        <v>9</v>
      </c>
      <c r="O399" s="22" t="str">
        <f t="shared" si="65"/>
        <v>Promoter</v>
      </c>
      <c r="P399" s="30">
        <f t="shared" si="66"/>
        <v>2</v>
      </c>
      <c r="Q399" s="35">
        <f t="shared" si="67"/>
        <v>0.76</v>
      </c>
      <c r="R399" s="22">
        <f t="shared" si="68"/>
        <v>1</v>
      </c>
      <c r="S399" s="22" t="str">
        <f t="shared" si="69"/>
        <v>Low</v>
      </c>
    </row>
    <row r="400" spans="1:19" x14ac:dyDescent="0.3">
      <c r="A400" s="22" t="s">
        <v>1380</v>
      </c>
      <c r="B400" t="str">
        <f t="shared" si="60"/>
        <v>Vishal Kumar</v>
      </c>
      <c r="C400" t="str">
        <f t="shared" si="61"/>
        <v>Legal &amp; Compliance</v>
      </c>
      <c r="D400" t="str">
        <f t="shared" si="62"/>
        <v>Ramya Khanna</v>
      </c>
      <c r="E400" s="30" t="str">
        <f t="shared" si="63"/>
        <v>Active</v>
      </c>
      <c r="F400" s="22" t="s">
        <v>1700</v>
      </c>
      <c r="G400" s="24">
        <v>2.9</v>
      </c>
      <c r="H400" s="24">
        <v>2.4</v>
      </c>
      <c r="I400" s="24">
        <v>2.6</v>
      </c>
      <c r="J400" s="24">
        <v>3.4</v>
      </c>
      <c r="K400" s="24">
        <v>2.4</v>
      </c>
      <c r="L400" s="24">
        <v>3.3</v>
      </c>
      <c r="M400" s="25">
        <f t="shared" si="64"/>
        <v>2.83</v>
      </c>
      <c r="N400" s="22">
        <v>8</v>
      </c>
      <c r="O400" s="22" t="str">
        <f t="shared" si="65"/>
        <v>Passive</v>
      </c>
      <c r="P400" s="30">
        <f t="shared" si="66"/>
        <v>3</v>
      </c>
      <c r="Q400" s="35">
        <f t="shared" si="67"/>
        <v>0.8</v>
      </c>
      <c r="R400" s="22">
        <f t="shared" si="68"/>
        <v>2</v>
      </c>
      <c r="S400" s="22" t="str">
        <f t="shared" si="69"/>
        <v>Medium</v>
      </c>
    </row>
    <row r="401" spans="1:19" x14ac:dyDescent="0.3">
      <c r="A401" s="22" t="s">
        <v>1383</v>
      </c>
      <c r="B401" t="str">
        <f t="shared" si="60"/>
        <v>Suresh Singh</v>
      </c>
      <c r="C401" t="str">
        <f t="shared" si="61"/>
        <v>Customer Support</v>
      </c>
      <c r="D401" t="str">
        <f t="shared" si="62"/>
        <v>Isha Verma</v>
      </c>
      <c r="E401" s="30" t="str">
        <f t="shared" si="63"/>
        <v>Active</v>
      </c>
      <c r="F401" s="22" t="s">
        <v>1700</v>
      </c>
      <c r="G401" s="24">
        <v>3</v>
      </c>
      <c r="H401" s="24">
        <v>3.2</v>
      </c>
      <c r="I401" s="24">
        <v>2.7</v>
      </c>
      <c r="J401" s="24">
        <v>2.9</v>
      </c>
      <c r="K401" s="24">
        <v>2.6</v>
      </c>
      <c r="L401" s="24">
        <v>2.2000000000000002</v>
      </c>
      <c r="M401" s="25">
        <f t="shared" si="64"/>
        <v>2.77</v>
      </c>
      <c r="N401" s="22">
        <v>8</v>
      </c>
      <c r="O401" s="22" t="str">
        <f t="shared" si="65"/>
        <v>Passive</v>
      </c>
      <c r="P401" s="30">
        <f t="shared" si="66"/>
        <v>2</v>
      </c>
      <c r="Q401" s="35">
        <f t="shared" si="67"/>
        <v>0.56999999999999995</v>
      </c>
      <c r="R401" s="22">
        <f t="shared" si="68"/>
        <v>2</v>
      </c>
      <c r="S401" s="22" t="str">
        <f t="shared" si="69"/>
        <v>Medium</v>
      </c>
    </row>
    <row r="402" spans="1:19" x14ac:dyDescent="0.3">
      <c r="A402" s="22" t="s">
        <v>1386</v>
      </c>
      <c r="B402" t="str">
        <f t="shared" si="60"/>
        <v>Mansi Yadav</v>
      </c>
      <c r="C402" t="str">
        <f t="shared" si="61"/>
        <v>Engineering</v>
      </c>
      <c r="D402" t="str">
        <f t="shared" si="62"/>
        <v>Madhuri Menon</v>
      </c>
      <c r="E402" s="30" t="str">
        <f t="shared" si="63"/>
        <v>Active</v>
      </c>
      <c r="F402" s="22" t="s">
        <v>1700</v>
      </c>
      <c r="G402" s="24">
        <v>3.8</v>
      </c>
      <c r="H402" s="24">
        <v>4.0999999999999996</v>
      </c>
      <c r="I402" s="24">
        <v>3.6</v>
      </c>
      <c r="J402" s="24">
        <v>3</v>
      </c>
      <c r="K402" s="24">
        <v>3.1</v>
      </c>
      <c r="L402" s="24">
        <v>3.5</v>
      </c>
      <c r="M402" s="25">
        <f t="shared" si="64"/>
        <v>3.52</v>
      </c>
      <c r="N402" s="22">
        <v>9</v>
      </c>
      <c r="O402" s="22" t="str">
        <f t="shared" si="65"/>
        <v>Promoter</v>
      </c>
      <c r="P402" s="30">
        <f t="shared" si="66"/>
        <v>2</v>
      </c>
      <c r="Q402" s="35">
        <f t="shared" si="67"/>
        <v>1.35</v>
      </c>
      <c r="R402" s="22">
        <f t="shared" si="68"/>
        <v>0</v>
      </c>
      <c r="S402" s="22" t="str">
        <f t="shared" si="69"/>
        <v>Low</v>
      </c>
    </row>
    <row r="403" spans="1:19" x14ac:dyDescent="0.3">
      <c r="A403" s="22" t="s">
        <v>1389</v>
      </c>
      <c r="B403" t="str">
        <f t="shared" si="60"/>
        <v>Tarun Prabhu</v>
      </c>
      <c r="C403" t="str">
        <f t="shared" si="61"/>
        <v>Product</v>
      </c>
      <c r="D403" t="str">
        <f t="shared" si="62"/>
        <v>Trisha Malhotra</v>
      </c>
      <c r="E403" s="30" t="str">
        <f t="shared" si="63"/>
        <v>Active</v>
      </c>
      <c r="F403" s="22" t="s">
        <v>1700</v>
      </c>
      <c r="G403" s="24">
        <v>2.9</v>
      </c>
      <c r="H403" s="24">
        <v>3</v>
      </c>
      <c r="I403" s="24">
        <v>2.8</v>
      </c>
      <c r="J403" s="24">
        <v>3.2</v>
      </c>
      <c r="K403" s="24">
        <v>3.6</v>
      </c>
      <c r="L403" s="24">
        <v>2.6</v>
      </c>
      <c r="M403" s="25">
        <f t="shared" si="64"/>
        <v>3.02</v>
      </c>
      <c r="N403" s="22">
        <v>6</v>
      </c>
      <c r="O403" s="22" t="str">
        <f t="shared" si="65"/>
        <v>Detractor</v>
      </c>
      <c r="P403" s="30">
        <f t="shared" si="66"/>
        <v>3</v>
      </c>
      <c r="Q403" s="35">
        <f t="shared" si="67"/>
        <v>1.17</v>
      </c>
      <c r="R403" s="22">
        <f t="shared" si="68"/>
        <v>1</v>
      </c>
      <c r="S403" s="22" t="str">
        <f t="shared" si="69"/>
        <v>Low</v>
      </c>
    </row>
    <row r="404" spans="1:19" x14ac:dyDescent="0.3">
      <c r="A404" s="22" t="s">
        <v>1392</v>
      </c>
      <c r="B404" t="str">
        <f t="shared" si="60"/>
        <v>Tarun Naidu</v>
      </c>
      <c r="C404" t="str">
        <f t="shared" si="61"/>
        <v>Sales</v>
      </c>
      <c r="D404" t="str">
        <f t="shared" si="62"/>
        <v>Yash Raghavan</v>
      </c>
      <c r="E404" s="30" t="str">
        <f t="shared" si="63"/>
        <v>Exited</v>
      </c>
      <c r="F404" s="22" t="s">
        <v>1700</v>
      </c>
      <c r="G404" s="24">
        <v>3</v>
      </c>
      <c r="H404" s="24">
        <v>3</v>
      </c>
      <c r="I404" s="24">
        <v>3.1</v>
      </c>
      <c r="J404" s="24">
        <v>2.9</v>
      </c>
      <c r="K404" s="24">
        <v>3.1</v>
      </c>
      <c r="L404" s="24">
        <v>3.5</v>
      </c>
      <c r="M404" s="25">
        <f t="shared" si="64"/>
        <v>3.1</v>
      </c>
      <c r="N404" s="22">
        <v>7</v>
      </c>
      <c r="O404" s="22" t="str">
        <f t="shared" si="65"/>
        <v>Passive</v>
      </c>
      <c r="P404" s="30">
        <f t="shared" si="66"/>
        <v>2</v>
      </c>
      <c r="Q404" s="35">
        <f t="shared" si="67"/>
        <v>0.89</v>
      </c>
      <c r="R404" s="22">
        <f t="shared" si="68"/>
        <v>1</v>
      </c>
      <c r="S404" s="22" t="str">
        <f t="shared" si="69"/>
        <v>Exited</v>
      </c>
    </row>
    <row r="405" spans="1:19" x14ac:dyDescent="0.3">
      <c r="A405" s="22" t="s">
        <v>1395</v>
      </c>
      <c r="B405" t="str">
        <f t="shared" si="60"/>
        <v>Meera Khanna</v>
      </c>
      <c r="C405" t="str">
        <f t="shared" si="61"/>
        <v>Operations</v>
      </c>
      <c r="D405" t="str">
        <f t="shared" si="62"/>
        <v>Amit Kumar</v>
      </c>
      <c r="E405" s="30" t="str">
        <f t="shared" si="63"/>
        <v>Active</v>
      </c>
      <c r="F405" s="22" t="s">
        <v>1700</v>
      </c>
      <c r="G405" s="24">
        <v>3.7</v>
      </c>
      <c r="H405" s="24">
        <v>3.6</v>
      </c>
      <c r="I405" s="24">
        <v>3.8</v>
      </c>
      <c r="J405" s="24">
        <v>3.8</v>
      </c>
      <c r="K405" s="24">
        <v>4.3</v>
      </c>
      <c r="L405" s="24">
        <v>4.3</v>
      </c>
      <c r="M405" s="25">
        <f t="shared" si="64"/>
        <v>3.92</v>
      </c>
      <c r="N405" s="22">
        <v>9</v>
      </c>
      <c r="O405" s="22" t="str">
        <f t="shared" si="65"/>
        <v>Promoter</v>
      </c>
      <c r="P405" s="30">
        <f t="shared" si="66"/>
        <v>4</v>
      </c>
      <c r="Q405" s="35">
        <f t="shared" si="67"/>
        <v>0.67</v>
      </c>
      <c r="R405" s="22">
        <f t="shared" si="68"/>
        <v>2</v>
      </c>
      <c r="S405" s="22" t="str">
        <f t="shared" si="69"/>
        <v>Medium</v>
      </c>
    </row>
    <row r="406" spans="1:19" x14ac:dyDescent="0.3">
      <c r="A406" s="22" t="s">
        <v>1398</v>
      </c>
      <c r="B406" t="str">
        <f t="shared" si="60"/>
        <v>Rashmi Banerjee</v>
      </c>
      <c r="C406" t="str">
        <f t="shared" si="61"/>
        <v>Human Resources</v>
      </c>
      <c r="D406" t="str">
        <f t="shared" si="62"/>
        <v>Prakash Das</v>
      </c>
      <c r="E406" s="30" t="str">
        <f t="shared" si="63"/>
        <v>Active</v>
      </c>
      <c r="F406" s="22" t="s">
        <v>1700</v>
      </c>
      <c r="G406" s="24">
        <v>3.4</v>
      </c>
      <c r="H406" s="24">
        <v>3</v>
      </c>
      <c r="I406" s="24">
        <v>3.8</v>
      </c>
      <c r="J406" s="24">
        <v>3.6</v>
      </c>
      <c r="K406" s="24">
        <v>2.8</v>
      </c>
      <c r="L406" s="24">
        <v>3</v>
      </c>
      <c r="M406" s="25">
        <f t="shared" si="64"/>
        <v>3.27</v>
      </c>
      <c r="N406" s="22">
        <v>9</v>
      </c>
      <c r="O406" s="22" t="str">
        <f t="shared" si="65"/>
        <v>Promoter</v>
      </c>
      <c r="P406" s="30">
        <f t="shared" si="66"/>
        <v>3</v>
      </c>
      <c r="Q406" s="35">
        <f t="shared" si="67"/>
        <v>0.87</v>
      </c>
      <c r="R406" s="22">
        <f t="shared" si="68"/>
        <v>1</v>
      </c>
      <c r="S406" s="22" t="str">
        <f t="shared" si="69"/>
        <v>Low</v>
      </c>
    </row>
    <row r="407" spans="1:19" x14ac:dyDescent="0.3">
      <c r="A407" s="22" t="s">
        <v>1401</v>
      </c>
      <c r="B407" t="str">
        <f t="shared" si="60"/>
        <v>Anand Bose</v>
      </c>
      <c r="C407" t="str">
        <f t="shared" si="61"/>
        <v>Operations</v>
      </c>
      <c r="D407" t="str">
        <f t="shared" si="62"/>
        <v>Ankit Khanna</v>
      </c>
      <c r="E407" s="30" t="str">
        <f t="shared" si="63"/>
        <v>Exited</v>
      </c>
      <c r="F407" s="22" t="s">
        <v>1700</v>
      </c>
      <c r="G407" s="24">
        <v>2.8</v>
      </c>
      <c r="H407" s="24">
        <v>2.5</v>
      </c>
      <c r="I407" s="24">
        <v>3.6</v>
      </c>
      <c r="J407" s="24">
        <v>2.6</v>
      </c>
      <c r="K407" s="24">
        <v>2.8</v>
      </c>
      <c r="L407" s="24">
        <v>3.1</v>
      </c>
      <c r="M407" s="25">
        <f t="shared" si="64"/>
        <v>2.9</v>
      </c>
      <c r="N407" s="22">
        <v>10</v>
      </c>
      <c r="O407" s="22" t="str">
        <f t="shared" si="65"/>
        <v>Promoter</v>
      </c>
      <c r="P407" s="30">
        <f t="shared" si="66"/>
        <v>3</v>
      </c>
      <c r="Q407" s="35">
        <f t="shared" si="67"/>
        <v>0.91</v>
      </c>
      <c r="R407" s="22">
        <f t="shared" si="68"/>
        <v>1</v>
      </c>
      <c r="S407" s="22" t="str">
        <f t="shared" si="69"/>
        <v>Exited</v>
      </c>
    </row>
    <row r="408" spans="1:19" x14ac:dyDescent="0.3">
      <c r="A408" s="22" t="s">
        <v>823</v>
      </c>
      <c r="B408" t="str">
        <f t="shared" si="60"/>
        <v>Anand Naidu</v>
      </c>
      <c r="C408" t="str">
        <f t="shared" si="61"/>
        <v>Customer Support</v>
      </c>
      <c r="D408" t="str">
        <f t="shared" si="62"/>
        <v>Pooja Khanna</v>
      </c>
      <c r="E408" s="30" t="str">
        <f t="shared" si="63"/>
        <v>Active</v>
      </c>
      <c r="F408" s="22" t="s">
        <v>1700</v>
      </c>
      <c r="G408" s="24">
        <v>3.5</v>
      </c>
      <c r="H408" s="24">
        <v>3.2</v>
      </c>
      <c r="I408" s="24">
        <v>3.8</v>
      </c>
      <c r="J408" s="24">
        <v>3.3</v>
      </c>
      <c r="K408" s="24">
        <v>2.9</v>
      </c>
      <c r="L408" s="24">
        <v>2.6</v>
      </c>
      <c r="M408" s="25">
        <f t="shared" si="64"/>
        <v>3.22</v>
      </c>
      <c r="N408" s="22">
        <v>7</v>
      </c>
      <c r="O408" s="22" t="str">
        <f t="shared" si="65"/>
        <v>Passive</v>
      </c>
      <c r="P408" s="30">
        <f t="shared" si="66"/>
        <v>3</v>
      </c>
      <c r="Q408" s="35">
        <f t="shared" si="67"/>
        <v>0.61</v>
      </c>
      <c r="R408" s="22">
        <f t="shared" si="68"/>
        <v>1</v>
      </c>
      <c r="S408" s="22" t="str">
        <f t="shared" si="69"/>
        <v>Low</v>
      </c>
    </row>
    <row r="409" spans="1:19" x14ac:dyDescent="0.3">
      <c r="A409" s="22" t="s">
        <v>1405</v>
      </c>
      <c r="B409" t="str">
        <f t="shared" si="60"/>
        <v>Rashmi Kamath</v>
      </c>
      <c r="C409" t="str">
        <f t="shared" si="61"/>
        <v>Customer Support</v>
      </c>
      <c r="D409" t="str">
        <f t="shared" si="62"/>
        <v>Akash Dsouza</v>
      </c>
      <c r="E409" s="30" t="str">
        <f t="shared" si="63"/>
        <v>Active</v>
      </c>
      <c r="F409" s="22" t="s">
        <v>1701</v>
      </c>
      <c r="G409" s="24">
        <v>2.6</v>
      </c>
      <c r="H409" s="24">
        <v>3</v>
      </c>
      <c r="I409" s="24">
        <v>2.8</v>
      </c>
      <c r="J409" s="24">
        <v>2.2999999999999998</v>
      </c>
      <c r="K409" s="24">
        <v>2.9</v>
      </c>
      <c r="L409" s="24">
        <v>1.9</v>
      </c>
      <c r="M409" s="25">
        <f t="shared" si="64"/>
        <v>2.58</v>
      </c>
      <c r="N409" s="22">
        <v>7</v>
      </c>
      <c r="O409" s="22" t="str">
        <f t="shared" si="65"/>
        <v>Passive</v>
      </c>
      <c r="P409" s="30">
        <f t="shared" si="66"/>
        <v>2</v>
      </c>
      <c r="Q409" s="35">
        <f t="shared" si="67"/>
        <v>0.78</v>
      </c>
      <c r="R409" s="22">
        <f t="shared" si="68"/>
        <v>2</v>
      </c>
      <c r="S409" s="22" t="str">
        <f t="shared" si="69"/>
        <v>Medium</v>
      </c>
    </row>
    <row r="410" spans="1:19" x14ac:dyDescent="0.3">
      <c r="A410" s="22" t="s">
        <v>1408</v>
      </c>
      <c r="B410" t="str">
        <f t="shared" si="60"/>
        <v>Radhika Menon</v>
      </c>
      <c r="C410" t="str">
        <f t="shared" si="61"/>
        <v>Operations</v>
      </c>
      <c r="D410" t="str">
        <f t="shared" si="62"/>
        <v>Ankit Khanna</v>
      </c>
      <c r="E410" s="30" t="str">
        <f t="shared" si="63"/>
        <v>Active</v>
      </c>
      <c r="F410" s="22" t="s">
        <v>1700</v>
      </c>
      <c r="G410" s="24">
        <v>2.6</v>
      </c>
      <c r="H410" s="24">
        <v>3</v>
      </c>
      <c r="I410" s="24">
        <v>2.5</v>
      </c>
      <c r="J410" s="24">
        <v>3.1</v>
      </c>
      <c r="K410" s="24">
        <v>2.7</v>
      </c>
      <c r="L410" s="24">
        <v>2.9</v>
      </c>
      <c r="M410" s="25">
        <f t="shared" si="64"/>
        <v>2.8</v>
      </c>
      <c r="N410" s="22">
        <v>8</v>
      </c>
      <c r="O410" s="22" t="str">
        <f t="shared" si="65"/>
        <v>Passive</v>
      </c>
      <c r="P410" s="30">
        <f t="shared" si="66"/>
        <v>3</v>
      </c>
      <c r="Q410" s="35">
        <f t="shared" si="67"/>
        <v>0.84</v>
      </c>
      <c r="R410" s="22">
        <f t="shared" si="68"/>
        <v>2</v>
      </c>
      <c r="S410" s="22" t="str">
        <f t="shared" si="69"/>
        <v>Medium</v>
      </c>
    </row>
    <row r="411" spans="1:19" x14ac:dyDescent="0.3">
      <c r="A411" s="22" t="s">
        <v>258</v>
      </c>
      <c r="B411" t="str">
        <f t="shared" si="60"/>
        <v>Ravi Prabhu</v>
      </c>
      <c r="C411" t="str">
        <f t="shared" si="61"/>
        <v>Finance</v>
      </c>
      <c r="D411" t="str">
        <f t="shared" si="62"/>
        <v>Karan Patel</v>
      </c>
      <c r="E411" s="30" t="str">
        <f t="shared" si="63"/>
        <v>Active</v>
      </c>
      <c r="F411" s="22" t="s">
        <v>1701</v>
      </c>
      <c r="G411" s="24">
        <v>3.6</v>
      </c>
      <c r="H411" s="24">
        <v>4.3</v>
      </c>
      <c r="I411" s="24">
        <v>4.3</v>
      </c>
      <c r="J411" s="24">
        <v>4.2</v>
      </c>
      <c r="K411" s="24">
        <v>4.2</v>
      </c>
      <c r="L411" s="24">
        <v>4.2</v>
      </c>
      <c r="M411" s="25">
        <f t="shared" si="64"/>
        <v>4.13</v>
      </c>
      <c r="N411" s="22">
        <v>10</v>
      </c>
      <c r="O411" s="22" t="str">
        <f t="shared" si="65"/>
        <v>Promoter</v>
      </c>
      <c r="P411" s="30">
        <f t="shared" si="66"/>
        <v>4</v>
      </c>
      <c r="Q411" s="35">
        <f t="shared" si="67"/>
        <v>1.0900000000000001</v>
      </c>
      <c r="R411" s="22">
        <f t="shared" si="68"/>
        <v>1</v>
      </c>
      <c r="S411" s="22" t="str">
        <f t="shared" si="69"/>
        <v>Low</v>
      </c>
    </row>
    <row r="412" spans="1:19" x14ac:dyDescent="0.3">
      <c r="A412" s="22" t="s">
        <v>1412</v>
      </c>
      <c r="B412" t="str">
        <f t="shared" si="60"/>
        <v>Kunal Joshi</v>
      </c>
      <c r="C412" t="str">
        <f t="shared" si="61"/>
        <v>Engineering</v>
      </c>
      <c r="D412" t="str">
        <f t="shared" si="62"/>
        <v>Vikram Verma</v>
      </c>
      <c r="E412" s="30" t="str">
        <f t="shared" si="63"/>
        <v>Active</v>
      </c>
      <c r="F412" s="22" t="s">
        <v>1700</v>
      </c>
      <c r="G412" s="24">
        <v>3.4</v>
      </c>
      <c r="H412" s="24">
        <v>3</v>
      </c>
      <c r="I412" s="24">
        <v>3</v>
      </c>
      <c r="J412" s="24">
        <v>3.1</v>
      </c>
      <c r="K412" s="24">
        <v>3.7</v>
      </c>
      <c r="L412" s="24">
        <v>2.8</v>
      </c>
      <c r="M412" s="25">
        <f t="shared" si="64"/>
        <v>3.17</v>
      </c>
      <c r="N412" s="22">
        <v>7</v>
      </c>
      <c r="O412" s="22" t="str">
        <f t="shared" si="65"/>
        <v>Passive</v>
      </c>
      <c r="P412" s="30">
        <f t="shared" si="66"/>
        <v>5</v>
      </c>
      <c r="Q412" s="35">
        <f t="shared" si="67"/>
        <v>1.41</v>
      </c>
      <c r="R412" s="22">
        <f t="shared" si="68"/>
        <v>1</v>
      </c>
      <c r="S412" s="22" t="str">
        <f t="shared" si="69"/>
        <v>Low</v>
      </c>
    </row>
    <row r="413" spans="1:19" x14ac:dyDescent="0.3">
      <c r="A413" s="22" t="s">
        <v>1415</v>
      </c>
      <c r="B413" t="str">
        <f t="shared" si="60"/>
        <v>Ritu Varghese</v>
      </c>
      <c r="C413" t="str">
        <f t="shared" si="61"/>
        <v>Marketing</v>
      </c>
      <c r="D413" t="str">
        <f t="shared" si="62"/>
        <v>Isha Chatterjee</v>
      </c>
      <c r="E413" s="30" t="str">
        <f t="shared" si="63"/>
        <v>Active</v>
      </c>
      <c r="F413" s="22" t="s">
        <v>1700</v>
      </c>
      <c r="G413" s="24">
        <v>3.6</v>
      </c>
      <c r="H413" s="24">
        <v>3.4</v>
      </c>
      <c r="I413" s="24">
        <v>3.8</v>
      </c>
      <c r="J413" s="24">
        <v>3.2</v>
      </c>
      <c r="K413" s="24">
        <v>4.2</v>
      </c>
      <c r="L413" s="24">
        <v>3.7</v>
      </c>
      <c r="M413" s="25">
        <f t="shared" si="64"/>
        <v>3.65</v>
      </c>
      <c r="N413" s="22">
        <v>10</v>
      </c>
      <c r="O413" s="22" t="str">
        <f t="shared" si="65"/>
        <v>Promoter</v>
      </c>
      <c r="P413" s="30">
        <f t="shared" si="66"/>
        <v>4</v>
      </c>
      <c r="Q413" s="35">
        <f t="shared" si="67"/>
        <v>0.96</v>
      </c>
      <c r="R413" s="22">
        <f t="shared" si="68"/>
        <v>1</v>
      </c>
      <c r="S413" s="22" t="str">
        <f t="shared" si="69"/>
        <v>Low</v>
      </c>
    </row>
    <row r="414" spans="1:19" x14ac:dyDescent="0.3">
      <c r="A414" s="22" t="s">
        <v>1418</v>
      </c>
      <c r="B414" t="str">
        <f t="shared" si="60"/>
        <v>Joseph Ansari</v>
      </c>
      <c r="C414" t="str">
        <f t="shared" si="61"/>
        <v>Marketing</v>
      </c>
      <c r="D414" t="str">
        <f t="shared" si="62"/>
        <v>Isha Chatterjee</v>
      </c>
      <c r="E414" s="30" t="str">
        <f t="shared" si="63"/>
        <v>Active</v>
      </c>
      <c r="F414" s="22" t="s">
        <v>1700</v>
      </c>
      <c r="G414" s="24">
        <v>3.1</v>
      </c>
      <c r="H414" s="24">
        <v>3.3</v>
      </c>
      <c r="I414" s="24">
        <v>3</v>
      </c>
      <c r="J414" s="24">
        <v>3.4</v>
      </c>
      <c r="K414" s="24">
        <v>3.4</v>
      </c>
      <c r="L414" s="24">
        <v>3.3</v>
      </c>
      <c r="M414" s="25">
        <f t="shared" si="64"/>
        <v>3.25</v>
      </c>
      <c r="N414" s="22">
        <v>7</v>
      </c>
      <c r="O414" s="22" t="str">
        <f t="shared" si="65"/>
        <v>Passive</v>
      </c>
      <c r="P414" s="30">
        <f t="shared" si="66"/>
        <v>3</v>
      </c>
      <c r="Q414" s="35">
        <f t="shared" si="67"/>
        <v>1.08</v>
      </c>
      <c r="R414" s="22">
        <f t="shared" si="68"/>
        <v>0</v>
      </c>
      <c r="S414" s="22" t="str">
        <f t="shared" si="69"/>
        <v>Low</v>
      </c>
    </row>
    <row r="415" spans="1:19" x14ac:dyDescent="0.3">
      <c r="A415" s="22" t="s">
        <v>1421</v>
      </c>
      <c r="B415" t="str">
        <f t="shared" si="60"/>
        <v>Nisha Saxena</v>
      </c>
      <c r="C415" t="str">
        <f t="shared" si="61"/>
        <v>Customer Support</v>
      </c>
      <c r="D415" t="str">
        <f t="shared" si="62"/>
        <v>Imran Joshi</v>
      </c>
      <c r="E415" s="30" t="str">
        <f t="shared" si="63"/>
        <v>Active</v>
      </c>
      <c r="F415" s="22" t="s">
        <v>1700</v>
      </c>
      <c r="G415" s="24">
        <v>3.2</v>
      </c>
      <c r="H415" s="24">
        <v>3.4</v>
      </c>
      <c r="I415" s="24">
        <v>3.4</v>
      </c>
      <c r="J415" s="24">
        <v>3.1</v>
      </c>
      <c r="K415" s="24">
        <v>3.3</v>
      </c>
      <c r="L415" s="24">
        <v>4</v>
      </c>
      <c r="M415" s="25">
        <f t="shared" si="64"/>
        <v>3.4</v>
      </c>
      <c r="N415" s="22">
        <v>6</v>
      </c>
      <c r="O415" s="22" t="str">
        <f t="shared" si="65"/>
        <v>Detractor</v>
      </c>
      <c r="P415" s="30">
        <f t="shared" si="66"/>
        <v>3</v>
      </c>
      <c r="Q415" s="35">
        <f t="shared" si="67"/>
        <v>0.85</v>
      </c>
      <c r="R415" s="22">
        <f t="shared" si="68"/>
        <v>2</v>
      </c>
      <c r="S415" s="22" t="str">
        <f t="shared" si="69"/>
        <v>Medium</v>
      </c>
    </row>
    <row r="416" spans="1:19" x14ac:dyDescent="0.3">
      <c r="A416" s="22" t="s">
        <v>1424</v>
      </c>
      <c r="B416" t="str">
        <f t="shared" si="60"/>
        <v>Arun Dsouza</v>
      </c>
      <c r="C416" t="str">
        <f t="shared" si="61"/>
        <v>Engineering</v>
      </c>
      <c r="D416" t="str">
        <f t="shared" si="62"/>
        <v>Prakash Desai</v>
      </c>
      <c r="E416" s="30" t="str">
        <f t="shared" si="63"/>
        <v>Active</v>
      </c>
      <c r="F416" s="22" t="s">
        <v>1700</v>
      </c>
      <c r="G416" s="24">
        <v>3</v>
      </c>
      <c r="H416" s="24">
        <v>3.1</v>
      </c>
      <c r="I416" s="24">
        <v>2.5</v>
      </c>
      <c r="J416" s="24">
        <v>3</v>
      </c>
      <c r="K416" s="24">
        <v>2.6</v>
      </c>
      <c r="L416" s="24">
        <v>2.5</v>
      </c>
      <c r="M416" s="25">
        <f t="shared" si="64"/>
        <v>2.78</v>
      </c>
      <c r="N416" s="22">
        <v>8</v>
      </c>
      <c r="O416" s="22" t="str">
        <f t="shared" si="65"/>
        <v>Passive</v>
      </c>
      <c r="P416" s="30">
        <f t="shared" si="66"/>
        <v>4</v>
      </c>
      <c r="Q416" s="35">
        <f t="shared" si="67"/>
        <v>1.33</v>
      </c>
      <c r="R416" s="22">
        <f t="shared" si="68"/>
        <v>2</v>
      </c>
      <c r="S416" s="22" t="str">
        <f t="shared" si="69"/>
        <v>Medium</v>
      </c>
    </row>
    <row r="417" spans="1:19" x14ac:dyDescent="0.3">
      <c r="A417" s="22" t="s">
        <v>1427</v>
      </c>
      <c r="B417" t="str">
        <f t="shared" si="60"/>
        <v>Yash Varghese</v>
      </c>
      <c r="C417" t="str">
        <f t="shared" si="61"/>
        <v>Sales</v>
      </c>
      <c r="D417" t="str">
        <f t="shared" si="62"/>
        <v>Nikhil Agarwal</v>
      </c>
      <c r="E417" s="30" t="str">
        <f t="shared" si="63"/>
        <v>Active</v>
      </c>
      <c r="F417" s="22" t="s">
        <v>1700</v>
      </c>
      <c r="G417" s="24">
        <v>3.5</v>
      </c>
      <c r="H417" s="24">
        <v>3.5</v>
      </c>
      <c r="I417" s="24">
        <v>3.4</v>
      </c>
      <c r="J417" s="24">
        <v>2.9</v>
      </c>
      <c r="K417" s="24">
        <v>3.2</v>
      </c>
      <c r="L417" s="24">
        <v>3.5</v>
      </c>
      <c r="M417" s="25">
        <f t="shared" si="64"/>
        <v>3.33</v>
      </c>
      <c r="N417" s="22">
        <v>7</v>
      </c>
      <c r="O417" s="22" t="str">
        <f t="shared" si="65"/>
        <v>Passive</v>
      </c>
      <c r="P417" s="30">
        <f t="shared" si="66"/>
        <v>4</v>
      </c>
      <c r="Q417" s="35">
        <f t="shared" si="67"/>
        <v>1.03</v>
      </c>
      <c r="R417" s="22">
        <f t="shared" si="68"/>
        <v>1</v>
      </c>
      <c r="S417" s="22" t="str">
        <f t="shared" si="69"/>
        <v>Low</v>
      </c>
    </row>
    <row r="418" spans="1:19" x14ac:dyDescent="0.3">
      <c r="A418" s="22" t="s">
        <v>1430</v>
      </c>
      <c r="B418" t="str">
        <f t="shared" si="60"/>
        <v>Prakash Pillai</v>
      </c>
      <c r="C418" t="str">
        <f t="shared" si="61"/>
        <v>Engineering</v>
      </c>
      <c r="D418" t="str">
        <f t="shared" si="62"/>
        <v>Bhavana Hegde</v>
      </c>
      <c r="E418" s="30" t="str">
        <f t="shared" si="63"/>
        <v>Active</v>
      </c>
      <c r="F418" s="22" t="s">
        <v>1700</v>
      </c>
      <c r="G418" s="24">
        <v>3.1</v>
      </c>
      <c r="H418" s="24">
        <v>3.2</v>
      </c>
      <c r="I418" s="24">
        <v>3.2</v>
      </c>
      <c r="J418" s="24">
        <v>3.5</v>
      </c>
      <c r="K418" s="24">
        <v>3.1</v>
      </c>
      <c r="L418" s="24">
        <v>3.1</v>
      </c>
      <c r="M418" s="25">
        <f t="shared" si="64"/>
        <v>3.2</v>
      </c>
      <c r="N418" s="22">
        <v>8</v>
      </c>
      <c r="O418" s="22" t="str">
        <f t="shared" si="65"/>
        <v>Passive</v>
      </c>
      <c r="P418" s="30">
        <f t="shared" si="66"/>
        <v>3</v>
      </c>
      <c r="Q418" s="35">
        <f t="shared" si="67"/>
        <v>1.36</v>
      </c>
      <c r="R418" s="22">
        <f t="shared" si="68"/>
        <v>0</v>
      </c>
      <c r="S418" s="22" t="str">
        <f t="shared" si="69"/>
        <v>Low</v>
      </c>
    </row>
    <row r="419" spans="1:19" x14ac:dyDescent="0.3">
      <c r="A419" s="22" t="s">
        <v>1433</v>
      </c>
      <c r="B419" t="str">
        <f t="shared" si="60"/>
        <v>Imran Iyer</v>
      </c>
      <c r="C419" t="str">
        <f t="shared" si="61"/>
        <v>Operations</v>
      </c>
      <c r="D419" t="str">
        <f t="shared" si="62"/>
        <v>Ajay Kumar</v>
      </c>
      <c r="E419" s="30" t="str">
        <f t="shared" si="63"/>
        <v>Exited</v>
      </c>
      <c r="F419" s="22" t="s">
        <v>1700</v>
      </c>
      <c r="G419" s="24">
        <v>3.1</v>
      </c>
      <c r="H419" s="24">
        <v>3.2</v>
      </c>
      <c r="I419" s="24">
        <v>3.5</v>
      </c>
      <c r="J419" s="24">
        <v>2.8</v>
      </c>
      <c r="K419" s="24">
        <v>3</v>
      </c>
      <c r="L419" s="24">
        <v>2.9</v>
      </c>
      <c r="M419" s="25">
        <f t="shared" si="64"/>
        <v>3.08</v>
      </c>
      <c r="N419" s="22">
        <v>6</v>
      </c>
      <c r="O419" s="22" t="str">
        <f t="shared" si="65"/>
        <v>Detractor</v>
      </c>
      <c r="P419" s="30">
        <f t="shared" si="66"/>
        <v>3</v>
      </c>
      <c r="Q419" s="35">
        <f t="shared" si="67"/>
        <v>0.61</v>
      </c>
      <c r="R419" s="22">
        <f t="shared" si="68"/>
        <v>2</v>
      </c>
      <c r="S419" s="22" t="str">
        <f t="shared" si="69"/>
        <v>Exited</v>
      </c>
    </row>
    <row r="420" spans="1:19" x14ac:dyDescent="0.3">
      <c r="A420" s="22" t="s">
        <v>1436</v>
      </c>
      <c r="B420" t="str">
        <f t="shared" si="60"/>
        <v>Kiran Raghavan</v>
      </c>
      <c r="C420" t="str">
        <f t="shared" si="61"/>
        <v>Sales</v>
      </c>
      <c r="D420" t="str">
        <f t="shared" si="62"/>
        <v>Kavya Krishnan</v>
      </c>
      <c r="E420" s="30" t="str">
        <f t="shared" si="63"/>
        <v>Exited</v>
      </c>
      <c r="F420" s="22" t="s">
        <v>1700</v>
      </c>
      <c r="G420" s="24">
        <v>2.4</v>
      </c>
      <c r="H420" s="24">
        <v>3.6</v>
      </c>
      <c r="I420" s="24">
        <v>3.1</v>
      </c>
      <c r="J420" s="24">
        <v>3.5</v>
      </c>
      <c r="K420" s="24">
        <v>2.9</v>
      </c>
      <c r="L420" s="24">
        <v>2.8</v>
      </c>
      <c r="M420" s="25">
        <f t="shared" si="64"/>
        <v>3.05</v>
      </c>
      <c r="N420" s="22">
        <v>5</v>
      </c>
      <c r="O420" s="22" t="str">
        <f t="shared" si="65"/>
        <v>Detractor</v>
      </c>
      <c r="P420" s="30">
        <f t="shared" si="66"/>
        <v>3</v>
      </c>
      <c r="Q420" s="35">
        <f t="shared" si="67"/>
        <v>0.83</v>
      </c>
      <c r="R420" s="22">
        <f t="shared" si="68"/>
        <v>2</v>
      </c>
      <c r="S420" s="22" t="str">
        <f t="shared" si="69"/>
        <v>Exited</v>
      </c>
    </row>
    <row r="421" spans="1:19" x14ac:dyDescent="0.3">
      <c r="A421" s="22" t="s">
        <v>1439</v>
      </c>
      <c r="B421" t="str">
        <f t="shared" si="60"/>
        <v>Abhishek Krishnan</v>
      </c>
      <c r="C421" t="str">
        <f t="shared" si="61"/>
        <v>Data &amp; Analytics</v>
      </c>
      <c r="D421" t="str">
        <f t="shared" si="62"/>
        <v>Arun Mukherjee</v>
      </c>
      <c r="E421" s="30" t="str">
        <f t="shared" si="63"/>
        <v>Exited</v>
      </c>
      <c r="F421" s="22" t="s">
        <v>1701</v>
      </c>
      <c r="G421" s="24">
        <v>3.3</v>
      </c>
      <c r="H421" s="24">
        <v>2.9</v>
      </c>
      <c r="I421" s="24">
        <v>2.7</v>
      </c>
      <c r="J421" s="24">
        <v>2.8</v>
      </c>
      <c r="K421" s="24">
        <v>2.6</v>
      </c>
      <c r="L421" s="24">
        <v>2.5</v>
      </c>
      <c r="M421" s="25">
        <f t="shared" si="64"/>
        <v>2.8</v>
      </c>
      <c r="N421" s="22">
        <v>6</v>
      </c>
      <c r="O421" s="22" t="str">
        <f t="shared" si="65"/>
        <v>Detractor</v>
      </c>
      <c r="P421" s="30">
        <f t="shared" si="66"/>
        <v>4</v>
      </c>
      <c r="Q421" s="35">
        <f t="shared" si="67"/>
        <v>1.1599999999999999</v>
      </c>
      <c r="R421" s="22">
        <f t="shared" si="68"/>
        <v>3</v>
      </c>
      <c r="S421" s="22" t="str">
        <f t="shared" si="69"/>
        <v>Exited</v>
      </c>
    </row>
    <row r="422" spans="1:19" x14ac:dyDescent="0.3">
      <c r="A422" s="22" t="s">
        <v>1442</v>
      </c>
      <c r="B422" t="str">
        <f t="shared" si="60"/>
        <v>Aditya Rao</v>
      </c>
      <c r="C422" t="str">
        <f t="shared" si="61"/>
        <v>Operations</v>
      </c>
      <c r="D422" t="str">
        <f t="shared" si="62"/>
        <v>Amit Kumar</v>
      </c>
      <c r="E422" s="30" t="str">
        <f t="shared" si="63"/>
        <v>Active</v>
      </c>
      <c r="F422" s="22" t="s">
        <v>1700</v>
      </c>
      <c r="G422" s="24">
        <v>3.6</v>
      </c>
      <c r="H422" s="24">
        <v>3.8</v>
      </c>
      <c r="I422" s="24">
        <v>3.5</v>
      </c>
      <c r="J422" s="24">
        <v>3.6</v>
      </c>
      <c r="K422" s="24">
        <v>3.4</v>
      </c>
      <c r="L422" s="24">
        <v>3.6</v>
      </c>
      <c r="M422" s="25">
        <f t="shared" si="64"/>
        <v>3.58</v>
      </c>
      <c r="N422" s="22">
        <v>10</v>
      </c>
      <c r="O422" s="22" t="str">
        <f t="shared" si="65"/>
        <v>Promoter</v>
      </c>
      <c r="P422" s="30">
        <f t="shared" si="66"/>
        <v>3</v>
      </c>
      <c r="Q422" s="35">
        <f t="shared" si="67"/>
        <v>0.65</v>
      </c>
      <c r="R422" s="22">
        <f t="shared" si="68"/>
        <v>1</v>
      </c>
      <c r="S422" s="22" t="str">
        <f t="shared" si="69"/>
        <v>Low</v>
      </c>
    </row>
    <row r="423" spans="1:19" x14ac:dyDescent="0.3">
      <c r="A423" s="22" t="s">
        <v>1445</v>
      </c>
      <c r="B423" t="str">
        <f t="shared" si="60"/>
        <v>Anand Mukherjee</v>
      </c>
      <c r="C423" t="str">
        <f t="shared" si="61"/>
        <v>Sales</v>
      </c>
      <c r="D423" t="str">
        <f t="shared" si="62"/>
        <v>Nikhil Agarwal</v>
      </c>
      <c r="E423" s="30" t="str">
        <f t="shared" si="63"/>
        <v>Active</v>
      </c>
      <c r="F423" s="22" t="s">
        <v>1700</v>
      </c>
      <c r="G423" s="24">
        <v>3.4</v>
      </c>
      <c r="H423" s="24">
        <v>3.6</v>
      </c>
      <c r="I423" s="24">
        <v>3</v>
      </c>
      <c r="J423" s="24">
        <v>3.4</v>
      </c>
      <c r="K423" s="24">
        <v>3.8</v>
      </c>
      <c r="L423" s="24">
        <v>3.7</v>
      </c>
      <c r="M423" s="25">
        <f t="shared" si="64"/>
        <v>3.48</v>
      </c>
      <c r="N423" s="22">
        <v>10</v>
      </c>
      <c r="O423" s="22" t="str">
        <f t="shared" si="65"/>
        <v>Promoter</v>
      </c>
      <c r="P423" s="30">
        <f t="shared" si="66"/>
        <v>3</v>
      </c>
      <c r="Q423" s="35">
        <f t="shared" si="67"/>
        <v>1.04</v>
      </c>
      <c r="R423" s="22">
        <f t="shared" si="68"/>
        <v>0</v>
      </c>
      <c r="S423" s="22" t="str">
        <f t="shared" si="69"/>
        <v>Low</v>
      </c>
    </row>
    <row r="424" spans="1:19" x14ac:dyDescent="0.3">
      <c r="A424" s="22" t="s">
        <v>1448</v>
      </c>
      <c r="B424" t="str">
        <f t="shared" si="60"/>
        <v>Lakshmi Rao</v>
      </c>
      <c r="C424" t="str">
        <f t="shared" si="61"/>
        <v>Product</v>
      </c>
      <c r="D424" t="str">
        <f t="shared" si="62"/>
        <v>Trisha Malhotra</v>
      </c>
      <c r="E424" s="30" t="str">
        <f t="shared" si="63"/>
        <v>Active</v>
      </c>
      <c r="F424" s="22" t="s">
        <v>1700</v>
      </c>
      <c r="G424" s="24">
        <v>2.6</v>
      </c>
      <c r="H424" s="24">
        <v>3.3</v>
      </c>
      <c r="I424" s="24">
        <v>3.4</v>
      </c>
      <c r="J424" s="24">
        <v>3.7</v>
      </c>
      <c r="K424" s="24">
        <v>3.2</v>
      </c>
      <c r="L424" s="24">
        <v>3.2</v>
      </c>
      <c r="M424" s="25">
        <f t="shared" si="64"/>
        <v>3.23</v>
      </c>
      <c r="N424" s="22">
        <v>9</v>
      </c>
      <c r="O424" s="22" t="str">
        <f t="shared" si="65"/>
        <v>Promoter</v>
      </c>
      <c r="P424" s="30">
        <f t="shared" si="66"/>
        <v>3</v>
      </c>
      <c r="Q424" s="35">
        <f t="shared" si="67"/>
        <v>0.93</v>
      </c>
      <c r="R424" s="22">
        <f t="shared" si="68"/>
        <v>0</v>
      </c>
      <c r="S424" s="22" t="str">
        <f t="shared" si="69"/>
        <v>Low</v>
      </c>
    </row>
    <row r="425" spans="1:19" x14ac:dyDescent="0.3">
      <c r="A425" s="22" t="s">
        <v>1451</v>
      </c>
      <c r="B425" t="str">
        <f t="shared" si="60"/>
        <v>Naveen Kapoor</v>
      </c>
      <c r="C425" t="str">
        <f t="shared" si="61"/>
        <v>Engineering</v>
      </c>
      <c r="D425" t="str">
        <f t="shared" si="62"/>
        <v>Vikas Singh</v>
      </c>
      <c r="E425" s="30" t="str">
        <f t="shared" si="63"/>
        <v>Active</v>
      </c>
      <c r="F425" s="22" t="s">
        <v>1700</v>
      </c>
      <c r="G425" s="24">
        <v>2.9</v>
      </c>
      <c r="H425" s="24">
        <v>2.5</v>
      </c>
      <c r="I425" s="24">
        <v>3</v>
      </c>
      <c r="J425" s="24">
        <v>2.4</v>
      </c>
      <c r="K425" s="24">
        <v>2.6</v>
      </c>
      <c r="L425" s="24">
        <v>2.2999999999999998</v>
      </c>
      <c r="M425" s="25">
        <f t="shared" si="64"/>
        <v>2.62</v>
      </c>
      <c r="N425" s="22">
        <v>8</v>
      </c>
      <c r="O425" s="22" t="str">
        <f t="shared" si="65"/>
        <v>Passive</v>
      </c>
      <c r="P425" s="30">
        <f t="shared" si="66"/>
        <v>4</v>
      </c>
      <c r="Q425" s="35">
        <f t="shared" si="67"/>
        <v>1.46</v>
      </c>
      <c r="R425" s="22">
        <f t="shared" si="68"/>
        <v>2</v>
      </c>
      <c r="S425" s="22" t="str">
        <f t="shared" si="69"/>
        <v>Medium</v>
      </c>
    </row>
    <row r="426" spans="1:19" x14ac:dyDescent="0.3">
      <c r="A426" s="22" t="s">
        <v>1454</v>
      </c>
      <c r="B426" t="str">
        <f t="shared" si="60"/>
        <v>Pallavi Prabhu</v>
      </c>
      <c r="C426" t="str">
        <f t="shared" si="61"/>
        <v>Finance</v>
      </c>
      <c r="D426" t="str">
        <f t="shared" si="62"/>
        <v>Kritika Pandey</v>
      </c>
      <c r="E426" s="30" t="str">
        <f t="shared" si="63"/>
        <v>Active</v>
      </c>
      <c r="F426" s="22" t="s">
        <v>1700</v>
      </c>
      <c r="G426" s="24">
        <v>2.5</v>
      </c>
      <c r="H426" s="24">
        <v>2.6</v>
      </c>
      <c r="I426" s="24">
        <v>3.1</v>
      </c>
      <c r="J426" s="24">
        <v>3</v>
      </c>
      <c r="K426" s="24">
        <v>2.9</v>
      </c>
      <c r="L426" s="24">
        <v>3.1</v>
      </c>
      <c r="M426" s="25">
        <f t="shared" si="64"/>
        <v>2.87</v>
      </c>
      <c r="N426" s="22">
        <v>7</v>
      </c>
      <c r="O426" s="22" t="str">
        <f t="shared" si="65"/>
        <v>Passive</v>
      </c>
      <c r="P426" s="30">
        <f t="shared" si="66"/>
        <v>3</v>
      </c>
      <c r="Q426" s="35">
        <f t="shared" si="67"/>
        <v>1.2</v>
      </c>
      <c r="R426" s="22">
        <f t="shared" si="68"/>
        <v>1</v>
      </c>
      <c r="S426" s="22" t="str">
        <f t="shared" si="69"/>
        <v>Low</v>
      </c>
    </row>
    <row r="427" spans="1:19" x14ac:dyDescent="0.3">
      <c r="A427" s="22" t="s">
        <v>1457</v>
      </c>
      <c r="B427" t="str">
        <f t="shared" si="60"/>
        <v>Deepak Bansal</v>
      </c>
      <c r="C427" t="str">
        <f t="shared" si="61"/>
        <v>Customer Support</v>
      </c>
      <c r="D427" t="str">
        <f t="shared" si="62"/>
        <v>Anjali Iyer</v>
      </c>
      <c r="E427" s="30" t="str">
        <f t="shared" si="63"/>
        <v>Active</v>
      </c>
      <c r="F427" s="22" t="s">
        <v>1701</v>
      </c>
      <c r="G427" s="24">
        <v>2</v>
      </c>
      <c r="H427" s="24">
        <v>2.1</v>
      </c>
      <c r="I427" s="24">
        <v>3.1</v>
      </c>
      <c r="J427" s="24">
        <v>2.6</v>
      </c>
      <c r="K427" s="24">
        <v>2.5</v>
      </c>
      <c r="L427" s="24">
        <v>2.2999999999999998</v>
      </c>
      <c r="M427" s="25">
        <f t="shared" si="64"/>
        <v>2.4300000000000002</v>
      </c>
      <c r="N427" s="22">
        <v>7</v>
      </c>
      <c r="O427" s="22" t="str">
        <f t="shared" si="65"/>
        <v>Passive</v>
      </c>
      <c r="P427" s="30">
        <f t="shared" si="66"/>
        <v>2</v>
      </c>
      <c r="Q427" s="35">
        <f t="shared" si="67"/>
        <v>0.61</v>
      </c>
      <c r="R427" s="22">
        <f t="shared" si="68"/>
        <v>2</v>
      </c>
      <c r="S427" s="22" t="str">
        <f t="shared" si="69"/>
        <v>Medium</v>
      </c>
    </row>
    <row r="428" spans="1:19" x14ac:dyDescent="0.3">
      <c r="A428" s="22" t="s">
        <v>1460</v>
      </c>
      <c r="B428" t="str">
        <f t="shared" si="60"/>
        <v>Shreya Tiwari</v>
      </c>
      <c r="C428" t="str">
        <f t="shared" si="61"/>
        <v>Customer Support</v>
      </c>
      <c r="D428" t="str">
        <f t="shared" si="62"/>
        <v>Imran Joshi</v>
      </c>
      <c r="E428" s="30" t="str">
        <f t="shared" si="63"/>
        <v>Active</v>
      </c>
      <c r="F428" s="22" t="s">
        <v>1701</v>
      </c>
      <c r="G428" s="24">
        <v>3.8</v>
      </c>
      <c r="H428" s="24">
        <v>3.1</v>
      </c>
      <c r="I428" s="24">
        <v>3.3</v>
      </c>
      <c r="J428" s="24">
        <v>3.7</v>
      </c>
      <c r="K428" s="24">
        <v>3.4</v>
      </c>
      <c r="L428" s="24">
        <v>3.9</v>
      </c>
      <c r="M428" s="25">
        <f t="shared" si="64"/>
        <v>3.53</v>
      </c>
      <c r="N428" s="22">
        <v>9</v>
      </c>
      <c r="O428" s="22" t="str">
        <f t="shared" si="65"/>
        <v>Promoter</v>
      </c>
      <c r="P428" s="30">
        <f t="shared" si="66"/>
        <v>4</v>
      </c>
      <c r="Q428" s="35">
        <f t="shared" si="67"/>
        <v>0.92</v>
      </c>
      <c r="R428" s="22">
        <f t="shared" si="68"/>
        <v>1</v>
      </c>
      <c r="S428" s="22" t="str">
        <f t="shared" si="69"/>
        <v>Low</v>
      </c>
    </row>
    <row r="429" spans="1:19" x14ac:dyDescent="0.3">
      <c r="A429" s="22" t="s">
        <v>1463</v>
      </c>
      <c r="B429" t="str">
        <f t="shared" si="60"/>
        <v>Anusha Kamath</v>
      </c>
      <c r="C429" t="str">
        <f t="shared" si="61"/>
        <v>Engineering</v>
      </c>
      <c r="D429" t="str">
        <f t="shared" si="62"/>
        <v>Gaurav Fernandes</v>
      </c>
      <c r="E429" s="30" t="str">
        <f t="shared" si="63"/>
        <v>Active</v>
      </c>
      <c r="F429" s="22" t="s">
        <v>1701</v>
      </c>
      <c r="G429" s="24">
        <v>2.9</v>
      </c>
      <c r="H429" s="24">
        <v>2.6</v>
      </c>
      <c r="I429" s="24">
        <v>2.9</v>
      </c>
      <c r="J429" s="24">
        <v>3.6</v>
      </c>
      <c r="K429" s="24">
        <v>2.8</v>
      </c>
      <c r="L429" s="24">
        <v>3.2</v>
      </c>
      <c r="M429" s="25">
        <f t="shared" si="64"/>
        <v>3</v>
      </c>
      <c r="N429" s="22">
        <v>5</v>
      </c>
      <c r="O429" s="22" t="str">
        <f t="shared" si="65"/>
        <v>Detractor</v>
      </c>
      <c r="P429" s="30">
        <f t="shared" si="66"/>
        <v>2</v>
      </c>
      <c r="Q429" s="35">
        <f t="shared" si="67"/>
        <v>0.99</v>
      </c>
      <c r="R429" s="22">
        <f t="shared" si="68"/>
        <v>1</v>
      </c>
      <c r="S429" s="22" t="str">
        <f t="shared" si="69"/>
        <v>Low</v>
      </c>
    </row>
    <row r="430" spans="1:19" x14ac:dyDescent="0.3">
      <c r="A430" s="22" t="s">
        <v>148</v>
      </c>
      <c r="B430" t="str">
        <f t="shared" si="60"/>
        <v>Dev Bose</v>
      </c>
      <c r="C430" t="str">
        <f t="shared" si="61"/>
        <v>Product</v>
      </c>
      <c r="D430" t="str">
        <f t="shared" si="62"/>
        <v>Arvind Rao (CEO)</v>
      </c>
      <c r="E430" s="30" t="str">
        <f t="shared" si="63"/>
        <v>Active</v>
      </c>
      <c r="F430" s="22" t="s">
        <v>1700</v>
      </c>
      <c r="G430" s="24">
        <v>3.7</v>
      </c>
      <c r="H430" s="24">
        <v>3.8</v>
      </c>
      <c r="I430" s="24">
        <v>3.9</v>
      </c>
      <c r="J430" s="24">
        <v>3.8</v>
      </c>
      <c r="K430" s="24">
        <v>3.4</v>
      </c>
      <c r="L430" s="24">
        <v>3.8</v>
      </c>
      <c r="M430" s="25">
        <f t="shared" si="64"/>
        <v>3.73</v>
      </c>
      <c r="N430" s="22">
        <v>9</v>
      </c>
      <c r="O430" s="22" t="str">
        <f t="shared" si="65"/>
        <v>Promoter</v>
      </c>
      <c r="P430" s="30">
        <f t="shared" si="66"/>
        <v>3</v>
      </c>
      <c r="Q430" s="35">
        <f t="shared" si="67"/>
        <v>0.94</v>
      </c>
      <c r="R430" s="22">
        <f t="shared" si="68"/>
        <v>0</v>
      </c>
      <c r="S430" s="22" t="str">
        <f t="shared" si="69"/>
        <v>Low</v>
      </c>
    </row>
    <row r="431" spans="1:19" x14ac:dyDescent="0.3">
      <c r="A431" s="22" t="s">
        <v>1468</v>
      </c>
      <c r="B431" t="str">
        <f t="shared" si="60"/>
        <v>Divya Patel</v>
      </c>
      <c r="C431" t="str">
        <f t="shared" si="61"/>
        <v>Human Resources</v>
      </c>
      <c r="D431" t="str">
        <f t="shared" si="62"/>
        <v>Ajay Patel</v>
      </c>
      <c r="E431" s="30" t="str">
        <f t="shared" si="63"/>
        <v>Active</v>
      </c>
      <c r="F431" s="22" t="s">
        <v>1700</v>
      </c>
      <c r="G431" s="24">
        <v>2</v>
      </c>
      <c r="H431" s="24">
        <v>2.7</v>
      </c>
      <c r="I431" s="24">
        <v>3.5</v>
      </c>
      <c r="J431" s="24">
        <v>2.2000000000000002</v>
      </c>
      <c r="K431" s="24">
        <v>2.9</v>
      </c>
      <c r="L431" s="24">
        <v>3.4</v>
      </c>
      <c r="M431" s="25">
        <f t="shared" si="64"/>
        <v>2.78</v>
      </c>
      <c r="N431" s="22">
        <v>9</v>
      </c>
      <c r="O431" s="22" t="str">
        <f t="shared" si="65"/>
        <v>Promoter</v>
      </c>
      <c r="P431" s="30">
        <f t="shared" si="66"/>
        <v>2</v>
      </c>
      <c r="Q431" s="35">
        <f t="shared" si="67"/>
        <v>0.81</v>
      </c>
      <c r="R431" s="22">
        <f t="shared" si="68"/>
        <v>2</v>
      </c>
      <c r="S431" s="22" t="str">
        <f t="shared" si="69"/>
        <v>Medium</v>
      </c>
    </row>
    <row r="432" spans="1:19" x14ac:dyDescent="0.3">
      <c r="A432" s="22" t="s">
        <v>1471</v>
      </c>
      <c r="B432" t="str">
        <f t="shared" si="60"/>
        <v>Nisha Kapoor</v>
      </c>
      <c r="C432" t="str">
        <f t="shared" si="61"/>
        <v>Engineering</v>
      </c>
      <c r="D432" t="str">
        <f t="shared" si="62"/>
        <v>Fatima Choudhary</v>
      </c>
      <c r="E432" s="30" t="str">
        <f t="shared" si="63"/>
        <v>Active</v>
      </c>
      <c r="F432" s="22" t="s">
        <v>1700</v>
      </c>
      <c r="G432" s="24">
        <v>2.5</v>
      </c>
      <c r="H432" s="24">
        <v>2.8</v>
      </c>
      <c r="I432" s="24">
        <v>3</v>
      </c>
      <c r="J432" s="24">
        <v>2.9</v>
      </c>
      <c r="K432" s="24">
        <v>2.2999999999999998</v>
      </c>
      <c r="L432" s="24">
        <v>3.3</v>
      </c>
      <c r="M432" s="25">
        <f t="shared" si="64"/>
        <v>2.8</v>
      </c>
      <c r="N432" s="22">
        <v>5</v>
      </c>
      <c r="O432" s="22" t="str">
        <f t="shared" si="65"/>
        <v>Detractor</v>
      </c>
      <c r="P432" s="30">
        <f t="shared" si="66"/>
        <v>2</v>
      </c>
      <c r="Q432" s="35">
        <f t="shared" si="67"/>
        <v>1.4</v>
      </c>
      <c r="R432" s="22">
        <f t="shared" si="68"/>
        <v>2</v>
      </c>
      <c r="S432" s="22" t="str">
        <f t="shared" si="69"/>
        <v>Medium</v>
      </c>
    </row>
    <row r="433" spans="1:19" x14ac:dyDescent="0.3">
      <c r="A433" s="22" t="s">
        <v>1474</v>
      </c>
      <c r="B433" t="str">
        <f t="shared" si="60"/>
        <v>Gayatri Raghavan</v>
      </c>
      <c r="C433" t="str">
        <f t="shared" si="61"/>
        <v>Operations</v>
      </c>
      <c r="D433" t="str">
        <f t="shared" si="62"/>
        <v>Amit Kumar</v>
      </c>
      <c r="E433" s="30" t="str">
        <f t="shared" si="63"/>
        <v>Exited</v>
      </c>
      <c r="F433" s="22" t="s">
        <v>1701</v>
      </c>
      <c r="G433" s="24">
        <v>2.6</v>
      </c>
      <c r="H433" s="24">
        <v>1.5</v>
      </c>
      <c r="I433" s="24">
        <v>2.1</v>
      </c>
      <c r="J433" s="24">
        <v>2.5</v>
      </c>
      <c r="K433" s="24">
        <v>2.7</v>
      </c>
      <c r="L433" s="24">
        <v>2</v>
      </c>
      <c r="M433" s="25">
        <f t="shared" si="64"/>
        <v>2.23</v>
      </c>
      <c r="N433" s="22">
        <v>5</v>
      </c>
      <c r="O433" s="22" t="str">
        <f t="shared" si="65"/>
        <v>Detractor</v>
      </c>
      <c r="P433" s="30">
        <f t="shared" si="66"/>
        <v>3</v>
      </c>
      <c r="Q433" s="35">
        <f t="shared" si="67"/>
        <v>0.83</v>
      </c>
      <c r="R433" s="22">
        <f t="shared" si="68"/>
        <v>3</v>
      </c>
      <c r="S433" s="22" t="str">
        <f t="shared" si="69"/>
        <v>Exited</v>
      </c>
    </row>
    <row r="434" spans="1:19" x14ac:dyDescent="0.3">
      <c r="A434" s="22" t="s">
        <v>1477</v>
      </c>
      <c r="B434" t="str">
        <f t="shared" si="60"/>
        <v>Mary Mishra</v>
      </c>
      <c r="C434" t="str">
        <f t="shared" si="61"/>
        <v>Sales</v>
      </c>
      <c r="D434" t="str">
        <f t="shared" si="62"/>
        <v>Nikhil Agarwal</v>
      </c>
      <c r="E434" s="30" t="str">
        <f t="shared" si="63"/>
        <v>Active</v>
      </c>
      <c r="F434" s="22" t="s">
        <v>1700</v>
      </c>
      <c r="G434" s="24">
        <v>3.8</v>
      </c>
      <c r="H434" s="24">
        <v>3.2</v>
      </c>
      <c r="I434" s="24">
        <v>3.3</v>
      </c>
      <c r="J434" s="24">
        <v>3.2</v>
      </c>
      <c r="K434" s="24">
        <v>3.4</v>
      </c>
      <c r="L434" s="24">
        <v>3.2</v>
      </c>
      <c r="M434" s="25">
        <f t="shared" si="64"/>
        <v>3.35</v>
      </c>
      <c r="N434" s="22">
        <v>10</v>
      </c>
      <c r="O434" s="22" t="str">
        <f t="shared" si="65"/>
        <v>Promoter</v>
      </c>
      <c r="P434" s="30">
        <f t="shared" si="66"/>
        <v>4</v>
      </c>
      <c r="Q434" s="35">
        <f t="shared" si="67"/>
        <v>1.03</v>
      </c>
      <c r="R434" s="22">
        <f t="shared" si="68"/>
        <v>1</v>
      </c>
      <c r="S434" s="22" t="str">
        <f t="shared" si="69"/>
        <v>Low</v>
      </c>
    </row>
    <row r="435" spans="1:19" x14ac:dyDescent="0.3">
      <c r="A435" s="22" t="s">
        <v>1480</v>
      </c>
      <c r="B435" t="str">
        <f t="shared" si="60"/>
        <v>Ritu Saxena</v>
      </c>
      <c r="C435" t="str">
        <f t="shared" si="61"/>
        <v>Product</v>
      </c>
      <c r="D435" t="str">
        <f t="shared" si="62"/>
        <v>Mansi Pillai</v>
      </c>
      <c r="E435" s="30" t="str">
        <f t="shared" si="63"/>
        <v>Active</v>
      </c>
      <c r="F435" s="22" t="s">
        <v>1700</v>
      </c>
      <c r="G435" s="24">
        <v>3.9</v>
      </c>
      <c r="H435" s="24">
        <v>3.4</v>
      </c>
      <c r="I435" s="24">
        <v>2.6</v>
      </c>
      <c r="J435" s="24">
        <v>2.9</v>
      </c>
      <c r="K435" s="24">
        <v>3.5</v>
      </c>
      <c r="L435" s="24">
        <v>2.9</v>
      </c>
      <c r="M435" s="25">
        <f t="shared" si="64"/>
        <v>3.2</v>
      </c>
      <c r="N435" s="22">
        <v>9</v>
      </c>
      <c r="O435" s="22" t="str">
        <f t="shared" si="65"/>
        <v>Promoter</v>
      </c>
      <c r="P435" s="30">
        <f t="shared" si="66"/>
        <v>4</v>
      </c>
      <c r="Q435" s="35">
        <f t="shared" si="67"/>
        <v>0.87</v>
      </c>
      <c r="R435" s="22">
        <f t="shared" si="68"/>
        <v>2</v>
      </c>
      <c r="S435" s="22" t="str">
        <f t="shared" si="69"/>
        <v>Medium</v>
      </c>
    </row>
    <row r="436" spans="1:19" x14ac:dyDescent="0.3">
      <c r="A436" s="22" t="s">
        <v>1483</v>
      </c>
      <c r="B436" t="str">
        <f t="shared" si="60"/>
        <v>Rohan Hegde</v>
      </c>
      <c r="C436" t="str">
        <f t="shared" si="61"/>
        <v>Operations</v>
      </c>
      <c r="D436" t="str">
        <f t="shared" si="62"/>
        <v>Yash Shah</v>
      </c>
      <c r="E436" s="30" t="str">
        <f t="shared" si="63"/>
        <v>Active</v>
      </c>
      <c r="F436" s="22" t="s">
        <v>1701</v>
      </c>
      <c r="G436" s="24">
        <v>3.5</v>
      </c>
      <c r="H436" s="24">
        <v>3.4</v>
      </c>
      <c r="I436" s="24">
        <v>3.3</v>
      </c>
      <c r="J436" s="24">
        <v>2.4</v>
      </c>
      <c r="K436" s="24">
        <v>3.1</v>
      </c>
      <c r="L436" s="24">
        <v>3.8</v>
      </c>
      <c r="M436" s="25">
        <f t="shared" si="64"/>
        <v>3.25</v>
      </c>
      <c r="N436" s="22">
        <v>9</v>
      </c>
      <c r="O436" s="22" t="str">
        <f t="shared" si="65"/>
        <v>Promoter</v>
      </c>
      <c r="P436" s="30">
        <f t="shared" si="66"/>
        <v>3</v>
      </c>
      <c r="Q436" s="35">
        <f t="shared" si="67"/>
        <v>0.97</v>
      </c>
      <c r="R436" s="22">
        <f t="shared" si="68"/>
        <v>0</v>
      </c>
      <c r="S436" s="22" t="str">
        <f t="shared" si="69"/>
        <v>Low</v>
      </c>
    </row>
    <row r="437" spans="1:19" x14ac:dyDescent="0.3">
      <c r="A437" s="22" t="s">
        <v>1486</v>
      </c>
      <c r="B437" t="str">
        <f t="shared" si="60"/>
        <v>Gayatri Prabhu</v>
      </c>
      <c r="C437" t="str">
        <f t="shared" si="61"/>
        <v>Operations</v>
      </c>
      <c r="D437" t="str">
        <f t="shared" si="62"/>
        <v>Ramya Menon</v>
      </c>
      <c r="E437" s="30" t="str">
        <f t="shared" si="63"/>
        <v>Exited</v>
      </c>
      <c r="F437" s="22" t="s">
        <v>1701</v>
      </c>
      <c r="G437" s="24">
        <v>1.4</v>
      </c>
      <c r="H437" s="24">
        <v>1.6</v>
      </c>
      <c r="I437" s="24">
        <v>1.5</v>
      </c>
      <c r="J437" s="24">
        <v>2.4</v>
      </c>
      <c r="K437" s="24">
        <v>1.1000000000000001</v>
      </c>
      <c r="L437" s="24">
        <v>2.2000000000000002</v>
      </c>
      <c r="M437" s="25">
        <f t="shared" si="64"/>
        <v>1.7</v>
      </c>
      <c r="N437" s="22">
        <v>6</v>
      </c>
      <c r="O437" s="22" t="str">
        <f t="shared" si="65"/>
        <v>Detractor</v>
      </c>
      <c r="P437" s="30">
        <f t="shared" si="66"/>
        <v>2</v>
      </c>
      <c r="Q437" s="35">
        <f t="shared" si="67"/>
        <v>0.65</v>
      </c>
      <c r="R437" s="22">
        <f t="shared" si="68"/>
        <v>3</v>
      </c>
      <c r="S437" s="22" t="str">
        <f t="shared" si="69"/>
        <v>Exited</v>
      </c>
    </row>
    <row r="438" spans="1:19" x14ac:dyDescent="0.3">
      <c r="A438" s="22" t="s">
        <v>1489</v>
      </c>
      <c r="B438" t="str">
        <f t="shared" si="60"/>
        <v>Ajay Bansal</v>
      </c>
      <c r="C438" t="str">
        <f t="shared" si="61"/>
        <v>Product</v>
      </c>
      <c r="D438" t="str">
        <f t="shared" si="62"/>
        <v>Sachin Shetty</v>
      </c>
      <c r="E438" s="30" t="str">
        <f t="shared" si="63"/>
        <v>Active</v>
      </c>
      <c r="F438" s="22" t="s">
        <v>1700</v>
      </c>
      <c r="G438" s="24">
        <v>2.6</v>
      </c>
      <c r="H438" s="24">
        <v>2.8</v>
      </c>
      <c r="I438" s="24">
        <v>1.7</v>
      </c>
      <c r="J438" s="24">
        <v>2.2000000000000002</v>
      </c>
      <c r="K438" s="24">
        <v>2.2999999999999998</v>
      </c>
      <c r="L438" s="24">
        <v>2.1</v>
      </c>
      <c r="M438" s="25">
        <f t="shared" si="64"/>
        <v>2.2799999999999998</v>
      </c>
      <c r="N438" s="22">
        <v>6</v>
      </c>
      <c r="O438" s="22" t="str">
        <f t="shared" si="65"/>
        <v>Detractor</v>
      </c>
      <c r="P438" s="30">
        <f t="shared" si="66"/>
        <v>3</v>
      </c>
      <c r="Q438" s="35">
        <f t="shared" si="67"/>
        <v>1.17</v>
      </c>
      <c r="R438" s="22">
        <f t="shared" si="68"/>
        <v>2</v>
      </c>
      <c r="S438" s="22" t="str">
        <f t="shared" si="69"/>
        <v>Medium</v>
      </c>
    </row>
    <row r="439" spans="1:19" x14ac:dyDescent="0.3">
      <c r="A439" s="22" t="s">
        <v>1492</v>
      </c>
      <c r="B439" t="str">
        <f t="shared" si="60"/>
        <v>Sai Subramanian</v>
      </c>
      <c r="C439" t="str">
        <f t="shared" si="61"/>
        <v>Engineering</v>
      </c>
      <c r="D439" t="str">
        <f t="shared" si="62"/>
        <v>Gaurav Fernandes</v>
      </c>
      <c r="E439" s="30" t="str">
        <f t="shared" si="63"/>
        <v>Active</v>
      </c>
      <c r="F439" s="22" t="s">
        <v>1701</v>
      </c>
      <c r="G439" s="24">
        <v>3.5</v>
      </c>
      <c r="H439" s="24">
        <v>3</v>
      </c>
      <c r="I439" s="24">
        <v>2.2999999999999998</v>
      </c>
      <c r="J439" s="24">
        <v>3.2</v>
      </c>
      <c r="K439" s="24">
        <v>3.2</v>
      </c>
      <c r="L439" s="24">
        <v>3.4</v>
      </c>
      <c r="M439" s="25">
        <f t="shared" si="64"/>
        <v>3.1</v>
      </c>
      <c r="N439" s="22">
        <v>10</v>
      </c>
      <c r="O439" s="22" t="str">
        <f t="shared" si="65"/>
        <v>Promoter</v>
      </c>
      <c r="P439" s="30">
        <f t="shared" si="66"/>
        <v>4</v>
      </c>
      <c r="Q439" s="35">
        <f t="shared" si="67"/>
        <v>1.32</v>
      </c>
      <c r="R439" s="22">
        <f t="shared" si="68"/>
        <v>1</v>
      </c>
      <c r="S439" s="22" t="str">
        <f t="shared" si="69"/>
        <v>Low</v>
      </c>
    </row>
    <row r="440" spans="1:19" x14ac:dyDescent="0.3">
      <c r="A440" s="22" t="s">
        <v>1495</v>
      </c>
      <c r="B440" t="str">
        <f t="shared" si="60"/>
        <v>Priyanka Dsouza</v>
      </c>
      <c r="C440" t="str">
        <f t="shared" si="61"/>
        <v>Finance</v>
      </c>
      <c r="D440" t="str">
        <f t="shared" si="62"/>
        <v>Kritika Pandey</v>
      </c>
      <c r="E440" s="30" t="str">
        <f t="shared" si="63"/>
        <v>Active</v>
      </c>
      <c r="F440" s="22" t="s">
        <v>1700</v>
      </c>
      <c r="G440" s="24">
        <v>3.2</v>
      </c>
      <c r="H440" s="24">
        <v>3.2</v>
      </c>
      <c r="I440" s="24">
        <v>3.4</v>
      </c>
      <c r="J440" s="24">
        <v>4.0999999999999996</v>
      </c>
      <c r="K440" s="24">
        <v>3.5</v>
      </c>
      <c r="L440" s="24">
        <v>3.5</v>
      </c>
      <c r="M440" s="25">
        <f t="shared" si="64"/>
        <v>3.48</v>
      </c>
      <c r="N440" s="22">
        <v>9</v>
      </c>
      <c r="O440" s="22" t="str">
        <f t="shared" si="65"/>
        <v>Promoter</v>
      </c>
      <c r="P440" s="30">
        <f t="shared" si="66"/>
        <v>4</v>
      </c>
      <c r="Q440" s="35">
        <f t="shared" si="67"/>
        <v>1.03</v>
      </c>
      <c r="R440" s="22">
        <f t="shared" si="68"/>
        <v>1</v>
      </c>
      <c r="S440" s="22" t="str">
        <f t="shared" si="69"/>
        <v>Low</v>
      </c>
    </row>
    <row r="441" spans="1:19" x14ac:dyDescent="0.3">
      <c r="A441" s="22" t="s">
        <v>1498</v>
      </c>
      <c r="B441" t="str">
        <f t="shared" si="60"/>
        <v>Ravi Mukherjee</v>
      </c>
      <c r="C441" t="str">
        <f t="shared" si="61"/>
        <v>Customer Support</v>
      </c>
      <c r="D441" t="str">
        <f t="shared" si="62"/>
        <v>Anjali Iyer</v>
      </c>
      <c r="E441" s="30" t="str">
        <f t="shared" si="63"/>
        <v>Active</v>
      </c>
      <c r="F441" s="22" t="s">
        <v>1700</v>
      </c>
      <c r="G441" s="24">
        <v>2.7</v>
      </c>
      <c r="H441" s="24">
        <v>3.1</v>
      </c>
      <c r="I441" s="24">
        <v>3.9</v>
      </c>
      <c r="J441" s="24">
        <v>2.5</v>
      </c>
      <c r="K441" s="24">
        <v>3.7</v>
      </c>
      <c r="L441" s="24">
        <v>3.6</v>
      </c>
      <c r="M441" s="25">
        <f t="shared" si="64"/>
        <v>3.25</v>
      </c>
      <c r="N441" s="22">
        <v>7</v>
      </c>
      <c r="O441" s="22" t="str">
        <f t="shared" si="65"/>
        <v>Passive</v>
      </c>
      <c r="P441" s="30">
        <f t="shared" si="66"/>
        <v>4</v>
      </c>
      <c r="Q441" s="35">
        <f t="shared" si="67"/>
        <v>0.81</v>
      </c>
      <c r="R441" s="22">
        <f t="shared" si="68"/>
        <v>2</v>
      </c>
      <c r="S441" s="22" t="str">
        <f t="shared" si="69"/>
        <v>Medium</v>
      </c>
    </row>
    <row r="442" spans="1:19" x14ac:dyDescent="0.3">
      <c r="A442" s="22" t="s">
        <v>1501</v>
      </c>
      <c r="B442" t="str">
        <f t="shared" si="60"/>
        <v>Ananya Menon</v>
      </c>
      <c r="C442" t="str">
        <f t="shared" si="61"/>
        <v>Product</v>
      </c>
      <c r="D442" t="str">
        <f t="shared" si="62"/>
        <v>Trisha Malhotra</v>
      </c>
      <c r="E442" s="30" t="str">
        <f t="shared" si="63"/>
        <v>Active</v>
      </c>
      <c r="F442" s="22" t="s">
        <v>1700</v>
      </c>
      <c r="G442" s="24">
        <v>2.6</v>
      </c>
      <c r="H442" s="24">
        <v>3</v>
      </c>
      <c r="I442" s="24">
        <v>2.6</v>
      </c>
      <c r="J442" s="24">
        <v>2</v>
      </c>
      <c r="K442" s="24">
        <v>2.9</v>
      </c>
      <c r="L442" s="24">
        <v>3.1</v>
      </c>
      <c r="M442" s="25">
        <f t="shared" si="64"/>
        <v>2.7</v>
      </c>
      <c r="N442" s="22">
        <v>7</v>
      </c>
      <c r="O442" s="22" t="str">
        <f t="shared" si="65"/>
        <v>Passive</v>
      </c>
      <c r="P442" s="30">
        <f t="shared" si="66"/>
        <v>2</v>
      </c>
      <c r="Q442" s="35">
        <f t="shared" si="67"/>
        <v>1.06</v>
      </c>
      <c r="R442" s="22">
        <f t="shared" si="68"/>
        <v>1</v>
      </c>
      <c r="S442" s="22" t="str">
        <f t="shared" si="69"/>
        <v>Low</v>
      </c>
    </row>
    <row r="443" spans="1:19" x14ac:dyDescent="0.3">
      <c r="A443" s="22" t="s">
        <v>1504</v>
      </c>
      <c r="B443" t="str">
        <f t="shared" si="60"/>
        <v>Vidya Pandey</v>
      </c>
      <c r="C443" t="str">
        <f t="shared" si="61"/>
        <v>Engineering</v>
      </c>
      <c r="D443" t="str">
        <f t="shared" si="62"/>
        <v>Tejaswini Hegde</v>
      </c>
      <c r="E443" s="30" t="str">
        <f t="shared" si="63"/>
        <v>Active</v>
      </c>
      <c r="F443" s="22" t="s">
        <v>1700</v>
      </c>
      <c r="G443" s="24">
        <v>2.6</v>
      </c>
      <c r="H443" s="24">
        <v>2.5</v>
      </c>
      <c r="I443" s="24">
        <v>2.9</v>
      </c>
      <c r="J443" s="24">
        <v>2.8</v>
      </c>
      <c r="K443" s="24">
        <v>2.6</v>
      </c>
      <c r="L443" s="24">
        <v>2.9</v>
      </c>
      <c r="M443" s="25">
        <f t="shared" si="64"/>
        <v>2.72</v>
      </c>
      <c r="N443" s="22">
        <v>5</v>
      </c>
      <c r="O443" s="22" t="str">
        <f t="shared" si="65"/>
        <v>Detractor</v>
      </c>
      <c r="P443" s="30">
        <f t="shared" si="66"/>
        <v>3</v>
      </c>
      <c r="Q443" s="35">
        <f t="shared" si="67"/>
        <v>1.25</v>
      </c>
      <c r="R443" s="22">
        <f t="shared" si="68"/>
        <v>2</v>
      </c>
      <c r="S443" s="22" t="str">
        <f t="shared" si="69"/>
        <v>Medium</v>
      </c>
    </row>
    <row r="444" spans="1:19" x14ac:dyDescent="0.3">
      <c r="A444" s="22" t="s">
        <v>1507</v>
      </c>
      <c r="B444" t="str">
        <f t="shared" si="60"/>
        <v>Vikram Khan</v>
      </c>
      <c r="C444" t="str">
        <f t="shared" si="61"/>
        <v>Engineering</v>
      </c>
      <c r="D444" t="str">
        <f t="shared" si="62"/>
        <v>Fatima Choudhary</v>
      </c>
      <c r="E444" s="30" t="str">
        <f t="shared" si="63"/>
        <v>Exited</v>
      </c>
      <c r="F444" s="22" t="s">
        <v>1701</v>
      </c>
      <c r="G444" s="24">
        <v>2.2000000000000002</v>
      </c>
      <c r="H444" s="24">
        <v>1.6</v>
      </c>
      <c r="I444" s="24">
        <v>1.7</v>
      </c>
      <c r="J444" s="24">
        <v>2.4</v>
      </c>
      <c r="K444" s="24">
        <v>2.7</v>
      </c>
      <c r="L444" s="24">
        <v>1.7</v>
      </c>
      <c r="M444" s="25">
        <f t="shared" si="64"/>
        <v>2.0499999999999998</v>
      </c>
      <c r="N444" s="22">
        <v>6</v>
      </c>
      <c r="O444" s="22" t="str">
        <f t="shared" si="65"/>
        <v>Detractor</v>
      </c>
      <c r="P444" s="30">
        <f t="shared" si="66"/>
        <v>3</v>
      </c>
      <c r="Q444" s="35">
        <f t="shared" si="67"/>
        <v>0.93</v>
      </c>
      <c r="R444" s="22">
        <f t="shared" si="68"/>
        <v>2</v>
      </c>
      <c r="S444" s="22" t="str">
        <f t="shared" si="69"/>
        <v>Exited</v>
      </c>
    </row>
    <row r="445" spans="1:19" x14ac:dyDescent="0.3">
      <c r="A445" s="22" t="s">
        <v>350</v>
      </c>
      <c r="B445" t="str">
        <f t="shared" si="60"/>
        <v>Prakash Desai</v>
      </c>
      <c r="C445" t="str">
        <f t="shared" si="61"/>
        <v>Engineering</v>
      </c>
      <c r="D445" t="str">
        <f t="shared" si="62"/>
        <v>Yamini Nair</v>
      </c>
      <c r="E445" s="30" t="str">
        <f t="shared" si="63"/>
        <v>Active</v>
      </c>
      <c r="F445" s="22" t="s">
        <v>1701</v>
      </c>
      <c r="G445" s="24">
        <v>3.5</v>
      </c>
      <c r="H445" s="24">
        <v>3.4</v>
      </c>
      <c r="I445" s="24">
        <v>4</v>
      </c>
      <c r="J445" s="24">
        <v>2.9</v>
      </c>
      <c r="K445" s="24">
        <v>3</v>
      </c>
      <c r="L445" s="24">
        <v>3.2</v>
      </c>
      <c r="M445" s="25">
        <f t="shared" si="64"/>
        <v>3.33</v>
      </c>
      <c r="N445" s="22">
        <v>9</v>
      </c>
      <c r="O445" s="22" t="str">
        <f t="shared" si="65"/>
        <v>Promoter</v>
      </c>
      <c r="P445" s="30">
        <f t="shared" si="66"/>
        <v>5</v>
      </c>
      <c r="Q445" s="35">
        <f t="shared" si="67"/>
        <v>1.29</v>
      </c>
      <c r="R445" s="22">
        <f t="shared" si="68"/>
        <v>1</v>
      </c>
      <c r="S445" s="22" t="str">
        <f t="shared" si="69"/>
        <v>Low</v>
      </c>
    </row>
    <row r="446" spans="1:19" x14ac:dyDescent="0.3">
      <c r="A446" s="22" t="s">
        <v>1511</v>
      </c>
      <c r="B446" t="str">
        <f t="shared" si="60"/>
        <v>Sindhu Thomas</v>
      </c>
      <c r="C446" t="str">
        <f t="shared" si="61"/>
        <v>Customer Support</v>
      </c>
      <c r="D446" t="str">
        <f t="shared" si="62"/>
        <v>Isha Verma</v>
      </c>
      <c r="E446" s="30" t="str">
        <f t="shared" si="63"/>
        <v>Exited</v>
      </c>
      <c r="F446" s="22" t="s">
        <v>1700</v>
      </c>
      <c r="G446" s="24">
        <v>2.2999999999999998</v>
      </c>
      <c r="H446" s="24">
        <v>2.2999999999999998</v>
      </c>
      <c r="I446" s="24">
        <v>2.4</v>
      </c>
      <c r="J446" s="24">
        <v>2.4</v>
      </c>
      <c r="K446" s="24">
        <v>2.5</v>
      </c>
      <c r="L446" s="24">
        <v>2.4</v>
      </c>
      <c r="M446" s="25">
        <f t="shared" si="64"/>
        <v>2.38</v>
      </c>
      <c r="N446" s="22">
        <v>5</v>
      </c>
      <c r="O446" s="22" t="str">
        <f t="shared" si="65"/>
        <v>Detractor</v>
      </c>
      <c r="P446" s="30">
        <f t="shared" si="66"/>
        <v>2</v>
      </c>
      <c r="Q446" s="35">
        <f t="shared" si="67"/>
        <v>0.76</v>
      </c>
      <c r="R446" s="22">
        <f t="shared" si="68"/>
        <v>3</v>
      </c>
      <c r="S446" s="22" t="str">
        <f t="shared" si="69"/>
        <v>Exited</v>
      </c>
    </row>
    <row r="447" spans="1:19" x14ac:dyDescent="0.3">
      <c r="A447" s="22" t="s">
        <v>292</v>
      </c>
      <c r="B447" t="str">
        <f t="shared" si="60"/>
        <v>Anjali Iyer</v>
      </c>
      <c r="C447" t="str">
        <f t="shared" si="61"/>
        <v>Customer Support</v>
      </c>
      <c r="D447" t="str">
        <f t="shared" si="62"/>
        <v>Pooja Khanna</v>
      </c>
      <c r="E447" s="30" t="str">
        <f t="shared" si="63"/>
        <v>Active</v>
      </c>
      <c r="F447" s="22" t="s">
        <v>1701</v>
      </c>
      <c r="G447" s="24">
        <v>3.4</v>
      </c>
      <c r="H447" s="24">
        <v>3.3</v>
      </c>
      <c r="I447" s="24">
        <v>3.2</v>
      </c>
      <c r="J447" s="24">
        <v>3.7</v>
      </c>
      <c r="K447" s="24">
        <v>3.4</v>
      </c>
      <c r="L447" s="24">
        <v>3.5</v>
      </c>
      <c r="M447" s="25">
        <f t="shared" si="64"/>
        <v>3.42</v>
      </c>
      <c r="N447" s="22">
        <v>9</v>
      </c>
      <c r="O447" s="22" t="str">
        <f t="shared" si="65"/>
        <v>Promoter</v>
      </c>
      <c r="P447" s="30">
        <f t="shared" si="66"/>
        <v>4</v>
      </c>
      <c r="Q447" s="35">
        <f t="shared" si="67"/>
        <v>0.83</v>
      </c>
      <c r="R447" s="22">
        <f t="shared" si="68"/>
        <v>2</v>
      </c>
      <c r="S447" s="22" t="str">
        <f t="shared" si="69"/>
        <v>Medium</v>
      </c>
    </row>
    <row r="448" spans="1:19" x14ac:dyDescent="0.3">
      <c r="A448" s="22" t="s">
        <v>1515</v>
      </c>
      <c r="B448" t="str">
        <f t="shared" si="60"/>
        <v>Meera Pandey</v>
      </c>
      <c r="C448" t="str">
        <f t="shared" si="61"/>
        <v>Operations</v>
      </c>
      <c r="D448" t="str">
        <f t="shared" si="62"/>
        <v>Nandini Fernandes</v>
      </c>
      <c r="E448" s="30" t="str">
        <f t="shared" si="63"/>
        <v>Active</v>
      </c>
      <c r="F448" s="22" t="s">
        <v>1700</v>
      </c>
      <c r="G448" s="24">
        <v>3.8</v>
      </c>
      <c r="H448" s="24">
        <v>4</v>
      </c>
      <c r="I448" s="24">
        <v>4.0999999999999996</v>
      </c>
      <c r="J448" s="24">
        <v>3.7</v>
      </c>
      <c r="K448" s="24">
        <v>4.5</v>
      </c>
      <c r="L448" s="24">
        <v>3.8</v>
      </c>
      <c r="M448" s="25">
        <f t="shared" si="64"/>
        <v>3.98</v>
      </c>
      <c r="N448" s="22">
        <v>8</v>
      </c>
      <c r="O448" s="22" t="str">
        <f t="shared" si="65"/>
        <v>Passive</v>
      </c>
      <c r="P448" s="30">
        <f t="shared" si="66"/>
        <v>3</v>
      </c>
      <c r="Q448" s="35">
        <f t="shared" si="67"/>
        <v>0.89</v>
      </c>
      <c r="R448" s="22">
        <f t="shared" si="68"/>
        <v>1</v>
      </c>
      <c r="S448" s="22" t="str">
        <f t="shared" si="69"/>
        <v>Low</v>
      </c>
    </row>
    <row r="449" spans="1:19" x14ac:dyDescent="0.3">
      <c r="A449" s="22" t="s">
        <v>1518</v>
      </c>
      <c r="B449" t="str">
        <f t="shared" si="60"/>
        <v>Priya Verma</v>
      </c>
      <c r="C449" t="str">
        <f t="shared" si="61"/>
        <v>Sales</v>
      </c>
      <c r="D449" t="str">
        <f t="shared" si="62"/>
        <v>Nikhil Agarwal</v>
      </c>
      <c r="E449" s="30" t="str">
        <f t="shared" si="63"/>
        <v>Active</v>
      </c>
      <c r="F449" s="22" t="s">
        <v>1700</v>
      </c>
      <c r="G449" s="24">
        <v>2.6</v>
      </c>
      <c r="H449" s="24">
        <v>2.7</v>
      </c>
      <c r="I449" s="24">
        <v>2.8</v>
      </c>
      <c r="J449" s="24">
        <v>2.8</v>
      </c>
      <c r="K449" s="24">
        <v>2</v>
      </c>
      <c r="L449" s="24">
        <v>2.1</v>
      </c>
      <c r="M449" s="25">
        <f t="shared" si="64"/>
        <v>2.5</v>
      </c>
      <c r="N449" s="22">
        <v>4</v>
      </c>
      <c r="O449" s="22" t="str">
        <f t="shared" si="65"/>
        <v>Detractor</v>
      </c>
      <c r="P449" s="30">
        <f t="shared" si="66"/>
        <v>3</v>
      </c>
      <c r="Q449" s="35">
        <f t="shared" si="67"/>
        <v>0.77</v>
      </c>
      <c r="R449" s="22">
        <f t="shared" si="68"/>
        <v>3</v>
      </c>
      <c r="S449" s="22" t="str">
        <f t="shared" si="69"/>
        <v>High</v>
      </c>
    </row>
    <row r="450" spans="1:19" x14ac:dyDescent="0.3">
      <c r="A450" s="22" t="s">
        <v>1521</v>
      </c>
      <c r="B450" t="str">
        <f t="shared" ref="B450:B501" si="70">INDEX(M_Name,MATCH($A450,M_ID,0))</f>
        <v>Shruti Joshi</v>
      </c>
      <c r="C450" t="str">
        <f t="shared" ref="C450:C501" si="71">INDEX(M_Dept,MATCH($A450,M_ID,0))</f>
        <v>Engineering</v>
      </c>
      <c r="D450" t="str">
        <f t="shared" ref="D450:D501" si="72">INDEX(M_Mgr,MATCH($A450,M_ID,0))</f>
        <v>Tejaswini Hegde</v>
      </c>
      <c r="E450" s="30" t="str">
        <f t="shared" ref="E450:E501" si="73">INDEX(M_Status,MATCH($A450,M_ID,0))</f>
        <v>Exited</v>
      </c>
      <c r="F450" s="22" t="s">
        <v>1700</v>
      </c>
      <c r="G450" s="24">
        <v>2.5</v>
      </c>
      <c r="H450" s="24">
        <v>2.2999999999999998</v>
      </c>
      <c r="I450" s="24">
        <v>2.7</v>
      </c>
      <c r="J450" s="24">
        <v>2</v>
      </c>
      <c r="K450" s="24">
        <v>2</v>
      </c>
      <c r="L450" s="24">
        <v>2.5</v>
      </c>
      <c r="M450" s="25">
        <f t="shared" ref="M450:M501" si="74">ROUND(AVERAGE(G450:L450),2)</f>
        <v>2.33</v>
      </c>
      <c r="N450" s="22">
        <v>7</v>
      </c>
      <c r="O450" s="22" t="str">
        <f t="shared" ref="O450:O501" si="75">IF(N450&gt;=9,"Promoter",IF(N450&gt;=7,"Passive","Detractor"))</f>
        <v>Passive</v>
      </c>
      <c r="P450" s="30">
        <f t="shared" ref="P450:P501" si="76">INDEX(P_Rating,MATCH($A450,M_ID,0))</f>
        <v>3</v>
      </c>
      <c r="Q450" s="35">
        <f t="shared" ref="Q450:Q501" si="77">INDEX(C_Compa,MATCH($A450,M_ID,0))</f>
        <v>1.04</v>
      </c>
      <c r="R450" s="22">
        <f t="shared" ref="R450:R501" si="78">(M450&lt;EngThreshold)+(N450&lt;=6)+(Q450&lt;CompaThreshold)+(P450&gt;=4)</f>
        <v>1</v>
      </c>
      <c r="S450" s="22" t="str">
        <f t="shared" ref="S450:S501" si="79">IF(E450="Exited","Exited",IF(R450&gt;=3,"High",IF(R450=2,"Medium","Low")))</f>
        <v>Exited</v>
      </c>
    </row>
    <row r="451" spans="1:19" x14ac:dyDescent="0.3">
      <c r="A451" s="22" t="s">
        <v>1524</v>
      </c>
      <c r="B451" t="str">
        <f t="shared" si="70"/>
        <v>Dev Sharma</v>
      </c>
      <c r="C451" t="str">
        <f t="shared" si="71"/>
        <v>Customer Support</v>
      </c>
      <c r="D451" t="str">
        <f t="shared" si="72"/>
        <v>Ashish Varghese</v>
      </c>
      <c r="E451" s="30" t="str">
        <f t="shared" si="73"/>
        <v>Active</v>
      </c>
      <c r="F451" s="22" t="s">
        <v>1700</v>
      </c>
      <c r="G451" s="24">
        <v>2.2999999999999998</v>
      </c>
      <c r="H451" s="24">
        <v>3</v>
      </c>
      <c r="I451" s="24">
        <v>2.8</v>
      </c>
      <c r="J451" s="24">
        <v>2.1</v>
      </c>
      <c r="K451" s="24">
        <v>2.6</v>
      </c>
      <c r="L451" s="24">
        <v>2.7</v>
      </c>
      <c r="M451" s="25">
        <f t="shared" si="74"/>
        <v>2.58</v>
      </c>
      <c r="N451" s="22">
        <v>6</v>
      </c>
      <c r="O451" s="22" t="str">
        <f t="shared" si="75"/>
        <v>Detractor</v>
      </c>
      <c r="P451" s="30">
        <f t="shared" si="76"/>
        <v>3</v>
      </c>
      <c r="Q451" s="35">
        <f t="shared" si="77"/>
        <v>0.68</v>
      </c>
      <c r="R451" s="22">
        <f t="shared" si="78"/>
        <v>3</v>
      </c>
      <c r="S451" s="22" t="str">
        <f t="shared" si="79"/>
        <v>High</v>
      </c>
    </row>
    <row r="452" spans="1:19" x14ac:dyDescent="0.3">
      <c r="A452" s="22" t="s">
        <v>1527</v>
      </c>
      <c r="B452" t="str">
        <f t="shared" si="70"/>
        <v>Madhuri Jain</v>
      </c>
      <c r="C452" t="str">
        <f t="shared" si="71"/>
        <v>Customer Support</v>
      </c>
      <c r="D452" t="str">
        <f t="shared" si="72"/>
        <v>Ashish Varghese</v>
      </c>
      <c r="E452" s="30" t="str">
        <f t="shared" si="73"/>
        <v>Active</v>
      </c>
      <c r="F452" s="22" t="s">
        <v>1701</v>
      </c>
      <c r="G452" s="24">
        <v>4.3</v>
      </c>
      <c r="H452" s="24">
        <v>4.5</v>
      </c>
      <c r="I452" s="24">
        <v>4.3</v>
      </c>
      <c r="J452" s="24">
        <v>4</v>
      </c>
      <c r="K452" s="24">
        <v>3.6</v>
      </c>
      <c r="L452" s="24">
        <v>3.8</v>
      </c>
      <c r="M452" s="25">
        <f t="shared" si="74"/>
        <v>4.08</v>
      </c>
      <c r="N452" s="22">
        <v>10</v>
      </c>
      <c r="O452" s="22" t="str">
        <f t="shared" si="75"/>
        <v>Promoter</v>
      </c>
      <c r="P452" s="30">
        <f t="shared" si="76"/>
        <v>3</v>
      </c>
      <c r="Q452" s="35">
        <f t="shared" si="77"/>
        <v>0.63</v>
      </c>
      <c r="R452" s="22">
        <f t="shared" si="78"/>
        <v>1</v>
      </c>
      <c r="S452" s="22" t="str">
        <f t="shared" si="79"/>
        <v>Low</v>
      </c>
    </row>
    <row r="453" spans="1:19" x14ac:dyDescent="0.3">
      <c r="A453" s="22" t="s">
        <v>1530</v>
      </c>
      <c r="B453" t="str">
        <f t="shared" si="70"/>
        <v>Vikas Jain</v>
      </c>
      <c r="C453" t="str">
        <f t="shared" si="71"/>
        <v>Legal &amp; Compliance</v>
      </c>
      <c r="D453" t="str">
        <f t="shared" si="72"/>
        <v>Lakshmi Subramanian</v>
      </c>
      <c r="E453" s="30" t="str">
        <f t="shared" si="73"/>
        <v>Exited</v>
      </c>
      <c r="F453" s="22" t="s">
        <v>1700</v>
      </c>
      <c r="G453" s="24">
        <v>2.1</v>
      </c>
      <c r="H453" s="24">
        <v>2.9</v>
      </c>
      <c r="I453" s="24">
        <v>2.2000000000000002</v>
      </c>
      <c r="J453" s="24">
        <v>1.5</v>
      </c>
      <c r="K453" s="24">
        <v>2.2999999999999998</v>
      </c>
      <c r="L453" s="24">
        <v>2.6</v>
      </c>
      <c r="M453" s="25">
        <f t="shared" si="74"/>
        <v>2.27</v>
      </c>
      <c r="N453" s="22">
        <v>7</v>
      </c>
      <c r="O453" s="22" t="str">
        <f t="shared" si="75"/>
        <v>Passive</v>
      </c>
      <c r="P453" s="30">
        <f t="shared" si="76"/>
        <v>1</v>
      </c>
      <c r="Q453" s="35">
        <f t="shared" si="77"/>
        <v>0.98</v>
      </c>
      <c r="R453" s="22">
        <f t="shared" si="78"/>
        <v>1</v>
      </c>
      <c r="S453" s="22" t="str">
        <f t="shared" si="79"/>
        <v>Exited</v>
      </c>
    </row>
    <row r="454" spans="1:19" x14ac:dyDescent="0.3">
      <c r="A454" s="22" t="s">
        <v>1533</v>
      </c>
      <c r="B454" t="str">
        <f t="shared" si="70"/>
        <v>Revathi Bansal</v>
      </c>
      <c r="C454" t="str">
        <f t="shared" si="71"/>
        <v>Data &amp; Analytics</v>
      </c>
      <c r="D454" t="str">
        <f t="shared" si="72"/>
        <v>Arun Mukherjee</v>
      </c>
      <c r="E454" s="30" t="str">
        <f t="shared" si="73"/>
        <v>Active</v>
      </c>
      <c r="F454" s="22" t="s">
        <v>1700</v>
      </c>
      <c r="G454" s="24">
        <v>4</v>
      </c>
      <c r="H454" s="24">
        <v>3.6</v>
      </c>
      <c r="I454" s="24">
        <v>3.7</v>
      </c>
      <c r="J454" s="24">
        <v>3.7</v>
      </c>
      <c r="K454" s="24">
        <v>4</v>
      </c>
      <c r="L454" s="24">
        <v>4.2</v>
      </c>
      <c r="M454" s="25">
        <f t="shared" si="74"/>
        <v>3.87</v>
      </c>
      <c r="N454" s="22">
        <v>10</v>
      </c>
      <c r="O454" s="22" t="str">
        <f t="shared" si="75"/>
        <v>Promoter</v>
      </c>
      <c r="P454" s="30">
        <f t="shared" si="76"/>
        <v>4</v>
      </c>
      <c r="Q454" s="35">
        <f t="shared" si="77"/>
        <v>1.08</v>
      </c>
      <c r="R454" s="22">
        <f t="shared" si="78"/>
        <v>1</v>
      </c>
      <c r="S454" s="22" t="str">
        <f t="shared" si="79"/>
        <v>Low</v>
      </c>
    </row>
    <row r="455" spans="1:19" x14ac:dyDescent="0.3">
      <c r="A455" s="22" t="s">
        <v>1536</v>
      </c>
      <c r="B455" t="str">
        <f t="shared" si="70"/>
        <v>Prakash Kapoor</v>
      </c>
      <c r="C455" t="str">
        <f t="shared" si="71"/>
        <v>Engineering</v>
      </c>
      <c r="D455" t="str">
        <f t="shared" si="72"/>
        <v>Isha Jain</v>
      </c>
      <c r="E455" s="30" t="str">
        <f t="shared" si="73"/>
        <v>Active</v>
      </c>
      <c r="F455" s="22" t="s">
        <v>1700</v>
      </c>
      <c r="G455" s="24">
        <v>2.8</v>
      </c>
      <c r="H455" s="24">
        <v>3.7</v>
      </c>
      <c r="I455" s="24">
        <v>2.7</v>
      </c>
      <c r="J455" s="24">
        <v>2.5</v>
      </c>
      <c r="K455" s="24">
        <v>3</v>
      </c>
      <c r="L455" s="24">
        <v>2.4</v>
      </c>
      <c r="M455" s="25">
        <f t="shared" si="74"/>
        <v>2.85</v>
      </c>
      <c r="N455" s="22">
        <v>8</v>
      </c>
      <c r="O455" s="22" t="str">
        <f t="shared" si="75"/>
        <v>Passive</v>
      </c>
      <c r="P455" s="30">
        <f t="shared" si="76"/>
        <v>2</v>
      </c>
      <c r="Q455" s="35">
        <f t="shared" si="77"/>
        <v>0.87</v>
      </c>
      <c r="R455" s="22">
        <f t="shared" si="78"/>
        <v>2</v>
      </c>
      <c r="S455" s="22" t="str">
        <f t="shared" si="79"/>
        <v>Medium</v>
      </c>
    </row>
    <row r="456" spans="1:19" x14ac:dyDescent="0.3">
      <c r="A456" s="22" t="s">
        <v>1539</v>
      </c>
      <c r="B456" t="str">
        <f t="shared" si="70"/>
        <v>Joseph Hegde</v>
      </c>
      <c r="C456" t="str">
        <f t="shared" si="71"/>
        <v>Customer Support</v>
      </c>
      <c r="D456" t="str">
        <f t="shared" si="72"/>
        <v>Imran Joshi</v>
      </c>
      <c r="E456" s="30" t="str">
        <f t="shared" si="73"/>
        <v>Active</v>
      </c>
      <c r="F456" s="22" t="s">
        <v>1700</v>
      </c>
      <c r="G456" s="24">
        <v>2.2999999999999998</v>
      </c>
      <c r="H456" s="24">
        <v>3</v>
      </c>
      <c r="I456" s="24">
        <v>2.9</v>
      </c>
      <c r="J456" s="24">
        <v>3.5</v>
      </c>
      <c r="K456" s="24">
        <v>2.7</v>
      </c>
      <c r="L456" s="24">
        <v>3.2</v>
      </c>
      <c r="M456" s="25">
        <f t="shared" si="74"/>
        <v>2.93</v>
      </c>
      <c r="N456" s="22">
        <v>7</v>
      </c>
      <c r="O456" s="22" t="str">
        <f t="shared" si="75"/>
        <v>Passive</v>
      </c>
      <c r="P456" s="30">
        <f t="shared" si="76"/>
        <v>2</v>
      </c>
      <c r="Q456" s="35">
        <f t="shared" si="77"/>
        <v>0.8</v>
      </c>
      <c r="R456" s="22">
        <f t="shared" si="78"/>
        <v>2</v>
      </c>
      <c r="S456" s="22" t="str">
        <f t="shared" si="79"/>
        <v>Medium</v>
      </c>
    </row>
    <row r="457" spans="1:19" x14ac:dyDescent="0.3">
      <c r="A457" s="22" t="s">
        <v>1542</v>
      </c>
      <c r="B457" t="str">
        <f t="shared" si="70"/>
        <v>Ananya Krishnan</v>
      </c>
      <c r="C457" t="str">
        <f t="shared" si="71"/>
        <v>Legal &amp; Compliance</v>
      </c>
      <c r="D457" t="str">
        <f t="shared" si="72"/>
        <v>Swathi Mukherjee</v>
      </c>
      <c r="E457" s="30" t="str">
        <f t="shared" si="73"/>
        <v>Active</v>
      </c>
      <c r="F457" s="22" t="s">
        <v>1700</v>
      </c>
      <c r="G457" s="24">
        <v>3.9</v>
      </c>
      <c r="H457" s="24">
        <v>3.9</v>
      </c>
      <c r="I457" s="24">
        <v>4.0999999999999996</v>
      </c>
      <c r="J457" s="24">
        <v>3.6</v>
      </c>
      <c r="K457" s="24">
        <v>3.3</v>
      </c>
      <c r="L457" s="24">
        <v>3.8</v>
      </c>
      <c r="M457" s="25">
        <f t="shared" si="74"/>
        <v>3.77</v>
      </c>
      <c r="N457" s="22">
        <v>9</v>
      </c>
      <c r="O457" s="22" t="str">
        <f t="shared" si="75"/>
        <v>Promoter</v>
      </c>
      <c r="P457" s="30">
        <f t="shared" si="76"/>
        <v>4</v>
      </c>
      <c r="Q457" s="35">
        <f t="shared" si="77"/>
        <v>1.2</v>
      </c>
      <c r="R457" s="22">
        <f t="shared" si="78"/>
        <v>1</v>
      </c>
      <c r="S457" s="22" t="str">
        <f t="shared" si="79"/>
        <v>Low</v>
      </c>
    </row>
    <row r="458" spans="1:19" x14ac:dyDescent="0.3">
      <c r="A458" s="22" t="s">
        <v>1545</v>
      </c>
      <c r="B458" t="str">
        <f t="shared" si="70"/>
        <v>Kiran Khanna</v>
      </c>
      <c r="C458" t="str">
        <f t="shared" si="71"/>
        <v>Customer Support</v>
      </c>
      <c r="D458" t="str">
        <f t="shared" si="72"/>
        <v>Anjali Iyer</v>
      </c>
      <c r="E458" s="30" t="str">
        <f t="shared" si="73"/>
        <v>Active</v>
      </c>
      <c r="F458" s="22" t="s">
        <v>1701</v>
      </c>
      <c r="G458" s="24">
        <v>3.5</v>
      </c>
      <c r="H458" s="24">
        <v>3.3</v>
      </c>
      <c r="I458" s="24">
        <v>3.9</v>
      </c>
      <c r="J458" s="24">
        <v>2.8</v>
      </c>
      <c r="K458" s="24">
        <v>3.3</v>
      </c>
      <c r="L458" s="24">
        <v>3.8</v>
      </c>
      <c r="M458" s="25">
        <f t="shared" si="74"/>
        <v>3.43</v>
      </c>
      <c r="N458" s="22">
        <v>10</v>
      </c>
      <c r="O458" s="22" t="str">
        <f t="shared" si="75"/>
        <v>Promoter</v>
      </c>
      <c r="P458" s="30">
        <f t="shared" si="76"/>
        <v>4</v>
      </c>
      <c r="Q458" s="35">
        <f t="shared" si="77"/>
        <v>0.59</v>
      </c>
      <c r="R458" s="22">
        <f t="shared" si="78"/>
        <v>2</v>
      </c>
      <c r="S458" s="22" t="str">
        <f t="shared" si="79"/>
        <v>Medium</v>
      </c>
    </row>
    <row r="459" spans="1:19" x14ac:dyDescent="0.3">
      <c r="A459" s="22" t="s">
        <v>339</v>
      </c>
      <c r="B459" t="str">
        <f t="shared" si="70"/>
        <v>Kavya Krishnan</v>
      </c>
      <c r="C459" t="str">
        <f t="shared" si="71"/>
        <v>Sales</v>
      </c>
      <c r="D459" t="str">
        <f t="shared" si="72"/>
        <v>Joseph Varghese</v>
      </c>
      <c r="E459" s="30" t="str">
        <f t="shared" si="73"/>
        <v>Active</v>
      </c>
      <c r="F459" s="22" t="s">
        <v>1700</v>
      </c>
      <c r="G459" s="24">
        <v>3.7</v>
      </c>
      <c r="H459" s="24">
        <v>4.4000000000000004</v>
      </c>
      <c r="I459" s="24">
        <v>3.4</v>
      </c>
      <c r="J459" s="24">
        <v>4.5</v>
      </c>
      <c r="K459" s="24">
        <v>4.3</v>
      </c>
      <c r="L459" s="24">
        <v>3.3</v>
      </c>
      <c r="M459" s="25">
        <f t="shared" si="74"/>
        <v>3.93</v>
      </c>
      <c r="N459" s="22">
        <v>10</v>
      </c>
      <c r="O459" s="22" t="str">
        <f t="shared" si="75"/>
        <v>Promoter</v>
      </c>
      <c r="P459" s="30">
        <f t="shared" si="76"/>
        <v>4</v>
      </c>
      <c r="Q459" s="35">
        <f t="shared" si="77"/>
        <v>0.84</v>
      </c>
      <c r="R459" s="22">
        <f t="shared" si="78"/>
        <v>2</v>
      </c>
      <c r="S459" s="22" t="str">
        <f t="shared" si="79"/>
        <v>Medium</v>
      </c>
    </row>
    <row r="460" spans="1:19" x14ac:dyDescent="0.3">
      <c r="A460" s="22" t="s">
        <v>1549</v>
      </c>
      <c r="B460" t="str">
        <f t="shared" si="70"/>
        <v>Yamini Malhotra</v>
      </c>
      <c r="C460" t="str">
        <f t="shared" si="71"/>
        <v>Data &amp; Analytics</v>
      </c>
      <c r="D460" t="str">
        <f t="shared" si="72"/>
        <v>Arun Mukherjee</v>
      </c>
      <c r="E460" s="30" t="str">
        <f t="shared" si="73"/>
        <v>Active</v>
      </c>
      <c r="F460" s="22" t="s">
        <v>1700</v>
      </c>
      <c r="G460" s="24">
        <v>1.6</v>
      </c>
      <c r="H460" s="24">
        <v>2.2000000000000002</v>
      </c>
      <c r="I460" s="24">
        <v>2.8</v>
      </c>
      <c r="J460" s="24">
        <v>2.4</v>
      </c>
      <c r="K460" s="24">
        <v>2.4</v>
      </c>
      <c r="L460" s="24">
        <v>2.2000000000000002</v>
      </c>
      <c r="M460" s="25">
        <f t="shared" si="74"/>
        <v>2.27</v>
      </c>
      <c r="N460" s="22">
        <v>5</v>
      </c>
      <c r="O460" s="22" t="str">
        <f t="shared" si="75"/>
        <v>Detractor</v>
      </c>
      <c r="P460" s="30">
        <f t="shared" si="76"/>
        <v>3</v>
      </c>
      <c r="Q460" s="35">
        <f t="shared" si="77"/>
        <v>1.25</v>
      </c>
      <c r="R460" s="22">
        <f t="shared" si="78"/>
        <v>2</v>
      </c>
      <c r="S460" s="22" t="str">
        <f t="shared" si="79"/>
        <v>Medium</v>
      </c>
    </row>
    <row r="461" spans="1:19" x14ac:dyDescent="0.3">
      <c r="A461" s="22" t="s">
        <v>1552</v>
      </c>
      <c r="B461" t="str">
        <f t="shared" si="70"/>
        <v>Sowmya Yadav</v>
      </c>
      <c r="C461" t="str">
        <f t="shared" si="71"/>
        <v>Human Resources</v>
      </c>
      <c r="D461" t="str">
        <f t="shared" si="72"/>
        <v>Akash Das</v>
      </c>
      <c r="E461" s="30" t="str">
        <f t="shared" si="73"/>
        <v>Active</v>
      </c>
      <c r="F461" s="22" t="s">
        <v>1701</v>
      </c>
      <c r="G461" s="24">
        <v>4.0999999999999996</v>
      </c>
      <c r="H461" s="24">
        <v>3.7</v>
      </c>
      <c r="I461" s="24">
        <v>3.8</v>
      </c>
      <c r="J461" s="24">
        <v>3.7</v>
      </c>
      <c r="K461" s="24">
        <v>3.6</v>
      </c>
      <c r="L461" s="24">
        <v>3.8</v>
      </c>
      <c r="M461" s="25">
        <f t="shared" si="74"/>
        <v>3.78</v>
      </c>
      <c r="N461" s="22">
        <v>9</v>
      </c>
      <c r="O461" s="22" t="str">
        <f t="shared" si="75"/>
        <v>Promoter</v>
      </c>
      <c r="P461" s="30">
        <f t="shared" si="76"/>
        <v>2</v>
      </c>
      <c r="Q461" s="35">
        <f t="shared" si="77"/>
        <v>0.91</v>
      </c>
      <c r="R461" s="22">
        <f t="shared" si="78"/>
        <v>0</v>
      </c>
      <c r="S461" s="22" t="str">
        <f t="shared" si="79"/>
        <v>Low</v>
      </c>
    </row>
    <row r="462" spans="1:19" x14ac:dyDescent="0.3">
      <c r="A462" s="22" t="s">
        <v>1555</v>
      </c>
      <c r="B462" t="str">
        <f t="shared" si="70"/>
        <v>Deepika Tiwari</v>
      </c>
      <c r="C462" t="str">
        <f t="shared" si="71"/>
        <v>Operations</v>
      </c>
      <c r="D462" t="str">
        <f t="shared" si="72"/>
        <v>Yash Shah</v>
      </c>
      <c r="E462" s="30" t="str">
        <f t="shared" si="73"/>
        <v>Active</v>
      </c>
      <c r="F462" s="22" t="s">
        <v>1700</v>
      </c>
      <c r="G462" s="24">
        <v>3.3</v>
      </c>
      <c r="H462" s="24">
        <v>3.8</v>
      </c>
      <c r="I462" s="24">
        <v>4</v>
      </c>
      <c r="J462" s="24">
        <v>3.7</v>
      </c>
      <c r="K462" s="24">
        <v>3.7</v>
      </c>
      <c r="L462" s="24">
        <v>3.5</v>
      </c>
      <c r="M462" s="25">
        <f t="shared" si="74"/>
        <v>3.67</v>
      </c>
      <c r="N462" s="22">
        <v>8</v>
      </c>
      <c r="O462" s="22" t="str">
        <f t="shared" si="75"/>
        <v>Passive</v>
      </c>
      <c r="P462" s="30">
        <f t="shared" si="76"/>
        <v>5</v>
      </c>
      <c r="Q462" s="35">
        <f t="shared" si="77"/>
        <v>0.91</v>
      </c>
      <c r="R462" s="22">
        <f t="shared" si="78"/>
        <v>1</v>
      </c>
      <c r="S462" s="22" t="str">
        <f t="shared" si="79"/>
        <v>Low</v>
      </c>
    </row>
    <row r="463" spans="1:19" x14ac:dyDescent="0.3">
      <c r="A463" s="22" t="s">
        <v>1558</v>
      </c>
      <c r="B463" t="str">
        <f t="shared" si="70"/>
        <v>Ashish Siddiqui</v>
      </c>
      <c r="C463" t="str">
        <f t="shared" si="71"/>
        <v>Operations</v>
      </c>
      <c r="D463" t="str">
        <f t="shared" si="72"/>
        <v>Ramya Menon</v>
      </c>
      <c r="E463" s="30" t="str">
        <f t="shared" si="73"/>
        <v>Active</v>
      </c>
      <c r="F463" s="22" t="s">
        <v>1700</v>
      </c>
      <c r="G463" s="24">
        <v>3.9</v>
      </c>
      <c r="H463" s="24">
        <v>3.5</v>
      </c>
      <c r="I463" s="24">
        <v>4</v>
      </c>
      <c r="J463" s="24">
        <v>3.9</v>
      </c>
      <c r="K463" s="24">
        <v>3.3</v>
      </c>
      <c r="L463" s="24">
        <v>3.7</v>
      </c>
      <c r="M463" s="25">
        <f t="shared" si="74"/>
        <v>3.72</v>
      </c>
      <c r="N463" s="22">
        <v>10</v>
      </c>
      <c r="O463" s="22" t="str">
        <f t="shared" si="75"/>
        <v>Promoter</v>
      </c>
      <c r="P463" s="30">
        <f t="shared" si="76"/>
        <v>4</v>
      </c>
      <c r="Q463" s="35">
        <f t="shared" si="77"/>
        <v>0.68</v>
      </c>
      <c r="R463" s="22">
        <f t="shared" si="78"/>
        <v>2</v>
      </c>
      <c r="S463" s="22" t="str">
        <f t="shared" si="79"/>
        <v>Medium</v>
      </c>
    </row>
    <row r="464" spans="1:19" x14ac:dyDescent="0.3">
      <c r="A464" s="22" t="s">
        <v>1561</v>
      </c>
      <c r="B464" t="str">
        <f t="shared" si="70"/>
        <v>Rajesh Agarwal</v>
      </c>
      <c r="C464" t="str">
        <f t="shared" si="71"/>
        <v>Engineering</v>
      </c>
      <c r="D464" t="str">
        <f t="shared" si="72"/>
        <v>Isha Jain</v>
      </c>
      <c r="E464" s="30" t="str">
        <f t="shared" si="73"/>
        <v>Active</v>
      </c>
      <c r="F464" s="22" t="s">
        <v>1700</v>
      </c>
      <c r="G464" s="24">
        <v>4.4000000000000004</v>
      </c>
      <c r="H464" s="24">
        <v>3.8</v>
      </c>
      <c r="I464" s="24">
        <v>3.7</v>
      </c>
      <c r="J464" s="24">
        <v>3.4</v>
      </c>
      <c r="K464" s="24">
        <v>4</v>
      </c>
      <c r="L464" s="24">
        <v>3.2</v>
      </c>
      <c r="M464" s="25">
        <f t="shared" si="74"/>
        <v>3.75</v>
      </c>
      <c r="N464" s="22">
        <v>10</v>
      </c>
      <c r="O464" s="22" t="str">
        <f t="shared" si="75"/>
        <v>Promoter</v>
      </c>
      <c r="P464" s="30">
        <f t="shared" si="76"/>
        <v>4</v>
      </c>
      <c r="Q464" s="35">
        <f t="shared" si="77"/>
        <v>1.22</v>
      </c>
      <c r="R464" s="22">
        <f t="shared" si="78"/>
        <v>1</v>
      </c>
      <c r="S464" s="22" t="str">
        <f t="shared" si="79"/>
        <v>Low</v>
      </c>
    </row>
    <row r="465" spans="1:19" x14ac:dyDescent="0.3">
      <c r="A465" s="22" t="s">
        <v>1564</v>
      </c>
      <c r="B465" t="str">
        <f t="shared" si="70"/>
        <v>Kritika Mehta</v>
      </c>
      <c r="C465" t="str">
        <f t="shared" si="71"/>
        <v>Engineering</v>
      </c>
      <c r="D465" t="str">
        <f t="shared" si="72"/>
        <v>Harsh Siddiqui</v>
      </c>
      <c r="E465" s="30" t="str">
        <f t="shared" si="73"/>
        <v>Active</v>
      </c>
      <c r="F465" s="22" t="s">
        <v>1700</v>
      </c>
      <c r="G465" s="24">
        <v>4</v>
      </c>
      <c r="H465" s="24">
        <v>4.5</v>
      </c>
      <c r="I465" s="24">
        <v>4.7</v>
      </c>
      <c r="J465" s="24">
        <v>4.8</v>
      </c>
      <c r="K465" s="24">
        <v>3.8</v>
      </c>
      <c r="L465" s="24">
        <v>3.5</v>
      </c>
      <c r="M465" s="25">
        <f t="shared" si="74"/>
        <v>4.22</v>
      </c>
      <c r="N465" s="22">
        <v>10</v>
      </c>
      <c r="O465" s="22" t="str">
        <f t="shared" si="75"/>
        <v>Promoter</v>
      </c>
      <c r="P465" s="30">
        <f t="shared" si="76"/>
        <v>4</v>
      </c>
      <c r="Q465" s="35">
        <f t="shared" si="77"/>
        <v>1.05</v>
      </c>
      <c r="R465" s="22">
        <f t="shared" si="78"/>
        <v>1</v>
      </c>
      <c r="S465" s="22" t="str">
        <f t="shared" si="79"/>
        <v>Low</v>
      </c>
    </row>
    <row r="466" spans="1:19" x14ac:dyDescent="0.3">
      <c r="A466" s="22" t="s">
        <v>1567</v>
      </c>
      <c r="B466" t="str">
        <f t="shared" si="70"/>
        <v>Yash Rao</v>
      </c>
      <c r="C466" t="str">
        <f t="shared" si="71"/>
        <v>Product</v>
      </c>
      <c r="D466" t="str">
        <f t="shared" si="72"/>
        <v>Mansi Pillai</v>
      </c>
      <c r="E466" s="30" t="str">
        <f t="shared" si="73"/>
        <v>Active</v>
      </c>
      <c r="F466" s="22" t="s">
        <v>1701</v>
      </c>
      <c r="G466" s="24">
        <v>3.8</v>
      </c>
      <c r="H466" s="24">
        <v>4.0999999999999996</v>
      </c>
      <c r="I466" s="24">
        <v>3.6</v>
      </c>
      <c r="J466" s="24">
        <v>3.9</v>
      </c>
      <c r="K466" s="24">
        <v>3.5</v>
      </c>
      <c r="L466" s="24">
        <v>3.4</v>
      </c>
      <c r="M466" s="25">
        <f t="shared" si="74"/>
        <v>3.72</v>
      </c>
      <c r="N466" s="22">
        <v>7</v>
      </c>
      <c r="O466" s="22" t="str">
        <f t="shared" si="75"/>
        <v>Passive</v>
      </c>
      <c r="P466" s="30">
        <f t="shared" si="76"/>
        <v>5</v>
      </c>
      <c r="Q466" s="35">
        <f t="shared" si="77"/>
        <v>0.9</v>
      </c>
      <c r="R466" s="22">
        <f t="shared" si="78"/>
        <v>1</v>
      </c>
      <c r="S466" s="22" t="str">
        <f t="shared" si="79"/>
        <v>Low</v>
      </c>
    </row>
    <row r="467" spans="1:19" x14ac:dyDescent="0.3">
      <c r="A467" s="22" t="s">
        <v>1570</v>
      </c>
      <c r="B467" t="str">
        <f t="shared" si="70"/>
        <v>Yamini Choudhary</v>
      </c>
      <c r="C467" t="str">
        <f t="shared" si="71"/>
        <v>Data &amp; Analytics</v>
      </c>
      <c r="D467" t="str">
        <f t="shared" si="72"/>
        <v>Arun Mukherjee</v>
      </c>
      <c r="E467" s="30" t="str">
        <f t="shared" si="73"/>
        <v>Active</v>
      </c>
      <c r="F467" s="22" t="s">
        <v>1700</v>
      </c>
      <c r="G467" s="24">
        <v>3.8</v>
      </c>
      <c r="H467" s="24">
        <v>4.0999999999999996</v>
      </c>
      <c r="I467" s="24">
        <v>3.9</v>
      </c>
      <c r="J467" s="24">
        <v>3.8</v>
      </c>
      <c r="K467" s="24">
        <v>4.2</v>
      </c>
      <c r="L467" s="24">
        <v>3.2</v>
      </c>
      <c r="M467" s="25">
        <f t="shared" si="74"/>
        <v>3.83</v>
      </c>
      <c r="N467" s="22">
        <v>8</v>
      </c>
      <c r="O467" s="22" t="str">
        <f t="shared" si="75"/>
        <v>Passive</v>
      </c>
      <c r="P467" s="30">
        <f t="shared" si="76"/>
        <v>4</v>
      </c>
      <c r="Q467" s="35">
        <f t="shared" si="77"/>
        <v>1.26</v>
      </c>
      <c r="R467" s="22">
        <f t="shared" si="78"/>
        <v>1</v>
      </c>
      <c r="S467" s="22" t="str">
        <f t="shared" si="79"/>
        <v>Low</v>
      </c>
    </row>
    <row r="468" spans="1:19" x14ac:dyDescent="0.3">
      <c r="A468" s="22" t="s">
        <v>1573</v>
      </c>
      <c r="B468" t="str">
        <f t="shared" si="70"/>
        <v>Vikram Bansal</v>
      </c>
      <c r="C468" t="str">
        <f t="shared" si="71"/>
        <v>Finance</v>
      </c>
      <c r="D468" t="str">
        <f t="shared" si="72"/>
        <v>Ravi Prabhu</v>
      </c>
      <c r="E468" s="30" t="str">
        <f t="shared" si="73"/>
        <v>Active</v>
      </c>
      <c r="F468" s="22" t="s">
        <v>1700</v>
      </c>
      <c r="G468" s="24">
        <v>3.7</v>
      </c>
      <c r="H468" s="24">
        <v>3.4</v>
      </c>
      <c r="I468" s="24">
        <v>3.2</v>
      </c>
      <c r="J468" s="24">
        <v>3.8</v>
      </c>
      <c r="K468" s="24">
        <v>4</v>
      </c>
      <c r="L468" s="24">
        <v>3.6</v>
      </c>
      <c r="M468" s="25">
        <f t="shared" si="74"/>
        <v>3.62</v>
      </c>
      <c r="N468" s="22">
        <v>9</v>
      </c>
      <c r="O468" s="22" t="str">
        <f t="shared" si="75"/>
        <v>Promoter</v>
      </c>
      <c r="P468" s="30">
        <f t="shared" si="76"/>
        <v>4</v>
      </c>
      <c r="Q468" s="35">
        <f t="shared" si="77"/>
        <v>1.1499999999999999</v>
      </c>
      <c r="R468" s="22">
        <f t="shared" si="78"/>
        <v>1</v>
      </c>
      <c r="S468" s="22" t="str">
        <f t="shared" si="79"/>
        <v>Low</v>
      </c>
    </row>
    <row r="469" spans="1:19" x14ac:dyDescent="0.3">
      <c r="A469" s="22" t="s">
        <v>1576</v>
      </c>
      <c r="B469" t="str">
        <f t="shared" si="70"/>
        <v>Ramya Kapoor</v>
      </c>
      <c r="C469" t="str">
        <f t="shared" si="71"/>
        <v>Sales</v>
      </c>
      <c r="D469" t="str">
        <f t="shared" si="72"/>
        <v>Srinivas Shah</v>
      </c>
      <c r="E469" s="30" t="str">
        <f t="shared" si="73"/>
        <v>Active</v>
      </c>
      <c r="F469" s="22" t="s">
        <v>1700</v>
      </c>
      <c r="G469" s="24">
        <v>2</v>
      </c>
      <c r="H469" s="24">
        <v>1.9</v>
      </c>
      <c r="I469" s="24">
        <v>2.2000000000000002</v>
      </c>
      <c r="J469" s="24">
        <v>2</v>
      </c>
      <c r="K469" s="24">
        <v>1.4</v>
      </c>
      <c r="L469" s="24">
        <v>2.4</v>
      </c>
      <c r="M469" s="25">
        <f t="shared" si="74"/>
        <v>1.98</v>
      </c>
      <c r="N469" s="22">
        <v>6</v>
      </c>
      <c r="O469" s="22" t="str">
        <f t="shared" si="75"/>
        <v>Detractor</v>
      </c>
      <c r="P469" s="30">
        <f t="shared" si="76"/>
        <v>3</v>
      </c>
      <c r="Q469" s="35">
        <f t="shared" si="77"/>
        <v>1.06</v>
      </c>
      <c r="R469" s="22">
        <f t="shared" si="78"/>
        <v>2</v>
      </c>
      <c r="S469" s="22" t="str">
        <f t="shared" si="79"/>
        <v>Medium</v>
      </c>
    </row>
    <row r="470" spans="1:19" x14ac:dyDescent="0.3">
      <c r="A470" s="22" t="s">
        <v>1579</v>
      </c>
      <c r="B470" t="str">
        <f t="shared" si="70"/>
        <v>Aniket Chatterjee</v>
      </c>
      <c r="C470" t="str">
        <f t="shared" si="71"/>
        <v>Product</v>
      </c>
      <c r="D470" t="str">
        <f t="shared" si="72"/>
        <v>Sachin Shetty</v>
      </c>
      <c r="E470" s="30" t="str">
        <f t="shared" si="73"/>
        <v>Active</v>
      </c>
      <c r="F470" s="22" t="s">
        <v>1700</v>
      </c>
      <c r="G470" s="24">
        <v>2.7</v>
      </c>
      <c r="H470" s="24">
        <v>4.4000000000000004</v>
      </c>
      <c r="I470" s="24">
        <v>3.7</v>
      </c>
      <c r="J470" s="24">
        <v>3.2</v>
      </c>
      <c r="K470" s="24">
        <v>3.6</v>
      </c>
      <c r="L470" s="24">
        <v>3.3</v>
      </c>
      <c r="M470" s="25">
        <f t="shared" si="74"/>
        <v>3.48</v>
      </c>
      <c r="N470" s="22">
        <v>7</v>
      </c>
      <c r="O470" s="22" t="str">
        <f t="shared" si="75"/>
        <v>Passive</v>
      </c>
      <c r="P470" s="30">
        <f t="shared" si="76"/>
        <v>4</v>
      </c>
      <c r="Q470" s="35">
        <f t="shared" si="77"/>
        <v>1.37</v>
      </c>
      <c r="R470" s="22">
        <f t="shared" si="78"/>
        <v>1</v>
      </c>
      <c r="S470" s="22" t="str">
        <f t="shared" si="79"/>
        <v>Low</v>
      </c>
    </row>
    <row r="471" spans="1:19" x14ac:dyDescent="0.3">
      <c r="A471" s="22" t="s">
        <v>1582</v>
      </c>
      <c r="B471" t="str">
        <f t="shared" si="70"/>
        <v>Krishna Khan</v>
      </c>
      <c r="C471" t="str">
        <f t="shared" si="71"/>
        <v>Legal &amp; Compliance</v>
      </c>
      <c r="D471" t="str">
        <f t="shared" si="72"/>
        <v>Swathi Mukherjee</v>
      </c>
      <c r="E471" s="30" t="str">
        <f t="shared" si="73"/>
        <v>Active</v>
      </c>
      <c r="F471" s="22" t="s">
        <v>1700</v>
      </c>
      <c r="G471" s="24">
        <v>3.1</v>
      </c>
      <c r="H471" s="24">
        <v>3.5</v>
      </c>
      <c r="I471" s="24">
        <v>2.8</v>
      </c>
      <c r="J471" s="24">
        <v>2.6</v>
      </c>
      <c r="K471" s="24">
        <v>2.8</v>
      </c>
      <c r="L471" s="24">
        <v>2.6</v>
      </c>
      <c r="M471" s="25">
        <f t="shared" si="74"/>
        <v>2.9</v>
      </c>
      <c r="N471" s="22">
        <v>6</v>
      </c>
      <c r="O471" s="22" t="str">
        <f t="shared" si="75"/>
        <v>Detractor</v>
      </c>
      <c r="P471" s="30">
        <f t="shared" si="76"/>
        <v>3</v>
      </c>
      <c r="Q471" s="35">
        <f t="shared" si="77"/>
        <v>1.07</v>
      </c>
      <c r="R471" s="22">
        <f t="shared" si="78"/>
        <v>2</v>
      </c>
      <c r="S471" s="22" t="str">
        <f t="shared" si="79"/>
        <v>Medium</v>
      </c>
    </row>
    <row r="472" spans="1:19" x14ac:dyDescent="0.3">
      <c r="A472" s="22" t="s">
        <v>1585</v>
      </c>
      <c r="B472" t="str">
        <f t="shared" si="70"/>
        <v>Sowmya Prabhu</v>
      </c>
      <c r="C472" t="str">
        <f t="shared" si="71"/>
        <v>Engineering</v>
      </c>
      <c r="D472" t="str">
        <f t="shared" si="72"/>
        <v>Isha Jain</v>
      </c>
      <c r="E472" s="30" t="str">
        <f t="shared" si="73"/>
        <v>Active</v>
      </c>
      <c r="F472" s="22" t="s">
        <v>1700</v>
      </c>
      <c r="G472" s="24">
        <v>2.8</v>
      </c>
      <c r="H472" s="24">
        <v>2.7</v>
      </c>
      <c r="I472" s="24">
        <v>3.2</v>
      </c>
      <c r="J472" s="24">
        <v>2.7</v>
      </c>
      <c r="K472" s="24">
        <v>3.2</v>
      </c>
      <c r="L472" s="24">
        <v>3.8</v>
      </c>
      <c r="M472" s="25">
        <f t="shared" si="74"/>
        <v>3.07</v>
      </c>
      <c r="N472" s="22">
        <v>10</v>
      </c>
      <c r="O472" s="22" t="str">
        <f t="shared" si="75"/>
        <v>Promoter</v>
      </c>
      <c r="P472" s="30">
        <f t="shared" si="76"/>
        <v>4</v>
      </c>
      <c r="Q472" s="35">
        <f t="shared" si="77"/>
        <v>1.3</v>
      </c>
      <c r="R472" s="22">
        <f t="shared" si="78"/>
        <v>1</v>
      </c>
      <c r="S472" s="22" t="str">
        <f t="shared" si="79"/>
        <v>Low</v>
      </c>
    </row>
    <row r="473" spans="1:19" x14ac:dyDescent="0.3">
      <c r="A473" s="22" t="s">
        <v>1588</v>
      </c>
      <c r="B473" t="str">
        <f t="shared" si="70"/>
        <v>Kritika Khan</v>
      </c>
      <c r="C473" t="str">
        <f t="shared" si="71"/>
        <v>Engineering</v>
      </c>
      <c r="D473" t="str">
        <f t="shared" si="72"/>
        <v>Isha Jain</v>
      </c>
      <c r="E473" s="30" t="str">
        <f t="shared" si="73"/>
        <v>Active</v>
      </c>
      <c r="F473" s="22" t="s">
        <v>1700</v>
      </c>
      <c r="G473" s="24">
        <v>3.2</v>
      </c>
      <c r="H473" s="24">
        <v>3.3</v>
      </c>
      <c r="I473" s="24">
        <v>3.5</v>
      </c>
      <c r="J473" s="24">
        <v>3.5</v>
      </c>
      <c r="K473" s="24">
        <v>3.4</v>
      </c>
      <c r="L473" s="24">
        <v>3.1</v>
      </c>
      <c r="M473" s="25">
        <f t="shared" si="74"/>
        <v>3.33</v>
      </c>
      <c r="N473" s="22">
        <v>5</v>
      </c>
      <c r="O473" s="22" t="str">
        <f t="shared" si="75"/>
        <v>Detractor</v>
      </c>
      <c r="P473" s="30">
        <f t="shared" si="76"/>
        <v>3</v>
      </c>
      <c r="Q473" s="35">
        <f t="shared" si="77"/>
        <v>1.24</v>
      </c>
      <c r="R473" s="22">
        <f t="shared" si="78"/>
        <v>1</v>
      </c>
      <c r="S473" s="22" t="str">
        <f t="shared" si="79"/>
        <v>Low</v>
      </c>
    </row>
    <row r="474" spans="1:19" x14ac:dyDescent="0.3">
      <c r="A474" s="22" t="s">
        <v>1591</v>
      </c>
      <c r="B474" t="str">
        <f t="shared" si="70"/>
        <v>Rashmi Gowda</v>
      </c>
      <c r="C474" t="str">
        <f t="shared" si="71"/>
        <v>Operations</v>
      </c>
      <c r="D474" t="str">
        <f t="shared" si="72"/>
        <v>Amit Kumar</v>
      </c>
      <c r="E474" s="30" t="str">
        <f t="shared" si="73"/>
        <v>Active</v>
      </c>
      <c r="F474" s="22" t="s">
        <v>1700</v>
      </c>
      <c r="G474" s="24">
        <v>4.2</v>
      </c>
      <c r="H474" s="24">
        <v>3.4</v>
      </c>
      <c r="I474" s="24">
        <v>4.5999999999999996</v>
      </c>
      <c r="J474" s="24">
        <v>3.7</v>
      </c>
      <c r="K474" s="24">
        <v>4.2</v>
      </c>
      <c r="L474" s="24">
        <v>4.3</v>
      </c>
      <c r="M474" s="25">
        <f t="shared" si="74"/>
        <v>4.07</v>
      </c>
      <c r="N474" s="22">
        <v>10</v>
      </c>
      <c r="O474" s="22" t="str">
        <f t="shared" si="75"/>
        <v>Promoter</v>
      </c>
      <c r="P474" s="30">
        <f t="shared" si="76"/>
        <v>5</v>
      </c>
      <c r="Q474" s="35">
        <f t="shared" si="77"/>
        <v>0.9</v>
      </c>
      <c r="R474" s="22">
        <f t="shared" si="78"/>
        <v>1</v>
      </c>
      <c r="S474" s="22" t="str">
        <f t="shared" si="79"/>
        <v>Low</v>
      </c>
    </row>
    <row r="475" spans="1:19" x14ac:dyDescent="0.3">
      <c r="A475" s="22" t="s">
        <v>1594</v>
      </c>
      <c r="B475" t="str">
        <f t="shared" si="70"/>
        <v>Ananya Khanna</v>
      </c>
      <c r="C475" t="str">
        <f t="shared" si="71"/>
        <v>Operations</v>
      </c>
      <c r="D475" t="str">
        <f t="shared" si="72"/>
        <v>Ramya Menon</v>
      </c>
      <c r="E475" s="30" t="str">
        <f t="shared" si="73"/>
        <v>Active</v>
      </c>
      <c r="F475" s="22" t="s">
        <v>1700</v>
      </c>
      <c r="G475" s="24">
        <v>3.7</v>
      </c>
      <c r="H475" s="24">
        <v>3.7</v>
      </c>
      <c r="I475" s="24">
        <v>4</v>
      </c>
      <c r="J475" s="24">
        <v>2.9</v>
      </c>
      <c r="K475" s="24">
        <v>3.1</v>
      </c>
      <c r="L475" s="24">
        <v>3.7</v>
      </c>
      <c r="M475" s="25">
        <f t="shared" si="74"/>
        <v>3.52</v>
      </c>
      <c r="N475" s="22">
        <v>9</v>
      </c>
      <c r="O475" s="22" t="str">
        <f t="shared" si="75"/>
        <v>Promoter</v>
      </c>
      <c r="P475" s="30">
        <f t="shared" si="76"/>
        <v>3</v>
      </c>
      <c r="Q475" s="35">
        <f t="shared" si="77"/>
        <v>1.01</v>
      </c>
      <c r="R475" s="22">
        <f t="shared" si="78"/>
        <v>0</v>
      </c>
      <c r="S475" s="22" t="str">
        <f t="shared" si="79"/>
        <v>Low</v>
      </c>
    </row>
    <row r="476" spans="1:19" x14ac:dyDescent="0.3">
      <c r="A476" s="22" t="s">
        <v>1597</v>
      </c>
      <c r="B476" t="str">
        <f t="shared" si="70"/>
        <v>Ritu Thomas</v>
      </c>
      <c r="C476" t="str">
        <f t="shared" si="71"/>
        <v>Sales</v>
      </c>
      <c r="D476" t="str">
        <f t="shared" si="72"/>
        <v>Srinivas Shah</v>
      </c>
      <c r="E476" s="30" t="str">
        <f t="shared" si="73"/>
        <v>Active</v>
      </c>
      <c r="F476" s="22" t="s">
        <v>1700</v>
      </c>
      <c r="G476" s="24">
        <v>3</v>
      </c>
      <c r="H476" s="24">
        <v>3.8</v>
      </c>
      <c r="I476" s="24">
        <v>3.4</v>
      </c>
      <c r="J476" s="24">
        <v>3.3</v>
      </c>
      <c r="K476" s="24">
        <v>3.6</v>
      </c>
      <c r="L476" s="24">
        <v>3.4</v>
      </c>
      <c r="M476" s="25">
        <f t="shared" si="74"/>
        <v>3.42</v>
      </c>
      <c r="N476" s="22">
        <v>8</v>
      </c>
      <c r="O476" s="22" t="str">
        <f t="shared" si="75"/>
        <v>Passive</v>
      </c>
      <c r="P476" s="30">
        <f t="shared" si="76"/>
        <v>5</v>
      </c>
      <c r="Q476" s="35">
        <f t="shared" si="77"/>
        <v>0.91</v>
      </c>
      <c r="R476" s="22">
        <f t="shared" si="78"/>
        <v>1</v>
      </c>
      <c r="S476" s="22" t="str">
        <f t="shared" si="79"/>
        <v>Low</v>
      </c>
    </row>
    <row r="477" spans="1:19" x14ac:dyDescent="0.3">
      <c r="A477" s="22" t="s">
        <v>1600</v>
      </c>
      <c r="B477" t="str">
        <f t="shared" si="70"/>
        <v>Gayatri Subramanian</v>
      </c>
      <c r="C477" t="str">
        <f t="shared" si="71"/>
        <v>Product</v>
      </c>
      <c r="D477" t="str">
        <f t="shared" si="72"/>
        <v>Trisha Malhotra</v>
      </c>
      <c r="E477" s="30" t="str">
        <f t="shared" si="73"/>
        <v>Active</v>
      </c>
      <c r="F477" s="22" t="s">
        <v>1700</v>
      </c>
      <c r="G477" s="24">
        <v>2.5</v>
      </c>
      <c r="H477" s="24">
        <v>2</v>
      </c>
      <c r="I477" s="24">
        <v>2.7</v>
      </c>
      <c r="J477" s="24">
        <v>2.6</v>
      </c>
      <c r="K477" s="24">
        <v>2.4</v>
      </c>
      <c r="L477" s="24">
        <v>2</v>
      </c>
      <c r="M477" s="25">
        <f t="shared" si="74"/>
        <v>2.37</v>
      </c>
      <c r="N477" s="22">
        <v>7</v>
      </c>
      <c r="O477" s="22" t="str">
        <f t="shared" si="75"/>
        <v>Passive</v>
      </c>
      <c r="P477" s="30">
        <f t="shared" si="76"/>
        <v>3</v>
      </c>
      <c r="Q477" s="35">
        <f t="shared" si="77"/>
        <v>1.22</v>
      </c>
      <c r="R477" s="22">
        <f t="shared" si="78"/>
        <v>1</v>
      </c>
      <c r="S477" s="22" t="str">
        <f t="shared" si="79"/>
        <v>Low</v>
      </c>
    </row>
    <row r="478" spans="1:19" x14ac:dyDescent="0.3">
      <c r="A478" s="22" t="s">
        <v>1603</v>
      </c>
      <c r="B478" t="str">
        <f t="shared" si="70"/>
        <v>Sanjay Rao</v>
      </c>
      <c r="C478" t="str">
        <f t="shared" si="71"/>
        <v>Marketing</v>
      </c>
      <c r="D478" t="str">
        <f t="shared" si="72"/>
        <v>Nandini Iyer</v>
      </c>
      <c r="E478" s="30" t="str">
        <f t="shared" si="73"/>
        <v>Active</v>
      </c>
      <c r="F478" s="22" t="s">
        <v>1700</v>
      </c>
      <c r="G478" s="24">
        <v>2.2999999999999998</v>
      </c>
      <c r="H478" s="24">
        <v>2.2000000000000002</v>
      </c>
      <c r="I478" s="24">
        <v>2.2999999999999998</v>
      </c>
      <c r="J478" s="24">
        <v>2.2999999999999998</v>
      </c>
      <c r="K478" s="24">
        <v>2.2000000000000002</v>
      </c>
      <c r="L478" s="24">
        <v>2.1</v>
      </c>
      <c r="M478" s="25">
        <f t="shared" si="74"/>
        <v>2.23</v>
      </c>
      <c r="N478" s="22">
        <v>8</v>
      </c>
      <c r="O478" s="22" t="str">
        <f t="shared" si="75"/>
        <v>Passive</v>
      </c>
      <c r="P478" s="30">
        <f t="shared" si="76"/>
        <v>2</v>
      </c>
      <c r="Q478" s="35">
        <f t="shared" si="77"/>
        <v>0.88</v>
      </c>
      <c r="R478" s="22">
        <f t="shared" si="78"/>
        <v>2</v>
      </c>
      <c r="S478" s="22" t="str">
        <f t="shared" si="79"/>
        <v>Medium</v>
      </c>
    </row>
    <row r="479" spans="1:19" x14ac:dyDescent="0.3">
      <c r="A479" s="22" t="s">
        <v>1606</v>
      </c>
      <c r="B479" t="str">
        <f t="shared" si="70"/>
        <v>Mohit Chatterjee</v>
      </c>
      <c r="C479" t="str">
        <f t="shared" si="71"/>
        <v>Human Resources</v>
      </c>
      <c r="D479" t="str">
        <f t="shared" si="72"/>
        <v>Ajay Patel</v>
      </c>
      <c r="E479" s="30" t="str">
        <f t="shared" si="73"/>
        <v>Active</v>
      </c>
      <c r="F479" s="22" t="s">
        <v>1700</v>
      </c>
      <c r="G479" s="24">
        <v>3.1</v>
      </c>
      <c r="H479" s="24">
        <v>2.4</v>
      </c>
      <c r="I479" s="24">
        <v>3</v>
      </c>
      <c r="J479" s="24">
        <v>3.3</v>
      </c>
      <c r="K479" s="24">
        <v>2.4</v>
      </c>
      <c r="L479" s="24">
        <v>3.3</v>
      </c>
      <c r="M479" s="25">
        <f t="shared" si="74"/>
        <v>2.92</v>
      </c>
      <c r="N479" s="22">
        <v>9</v>
      </c>
      <c r="O479" s="22" t="str">
        <f t="shared" si="75"/>
        <v>Promoter</v>
      </c>
      <c r="P479" s="30">
        <f t="shared" si="76"/>
        <v>3</v>
      </c>
      <c r="Q479" s="35">
        <f t="shared" si="77"/>
        <v>0.86</v>
      </c>
      <c r="R479" s="22">
        <f t="shared" si="78"/>
        <v>2</v>
      </c>
      <c r="S479" s="22" t="str">
        <f t="shared" si="79"/>
        <v>Medium</v>
      </c>
    </row>
    <row r="480" spans="1:19" x14ac:dyDescent="0.3">
      <c r="A480" s="22" t="s">
        <v>1609</v>
      </c>
      <c r="B480" t="str">
        <f t="shared" si="70"/>
        <v>Abhishek Agarwal</v>
      </c>
      <c r="C480" t="str">
        <f t="shared" si="71"/>
        <v>Engineering</v>
      </c>
      <c r="D480" t="str">
        <f t="shared" si="72"/>
        <v>Isha Jain</v>
      </c>
      <c r="E480" s="30" t="str">
        <f t="shared" si="73"/>
        <v>Active</v>
      </c>
      <c r="F480" s="22" t="s">
        <v>1700</v>
      </c>
      <c r="G480" s="24">
        <v>2.4</v>
      </c>
      <c r="H480" s="24">
        <v>2</v>
      </c>
      <c r="I480" s="24">
        <v>2.5</v>
      </c>
      <c r="J480" s="24">
        <v>1.6</v>
      </c>
      <c r="K480" s="24">
        <v>1.8</v>
      </c>
      <c r="L480" s="24">
        <v>2.4</v>
      </c>
      <c r="M480" s="25">
        <f t="shared" si="74"/>
        <v>2.12</v>
      </c>
      <c r="N480" s="22">
        <v>7</v>
      </c>
      <c r="O480" s="22" t="str">
        <f t="shared" si="75"/>
        <v>Passive</v>
      </c>
      <c r="P480" s="30">
        <f t="shared" si="76"/>
        <v>3</v>
      </c>
      <c r="Q480" s="35">
        <f t="shared" si="77"/>
        <v>1.03</v>
      </c>
      <c r="R480" s="22">
        <f t="shared" si="78"/>
        <v>1</v>
      </c>
      <c r="S480" s="22" t="str">
        <f t="shared" si="79"/>
        <v>Low</v>
      </c>
    </row>
    <row r="481" spans="1:19" x14ac:dyDescent="0.3">
      <c r="A481" s="22" t="s">
        <v>1612</v>
      </c>
      <c r="B481" t="str">
        <f t="shared" si="70"/>
        <v>Sanjay Bansal</v>
      </c>
      <c r="C481" t="str">
        <f t="shared" si="71"/>
        <v>Engineering</v>
      </c>
      <c r="D481" t="str">
        <f t="shared" si="72"/>
        <v>Vikas Singh</v>
      </c>
      <c r="E481" s="30" t="str">
        <f t="shared" si="73"/>
        <v>Active</v>
      </c>
      <c r="F481" s="22" t="s">
        <v>1700</v>
      </c>
      <c r="G481" s="24">
        <v>3</v>
      </c>
      <c r="H481" s="24">
        <v>2.9</v>
      </c>
      <c r="I481" s="24">
        <v>3.7</v>
      </c>
      <c r="J481" s="24">
        <v>3.4</v>
      </c>
      <c r="K481" s="24">
        <v>3.5</v>
      </c>
      <c r="L481" s="24">
        <v>3.4</v>
      </c>
      <c r="M481" s="25">
        <f t="shared" si="74"/>
        <v>3.32</v>
      </c>
      <c r="N481" s="22">
        <v>5</v>
      </c>
      <c r="O481" s="22" t="str">
        <f t="shared" si="75"/>
        <v>Detractor</v>
      </c>
      <c r="P481" s="30">
        <f t="shared" si="76"/>
        <v>4</v>
      </c>
      <c r="Q481" s="35">
        <f t="shared" si="77"/>
        <v>1.19</v>
      </c>
      <c r="R481" s="22">
        <f t="shared" si="78"/>
        <v>2</v>
      </c>
      <c r="S481" s="22" t="str">
        <f t="shared" si="79"/>
        <v>Medium</v>
      </c>
    </row>
    <row r="482" spans="1:19" x14ac:dyDescent="0.3">
      <c r="A482" s="22" t="s">
        <v>1615</v>
      </c>
      <c r="B482" t="str">
        <f t="shared" si="70"/>
        <v>Madhuri Banerjee</v>
      </c>
      <c r="C482" t="str">
        <f t="shared" si="71"/>
        <v>Customer Support</v>
      </c>
      <c r="D482" t="str">
        <f t="shared" si="72"/>
        <v>Vidya Chatterjee</v>
      </c>
      <c r="E482" s="30" t="str">
        <f t="shared" si="73"/>
        <v>Active</v>
      </c>
      <c r="F482" s="22" t="s">
        <v>1700</v>
      </c>
      <c r="G482" s="24">
        <v>4.2</v>
      </c>
      <c r="H482" s="24">
        <v>3.8</v>
      </c>
      <c r="I482" s="24">
        <v>3.6</v>
      </c>
      <c r="J482" s="24">
        <v>3.9</v>
      </c>
      <c r="K482" s="24">
        <v>3.9</v>
      </c>
      <c r="L482" s="24">
        <v>3.4</v>
      </c>
      <c r="M482" s="25">
        <f t="shared" si="74"/>
        <v>3.8</v>
      </c>
      <c r="N482" s="22">
        <v>9</v>
      </c>
      <c r="O482" s="22" t="str">
        <f t="shared" si="75"/>
        <v>Promoter</v>
      </c>
      <c r="P482" s="30">
        <f t="shared" si="76"/>
        <v>3</v>
      </c>
      <c r="Q482" s="35">
        <f t="shared" si="77"/>
        <v>0.89</v>
      </c>
      <c r="R482" s="22">
        <f t="shared" si="78"/>
        <v>1</v>
      </c>
      <c r="S482" s="22" t="str">
        <f t="shared" si="79"/>
        <v>Low</v>
      </c>
    </row>
    <row r="483" spans="1:19" x14ac:dyDescent="0.3">
      <c r="A483" s="22" t="s">
        <v>1618</v>
      </c>
      <c r="B483" t="str">
        <f t="shared" si="70"/>
        <v>Rashmi Khanna</v>
      </c>
      <c r="C483" t="str">
        <f t="shared" si="71"/>
        <v>Legal &amp; Compliance</v>
      </c>
      <c r="D483" t="str">
        <f t="shared" si="72"/>
        <v>Ramya Khanna</v>
      </c>
      <c r="E483" s="30" t="str">
        <f t="shared" si="73"/>
        <v>Active</v>
      </c>
      <c r="F483" s="22" t="s">
        <v>1701</v>
      </c>
      <c r="G483" s="24">
        <v>4</v>
      </c>
      <c r="H483" s="24">
        <v>3.9</v>
      </c>
      <c r="I483" s="24">
        <v>4.0999999999999996</v>
      </c>
      <c r="J483" s="24">
        <v>3.7</v>
      </c>
      <c r="K483" s="24">
        <v>4.2</v>
      </c>
      <c r="L483" s="24">
        <v>3.7</v>
      </c>
      <c r="M483" s="25">
        <f t="shared" si="74"/>
        <v>3.93</v>
      </c>
      <c r="N483" s="22">
        <v>9</v>
      </c>
      <c r="O483" s="22" t="str">
        <f t="shared" si="75"/>
        <v>Promoter</v>
      </c>
      <c r="P483" s="30">
        <f t="shared" si="76"/>
        <v>2</v>
      </c>
      <c r="Q483" s="35">
        <f t="shared" si="77"/>
        <v>1.06</v>
      </c>
      <c r="R483" s="22">
        <f t="shared" si="78"/>
        <v>0</v>
      </c>
      <c r="S483" s="22" t="str">
        <f t="shared" si="79"/>
        <v>Low</v>
      </c>
    </row>
    <row r="484" spans="1:19" x14ac:dyDescent="0.3">
      <c r="A484" s="22" t="s">
        <v>1621</v>
      </c>
      <c r="B484" t="str">
        <f t="shared" si="70"/>
        <v>Amit Chatterjee</v>
      </c>
      <c r="C484" t="str">
        <f t="shared" si="71"/>
        <v>Operations</v>
      </c>
      <c r="D484" t="str">
        <f t="shared" si="72"/>
        <v>Yash Shah</v>
      </c>
      <c r="E484" s="30" t="str">
        <f t="shared" si="73"/>
        <v>Active</v>
      </c>
      <c r="F484" s="22" t="s">
        <v>1700</v>
      </c>
      <c r="G484" s="24">
        <v>2.8</v>
      </c>
      <c r="H484" s="24">
        <v>2.9</v>
      </c>
      <c r="I484" s="24">
        <v>2.9</v>
      </c>
      <c r="J484" s="24">
        <v>2.4</v>
      </c>
      <c r="K484" s="24">
        <v>3</v>
      </c>
      <c r="L484" s="24">
        <v>2.7</v>
      </c>
      <c r="M484" s="25">
        <f t="shared" si="74"/>
        <v>2.78</v>
      </c>
      <c r="N484" s="22">
        <v>7</v>
      </c>
      <c r="O484" s="22" t="str">
        <f t="shared" si="75"/>
        <v>Passive</v>
      </c>
      <c r="P484" s="30">
        <f t="shared" si="76"/>
        <v>3</v>
      </c>
      <c r="Q484" s="35">
        <f t="shared" si="77"/>
        <v>0.74</v>
      </c>
      <c r="R484" s="22">
        <f t="shared" si="78"/>
        <v>2</v>
      </c>
      <c r="S484" s="22" t="str">
        <f t="shared" si="79"/>
        <v>Medium</v>
      </c>
    </row>
    <row r="485" spans="1:19" x14ac:dyDescent="0.3">
      <c r="A485" s="22" t="s">
        <v>1624</v>
      </c>
      <c r="B485" t="str">
        <f t="shared" si="70"/>
        <v>Ankit Raghavan</v>
      </c>
      <c r="C485" t="str">
        <f t="shared" si="71"/>
        <v>Human Resources</v>
      </c>
      <c r="D485" t="str">
        <f t="shared" si="72"/>
        <v>Akash Das</v>
      </c>
      <c r="E485" s="30" t="str">
        <f t="shared" si="73"/>
        <v>Active</v>
      </c>
      <c r="F485" s="22" t="s">
        <v>1701</v>
      </c>
      <c r="G485" s="24">
        <v>2.7</v>
      </c>
      <c r="H485" s="24">
        <v>2.6</v>
      </c>
      <c r="I485" s="24">
        <v>2.4</v>
      </c>
      <c r="J485" s="24">
        <v>2</v>
      </c>
      <c r="K485" s="24">
        <v>3.4</v>
      </c>
      <c r="L485" s="24">
        <v>2.6</v>
      </c>
      <c r="M485" s="25">
        <f t="shared" si="74"/>
        <v>2.62</v>
      </c>
      <c r="N485" s="22">
        <v>7</v>
      </c>
      <c r="O485" s="22" t="str">
        <f t="shared" si="75"/>
        <v>Passive</v>
      </c>
      <c r="P485" s="30">
        <f t="shared" si="76"/>
        <v>4</v>
      </c>
      <c r="Q485" s="35">
        <f t="shared" si="77"/>
        <v>1.1200000000000001</v>
      </c>
      <c r="R485" s="22">
        <f t="shared" si="78"/>
        <v>2</v>
      </c>
      <c r="S485" s="22" t="str">
        <f t="shared" si="79"/>
        <v>Medium</v>
      </c>
    </row>
    <row r="486" spans="1:19" x14ac:dyDescent="0.3">
      <c r="A486" s="22" t="s">
        <v>1627</v>
      </c>
      <c r="B486" t="str">
        <f t="shared" si="70"/>
        <v>Dev Reddy</v>
      </c>
      <c r="C486" t="str">
        <f t="shared" si="71"/>
        <v>Customer Support</v>
      </c>
      <c r="D486" t="str">
        <f t="shared" si="72"/>
        <v>Isha Verma</v>
      </c>
      <c r="E486" s="30" t="str">
        <f t="shared" si="73"/>
        <v>Active</v>
      </c>
      <c r="F486" s="22" t="s">
        <v>1700</v>
      </c>
      <c r="G486" s="24">
        <v>2.9</v>
      </c>
      <c r="H486" s="24">
        <v>3.9</v>
      </c>
      <c r="I486" s="24">
        <v>3.8</v>
      </c>
      <c r="J486" s="24">
        <v>3.4</v>
      </c>
      <c r="K486" s="24">
        <v>3.2</v>
      </c>
      <c r="L486" s="24">
        <v>3.7</v>
      </c>
      <c r="M486" s="25">
        <f t="shared" si="74"/>
        <v>3.48</v>
      </c>
      <c r="N486" s="22">
        <v>7</v>
      </c>
      <c r="O486" s="22" t="str">
        <f t="shared" si="75"/>
        <v>Passive</v>
      </c>
      <c r="P486" s="30">
        <f t="shared" si="76"/>
        <v>4</v>
      </c>
      <c r="Q486" s="35">
        <f t="shared" si="77"/>
        <v>0.57999999999999996</v>
      </c>
      <c r="R486" s="22">
        <f t="shared" si="78"/>
        <v>2</v>
      </c>
      <c r="S486" s="22" t="str">
        <f t="shared" si="79"/>
        <v>Medium</v>
      </c>
    </row>
    <row r="487" spans="1:19" x14ac:dyDescent="0.3">
      <c r="A487" s="22" t="s">
        <v>1630</v>
      </c>
      <c r="B487" t="str">
        <f t="shared" si="70"/>
        <v>Radhika Fernandes</v>
      </c>
      <c r="C487" t="str">
        <f t="shared" si="71"/>
        <v>Product</v>
      </c>
      <c r="D487" t="str">
        <f t="shared" si="72"/>
        <v>Trisha Malhotra</v>
      </c>
      <c r="E487" s="30" t="str">
        <f t="shared" si="73"/>
        <v>Active</v>
      </c>
      <c r="F487" s="22" t="s">
        <v>1700</v>
      </c>
      <c r="G487" s="24">
        <v>3.3</v>
      </c>
      <c r="H487" s="24">
        <v>3.6</v>
      </c>
      <c r="I487" s="24">
        <v>3.6</v>
      </c>
      <c r="J487" s="24">
        <v>3.9</v>
      </c>
      <c r="K487" s="24">
        <v>3.5</v>
      </c>
      <c r="L487" s="24">
        <v>3.5</v>
      </c>
      <c r="M487" s="25">
        <f t="shared" si="74"/>
        <v>3.57</v>
      </c>
      <c r="N487" s="22">
        <v>10</v>
      </c>
      <c r="O487" s="22" t="str">
        <f t="shared" si="75"/>
        <v>Promoter</v>
      </c>
      <c r="P487" s="30">
        <f t="shared" si="76"/>
        <v>3</v>
      </c>
      <c r="Q487" s="35">
        <f t="shared" si="77"/>
        <v>0.92</v>
      </c>
      <c r="R487" s="22">
        <f t="shared" si="78"/>
        <v>0</v>
      </c>
      <c r="S487" s="22" t="str">
        <f t="shared" si="79"/>
        <v>Low</v>
      </c>
    </row>
    <row r="488" spans="1:19" x14ac:dyDescent="0.3">
      <c r="A488" s="22" t="s">
        <v>1633</v>
      </c>
      <c r="B488" t="str">
        <f t="shared" si="70"/>
        <v>Kiran Kulkarni</v>
      </c>
      <c r="C488" t="str">
        <f t="shared" si="71"/>
        <v>Engineering</v>
      </c>
      <c r="D488" t="str">
        <f t="shared" si="72"/>
        <v>Harsh Siddiqui</v>
      </c>
      <c r="E488" s="30" t="str">
        <f t="shared" si="73"/>
        <v>Active</v>
      </c>
      <c r="F488" s="22" t="s">
        <v>1700</v>
      </c>
      <c r="G488" s="24">
        <v>3.5</v>
      </c>
      <c r="H488" s="24">
        <v>2.5</v>
      </c>
      <c r="I488" s="24">
        <v>2.9</v>
      </c>
      <c r="J488" s="24">
        <v>3.5</v>
      </c>
      <c r="K488" s="24">
        <v>3.1</v>
      </c>
      <c r="L488" s="24">
        <v>2.7</v>
      </c>
      <c r="M488" s="25">
        <f t="shared" si="74"/>
        <v>3.03</v>
      </c>
      <c r="N488" s="22">
        <v>7</v>
      </c>
      <c r="O488" s="22" t="str">
        <f t="shared" si="75"/>
        <v>Passive</v>
      </c>
      <c r="P488" s="30">
        <f t="shared" si="76"/>
        <v>2</v>
      </c>
      <c r="Q488" s="35">
        <f t="shared" si="77"/>
        <v>0.87</v>
      </c>
      <c r="R488" s="22">
        <f t="shared" si="78"/>
        <v>1</v>
      </c>
      <c r="S488" s="22" t="str">
        <f t="shared" si="79"/>
        <v>Low</v>
      </c>
    </row>
    <row r="489" spans="1:19" x14ac:dyDescent="0.3">
      <c r="A489" s="22" t="s">
        <v>1636</v>
      </c>
      <c r="B489" t="str">
        <f t="shared" si="70"/>
        <v>Tarun Patel</v>
      </c>
      <c r="C489" t="str">
        <f t="shared" si="71"/>
        <v>Customer Support</v>
      </c>
      <c r="D489" t="str">
        <f t="shared" si="72"/>
        <v>Vidya Chatterjee</v>
      </c>
      <c r="E489" s="30" t="str">
        <f t="shared" si="73"/>
        <v>Active</v>
      </c>
      <c r="F489" s="22" t="s">
        <v>1700</v>
      </c>
      <c r="G489" s="24">
        <v>3.1</v>
      </c>
      <c r="H489" s="24">
        <v>3.5</v>
      </c>
      <c r="I489" s="24">
        <v>3.5</v>
      </c>
      <c r="J489" s="24">
        <v>2.8</v>
      </c>
      <c r="K489" s="24">
        <v>3.4</v>
      </c>
      <c r="L489" s="24">
        <v>3.4</v>
      </c>
      <c r="M489" s="25">
        <f t="shared" si="74"/>
        <v>3.28</v>
      </c>
      <c r="N489" s="22">
        <v>8</v>
      </c>
      <c r="O489" s="22" t="str">
        <f t="shared" si="75"/>
        <v>Passive</v>
      </c>
      <c r="P489" s="30">
        <f t="shared" si="76"/>
        <v>3</v>
      </c>
      <c r="Q489" s="35">
        <f t="shared" si="77"/>
        <v>0.88</v>
      </c>
      <c r="R489" s="22">
        <f t="shared" si="78"/>
        <v>1</v>
      </c>
      <c r="S489" s="22" t="str">
        <f t="shared" si="79"/>
        <v>Low</v>
      </c>
    </row>
    <row r="490" spans="1:19" x14ac:dyDescent="0.3">
      <c r="A490" s="22" t="s">
        <v>1639</v>
      </c>
      <c r="B490" t="str">
        <f t="shared" si="70"/>
        <v>Sanjay Das</v>
      </c>
      <c r="C490" t="str">
        <f t="shared" si="71"/>
        <v>Finance</v>
      </c>
      <c r="D490" t="str">
        <f t="shared" si="72"/>
        <v>Kritika Pandey</v>
      </c>
      <c r="E490" s="30" t="str">
        <f t="shared" si="73"/>
        <v>Active</v>
      </c>
      <c r="F490" s="22" t="s">
        <v>1700</v>
      </c>
      <c r="G490" s="24">
        <v>2.7</v>
      </c>
      <c r="H490" s="24">
        <v>2.5</v>
      </c>
      <c r="I490" s="24">
        <v>2.5</v>
      </c>
      <c r="J490" s="24">
        <v>2.6</v>
      </c>
      <c r="K490" s="24">
        <v>2.2000000000000002</v>
      </c>
      <c r="L490" s="24">
        <v>2.5</v>
      </c>
      <c r="M490" s="25">
        <f t="shared" si="74"/>
        <v>2.5</v>
      </c>
      <c r="N490" s="22">
        <v>6</v>
      </c>
      <c r="O490" s="22" t="str">
        <f t="shared" si="75"/>
        <v>Detractor</v>
      </c>
      <c r="P490" s="30">
        <f t="shared" si="76"/>
        <v>3</v>
      </c>
      <c r="Q490" s="35">
        <f t="shared" si="77"/>
        <v>0.72</v>
      </c>
      <c r="R490" s="22">
        <f t="shared" si="78"/>
        <v>3</v>
      </c>
      <c r="S490" s="22" t="str">
        <f t="shared" si="79"/>
        <v>High</v>
      </c>
    </row>
    <row r="491" spans="1:19" x14ac:dyDescent="0.3">
      <c r="A491" s="22" t="s">
        <v>1642</v>
      </c>
      <c r="B491" t="str">
        <f t="shared" si="70"/>
        <v>Deepika Menon</v>
      </c>
      <c r="C491" t="str">
        <f t="shared" si="71"/>
        <v>Sales</v>
      </c>
      <c r="D491" t="str">
        <f t="shared" si="72"/>
        <v>Madhuri Malhotra</v>
      </c>
      <c r="E491" s="30" t="str">
        <f t="shared" si="73"/>
        <v>Active</v>
      </c>
      <c r="F491" s="22" t="s">
        <v>1700</v>
      </c>
      <c r="G491" s="24">
        <v>4.0999999999999996</v>
      </c>
      <c r="H491" s="24">
        <v>3.5</v>
      </c>
      <c r="I491" s="24">
        <v>3.2</v>
      </c>
      <c r="J491" s="24">
        <v>3.2</v>
      </c>
      <c r="K491" s="24">
        <v>3.7</v>
      </c>
      <c r="L491" s="24">
        <v>4.0999999999999996</v>
      </c>
      <c r="M491" s="25">
        <f t="shared" si="74"/>
        <v>3.63</v>
      </c>
      <c r="N491" s="22">
        <v>8</v>
      </c>
      <c r="O491" s="22" t="str">
        <f t="shared" si="75"/>
        <v>Passive</v>
      </c>
      <c r="P491" s="30">
        <f t="shared" si="76"/>
        <v>4</v>
      </c>
      <c r="Q491" s="35">
        <f t="shared" si="77"/>
        <v>1.04</v>
      </c>
      <c r="R491" s="22">
        <f t="shared" si="78"/>
        <v>1</v>
      </c>
      <c r="S491" s="22" t="str">
        <f t="shared" si="79"/>
        <v>Low</v>
      </c>
    </row>
    <row r="492" spans="1:19" x14ac:dyDescent="0.3">
      <c r="A492" s="22" t="s">
        <v>1645</v>
      </c>
      <c r="B492" t="str">
        <f t="shared" si="70"/>
        <v>Sowmya Subramanian</v>
      </c>
      <c r="C492" t="str">
        <f t="shared" si="71"/>
        <v>Customer Support</v>
      </c>
      <c r="D492" t="str">
        <f t="shared" si="72"/>
        <v>Ashish Varghese</v>
      </c>
      <c r="E492" s="30" t="str">
        <f t="shared" si="73"/>
        <v>Active</v>
      </c>
      <c r="F492" s="22" t="s">
        <v>1700</v>
      </c>
      <c r="G492" s="24">
        <v>4</v>
      </c>
      <c r="H492" s="24">
        <v>4</v>
      </c>
      <c r="I492" s="24">
        <v>3.8</v>
      </c>
      <c r="J492" s="24">
        <v>4.3</v>
      </c>
      <c r="K492" s="24">
        <v>3.7</v>
      </c>
      <c r="L492" s="24">
        <v>3.6</v>
      </c>
      <c r="M492" s="25">
        <f t="shared" si="74"/>
        <v>3.9</v>
      </c>
      <c r="N492" s="22">
        <v>10</v>
      </c>
      <c r="O492" s="22" t="str">
        <f t="shared" si="75"/>
        <v>Promoter</v>
      </c>
      <c r="P492" s="30">
        <f t="shared" si="76"/>
        <v>5</v>
      </c>
      <c r="Q492" s="35">
        <f t="shared" si="77"/>
        <v>0.63</v>
      </c>
      <c r="R492" s="22">
        <f t="shared" si="78"/>
        <v>2</v>
      </c>
      <c r="S492" s="22" t="str">
        <f t="shared" si="79"/>
        <v>Medium</v>
      </c>
    </row>
    <row r="493" spans="1:19" x14ac:dyDescent="0.3">
      <c r="A493" s="22" t="s">
        <v>1648</v>
      </c>
      <c r="B493" t="str">
        <f t="shared" si="70"/>
        <v>Kunal Dsouza</v>
      </c>
      <c r="C493" t="str">
        <f t="shared" si="71"/>
        <v>Operations</v>
      </c>
      <c r="D493" t="str">
        <f t="shared" si="72"/>
        <v>Pallavi Nair</v>
      </c>
      <c r="E493" s="30" t="str">
        <f t="shared" si="73"/>
        <v>Active</v>
      </c>
      <c r="F493" s="22" t="s">
        <v>1700</v>
      </c>
      <c r="G493" s="24">
        <v>3</v>
      </c>
      <c r="H493" s="24">
        <v>3.2</v>
      </c>
      <c r="I493" s="24">
        <v>2.9</v>
      </c>
      <c r="J493" s="24">
        <v>2.7</v>
      </c>
      <c r="K493" s="24">
        <v>2.7</v>
      </c>
      <c r="L493" s="24">
        <v>3.1</v>
      </c>
      <c r="M493" s="25">
        <f t="shared" si="74"/>
        <v>2.93</v>
      </c>
      <c r="N493" s="22">
        <v>9</v>
      </c>
      <c r="O493" s="22" t="str">
        <f t="shared" si="75"/>
        <v>Promoter</v>
      </c>
      <c r="P493" s="30">
        <f t="shared" si="76"/>
        <v>3</v>
      </c>
      <c r="Q493" s="35">
        <f t="shared" si="77"/>
        <v>0.91</v>
      </c>
      <c r="R493" s="22">
        <f t="shared" si="78"/>
        <v>1</v>
      </c>
      <c r="S493" s="22" t="str">
        <f t="shared" si="79"/>
        <v>Low</v>
      </c>
    </row>
    <row r="494" spans="1:19" x14ac:dyDescent="0.3">
      <c r="A494" s="22" t="s">
        <v>1651</v>
      </c>
      <c r="B494" t="str">
        <f t="shared" si="70"/>
        <v>Divya Kapoor</v>
      </c>
      <c r="C494" t="str">
        <f t="shared" si="71"/>
        <v>Product</v>
      </c>
      <c r="D494" t="str">
        <f t="shared" si="72"/>
        <v>Trisha Malhotra</v>
      </c>
      <c r="E494" s="30" t="str">
        <f t="shared" si="73"/>
        <v>Active</v>
      </c>
      <c r="F494" s="22" t="s">
        <v>1700</v>
      </c>
      <c r="G494" s="24">
        <v>3.1</v>
      </c>
      <c r="H494" s="24">
        <v>2.7</v>
      </c>
      <c r="I494" s="24">
        <v>3.1</v>
      </c>
      <c r="J494" s="24">
        <v>2.8</v>
      </c>
      <c r="K494" s="24">
        <v>3.4</v>
      </c>
      <c r="L494" s="24">
        <v>3</v>
      </c>
      <c r="M494" s="25">
        <f t="shared" si="74"/>
        <v>3.02</v>
      </c>
      <c r="N494" s="22">
        <v>7</v>
      </c>
      <c r="O494" s="22" t="str">
        <f t="shared" si="75"/>
        <v>Passive</v>
      </c>
      <c r="P494" s="30">
        <f t="shared" si="76"/>
        <v>3</v>
      </c>
      <c r="Q494" s="35">
        <f t="shared" si="77"/>
        <v>1.1399999999999999</v>
      </c>
      <c r="R494" s="22">
        <f t="shared" si="78"/>
        <v>0</v>
      </c>
      <c r="S494" s="22" t="str">
        <f t="shared" si="79"/>
        <v>Low</v>
      </c>
    </row>
    <row r="495" spans="1:19" x14ac:dyDescent="0.3">
      <c r="A495" s="22" t="s">
        <v>1654</v>
      </c>
      <c r="B495" t="str">
        <f t="shared" si="70"/>
        <v>Ayesha Kulkarni</v>
      </c>
      <c r="C495" t="str">
        <f t="shared" si="71"/>
        <v>Engineering</v>
      </c>
      <c r="D495" t="str">
        <f t="shared" si="72"/>
        <v>Prakash Desai</v>
      </c>
      <c r="E495" s="30" t="str">
        <f t="shared" si="73"/>
        <v>Active</v>
      </c>
      <c r="F495" s="22" t="s">
        <v>1701</v>
      </c>
      <c r="G495" s="24">
        <v>2.2000000000000002</v>
      </c>
      <c r="H495" s="24">
        <v>2.9</v>
      </c>
      <c r="I495" s="24">
        <v>2.7</v>
      </c>
      <c r="J495" s="24">
        <v>2.4</v>
      </c>
      <c r="K495" s="24">
        <v>2.6</v>
      </c>
      <c r="L495" s="24">
        <v>3</v>
      </c>
      <c r="M495" s="25">
        <f t="shared" si="74"/>
        <v>2.63</v>
      </c>
      <c r="N495" s="22">
        <v>6</v>
      </c>
      <c r="O495" s="22" t="str">
        <f t="shared" si="75"/>
        <v>Detractor</v>
      </c>
      <c r="P495" s="30">
        <f t="shared" si="76"/>
        <v>1</v>
      </c>
      <c r="Q495" s="35">
        <f t="shared" si="77"/>
        <v>0.82</v>
      </c>
      <c r="R495" s="22">
        <f t="shared" si="78"/>
        <v>3</v>
      </c>
      <c r="S495" s="22" t="str">
        <f t="shared" si="79"/>
        <v>High</v>
      </c>
    </row>
    <row r="496" spans="1:19" x14ac:dyDescent="0.3">
      <c r="A496" s="22" t="s">
        <v>1657</v>
      </c>
      <c r="B496" t="str">
        <f t="shared" si="70"/>
        <v>Ayesha Menon</v>
      </c>
      <c r="C496" t="str">
        <f t="shared" si="71"/>
        <v>Sales</v>
      </c>
      <c r="D496" t="str">
        <f t="shared" si="72"/>
        <v>Yash Raghavan</v>
      </c>
      <c r="E496" s="30" t="str">
        <f t="shared" si="73"/>
        <v>Active</v>
      </c>
      <c r="F496" s="22" t="s">
        <v>1700</v>
      </c>
      <c r="G496" s="24">
        <v>3.8</v>
      </c>
      <c r="H496" s="24">
        <v>3.3</v>
      </c>
      <c r="I496" s="24">
        <v>3.5</v>
      </c>
      <c r="J496" s="24">
        <v>3.6</v>
      </c>
      <c r="K496" s="24">
        <v>2.6</v>
      </c>
      <c r="L496" s="24">
        <v>3.8</v>
      </c>
      <c r="M496" s="25">
        <f t="shared" si="74"/>
        <v>3.43</v>
      </c>
      <c r="N496" s="22">
        <v>9</v>
      </c>
      <c r="O496" s="22" t="str">
        <f t="shared" si="75"/>
        <v>Promoter</v>
      </c>
      <c r="P496" s="30">
        <f t="shared" si="76"/>
        <v>4</v>
      </c>
      <c r="Q496" s="35">
        <f t="shared" si="77"/>
        <v>1.1100000000000001</v>
      </c>
      <c r="R496" s="22">
        <f t="shared" si="78"/>
        <v>1</v>
      </c>
      <c r="S496" s="22" t="str">
        <f t="shared" si="79"/>
        <v>Low</v>
      </c>
    </row>
    <row r="497" spans="1:19" x14ac:dyDescent="0.3">
      <c r="A497" s="22" t="s">
        <v>1660</v>
      </c>
      <c r="B497" t="str">
        <f t="shared" si="70"/>
        <v>Trisha Sharma</v>
      </c>
      <c r="C497" t="str">
        <f t="shared" si="71"/>
        <v>Legal &amp; Compliance</v>
      </c>
      <c r="D497" t="str">
        <f t="shared" si="72"/>
        <v>Ramya Khanna</v>
      </c>
      <c r="E497" s="30" t="str">
        <f t="shared" si="73"/>
        <v>Active</v>
      </c>
      <c r="F497" s="22" t="s">
        <v>1700</v>
      </c>
      <c r="G497" s="24">
        <v>1.4</v>
      </c>
      <c r="H497" s="24">
        <v>2.2000000000000002</v>
      </c>
      <c r="I497" s="24">
        <v>2.1</v>
      </c>
      <c r="J497" s="24">
        <v>2</v>
      </c>
      <c r="K497" s="24">
        <v>1.7</v>
      </c>
      <c r="L497" s="24">
        <v>2.6</v>
      </c>
      <c r="M497" s="25">
        <f t="shared" si="74"/>
        <v>2</v>
      </c>
      <c r="N497" s="22">
        <v>5</v>
      </c>
      <c r="O497" s="22" t="str">
        <f t="shared" si="75"/>
        <v>Detractor</v>
      </c>
      <c r="P497" s="30">
        <f t="shared" si="76"/>
        <v>1</v>
      </c>
      <c r="Q497" s="35">
        <f t="shared" si="77"/>
        <v>0.92</v>
      </c>
      <c r="R497" s="22">
        <f t="shared" si="78"/>
        <v>2</v>
      </c>
      <c r="S497" s="22" t="str">
        <f t="shared" si="79"/>
        <v>Medium</v>
      </c>
    </row>
    <row r="498" spans="1:19" x14ac:dyDescent="0.3">
      <c r="A498" s="22" t="s">
        <v>1663</v>
      </c>
      <c r="B498" t="str">
        <f t="shared" si="70"/>
        <v>Vishal Kulkarni</v>
      </c>
      <c r="C498" t="str">
        <f t="shared" si="71"/>
        <v>Operations</v>
      </c>
      <c r="D498" t="str">
        <f t="shared" si="72"/>
        <v>Ajay Kumar</v>
      </c>
      <c r="E498" s="30" t="str">
        <f t="shared" si="73"/>
        <v>Active</v>
      </c>
      <c r="F498" s="22" t="s">
        <v>1700</v>
      </c>
      <c r="G498" s="24">
        <v>3</v>
      </c>
      <c r="H498" s="24">
        <v>3</v>
      </c>
      <c r="I498" s="24">
        <v>2.5</v>
      </c>
      <c r="J498" s="24">
        <v>2.7</v>
      </c>
      <c r="K498" s="24">
        <v>2.9</v>
      </c>
      <c r="L498" s="24">
        <v>2.8</v>
      </c>
      <c r="M498" s="25">
        <f t="shared" si="74"/>
        <v>2.82</v>
      </c>
      <c r="N498" s="22">
        <v>8</v>
      </c>
      <c r="O498" s="22" t="str">
        <f t="shared" si="75"/>
        <v>Passive</v>
      </c>
      <c r="P498" s="30">
        <f t="shared" si="76"/>
        <v>3</v>
      </c>
      <c r="Q498" s="35">
        <f t="shared" si="77"/>
        <v>0.77</v>
      </c>
      <c r="R498" s="22">
        <f t="shared" si="78"/>
        <v>2</v>
      </c>
      <c r="S498" s="22" t="str">
        <f t="shared" si="79"/>
        <v>Medium</v>
      </c>
    </row>
    <row r="499" spans="1:19" x14ac:dyDescent="0.3">
      <c r="A499" s="22" t="s">
        <v>484</v>
      </c>
      <c r="B499" t="str">
        <f t="shared" si="70"/>
        <v>Trisha Malhotra</v>
      </c>
      <c r="C499" t="str">
        <f t="shared" si="71"/>
        <v>Product</v>
      </c>
      <c r="D499" t="str">
        <f t="shared" si="72"/>
        <v>Trisha Patel</v>
      </c>
      <c r="E499" s="30" t="str">
        <f t="shared" si="73"/>
        <v>Active</v>
      </c>
      <c r="F499" s="22" t="s">
        <v>1700</v>
      </c>
      <c r="G499" s="24">
        <v>2.9</v>
      </c>
      <c r="H499" s="24">
        <v>2.7</v>
      </c>
      <c r="I499" s="24">
        <v>2.8</v>
      </c>
      <c r="J499" s="24">
        <v>2.8</v>
      </c>
      <c r="K499" s="24">
        <v>2.6</v>
      </c>
      <c r="L499" s="24">
        <v>2.9</v>
      </c>
      <c r="M499" s="25">
        <f t="shared" si="74"/>
        <v>2.78</v>
      </c>
      <c r="N499" s="22">
        <v>6</v>
      </c>
      <c r="O499" s="22" t="str">
        <f t="shared" si="75"/>
        <v>Detractor</v>
      </c>
      <c r="P499" s="30">
        <f t="shared" si="76"/>
        <v>3</v>
      </c>
      <c r="Q499" s="35">
        <f t="shared" si="77"/>
        <v>1.2</v>
      </c>
      <c r="R499" s="22">
        <f t="shared" si="78"/>
        <v>2</v>
      </c>
      <c r="S499" s="22" t="str">
        <f t="shared" si="79"/>
        <v>Medium</v>
      </c>
    </row>
    <row r="500" spans="1:19" x14ac:dyDescent="0.3">
      <c r="A500" s="22" t="s">
        <v>1667</v>
      </c>
      <c r="B500" t="str">
        <f t="shared" si="70"/>
        <v>Bhavana Singh</v>
      </c>
      <c r="C500" t="str">
        <f t="shared" si="71"/>
        <v>Engineering</v>
      </c>
      <c r="D500" t="str">
        <f t="shared" si="72"/>
        <v>Gaurav Fernandes</v>
      </c>
      <c r="E500" s="30" t="str">
        <f t="shared" si="73"/>
        <v>Active</v>
      </c>
      <c r="F500" s="22" t="s">
        <v>1700</v>
      </c>
      <c r="G500" s="24">
        <v>3.3</v>
      </c>
      <c r="H500" s="24">
        <v>3.2</v>
      </c>
      <c r="I500" s="24">
        <v>3.5</v>
      </c>
      <c r="J500" s="24">
        <v>3.6</v>
      </c>
      <c r="K500" s="24">
        <v>3.5</v>
      </c>
      <c r="L500" s="24">
        <v>4</v>
      </c>
      <c r="M500" s="25">
        <f t="shared" si="74"/>
        <v>3.52</v>
      </c>
      <c r="N500" s="22">
        <v>9</v>
      </c>
      <c r="O500" s="22" t="str">
        <f t="shared" si="75"/>
        <v>Promoter</v>
      </c>
      <c r="P500" s="30">
        <f t="shared" si="76"/>
        <v>2</v>
      </c>
      <c r="Q500" s="35">
        <f t="shared" si="77"/>
        <v>1.41</v>
      </c>
      <c r="R500" s="22">
        <f t="shared" si="78"/>
        <v>0</v>
      </c>
      <c r="S500" s="22" t="str">
        <f t="shared" si="79"/>
        <v>Low</v>
      </c>
    </row>
    <row r="501" spans="1:19" x14ac:dyDescent="0.3">
      <c r="A501" s="22" t="s">
        <v>1670</v>
      </c>
      <c r="B501" t="str">
        <f t="shared" si="70"/>
        <v>Sowmya Patel</v>
      </c>
      <c r="C501" t="str">
        <f t="shared" si="71"/>
        <v>Legal &amp; Compliance</v>
      </c>
      <c r="D501" t="str">
        <f t="shared" si="72"/>
        <v>Ramya Khanna</v>
      </c>
      <c r="E501" s="30" t="str">
        <f t="shared" si="73"/>
        <v>Active</v>
      </c>
      <c r="F501" s="22" t="s">
        <v>1700</v>
      </c>
      <c r="G501" s="24">
        <v>3</v>
      </c>
      <c r="H501" s="24">
        <v>2.6</v>
      </c>
      <c r="I501" s="24">
        <v>3</v>
      </c>
      <c r="J501" s="24">
        <v>2.2999999999999998</v>
      </c>
      <c r="K501" s="24">
        <v>3</v>
      </c>
      <c r="L501" s="24">
        <v>2.7</v>
      </c>
      <c r="M501" s="25">
        <f t="shared" si="74"/>
        <v>2.77</v>
      </c>
      <c r="N501" s="22">
        <v>6</v>
      </c>
      <c r="O501" s="22" t="str">
        <f t="shared" si="75"/>
        <v>Detractor</v>
      </c>
      <c r="P501" s="30">
        <f t="shared" si="76"/>
        <v>2</v>
      </c>
      <c r="Q501" s="35">
        <f t="shared" si="77"/>
        <v>1.08</v>
      </c>
      <c r="R501" s="22">
        <f t="shared" si="78"/>
        <v>2</v>
      </c>
      <c r="S501" s="22" t="str">
        <f t="shared" si="79"/>
        <v>Medium</v>
      </c>
    </row>
  </sheetData>
  <autoFilter ref="A1:S501" xr:uid="{00000000-0009-0000-0000-000008000000}"/>
  <conditionalFormatting sqref="A2:S501">
    <cfRule type="expression" dxfId="6" priority="1">
      <formula>MOD(ROW(),2)=0</formula>
    </cfRule>
  </conditionalFormatting>
  <conditionalFormatting sqref="G2:M501">
    <cfRule type="colorScale" priority="4">
      <colorScale>
        <cfvo type="min"/>
        <cfvo type="percentile" val="50"/>
        <cfvo type="max"/>
        <color rgb="FFF8C9CF"/>
        <color rgb="FFFFFFFF"/>
        <color rgb="FFC8EBD9"/>
      </colorScale>
    </cfRule>
  </conditionalFormatting>
  <conditionalFormatting sqref="S2:S501">
    <cfRule type="cellIs" dxfId="5" priority="2" operator="equal">
      <formula>"High"</formula>
    </cfRule>
    <cfRule type="cellIs" dxfId="4" priority="3" operator="equal">
      <formula>"Medium"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3C7DC4"/>
  </sheetPr>
  <dimension ref="A1:Q6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20.6640625" customWidth="1"/>
    <col min="3" max="3" width="18.6640625" customWidth="1"/>
    <col min="4" max="4" width="26.6640625" customWidth="1"/>
    <col min="5" max="5" width="7.6640625" customWidth="1"/>
    <col min="6" max="6" width="20.6640625" customWidth="1"/>
    <col min="7" max="7" width="13.6640625" customWidth="1"/>
    <col min="8" max="8" width="12.6640625" customWidth="1"/>
    <col min="9" max="9" width="10.6640625" customWidth="1"/>
    <col min="10" max="10" width="11.6640625" customWidth="1"/>
    <col min="11" max="11" width="20.6640625" customWidth="1"/>
    <col min="12" max="12" width="10.6640625" customWidth="1"/>
    <col min="13" max="14" width="9.6640625" customWidth="1"/>
    <col min="15" max="15" width="11.6640625" customWidth="1"/>
    <col min="16" max="16" width="9.6640625" customWidth="1"/>
    <col min="17" max="17" width="8.6640625" customWidth="1"/>
  </cols>
  <sheetData>
    <row r="1" spans="1:17" ht="31.95" customHeight="1" x14ac:dyDescent="0.3">
      <c r="A1" s="6" t="s">
        <v>74</v>
      </c>
      <c r="B1" s="27" t="s">
        <v>75</v>
      </c>
      <c r="C1" s="27" t="s">
        <v>80</v>
      </c>
      <c r="D1" s="27" t="s">
        <v>78</v>
      </c>
      <c r="E1" s="27" t="s">
        <v>17</v>
      </c>
      <c r="F1" s="27" t="s">
        <v>31</v>
      </c>
      <c r="G1" s="27" t="s">
        <v>84</v>
      </c>
      <c r="H1" s="6" t="s">
        <v>87</v>
      </c>
      <c r="I1" s="27" t="s">
        <v>1744</v>
      </c>
      <c r="J1" s="6" t="s">
        <v>1745</v>
      </c>
      <c r="K1" s="6" t="s">
        <v>1746</v>
      </c>
      <c r="L1" s="6" t="s">
        <v>1747</v>
      </c>
      <c r="M1" s="6" t="s">
        <v>1748</v>
      </c>
      <c r="N1" s="6" t="s">
        <v>1749</v>
      </c>
      <c r="O1" s="6" t="s">
        <v>1750</v>
      </c>
      <c r="P1" s="27" t="s">
        <v>1751</v>
      </c>
      <c r="Q1" s="27" t="s">
        <v>1752</v>
      </c>
    </row>
    <row r="2" spans="1:17" x14ac:dyDescent="0.3">
      <c r="A2" s="22" t="s">
        <v>672</v>
      </c>
      <c r="B2" t="str">
        <f t="shared" ref="B2:B33" si="0">INDEX(M_Name,MATCH($A2,M_ID,0))</f>
        <v>Bhavana Varghese</v>
      </c>
      <c r="C2" t="str">
        <f t="shared" ref="C2:C33" si="1">INDEX(M_Dept,MATCH($A2,M_ID,0))</f>
        <v>Customer Support</v>
      </c>
      <c r="D2" t="str">
        <f t="shared" ref="D2:D33" si="2">INDEX(M_Title,MATCH($A2,M_ID,0))</f>
        <v>Support Team Lead</v>
      </c>
      <c r="E2" s="30" t="str">
        <f t="shared" ref="E2:E33" si="3">INDEX(M_Level,MATCH($A2,M_ID,0))</f>
        <v>L4</v>
      </c>
      <c r="F2" t="str">
        <f t="shared" ref="F2:F33" si="4">INDEX(M_Mgr,MATCH($A2,M_ID,0))</f>
        <v>Isha Verma</v>
      </c>
      <c r="G2" s="36">
        <f t="shared" ref="G2:G33" si="5">INDEX(M_DOJ,MATCH($A2,M_ID,0))</f>
        <v>45049</v>
      </c>
      <c r="H2" s="28">
        <v>45949</v>
      </c>
      <c r="I2" s="24">
        <f t="shared" ref="I2:I33" si="6">ROUND((H2-G2)/365.25,1)</f>
        <v>2.5</v>
      </c>
      <c r="J2" s="22" t="s">
        <v>1753</v>
      </c>
      <c r="K2" t="s">
        <v>1754</v>
      </c>
      <c r="L2" s="22" t="s">
        <v>1701</v>
      </c>
      <c r="M2" s="22">
        <v>90</v>
      </c>
      <c r="N2" s="22" t="s">
        <v>1700</v>
      </c>
      <c r="O2" s="22" t="s">
        <v>1687</v>
      </c>
      <c r="P2" s="22" t="str">
        <f t="shared" ref="P2:P33" si="7">TEXT(H2,"mmm-yy")</f>
        <v>Oct-25</v>
      </c>
      <c r="Q2" s="30">
        <f t="shared" ref="Q2:Q33" si="8">INDEX(P_Rating,MATCH($A2,M_ID,0))</f>
        <v>3</v>
      </c>
    </row>
    <row r="3" spans="1:17" x14ac:dyDescent="0.3">
      <c r="A3" s="22" t="s">
        <v>1281</v>
      </c>
      <c r="B3" t="str">
        <f t="shared" si="0"/>
        <v>Rashmi Mishra</v>
      </c>
      <c r="C3" t="str">
        <f t="shared" si="1"/>
        <v>Engineering</v>
      </c>
      <c r="D3" t="str">
        <f t="shared" si="2"/>
        <v>Associate Software Engineer</v>
      </c>
      <c r="E3" s="30" t="str">
        <f t="shared" si="3"/>
        <v>L1</v>
      </c>
      <c r="F3" t="str">
        <f t="shared" si="4"/>
        <v>Fatima Choudhary</v>
      </c>
      <c r="G3" s="36">
        <f t="shared" si="5"/>
        <v>45859</v>
      </c>
      <c r="H3" s="28">
        <v>45952</v>
      </c>
      <c r="I3" s="24">
        <f t="shared" si="6"/>
        <v>0.3</v>
      </c>
      <c r="J3" s="22" t="s">
        <v>1753</v>
      </c>
      <c r="K3" t="s">
        <v>1755</v>
      </c>
      <c r="L3" s="22" t="s">
        <v>1700</v>
      </c>
      <c r="M3" s="22">
        <v>45</v>
      </c>
      <c r="N3" s="22" t="s">
        <v>1700</v>
      </c>
      <c r="O3" s="22" t="s">
        <v>1687</v>
      </c>
      <c r="P3" s="22" t="str">
        <f t="shared" si="7"/>
        <v>Oct-25</v>
      </c>
      <c r="Q3" s="30">
        <f t="shared" si="8"/>
        <v>4</v>
      </c>
    </row>
    <row r="4" spans="1:17" x14ac:dyDescent="0.3">
      <c r="A4" s="22" t="s">
        <v>1210</v>
      </c>
      <c r="B4" t="str">
        <f t="shared" si="0"/>
        <v>Gayatri Naidu</v>
      </c>
      <c r="C4" t="str">
        <f t="shared" si="1"/>
        <v>Customer Support</v>
      </c>
      <c r="D4" t="str">
        <f t="shared" si="2"/>
        <v>Support Team Lead</v>
      </c>
      <c r="E4" s="30" t="str">
        <f t="shared" si="3"/>
        <v>L4</v>
      </c>
      <c r="F4" t="str">
        <f t="shared" si="4"/>
        <v>Ashish Varghese</v>
      </c>
      <c r="G4" s="36">
        <f t="shared" si="5"/>
        <v>45763</v>
      </c>
      <c r="H4" s="28">
        <v>45953</v>
      </c>
      <c r="I4" s="24">
        <f t="shared" si="6"/>
        <v>0.5</v>
      </c>
      <c r="J4" s="22" t="s">
        <v>1753</v>
      </c>
      <c r="K4" t="s">
        <v>1734</v>
      </c>
      <c r="L4" s="22" t="s">
        <v>1701</v>
      </c>
      <c r="M4" s="22">
        <v>90</v>
      </c>
      <c r="N4" s="22" t="s">
        <v>1700</v>
      </c>
      <c r="O4" s="22" t="s">
        <v>1687</v>
      </c>
      <c r="P4" s="22" t="str">
        <f t="shared" si="7"/>
        <v>Oct-25</v>
      </c>
      <c r="Q4" s="30">
        <f t="shared" si="8"/>
        <v>4</v>
      </c>
    </row>
    <row r="5" spans="1:17" x14ac:dyDescent="0.3">
      <c r="A5" s="22" t="s">
        <v>1035</v>
      </c>
      <c r="B5" t="str">
        <f t="shared" si="0"/>
        <v>Isha Khanna</v>
      </c>
      <c r="C5" t="str">
        <f t="shared" si="1"/>
        <v>Product</v>
      </c>
      <c r="D5" t="str">
        <f t="shared" si="2"/>
        <v>Product Analyst</v>
      </c>
      <c r="E5" s="30" t="str">
        <f t="shared" si="3"/>
        <v>L2</v>
      </c>
      <c r="F5" t="str">
        <f t="shared" si="4"/>
        <v>Sachin Shetty</v>
      </c>
      <c r="G5" s="36">
        <f t="shared" si="5"/>
        <v>45554</v>
      </c>
      <c r="H5" s="28">
        <v>45954</v>
      </c>
      <c r="I5" s="24">
        <f t="shared" si="6"/>
        <v>1.1000000000000001</v>
      </c>
      <c r="J5" s="22" t="s">
        <v>1756</v>
      </c>
      <c r="K5" t="s">
        <v>1757</v>
      </c>
      <c r="L5" s="22" t="s">
        <v>1701</v>
      </c>
      <c r="M5" s="22">
        <v>0</v>
      </c>
      <c r="N5" s="22" t="s">
        <v>1701</v>
      </c>
      <c r="O5" s="22" t="s">
        <v>1687</v>
      </c>
      <c r="P5" s="22" t="str">
        <f t="shared" si="7"/>
        <v>Oct-25</v>
      </c>
      <c r="Q5" s="30">
        <f t="shared" si="8"/>
        <v>3</v>
      </c>
    </row>
    <row r="6" spans="1:17" x14ac:dyDescent="0.3">
      <c r="A6" s="22" t="s">
        <v>1038</v>
      </c>
      <c r="B6" t="str">
        <f t="shared" si="0"/>
        <v>Kunal Fernandes</v>
      </c>
      <c r="C6" t="str">
        <f t="shared" si="1"/>
        <v>Customer Support</v>
      </c>
      <c r="D6" t="str">
        <f t="shared" si="2"/>
        <v>Support Team Lead</v>
      </c>
      <c r="E6" s="30" t="str">
        <f t="shared" si="3"/>
        <v>L4</v>
      </c>
      <c r="F6" t="str">
        <f t="shared" si="4"/>
        <v>Imran Joshi</v>
      </c>
      <c r="G6" s="36">
        <f t="shared" si="5"/>
        <v>45567</v>
      </c>
      <c r="H6" s="28">
        <v>45977</v>
      </c>
      <c r="I6" s="24">
        <f t="shared" si="6"/>
        <v>1.1000000000000001</v>
      </c>
      <c r="J6" s="22" t="s">
        <v>1753</v>
      </c>
      <c r="K6" t="s">
        <v>1754</v>
      </c>
      <c r="L6" s="22" t="s">
        <v>1701</v>
      </c>
      <c r="M6" s="22">
        <v>45</v>
      </c>
      <c r="N6" s="22" t="s">
        <v>1700</v>
      </c>
      <c r="O6" s="22" t="s">
        <v>1687</v>
      </c>
      <c r="P6" s="22" t="str">
        <f t="shared" si="7"/>
        <v>Nov-25</v>
      </c>
      <c r="Q6" s="30">
        <f t="shared" si="8"/>
        <v>3</v>
      </c>
    </row>
    <row r="7" spans="1:17" x14ac:dyDescent="0.3">
      <c r="A7" s="22" t="s">
        <v>926</v>
      </c>
      <c r="B7" t="str">
        <f t="shared" si="0"/>
        <v>Rajesh Raghavan</v>
      </c>
      <c r="C7" t="str">
        <f t="shared" si="1"/>
        <v>Legal &amp; Compliance</v>
      </c>
      <c r="D7" t="str">
        <f t="shared" si="2"/>
        <v>Legal Counsel</v>
      </c>
      <c r="E7" s="30" t="str">
        <f t="shared" si="3"/>
        <v>L3</v>
      </c>
      <c r="F7" t="str">
        <f t="shared" si="4"/>
        <v>Ramya Khanna</v>
      </c>
      <c r="G7" s="36">
        <f t="shared" si="5"/>
        <v>45423</v>
      </c>
      <c r="H7" s="28">
        <v>45985</v>
      </c>
      <c r="I7" s="24">
        <f t="shared" si="6"/>
        <v>1.5</v>
      </c>
      <c r="J7" s="22" t="s">
        <v>1753</v>
      </c>
      <c r="K7" t="s">
        <v>1758</v>
      </c>
      <c r="L7" s="22" t="s">
        <v>1701</v>
      </c>
      <c r="M7" s="22">
        <v>60</v>
      </c>
      <c r="N7" s="22" t="s">
        <v>1700</v>
      </c>
      <c r="O7" s="22" t="s">
        <v>1687</v>
      </c>
      <c r="P7" s="22" t="str">
        <f t="shared" si="7"/>
        <v>Nov-25</v>
      </c>
      <c r="Q7" s="30">
        <f t="shared" si="8"/>
        <v>3</v>
      </c>
    </row>
    <row r="8" spans="1:17" x14ac:dyDescent="0.3">
      <c r="A8" s="22" t="s">
        <v>1072</v>
      </c>
      <c r="B8" t="str">
        <f t="shared" si="0"/>
        <v>Sindhu Gowda</v>
      </c>
      <c r="C8" t="str">
        <f t="shared" si="1"/>
        <v>Customer Support</v>
      </c>
      <c r="D8" t="str">
        <f t="shared" si="2"/>
        <v>Support Executive</v>
      </c>
      <c r="E8" s="30" t="str">
        <f t="shared" si="3"/>
        <v>L2</v>
      </c>
      <c r="F8" t="str">
        <f t="shared" si="4"/>
        <v>Ashish Varghese</v>
      </c>
      <c r="G8" s="36">
        <f t="shared" si="5"/>
        <v>45613</v>
      </c>
      <c r="H8" s="28">
        <v>45986</v>
      </c>
      <c r="I8" s="24">
        <f t="shared" si="6"/>
        <v>1</v>
      </c>
      <c r="J8" s="22" t="s">
        <v>1756</v>
      </c>
      <c r="K8" t="s">
        <v>1757</v>
      </c>
      <c r="L8" s="22" t="s">
        <v>1701</v>
      </c>
      <c r="M8" s="22">
        <v>0</v>
      </c>
      <c r="N8" s="22" t="s">
        <v>1701</v>
      </c>
      <c r="O8" s="22" t="s">
        <v>1687</v>
      </c>
      <c r="P8" s="22" t="str">
        <f t="shared" si="7"/>
        <v>Nov-25</v>
      </c>
      <c r="Q8" s="30">
        <f t="shared" si="8"/>
        <v>3</v>
      </c>
    </row>
    <row r="9" spans="1:17" x14ac:dyDescent="0.3">
      <c r="A9" s="22" t="s">
        <v>1075</v>
      </c>
      <c r="B9" t="str">
        <f t="shared" si="0"/>
        <v>Farhan Shetty</v>
      </c>
      <c r="C9" t="str">
        <f t="shared" si="1"/>
        <v>Engineering</v>
      </c>
      <c r="D9" t="str">
        <f t="shared" si="2"/>
        <v>Software Engineer</v>
      </c>
      <c r="E9" s="30" t="str">
        <f t="shared" si="3"/>
        <v>L2</v>
      </c>
      <c r="F9" t="str">
        <f t="shared" si="4"/>
        <v>Vikas Singh</v>
      </c>
      <c r="G9" s="36">
        <f t="shared" si="5"/>
        <v>45614</v>
      </c>
      <c r="H9" s="28">
        <v>46002</v>
      </c>
      <c r="I9" s="24">
        <f t="shared" si="6"/>
        <v>1.1000000000000001</v>
      </c>
      <c r="J9" s="22" t="s">
        <v>1753</v>
      </c>
      <c r="K9" t="s">
        <v>1755</v>
      </c>
      <c r="L9" s="22" t="s">
        <v>1701</v>
      </c>
      <c r="M9" s="22">
        <v>30</v>
      </c>
      <c r="N9" s="22" t="s">
        <v>1700</v>
      </c>
      <c r="O9" s="22" t="s">
        <v>1688</v>
      </c>
      <c r="P9" s="22" t="str">
        <f t="shared" si="7"/>
        <v>Dec-25</v>
      </c>
      <c r="Q9" s="30">
        <f t="shared" si="8"/>
        <v>3</v>
      </c>
    </row>
    <row r="10" spans="1:17" x14ac:dyDescent="0.3">
      <c r="A10" s="22" t="s">
        <v>245</v>
      </c>
      <c r="B10" t="str">
        <f t="shared" si="0"/>
        <v>Gayatri Krishnan</v>
      </c>
      <c r="C10" t="str">
        <f t="shared" si="1"/>
        <v>Operations</v>
      </c>
      <c r="D10" t="str">
        <f t="shared" si="2"/>
        <v>Operations Lead</v>
      </c>
      <c r="E10" s="30" t="str">
        <f t="shared" si="3"/>
        <v>L4</v>
      </c>
      <c r="F10" t="str">
        <f t="shared" si="4"/>
        <v>Ajay Kumar</v>
      </c>
      <c r="G10" s="36">
        <f t="shared" si="5"/>
        <v>44137</v>
      </c>
      <c r="H10" s="28">
        <v>46002</v>
      </c>
      <c r="I10" s="24">
        <f t="shared" si="6"/>
        <v>5.0999999999999996</v>
      </c>
      <c r="J10" s="22" t="s">
        <v>1753</v>
      </c>
      <c r="K10" t="s">
        <v>1755</v>
      </c>
      <c r="L10" s="22" t="s">
        <v>1700</v>
      </c>
      <c r="M10" s="22">
        <v>60</v>
      </c>
      <c r="N10" s="22" t="s">
        <v>1700</v>
      </c>
      <c r="O10" s="22" t="s">
        <v>1687</v>
      </c>
      <c r="P10" s="22" t="str">
        <f t="shared" si="7"/>
        <v>Dec-25</v>
      </c>
      <c r="Q10" s="30">
        <f t="shared" si="8"/>
        <v>3</v>
      </c>
    </row>
    <row r="11" spans="1:17" x14ac:dyDescent="0.3">
      <c r="A11" s="22" t="s">
        <v>1066</v>
      </c>
      <c r="B11" t="str">
        <f t="shared" si="0"/>
        <v>Ajay Jain</v>
      </c>
      <c r="C11" t="str">
        <f t="shared" si="1"/>
        <v>Customer Support</v>
      </c>
      <c r="D11" t="str">
        <f t="shared" si="2"/>
        <v>Support Executive</v>
      </c>
      <c r="E11" s="30" t="str">
        <f t="shared" si="3"/>
        <v>L2</v>
      </c>
      <c r="F11" t="str">
        <f t="shared" si="4"/>
        <v>Anand Naidu</v>
      </c>
      <c r="G11" s="36">
        <f t="shared" si="5"/>
        <v>45612</v>
      </c>
      <c r="H11" s="28">
        <v>46021</v>
      </c>
      <c r="I11" s="24">
        <f t="shared" si="6"/>
        <v>1.1000000000000001</v>
      </c>
      <c r="J11" s="22" t="s">
        <v>1753</v>
      </c>
      <c r="K11" t="s">
        <v>1759</v>
      </c>
      <c r="L11" s="22" t="s">
        <v>1700</v>
      </c>
      <c r="M11" s="22">
        <v>30</v>
      </c>
      <c r="N11" s="22" t="s">
        <v>1700</v>
      </c>
      <c r="O11" s="22" t="s">
        <v>1687</v>
      </c>
      <c r="P11" s="22" t="str">
        <f t="shared" si="7"/>
        <v>Dec-25</v>
      </c>
      <c r="Q11" s="30">
        <f t="shared" si="8"/>
        <v>1</v>
      </c>
    </row>
    <row r="12" spans="1:17" x14ac:dyDescent="0.3">
      <c r="A12" s="22" t="s">
        <v>332</v>
      </c>
      <c r="B12" t="str">
        <f t="shared" si="0"/>
        <v>Siddharth Mehta</v>
      </c>
      <c r="C12" t="str">
        <f t="shared" si="1"/>
        <v>Engineering</v>
      </c>
      <c r="D12" t="str">
        <f t="shared" si="2"/>
        <v>Senior Software Engineer</v>
      </c>
      <c r="E12" s="30" t="str">
        <f t="shared" si="3"/>
        <v>L3</v>
      </c>
      <c r="F12" t="str">
        <f t="shared" si="4"/>
        <v>Vikas Singh</v>
      </c>
      <c r="G12" s="36">
        <f t="shared" si="5"/>
        <v>44337</v>
      </c>
      <c r="H12" s="28">
        <v>46023</v>
      </c>
      <c r="I12" s="24">
        <f t="shared" si="6"/>
        <v>4.5999999999999996</v>
      </c>
      <c r="J12" s="22" t="s">
        <v>1753</v>
      </c>
      <c r="K12" t="s">
        <v>1734</v>
      </c>
      <c r="L12" s="22" t="s">
        <v>1701</v>
      </c>
      <c r="M12" s="22">
        <v>30</v>
      </c>
      <c r="N12" s="22" t="s">
        <v>1701</v>
      </c>
      <c r="O12" s="22" t="s">
        <v>1687</v>
      </c>
      <c r="P12" s="22" t="str">
        <f t="shared" si="7"/>
        <v>Jan-26</v>
      </c>
      <c r="Q12" s="30">
        <f t="shared" si="8"/>
        <v>3</v>
      </c>
    </row>
    <row r="13" spans="1:17" x14ac:dyDescent="0.3">
      <c r="A13" s="22" t="s">
        <v>827</v>
      </c>
      <c r="B13" t="str">
        <f t="shared" si="0"/>
        <v>Tarun Das</v>
      </c>
      <c r="C13" t="str">
        <f t="shared" si="1"/>
        <v>Customer Support</v>
      </c>
      <c r="D13" t="str">
        <f t="shared" si="2"/>
        <v>Support Executive</v>
      </c>
      <c r="E13" s="30" t="str">
        <f t="shared" si="3"/>
        <v>L2</v>
      </c>
      <c r="F13" t="str">
        <f t="shared" si="4"/>
        <v>Imran Joshi</v>
      </c>
      <c r="G13" s="36">
        <f t="shared" si="5"/>
        <v>45295</v>
      </c>
      <c r="H13" s="28">
        <v>46030</v>
      </c>
      <c r="I13" s="24">
        <f t="shared" si="6"/>
        <v>2</v>
      </c>
      <c r="J13" s="22" t="s">
        <v>1753</v>
      </c>
      <c r="K13" t="s">
        <v>1734</v>
      </c>
      <c r="L13" s="22" t="s">
        <v>1701</v>
      </c>
      <c r="M13" s="22">
        <v>60</v>
      </c>
      <c r="N13" s="22" t="s">
        <v>1700</v>
      </c>
      <c r="O13" s="22" t="s">
        <v>1687</v>
      </c>
      <c r="P13" s="22" t="str">
        <f t="shared" si="7"/>
        <v>Jan-26</v>
      </c>
      <c r="Q13" s="30">
        <f t="shared" si="8"/>
        <v>5</v>
      </c>
    </row>
    <row r="14" spans="1:17" x14ac:dyDescent="0.3">
      <c r="A14" s="22" t="s">
        <v>557</v>
      </c>
      <c r="B14" t="str">
        <f t="shared" si="0"/>
        <v>Divya Kulkarni</v>
      </c>
      <c r="C14" t="str">
        <f t="shared" si="1"/>
        <v>Customer Support</v>
      </c>
      <c r="D14" t="str">
        <f t="shared" si="2"/>
        <v>Support Executive</v>
      </c>
      <c r="E14" s="30" t="str">
        <f t="shared" si="3"/>
        <v>L2</v>
      </c>
      <c r="F14" t="str">
        <f t="shared" si="4"/>
        <v>Isha Verma</v>
      </c>
      <c r="G14" s="36">
        <f t="shared" si="5"/>
        <v>44873</v>
      </c>
      <c r="H14" s="28">
        <v>46035</v>
      </c>
      <c r="I14" s="24">
        <f t="shared" si="6"/>
        <v>3.2</v>
      </c>
      <c r="J14" s="22" t="s">
        <v>1753</v>
      </c>
      <c r="K14" t="s">
        <v>1758</v>
      </c>
      <c r="L14" s="22" t="s">
        <v>1700</v>
      </c>
      <c r="M14" s="22">
        <v>60</v>
      </c>
      <c r="N14" s="22" t="s">
        <v>1700</v>
      </c>
      <c r="O14" s="22" t="s">
        <v>1687</v>
      </c>
      <c r="P14" s="22" t="str">
        <f t="shared" si="7"/>
        <v>Jan-26</v>
      </c>
      <c r="Q14" s="30">
        <f t="shared" si="8"/>
        <v>3</v>
      </c>
    </row>
    <row r="15" spans="1:17" x14ac:dyDescent="0.3">
      <c r="A15" s="22" t="s">
        <v>895</v>
      </c>
      <c r="B15" t="str">
        <f t="shared" si="0"/>
        <v>Arun Gupta</v>
      </c>
      <c r="C15" t="str">
        <f t="shared" si="1"/>
        <v>Marketing</v>
      </c>
      <c r="D15" t="str">
        <f t="shared" si="2"/>
        <v>Marketing Associate</v>
      </c>
      <c r="E15" s="30" t="str">
        <f t="shared" si="3"/>
        <v>L1</v>
      </c>
      <c r="F15" t="str">
        <f t="shared" si="4"/>
        <v>Nandini Iyer</v>
      </c>
      <c r="G15" s="36">
        <f t="shared" si="5"/>
        <v>45395</v>
      </c>
      <c r="H15" s="28">
        <v>46048</v>
      </c>
      <c r="I15" s="24">
        <f t="shared" si="6"/>
        <v>1.8</v>
      </c>
      <c r="J15" s="22" t="s">
        <v>1753</v>
      </c>
      <c r="K15" t="s">
        <v>1758</v>
      </c>
      <c r="L15" s="22" t="s">
        <v>1700</v>
      </c>
      <c r="M15" s="22">
        <v>45</v>
      </c>
      <c r="N15" s="22" t="s">
        <v>1700</v>
      </c>
      <c r="O15" s="22" t="s">
        <v>1688</v>
      </c>
      <c r="P15" s="22" t="str">
        <f t="shared" si="7"/>
        <v>Jan-26</v>
      </c>
      <c r="Q15" s="30">
        <f t="shared" si="8"/>
        <v>3</v>
      </c>
    </row>
    <row r="16" spans="1:17" x14ac:dyDescent="0.3">
      <c r="A16" s="22" t="s">
        <v>551</v>
      </c>
      <c r="B16" t="str">
        <f t="shared" si="0"/>
        <v>Ayesha Reddy</v>
      </c>
      <c r="C16" t="str">
        <f t="shared" si="1"/>
        <v>Data &amp; Analytics</v>
      </c>
      <c r="D16" t="str">
        <f t="shared" si="2"/>
        <v>Senior Data Analyst</v>
      </c>
      <c r="E16" s="30" t="str">
        <f t="shared" si="3"/>
        <v>L3</v>
      </c>
      <c r="F16" t="str">
        <f t="shared" si="4"/>
        <v>Arun Mukherjee</v>
      </c>
      <c r="G16" s="36">
        <f t="shared" si="5"/>
        <v>44850</v>
      </c>
      <c r="H16" s="28">
        <v>46050</v>
      </c>
      <c r="I16" s="24">
        <f t="shared" si="6"/>
        <v>3.3</v>
      </c>
      <c r="J16" s="22" t="s">
        <v>1753</v>
      </c>
      <c r="K16" t="s">
        <v>1755</v>
      </c>
      <c r="L16" s="22" t="s">
        <v>1701</v>
      </c>
      <c r="M16" s="22">
        <v>90</v>
      </c>
      <c r="N16" s="22" t="s">
        <v>1700</v>
      </c>
      <c r="O16" s="22" t="s">
        <v>1687</v>
      </c>
      <c r="P16" s="22" t="str">
        <f t="shared" si="7"/>
        <v>Jan-26</v>
      </c>
      <c r="Q16" s="30">
        <f t="shared" si="8"/>
        <v>4</v>
      </c>
    </row>
    <row r="17" spans="1:17" x14ac:dyDescent="0.3">
      <c r="A17" s="22" t="s">
        <v>394</v>
      </c>
      <c r="B17" t="str">
        <f t="shared" si="0"/>
        <v>Naveen Mehta</v>
      </c>
      <c r="C17" t="str">
        <f t="shared" si="1"/>
        <v>Data &amp; Analytics</v>
      </c>
      <c r="D17" t="str">
        <f t="shared" si="2"/>
        <v>Senior Data Analyst</v>
      </c>
      <c r="E17" s="30" t="str">
        <f t="shared" si="3"/>
        <v>L3</v>
      </c>
      <c r="F17" t="str">
        <f t="shared" si="4"/>
        <v>Arun Mukherjee</v>
      </c>
      <c r="G17" s="36">
        <f t="shared" si="5"/>
        <v>44468</v>
      </c>
      <c r="H17" s="28">
        <v>46059</v>
      </c>
      <c r="I17" s="24">
        <f t="shared" si="6"/>
        <v>4.4000000000000004</v>
      </c>
      <c r="J17" s="22" t="s">
        <v>1753</v>
      </c>
      <c r="K17" t="s">
        <v>1754</v>
      </c>
      <c r="L17" s="22" t="s">
        <v>1700</v>
      </c>
      <c r="M17" s="22">
        <v>60</v>
      </c>
      <c r="N17" s="22" t="s">
        <v>1700</v>
      </c>
      <c r="O17" s="22" t="s">
        <v>1687</v>
      </c>
      <c r="P17" s="22" t="str">
        <f t="shared" si="7"/>
        <v>Feb-26</v>
      </c>
      <c r="Q17" s="30">
        <f t="shared" si="8"/>
        <v>3</v>
      </c>
    </row>
    <row r="18" spans="1:17" x14ac:dyDescent="0.3">
      <c r="A18" s="22" t="s">
        <v>233</v>
      </c>
      <c r="B18" t="str">
        <f t="shared" si="0"/>
        <v>Revathi Rao</v>
      </c>
      <c r="C18" t="str">
        <f t="shared" si="1"/>
        <v>Sales</v>
      </c>
      <c r="D18" t="str">
        <f t="shared" si="2"/>
        <v>Senior Sales Executive</v>
      </c>
      <c r="E18" s="30" t="str">
        <f t="shared" si="3"/>
        <v>L3</v>
      </c>
      <c r="F18" t="str">
        <f t="shared" si="4"/>
        <v>Yash Raghavan</v>
      </c>
      <c r="G18" s="36">
        <f t="shared" si="5"/>
        <v>44131</v>
      </c>
      <c r="H18" s="28">
        <v>46060</v>
      </c>
      <c r="I18" s="24">
        <f t="shared" si="6"/>
        <v>5.3</v>
      </c>
      <c r="J18" s="22" t="s">
        <v>1753</v>
      </c>
      <c r="K18" t="s">
        <v>1755</v>
      </c>
      <c r="L18" s="22" t="s">
        <v>1701</v>
      </c>
      <c r="M18" s="22">
        <v>30</v>
      </c>
      <c r="N18" s="22" t="s">
        <v>1701</v>
      </c>
      <c r="O18" s="22" t="s">
        <v>1760</v>
      </c>
      <c r="P18" s="22" t="str">
        <f t="shared" si="7"/>
        <v>Feb-26</v>
      </c>
      <c r="Q18" s="30">
        <f t="shared" si="8"/>
        <v>3</v>
      </c>
    </row>
    <row r="19" spans="1:17" x14ac:dyDescent="0.3">
      <c r="A19" s="22" t="s">
        <v>357</v>
      </c>
      <c r="B19" t="str">
        <f t="shared" si="0"/>
        <v>Fatima Kulkarni</v>
      </c>
      <c r="C19" t="str">
        <f t="shared" si="1"/>
        <v>Engineering</v>
      </c>
      <c r="D19" t="str">
        <f t="shared" si="2"/>
        <v>Tech Lead</v>
      </c>
      <c r="E19" s="30" t="str">
        <f t="shared" si="3"/>
        <v>L4</v>
      </c>
      <c r="F19" t="str">
        <f t="shared" si="4"/>
        <v>Vikas Singh</v>
      </c>
      <c r="G19" s="36">
        <f t="shared" si="5"/>
        <v>44366</v>
      </c>
      <c r="H19" s="28">
        <v>46076</v>
      </c>
      <c r="I19" s="24">
        <f t="shared" si="6"/>
        <v>4.7</v>
      </c>
      <c r="J19" s="22" t="s">
        <v>1753</v>
      </c>
      <c r="K19" t="s">
        <v>1755</v>
      </c>
      <c r="L19" s="22" t="s">
        <v>1701</v>
      </c>
      <c r="M19" s="22">
        <v>90</v>
      </c>
      <c r="N19" s="22" t="s">
        <v>1701</v>
      </c>
      <c r="O19" s="22" t="s">
        <v>1687</v>
      </c>
      <c r="P19" s="22" t="str">
        <f t="shared" si="7"/>
        <v>Feb-26</v>
      </c>
      <c r="Q19" s="30">
        <f t="shared" si="8"/>
        <v>3</v>
      </c>
    </row>
    <row r="20" spans="1:17" x14ac:dyDescent="0.3">
      <c r="A20" s="22" t="s">
        <v>125</v>
      </c>
      <c r="B20" t="str">
        <f t="shared" si="0"/>
        <v>Imran Tiwari</v>
      </c>
      <c r="C20" t="str">
        <f t="shared" si="1"/>
        <v>Marketing</v>
      </c>
      <c r="D20" t="str">
        <f t="shared" si="2"/>
        <v>Marketing Lead</v>
      </c>
      <c r="E20" s="30" t="str">
        <f t="shared" si="3"/>
        <v>L4</v>
      </c>
      <c r="F20" t="str">
        <f t="shared" si="4"/>
        <v>Nandini Iyer</v>
      </c>
      <c r="G20" s="36">
        <f t="shared" si="5"/>
        <v>43750</v>
      </c>
      <c r="H20" s="28">
        <v>46100</v>
      </c>
      <c r="I20" s="24">
        <f t="shared" si="6"/>
        <v>6.4</v>
      </c>
      <c r="J20" s="22" t="s">
        <v>1756</v>
      </c>
      <c r="K20" t="s">
        <v>1761</v>
      </c>
      <c r="L20" s="22" t="s">
        <v>1701</v>
      </c>
      <c r="M20" s="22">
        <v>0</v>
      </c>
      <c r="N20" s="22" t="s">
        <v>1701</v>
      </c>
      <c r="O20" s="22" t="s">
        <v>1687</v>
      </c>
      <c r="P20" s="22" t="str">
        <f t="shared" si="7"/>
        <v>Mar-26</v>
      </c>
      <c r="Q20" s="30">
        <f t="shared" si="8"/>
        <v>1</v>
      </c>
    </row>
    <row r="21" spans="1:17" x14ac:dyDescent="0.3">
      <c r="A21" s="22" t="s">
        <v>629</v>
      </c>
      <c r="B21" t="str">
        <f t="shared" si="0"/>
        <v>Tejaswini Dsouza</v>
      </c>
      <c r="C21" t="str">
        <f t="shared" si="1"/>
        <v>Sales</v>
      </c>
      <c r="D21" t="str">
        <f t="shared" si="2"/>
        <v>Sales Executive</v>
      </c>
      <c r="E21" s="30" t="str">
        <f t="shared" si="3"/>
        <v>L2</v>
      </c>
      <c r="F21" t="str">
        <f t="shared" si="4"/>
        <v>Srinivas Shah</v>
      </c>
      <c r="G21" s="36">
        <f t="shared" si="5"/>
        <v>44995</v>
      </c>
      <c r="H21" s="28">
        <v>46114</v>
      </c>
      <c r="I21" s="24">
        <f t="shared" si="6"/>
        <v>3.1</v>
      </c>
      <c r="J21" s="22" t="s">
        <v>1753</v>
      </c>
      <c r="K21" t="s">
        <v>1734</v>
      </c>
      <c r="L21" s="22" t="s">
        <v>1700</v>
      </c>
      <c r="M21" s="22">
        <v>30</v>
      </c>
      <c r="N21" s="22" t="s">
        <v>1701</v>
      </c>
      <c r="O21" s="22" t="s">
        <v>1688</v>
      </c>
      <c r="P21" s="22" t="str">
        <f t="shared" si="7"/>
        <v>Apr-26</v>
      </c>
      <c r="Q21" s="30">
        <f t="shared" si="8"/>
        <v>1</v>
      </c>
    </row>
    <row r="22" spans="1:17" x14ac:dyDescent="0.3">
      <c r="A22" s="22" t="s">
        <v>696</v>
      </c>
      <c r="B22" t="str">
        <f t="shared" si="0"/>
        <v>Sanjay Krishnan</v>
      </c>
      <c r="C22" t="str">
        <f t="shared" si="1"/>
        <v>Operations</v>
      </c>
      <c r="D22" t="str">
        <f t="shared" si="2"/>
        <v>Operations Executive</v>
      </c>
      <c r="E22" s="30" t="str">
        <f t="shared" si="3"/>
        <v>L2</v>
      </c>
      <c r="F22" t="str">
        <f t="shared" si="4"/>
        <v>Ramya Menon</v>
      </c>
      <c r="G22" s="36">
        <f t="shared" si="5"/>
        <v>45068</v>
      </c>
      <c r="H22" s="28">
        <v>46116</v>
      </c>
      <c r="I22" s="24">
        <f t="shared" si="6"/>
        <v>2.9</v>
      </c>
      <c r="J22" s="22" t="s">
        <v>1753</v>
      </c>
      <c r="K22" t="s">
        <v>1735</v>
      </c>
      <c r="L22" s="22" t="s">
        <v>1701</v>
      </c>
      <c r="M22" s="22">
        <v>90</v>
      </c>
      <c r="N22" s="22" t="s">
        <v>1701</v>
      </c>
      <c r="O22" s="22" t="s">
        <v>1687</v>
      </c>
      <c r="P22" s="22" t="str">
        <f t="shared" si="7"/>
        <v>Apr-26</v>
      </c>
      <c r="Q22" s="30">
        <f t="shared" si="8"/>
        <v>4</v>
      </c>
    </row>
    <row r="23" spans="1:17" x14ac:dyDescent="0.3">
      <c r="A23" s="22" t="s">
        <v>1216</v>
      </c>
      <c r="B23" t="str">
        <f t="shared" si="0"/>
        <v>Trisha Gowda</v>
      </c>
      <c r="C23" t="str">
        <f t="shared" si="1"/>
        <v>Operations</v>
      </c>
      <c r="D23" t="str">
        <f t="shared" si="2"/>
        <v>Senior Operations Executive</v>
      </c>
      <c r="E23" s="30" t="str">
        <f t="shared" si="3"/>
        <v>L3</v>
      </c>
      <c r="F23" t="str">
        <f t="shared" si="4"/>
        <v>Ramya Menon</v>
      </c>
      <c r="G23" s="36">
        <f t="shared" si="5"/>
        <v>45776</v>
      </c>
      <c r="H23" s="28">
        <v>46116</v>
      </c>
      <c r="I23" s="24">
        <f t="shared" si="6"/>
        <v>0.9</v>
      </c>
      <c r="J23" s="22" t="s">
        <v>1756</v>
      </c>
      <c r="K23" t="s">
        <v>1757</v>
      </c>
      <c r="L23" s="22" t="s">
        <v>1701</v>
      </c>
      <c r="M23" s="22">
        <v>30</v>
      </c>
      <c r="N23" s="22" t="s">
        <v>1701</v>
      </c>
      <c r="O23" s="22" t="s">
        <v>1687</v>
      </c>
      <c r="P23" s="22" t="str">
        <f t="shared" si="7"/>
        <v>Apr-26</v>
      </c>
      <c r="Q23" s="30">
        <f t="shared" si="8"/>
        <v>4</v>
      </c>
    </row>
    <row r="24" spans="1:17" x14ac:dyDescent="0.3">
      <c r="A24" s="22" t="s">
        <v>813</v>
      </c>
      <c r="B24" t="str">
        <f t="shared" si="0"/>
        <v>Tejaswini Nair</v>
      </c>
      <c r="C24" t="str">
        <f t="shared" si="1"/>
        <v>Finance</v>
      </c>
      <c r="D24" t="str">
        <f t="shared" si="2"/>
        <v>Senior Finance Executive</v>
      </c>
      <c r="E24" s="30" t="str">
        <f t="shared" si="3"/>
        <v>L3</v>
      </c>
      <c r="F24" t="str">
        <f t="shared" si="4"/>
        <v>Ravi Prabhu</v>
      </c>
      <c r="G24" s="36">
        <f t="shared" si="5"/>
        <v>45272</v>
      </c>
      <c r="H24" s="28">
        <v>46120</v>
      </c>
      <c r="I24" s="24">
        <f t="shared" si="6"/>
        <v>2.2999999999999998</v>
      </c>
      <c r="J24" s="22" t="s">
        <v>1753</v>
      </c>
      <c r="K24" t="s">
        <v>1758</v>
      </c>
      <c r="L24" s="22" t="s">
        <v>1700</v>
      </c>
      <c r="M24" s="22">
        <v>60</v>
      </c>
      <c r="N24" s="22" t="s">
        <v>1700</v>
      </c>
      <c r="O24" s="22" t="s">
        <v>1760</v>
      </c>
      <c r="P24" s="22" t="str">
        <f t="shared" si="7"/>
        <v>Apr-26</v>
      </c>
      <c r="Q24" s="30">
        <f t="shared" si="8"/>
        <v>5</v>
      </c>
    </row>
    <row r="25" spans="1:17" x14ac:dyDescent="0.3">
      <c r="A25" s="22" t="s">
        <v>154</v>
      </c>
      <c r="B25" t="str">
        <f t="shared" si="0"/>
        <v>Amit Kumar</v>
      </c>
      <c r="C25" t="str">
        <f t="shared" si="1"/>
        <v>Operations</v>
      </c>
      <c r="D25" t="str">
        <f t="shared" si="2"/>
        <v>Operations Manager</v>
      </c>
      <c r="E25" s="30" t="str">
        <f t="shared" si="3"/>
        <v>L5</v>
      </c>
      <c r="F25" t="str">
        <f t="shared" si="4"/>
        <v>Imran Mishra</v>
      </c>
      <c r="G25" s="36">
        <f t="shared" si="5"/>
        <v>44843</v>
      </c>
      <c r="H25" s="28">
        <v>46127</v>
      </c>
      <c r="I25" s="24">
        <f t="shared" si="6"/>
        <v>3.5</v>
      </c>
      <c r="J25" s="22" t="s">
        <v>1753</v>
      </c>
      <c r="K25" t="s">
        <v>1734</v>
      </c>
      <c r="L25" s="22" t="s">
        <v>1701</v>
      </c>
      <c r="M25" s="22">
        <v>60</v>
      </c>
      <c r="N25" s="22" t="s">
        <v>1700</v>
      </c>
      <c r="O25" s="22" t="s">
        <v>1687</v>
      </c>
      <c r="P25" s="22" t="str">
        <f t="shared" si="7"/>
        <v>Apr-26</v>
      </c>
      <c r="Q25" s="30">
        <f t="shared" si="8"/>
        <v>3</v>
      </c>
    </row>
    <row r="26" spans="1:17" x14ac:dyDescent="0.3">
      <c r="A26" s="22" t="s">
        <v>184</v>
      </c>
      <c r="B26" t="str">
        <f t="shared" si="0"/>
        <v>Isha Chatterjee</v>
      </c>
      <c r="C26" t="str">
        <f t="shared" si="1"/>
        <v>Marketing</v>
      </c>
      <c r="D26" t="str">
        <f t="shared" si="2"/>
        <v>Marketing Manager</v>
      </c>
      <c r="E26" s="30" t="str">
        <f t="shared" si="3"/>
        <v>L5</v>
      </c>
      <c r="F26" t="str">
        <f t="shared" si="4"/>
        <v>Aishwarya Mukherjee</v>
      </c>
      <c r="G26" s="36">
        <f t="shared" si="5"/>
        <v>44019</v>
      </c>
      <c r="H26" s="28">
        <v>46131</v>
      </c>
      <c r="I26" s="24">
        <f t="shared" si="6"/>
        <v>5.8</v>
      </c>
      <c r="J26" s="22" t="s">
        <v>1753</v>
      </c>
      <c r="K26" t="s">
        <v>1758</v>
      </c>
      <c r="L26" s="22" t="s">
        <v>1701</v>
      </c>
      <c r="M26" s="22">
        <v>60</v>
      </c>
      <c r="N26" s="22" t="s">
        <v>1700</v>
      </c>
      <c r="O26" s="22" t="s">
        <v>1687</v>
      </c>
      <c r="P26" s="22" t="str">
        <f t="shared" si="7"/>
        <v>Apr-26</v>
      </c>
      <c r="Q26" s="30">
        <f t="shared" si="8"/>
        <v>5</v>
      </c>
    </row>
    <row r="27" spans="1:17" x14ac:dyDescent="0.3">
      <c r="A27" s="22" t="s">
        <v>1200</v>
      </c>
      <c r="B27" t="str">
        <f t="shared" si="0"/>
        <v>Sai Kulkarni</v>
      </c>
      <c r="C27" t="str">
        <f t="shared" si="1"/>
        <v>Operations</v>
      </c>
      <c r="D27" t="str">
        <f t="shared" si="2"/>
        <v>Operations Associate</v>
      </c>
      <c r="E27" s="30" t="str">
        <f t="shared" si="3"/>
        <v>L1</v>
      </c>
      <c r="F27" t="str">
        <f t="shared" si="4"/>
        <v>Nandini Fernandes</v>
      </c>
      <c r="G27" s="36">
        <f t="shared" si="5"/>
        <v>45759</v>
      </c>
      <c r="H27" s="28">
        <v>46132</v>
      </c>
      <c r="I27" s="24">
        <f t="shared" si="6"/>
        <v>1</v>
      </c>
      <c r="J27" s="22" t="s">
        <v>1753</v>
      </c>
      <c r="K27" t="s">
        <v>1762</v>
      </c>
      <c r="L27" s="22" t="s">
        <v>1700</v>
      </c>
      <c r="M27" s="22">
        <v>60</v>
      </c>
      <c r="N27" s="22" t="s">
        <v>1700</v>
      </c>
      <c r="O27" s="22" t="s">
        <v>1760</v>
      </c>
      <c r="P27" s="22" t="str">
        <f t="shared" si="7"/>
        <v>Apr-26</v>
      </c>
      <c r="Q27" s="30">
        <f t="shared" si="8"/>
        <v>3</v>
      </c>
    </row>
    <row r="28" spans="1:17" x14ac:dyDescent="0.3">
      <c r="A28" s="22" t="s">
        <v>600</v>
      </c>
      <c r="B28" t="str">
        <f t="shared" si="0"/>
        <v>Aarav Choudhary</v>
      </c>
      <c r="C28" t="str">
        <f t="shared" si="1"/>
        <v>Data &amp; Analytics</v>
      </c>
      <c r="D28" t="str">
        <f t="shared" si="2"/>
        <v>Senior Data Analyst</v>
      </c>
      <c r="E28" s="30" t="str">
        <f t="shared" si="3"/>
        <v>L3</v>
      </c>
      <c r="F28" t="str">
        <f t="shared" si="4"/>
        <v>Karan Verma</v>
      </c>
      <c r="G28" s="36">
        <f t="shared" si="5"/>
        <v>44963</v>
      </c>
      <c r="H28" s="28">
        <v>46133</v>
      </c>
      <c r="I28" s="24">
        <f t="shared" si="6"/>
        <v>3.2</v>
      </c>
      <c r="J28" s="22" t="s">
        <v>1753</v>
      </c>
      <c r="K28" t="s">
        <v>1755</v>
      </c>
      <c r="L28" s="22" t="s">
        <v>1700</v>
      </c>
      <c r="M28" s="22">
        <v>45</v>
      </c>
      <c r="N28" s="22" t="s">
        <v>1700</v>
      </c>
      <c r="O28" s="22" t="s">
        <v>1687</v>
      </c>
      <c r="P28" s="22" t="str">
        <f t="shared" si="7"/>
        <v>Apr-26</v>
      </c>
      <c r="Q28" s="30">
        <f t="shared" si="8"/>
        <v>3</v>
      </c>
    </row>
    <row r="29" spans="1:17" x14ac:dyDescent="0.3">
      <c r="A29" s="22" t="s">
        <v>908</v>
      </c>
      <c r="B29" t="str">
        <f t="shared" si="0"/>
        <v>Sakshi Mukherjee</v>
      </c>
      <c r="C29" t="str">
        <f t="shared" si="1"/>
        <v>Engineering</v>
      </c>
      <c r="D29" t="str">
        <f t="shared" si="2"/>
        <v>Associate Software Engineer</v>
      </c>
      <c r="E29" s="30" t="str">
        <f t="shared" si="3"/>
        <v>L1</v>
      </c>
      <c r="F29" t="str">
        <f t="shared" si="4"/>
        <v>Prakash Desai</v>
      </c>
      <c r="G29" s="36">
        <f t="shared" si="5"/>
        <v>45412</v>
      </c>
      <c r="H29" s="28">
        <v>46133</v>
      </c>
      <c r="I29" s="24">
        <f t="shared" si="6"/>
        <v>2</v>
      </c>
      <c r="J29" s="22" t="s">
        <v>1753</v>
      </c>
      <c r="K29" t="s">
        <v>1755</v>
      </c>
      <c r="L29" s="22" t="s">
        <v>1700</v>
      </c>
      <c r="M29" s="22">
        <v>30</v>
      </c>
      <c r="N29" s="22" t="s">
        <v>1701</v>
      </c>
      <c r="O29" s="22" t="s">
        <v>1687</v>
      </c>
      <c r="P29" s="22" t="str">
        <f t="shared" si="7"/>
        <v>Apr-26</v>
      </c>
      <c r="Q29" s="30">
        <f t="shared" si="8"/>
        <v>3</v>
      </c>
    </row>
    <row r="30" spans="1:17" x14ac:dyDescent="0.3">
      <c r="A30" s="22" t="s">
        <v>1392</v>
      </c>
      <c r="B30" t="str">
        <f t="shared" si="0"/>
        <v>Tarun Naidu</v>
      </c>
      <c r="C30" t="str">
        <f t="shared" si="1"/>
        <v>Sales</v>
      </c>
      <c r="D30" t="str">
        <f t="shared" si="2"/>
        <v>Sales Executive</v>
      </c>
      <c r="E30" s="30" t="str">
        <f t="shared" si="3"/>
        <v>L2</v>
      </c>
      <c r="F30" t="str">
        <f t="shared" si="4"/>
        <v>Yash Raghavan</v>
      </c>
      <c r="G30" s="36">
        <f t="shared" si="5"/>
        <v>46006</v>
      </c>
      <c r="H30" s="28">
        <v>46136</v>
      </c>
      <c r="I30" s="24">
        <f t="shared" si="6"/>
        <v>0.4</v>
      </c>
      <c r="J30" s="22" t="s">
        <v>1756</v>
      </c>
      <c r="K30" t="s">
        <v>1757</v>
      </c>
      <c r="L30" s="22" t="s">
        <v>1701</v>
      </c>
      <c r="M30" s="22">
        <v>15</v>
      </c>
      <c r="N30" s="22" t="s">
        <v>1701</v>
      </c>
      <c r="O30" s="22" t="s">
        <v>1687</v>
      </c>
      <c r="P30" s="22" t="str">
        <f t="shared" si="7"/>
        <v>Apr-26</v>
      </c>
      <c r="Q30" s="30">
        <f t="shared" si="8"/>
        <v>2</v>
      </c>
    </row>
    <row r="31" spans="1:17" x14ac:dyDescent="0.3">
      <c r="A31" s="22" t="s">
        <v>993</v>
      </c>
      <c r="B31" t="str">
        <f t="shared" si="0"/>
        <v>Kunal Agarwal</v>
      </c>
      <c r="C31" t="str">
        <f t="shared" si="1"/>
        <v>Engineering</v>
      </c>
      <c r="D31" t="str">
        <f t="shared" si="2"/>
        <v>Software Engineer</v>
      </c>
      <c r="E31" s="30" t="str">
        <f t="shared" si="3"/>
        <v>L2</v>
      </c>
      <c r="F31" t="str">
        <f t="shared" si="4"/>
        <v>Gaurav Fernandes</v>
      </c>
      <c r="G31" s="36">
        <f t="shared" si="5"/>
        <v>45505</v>
      </c>
      <c r="H31" s="28">
        <v>46138</v>
      </c>
      <c r="I31" s="24">
        <f t="shared" si="6"/>
        <v>1.7</v>
      </c>
      <c r="J31" s="22" t="s">
        <v>1753</v>
      </c>
      <c r="K31" t="s">
        <v>1735</v>
      </c>
      <c r="L31" s="22" t="s">
        <v>1700</v>
      </c>
      <c r="M31" s="22">
        <v>90</v>
      </c>
      <c r="N31" s="22" t="s">
        <v>1701</v>
      </c>
      <c r="O31" s="22" t="s">
        <v>1687</v>
      </c>
      <c r="P31" s="22" t="str">
        <f t="shared" si="7"/>
        <v>Apr-26</v>
      </c>
      <c r="Q31" s="30">
        <f t="shared" si="8"/>
        <v>3</v>
      </c>
    </row>
    <row r="32" spans="1:17" x14ac:dyDescent="0.3">
      <c r="A32" s="22" t="s">
        <v>1276</v>
      </c>
      <c r="B32" t="str">
        <f t="shared" si="0"/>
        <v>Nikhil Singh</v>
      </c>
      <c r="C32" t="str">
        <f t="shared" si="1"/>
        <v>Sales</v>
      </c>
      <c r="D32" t="str">
        <f t="shared" si="2"/>
        <v>Sales Executive</v>
      </c>
      <c r="E32" s="30" t="str">
        <f t="shared" si="3"/>
        <v>L2</v>
      </c>
      <c r="F32" t="str">
        <f t="shared" si="4"/>
        <v>Srinivas Shah</v>
      </c>
      <c r="G32" s="36">
        <f t="shared" si="5"/>
        <v>45844</v>
      </c>
      <c r="H32" s="28">
        <v>46141</v>
      </c>
      <c r="I32" s="24">
        <f t="shared" si="6"/>
        <v>0.8</v>
      </c>
      <c r="J32" s="22" t="s">
        <v>1753</v>
      </c>
      <c r="K32" t="s">
        <v>1755</v>
      </c>
      <c r="L32" s="22" t="s">
        <v>1701</v>
      </c>
      <c r="M32" s="22">
        <v>30</v>
      </c>
      <c r="N32" s="22" t="s">
        <v>1700</v>
      </c>
      <c r="O32" s="22" t="s">
        <v>1687</v>
      </c>
      <c r="P32" s="22" t="str">
        <f t="shared" si="7"/>
        <v>Apr-26</v>
      </c>
      <c r="Q32" s="30">
        <f t="shared" si="8"/>
        <v>3</v>
      </c>
    </row>
    <row r="33" spans="1:17" x14ac:dyDescent="0.3">
      <c r="A33" s="22" t="s">
        <v>480</v>
      </c>
      <c r="B33" t="str">
        <f t="shared" si="0"/>
        <v>Sowmya Menon</v>
      </c>
      <c r="C33" t="str">
        <f t="shared" si="1"/>
        <v>Product</v>
      </c>
      <c r="D33" t="str">
        <f t="shared" si="2"/>
        <v>Product Manager</v>
      </c>
      <c r="E33" s="30" t="str">
        <f t="shared" si="3"/>
        <v>L3</v>
      </c>
      <c r="F33" t="str">
        <f t="shared" si="4"/>
        <v>Trisha Malhotra</v>
      </c>
      <c r="G33" s="36">
        <f t="shared" si="5"/>
        <v>44660</v>
      </c>
      <c r="H33" s="28">
        <v>46141</v>
      </c>
      <c r="I33" s="24">
        <f t="shared" si="6"/>
        <v>4.0999999999999996</v>
      </c>
      <c r="J33" s="22" t="s">
        <v>1753</v>
      </c>
      <c r="K33" t="s">
        <v>1735</v>
      </c>
      <c r="L33" s="22" t="s">
        <v>1701</v>
      </c>
      <c r="M33" s="22">
        <v>45</v>
      </c>
      <c r="N33" s="22" t="s">
        <v>1700</v>
      </c>
      <c r="O33" s="22" t="s">
        <v>1687</v>
      </c>
      <c r="P33" s="22" t="str">
        <f t="shared" si="7"/>
        <v>Apr-26</v>
      </c>
      <c r="Q33" s="30">
        <f t="shared" si="8"/>
        <v>3</v>
      </c>
    </row>
    <row r="34" spans="1:17" x14ac:dyDescent="0.3">
      <c r="A34" s="22" t="s">
        <v>1356</v>
      </c>
      <c r="B34" t="str">
        <f t="shared" ref="B34:B65" si="9">INDEX(M_Name,MATCH($A34,M_ID,0))</f>
        <v>Venkat Iyer</v>
      </c>
      <c r="C34" t="str">
        <f t="shared" ref="C34:C65" si="10">INDEX(M_Dept,MATCH($A34,M_ID,0))</f>
        <v>Data &amp; Analytics</v>
      </c>
      <c r="D34" t="str">
        <f t="shared" ref="D34:D65" si="11">INDEX(M_Title,MATCH($A34,M_ID,0))</f>
        <v>Data Analyst II</v>
      </c>
      <c r="E34" s="30" t="str">
        <f t="shared" ref="E34:E65" si="12">INDEX(M_Level,MATCH($A34,M_ID,0))</f>
        <v>L2</v>
      </c>
      <c r="F34" t="str">
        <f t="shared" ref="F34:F65" si="13">INDEX(M_Mgr,MATCH($A34,M_ID,0))</f>
        <v>Karan Verma</v>
      </c>
      <c r="G34" s="36">
        <f t="shared" ref="G34:G65" si="14">INDEX(M_DOJ,MATCH($A34,M_ID,0))</f>
        <v>45955</v>
      </c>
      <c r="H34" s="28">
        <v>46147</v>
      </c>
      <c r="I34" s="24">
        <f t="shared" ref="I34:I65" si="15">ROUND((H34-G34)/365.25,1)</f>
        <v>0.5</v>
      </c>
      <c r="J34" s="22" t="s">
        <v>1753</v>
      </c>
      <c r="K34" t="s">
        <v>1735</v>
      </c>
      <c r="L34" s="22" t="s">
        <v>1700</v>
      </c>
      <c r="M34" s="22">
        <v>45</v>
      </c>
      <c r="N34" s="22" t="s">
        <v>1700</v>
      </c>
      <c r="O34" s="22" t="s">
        <v>1687</v>
      </c>
      <c r="P34" s="22" t="str">
        <f t="shared" ref="P34:P65" si="16">TEXT(H34,"mmm-yy")</f>
        <v>May-26</v>
      </c>
      <c r="Q34" s="30">
        <f t="shared" ref="Q34:Q65" si="17">INDEX(P_Rating,MATCH($A34,M_ID,0))</f>
        <v>3</v>
      </c>
    </row>
    <row r="35" spans="1:17" x14ac:dyDescent="0.3">
      <c r="A35" s="22" t="s">
        <v>1305</v>
      </c>
      <c r="B35" t="str">
        <f t="shared" si="9"/>
        <v>Isha Choudhary</v>
      </c>
      <c r="C35" t="str">
        <f t="shared" si="10"/>
        <v>Engineering</v>
      </c>
      <c r="D35" t="str">
        <f t="shared" si="11"/>
        <v>Tech Lead</v>
      </c>
      <c r="E35" s="30" t="str">
        <f t="shared" si="12"/>
        <v>L4</v>
      </c>
      <c r="F35" t="str">
        <f t="shared" si="13"/>
        <v>Vikas Singh</v>
      </c>
      <c r="G35" s="36">
        <f t="shared" si="14"/>
        <v>45901</v>
      </c>
      <c r="H35" s="28">
        <v>46148</v>
      </c>
      <c r="I35" s="24">
        <f t="shared" si="15"/>
        <v>0.7</v>
      </c>
      <c r="J35" s="22" t="s">
        <v>1753</v>
      </c>
      <c r="K35" t="s">
        <v>1758</v>
      </c>
      <c r="L35" s="22" t="s">
        <v>1700</v>
      </c>
      <c r="M35" s="22">
        <v>45</v>
      </c>
      <c r="N35" s="22" t="s">
        <v>1701</v>
      </c>
      <c r="O35" s="22" t="s">
        <v>1687</v>
      </c>
      <c r="P35" s="22" t="str">
        <f t="shared" si="16"/>
        <v>May-26</v>
      </c>
      <c r="Q35" s="30">
        <f t="shared" si="17"/>
        <v>4</v>
      </c>
    </row>
    <row r="36" spans="1:17" x14ac:dyDescent="0.3">
      <c r="A36" s="22" t="s">
        <v>369</v>
      </c>
      <c r="B36" t="str">
        <f t="shared" si="9"/>
        <v>Akash Mukherjee</v>
      </c>
      <c r="C36" t="str">
        <f t="shared" si="10"/>
        <v>Engineering</v>
      </c>
      <c r="D36" t="str">
        <f t="shared" si="11"/>
        <v>Senior Software Engineer</v>
      </c>
      <c r="E36" s="30" t="str">
        <f t="shared" si="12"/>
        <v>L3</v>
      </c>
      <c r="F36" t="str">
        <f t="shared" si="13"/>
        <v>Bhavana Hegde</v>
      </c>
      <c r="G36" s="36">
        <f t="shared" si="14"/>
        <v>44395</v>
      </c>
      <c r="H36" s="28">
        <v>46172</v>
      </c>
      <c r="I36" s="24">
        <f t="shared" si="15"/>
        <v>4.9000000000000004</v>
      </c>
      <c r="J36" s="22" t="s">
        <v>1753</v>
      </c>
      <c r="K36" t="s">
        <v>1734</v>
      </c>
      <c r="L36" s="22" t="s">
        <v>1700</v>
      </c>
      <c r="M36" s="22">
        <v>45</v>
      </c>
      <c r="N36" s="22" t="s">
        <v>1700</v>
      </c>
      <c r="O36" s="22" t="s">
        <v>1687</v>
      </c>
      <c r="P36" s="22" t="str">
        <f t="shared" si="16"/>
        <v>May-26</v>
      </c>
      <c r="Q36" s="30">
        <f t="shared" si="17"/>
        <v>3</v>
      </c>
    </row>
    <row r="37" spans="1:17" x14ac:dyDescent="0.3">
      <c r="A37" s="22" t="s">
        <v>1249</v>
      </c>
      <c r="B37" t="str">
        <f t="shared" si="9"/>
        <v>Imran Thomas</v>
      </c>
      <c r="C37" t="str">
        <f t="shared" si="10"/>
        <v>Operations</v>
      </c>
      <c r="D37" t="str">
        <f t="shared" si="11"/>
        <v>Senior Operations Executive</v>
      </c>
      <c r="E37" s="30" t="str">
        <f t="shared" si="12"/>
        <v>L3</v>
      </c>
      <c r="F37" t="str">
        <f t="shared" si="13"/>
        <v>Pallavi Nair</v>
      </c>
      <c r="G37" s="36">
        <f t="shared" si="14"/>
        <v>45821</v>
      </c>
      <c r="H37" s="28">
        <v>46177</v>
      </c>
      <c r="I37" s="24">
        <f t="shared" si="15"/>
        <v>1</v>
      </c>
      <c r="J37" s="22" t="s">
        <v>1753</v>
      </c>
      <c r="K37" t="s">
        <v>1734</v>
      </c>
      <c r="L37" s="22" t="s">
        <v>1701</v>
      </c>
      <c r="M37" s="22">
        <v>90</v>
      </c>
      <c r="N37" s="22" t="s">
        <v>1700</v>
      </c>
      <c r="O37" s="22" t="s">
        <v>1687</v>
      </c>
      <c r="P37" s="22" t="str">
        <f t="shared" si="16"/>
        <v>Jun-26</v>
      </c>
      <c r="Q37" s="30">
        <f t="shared" si="17"/>
        <v>5</v>
      </c>
    </row>
    <row r="38" spans="1:17" x14ac:dyDescent="0.3">
      <c r="A38" s="22" t="s">
        <v>315</v>
      </c>
      <c r="B38" t="str">
        <f t="shared" si="9"/>
        <v>Vikas Chatterjee</v>
      </c>
      <c r="C38" t="str">
        <f t="shared" si="10"/>
        <v>Operations</v>
      </c>
      <c r="D38" t="str">
        <f t="shared" si="11"/>
        <v>Operations Lead</v>
      </c>
      <c r="E38" s="30" t="str">
        <f t="shared" si="12"/>
        <v>L4</v>
      </c>
      <c r="F38" t="str">
        <f t="shared" si="13"/>
        <v>Yash Shah</v>
      </c>
      <c r="G38" s="36">
        <f t="shared" si="14"/>
        <v>44278</v>
      </c>
      <c r="H38" s="28">
        <v>46188</v>
      </c>
      <c r="I38" s="24">
        <f t="shared" si="15"/>
        <v>5.2</v>
      </c>
      <c r="J38" s="22" t="s">
        <v>1753</v>
      </c>
      <c r="K38" t="s">
        <v>1762</v>
      </c>
      <c r="L38" s="22" t="s">
        <v>1701</v>
      </c>
      <c r="M38" s="22">
        <v>60</v>
      </c>
      <c r="N38" s="22" t="s">
        <v>1701</v>
      </c>
      <c r="O38" s="22" t="s">
        <v>1688</v>
      </c>
      <c r="P38" s="22" t="str">
        <f t="shared" si="16"/>
        <v>Jun-26</v>
      </c>
      <c r="Q38" s="30">
        <f t="shared" si="17"/>
        <v>3</v>
      </c>
    </row>
    <row r="39" spans="1:17" x14ac:dyDescent="0.3">
      <c r="A39" s="22" t="s">
        <v>603</v>
      </c>
      <c r="B39" t="str">
        <f t="shared" si="9"/>
        <v>Ananya Banerjee</v>
      </c>
      <c r="C39" t="str">
        <f t="shared" si="10"/>
        <v>Engineering</v>
      </c>
      <c r="D39" t="str">
        <f t="shared" si="11"/>
        <v>Senior Software Engineer</v>
      </c>
      <c r="E39" s="30" t="str">
        <f t="shared" si="12"/>
        <v>L3</v>
      </c>
      <c r="F39" t="str">
        <f t="shared" si="13"/>
        <v>Prakash Desai</v>
      </c>
      <c r="G39" s="36">
        <f t="shared" si="14"/>
        <v>44965</v>
      </c>
      <c r="H39" s="28">
        <v>46193</v>
      </c>
      <c r="I39" s="24">
        <f t="shared" si="15"/>
        <v>3.4</v>
      </c>
      <c r="J39" s="22" t="s">
        <v>1756</v>
      </c>
      <c r="K39" t="s">
        <v>1761</v>
      </c>
      <c r="L39" s="22" t="s">
        <v>1701</v>
      </c>
      <c r="M39" s="22">
        <v>0</v>
      </c>
      <c r="N39" s="22" t="s">
        <v>1701</v>
      </c>
      <c r="O39" s="22" t="s">
        <v>1687</v>
      </c>
      <c r="P39" s="22" t="str">
        <f t="shared" si="16"/>
        <v>Jun-26</v>
      </c>
      <c r="Q39" s="30">
        <f t="shared" si="17"/>
        <v>1</v>
      </c>
    </row>
    <row r="40" spans="1:17" x14ac:dyDescent="0.3">
      <c r="A40" s="22" t="s">
        <v>1436</v>
      </c>
      <c r="B40" t="str">
        <f t="shared" si="9"/>
        <v>Kiran Raghavan</v>
      </c>
      <c r="C40" t="str">
        <f t="shared" si="10"/>
        <v>Sales</v>
      </c>
      <c r="D40" t="str">
        <f t="shared" si="11"/>
        <v>Sales Associate</v>
      </c>
      <c r="E40" s="30" t="str">
        <f t="shared" si="12"/>
        <v>L1</v>
      </c>
      <c r="F40" t="str">
        <f t="shared" si="13"/>
        <v>Kavya Krishnan</v>
      </c>
      <c r="G40" s="36">
        <f t="shared" si="14"/>
        <v>46063</v>
      </c>
      <c r="H40" s="28">
        <v>46195</v>
      </c>
      <c r="I40" s="24">
        <f t="shared" si="15"/>
        <v>0.4</v>
      </c>
      <c r="J40" s="22" t="s">
        <v>1753</v>
      </c>
      <c r="K40" t="s">
        <v>1734</v>
      </c>
      <c r="L40" s="22" t="s">
        <v>1700</v>
      </c>
      <c r="M40" s="22">
        <v>30</v>
      </c>
      <c r="N40" s="22" t="s">
        <v>1700</v>
      </c>
      <c r="O40" s="22" t="s">
        <v>1687</v>
      </c>
      <c r="P40" s="22" t="str">
        <f t="shared" si="16"/>
        <v>Jun-26</v>
      </c>
      <c r="Q40" s="30">
        <f t="shared" si="17"/>
        <v>3</v>
      </c>
    </row>
    <row r="41" spans="1:17" x14ac:dyDescent="0.3">
      <c r="A41" s="22" t="s">
        <v>951</v>
      </c>
      <c r="B41" t="str">
        <f t="shared" si="9"/>
        <v>Swathi Banerjee</v>
      </c>
      <c r="C41" t="str">
        <f t="shared" si="10"/>
        <v>Engineering</v>
      </c>
      <c r="D41" t="str">
        <f t="shared" si="11"/>
        <v>Software Engineer</v>
      </c>
      <c r="E41" s="30" t="str">
        <f t="shared" si="12"/>
        <v>L2</v>
      </c>
      <c r="F41" t="str">
        <f t="shared" si="13"/>
        <v>Madhuri Menon</v>
      </c>
      <c r="G41" s="36">
        <f t="shared" si="14"/>
        <v>45460</v>
      </c>
      <c r="H41" s="28">
        <v>46205</v>
      </c>
      <c r="I41" s="24">
        <f t="shared" si="15"/>
        <v>2</v>
      </c>
      <c r="J41" s="22" t="s">
        <v>1756</v>
      </c>
      <c r="K41" t="s">
        <v>1757</v>
      </c>
      <c r="L41" s="22" t="s">
        <v>1701</v>
      </c>
      <c r="M41" s="22">
        <v>0</v>
      </c>
      <c r="N41" s="22" t="s">
        <v>1701</v>
      </c>
      <c r="O41" s="22" t="s">
        <v>1687</v>
      </c>
      <c r="P41" s="22" t="str">
        <f t="shared" si="16"/>
        <v>Jul-26</v>
      </c>
      <c r="Q41" s="30">
        <f t="shared" si="17"/>
        <v>2</v>
      </c>
    </row>
    <row r="42" spans="1:17" x14ac:dyDescent="0.3">
      <c r="A42" s="22" t="s">
        <v>1234</v>
      </c>
      <c r="B42" t="str">
        <f t="shared" si="9"/>
        <v>Mohit Nair</v>
      </c>
      <c r="C42" t="str">
        <f t="shared" si="10"/>
        <v>Data &amp; Analytics</v>
      </c>
      <c r="D42" t="str">
        <f t="shared" si="11"/>
        <v>Data Analyst II</v>
      </c>
      <c r="E42" s="30" t="str">
        <f t="shared" si="12"/>
        <v>L2</v>
      </c>
      <c r="F42" t="str">
        <f t="shared" si="13"/>
        <v>Arun Mukherjee</v>
      </c>
      <c r="G42" s="36">
        <f t="shared" si="14"/>
        <v>45804</v>
      </c>
      <c r="H42" s="28">
        <v>46210</v>
      </c>
      <c r="I42" s="24">
        <f t="shared" si="15"/>
        <v>1.1000000000000001</v>
      </c>
      <c r="J42" s="22" t="s">
        <v>1753</v>
      </c>
      <c r="K42" t="s">
        <v>1759</v>
      </c>
      <c r="L42" s="22" t="s">
        <v>1700</v>
      </c>
      <c r="M42" s="22">
        <v>60</v>
      </c>
      <c r="N42" s="22" t="s">
        <v>1701</v>
      </c>
      <c r="O42" s="22" t="s">
        <v>1687</v>
      </c>
      <c r="P42" s="22" t="str">
        <f t="shared" si="16"/>
        <v>Jul-26</v>
      </c>
      <c r="Q42" s="30">
        <f t="shared" si="17"/>
        <v>3</v>
      </c>
    </row>
    <row r="43" spans="1:17" x14ac:dyDescent="0.3">
      <c r="A43" s="22" t="s">
        <v>1188</v>
      </c>
      <c r="B43" t="str">
        <f t="shared" si="9"/>
        <v>Megha Subramanian</v>
      </c>
      <c r="C43" t="str">
        <f t="shared" si="10"/>
        <v>Customer Support</v>
      </c>
      <c r="D43" t="str">
        <f t="shared" si="11"/>
        <v>Support Associate</v>
      </c>
      <c r="E43" s="30" t="str">
        <f t="shared" si="12"/>
        <v>L1</v>
      </c>
      <c r="F43" t="str">
        <f t="shared" si="13"/>
        <v>Imran Joshi</v>
      </c>
      <c r="G43" s="36">
        <f t="shared" si="14"/>
        <v>45751</v>
      </c>
      <c r="H43" s="28">
        <v>46215</v>
      </c>
      <c r="I43" s="24">
        <f t="shared" si="15"/>
        <v>1.3</v>
      </c>
      <c r="J43" s="22" t="s">
        <v>1756</v>
      </c>
      <c r="K43" t="s">
        <v>1761</v>
      </c>
      <c r="L43" s="22" t="s">
        <v>1701</v>
      </c>
      <c r="M43" s="22">
        <v>0</v>
      </c>
      <c r="N43" s="22" t="s">
        <v>1701</v>
      </c>
      <c r="O43" s="22" t="s">
        <v>1687</v>
      </c>
      <c r="P43" s="22" t="str">
        <f t="shared" si="16"/>
        <v>Jul-26</v>
      </c>
      <c r="Q43" s="30">
        <f t="shared" si="17"/>
        <v>1</v>
      </c>
    </row>
    <row r="44" spans="1:17" x14ac:dyDescent="0.3">
      <c r="A44" s="22" t="s">
        <v>1243</v>
      </c>
      <c r="B44" t="str">
        <f t="shared" si="9"/>
        <v>Imran Das</v>
      </c>
      <c r="C44" t="str">
        <f t="shared" si="10"/>
        <v>Finance</v>
      </c>
      <c r="D44" t="str">
        <f t="shared" si="11"/>
        <v>Finance Associate</v>
      </c>
      <c r="E44" s="30" t="str">
        <f t="shared" si="12"/>
        <v>L1</v>
      </c>
      <c r="F44" t="str">
        <f t="shared" si="13"/>
        <v>Kritika Pandey</v>
      </c>
      <c r="G44" s="36">
        <f t="shared" si="14"/>
        <v>45813</v>
      </c>
      <c r="H44" s="28">
        <v>46217</v>
      </c>
      <c r="I44" s="24">
        <f t="shared" si="15"/>
        <v>1.1000000000000001</v>
      </c>
      <c r="J44" s="22" t="s">
        <v>1753</v>
      </c>
      <c r="K44" t="s">
        <v>1734</v>
      </c>
      <c r="L44" s="22" t="s">
        <v>1701</v>
      </c>
      <c r="M44" s="22">
        <v>60</v>
      </c>
      <c r="N44" s="22" t="s">
        <v>1700</v>
      </c>
      <c r="O44" s="22" t="s">
        <v>1760</v>
      </c>
      <c r="P44" s="22" t="str">
        <f t="shared" si="16"/>
        <v>Jul-26</v>
      </c>
      <c r="Q44" s="30">
        <f t="shared" si="17"/>
        <v>3</v>
      </c>
    </row>
    <row r="45" spans="1:17" x14ac:dyDescent="0.3">
      <c r="A45" s="22" t="s">
        <v>1439</v>
      </c>
      <c r="B45" t="str">
        <f t="shared" si="9"/>
        <v>Abhishek Krishnan</v>
      </c>
      <c r="C45" t="str">
        <f t="shared" si="10"/>
        <v>Data &amp; Analytics</v>
      </c>
      <c r="D45" t="str">
        <f t="shared" si="11"/>
        <v>Data Analyst II</v>
      </c>
      <c r="E45" s="30" t="str">
        <f t="shared" si="12"/>
        <v>L2</v>
      </c>
      <c r="F45" t="str">
        <f t="shared" si="13"/>
        <v>Arun Mukherjee</v>
      </c>
      <c r="G45" s="36">
        <f t="shared" si="14"/>
        <v>46064</v>
      </c>
      <c r="H45" s="28">
        <v>46220</v>
      </c>
      <c r="I45" s="24">
        <f t="shared" si="15"/>
        <v>0.4</v>
      </c>
      <c r="J45" s="22" t="s">
        <v>1753</v>
      </c>
      <c r="K45" t="s">
        <v>1734</v>
      </c>
      <c r="L45" s="22" t="s">
        <v>1700</v>
      </c>
      <c r="M45" s="22">
        <v>60</v>
      </c>
      <c r="N45" s="22" t="s">
        <v>1701</v>
      </c>
      <c r="O45" s="22" t="s">
        <v>1687</v>
      </c>
      <c r="P45" s="22" t="str">
        <f t="shared" si="16"/>
        <v>Jul-26</v>
      </c>
      <c r="Q45" s="30">
        <f t="shared" si="17"/>
        <v>4</v>
      </c>
    </row>
    <row r="46" spans="1:17" x14ac:dyDescent="0.3">
      <c r="A46" s="22" t="s">
        <v>225</v>
      </c>
      <c r="B46" t="str">
        <f t="shared" si="9"/>
        <v>Ajay Patel</v>
      </c>
      <c r="C46" t="str">
        <f t="shared" si="10"/>
        <v>Human Resources</v>
      </c>
      <c r="D46" t="str">
        <f t="shared" si="11"/>
        <v>HR Manager</v>
      </c>
      <c r="E46" s="30" t="str">
        <f t="shared" si="12"/>
        <v>L5</v>
      </c>
      <c r="F46" t="str">
        <f t="shared" si="13"/>
        <v>Prakash Das</v>
      </c>
      <c r="G46" s="36">
        <f t="shared" si="14"/>
        <v>44778</v>
      </c>
      <c r="H46" s="28">
        <v>46224</v>
      </c>
      <c r="I46" s="24">
        <f t="shared" si="15"/>
        <v>4</v>
      </c>
      <c r="J46" s="22" t="s">
        <v>1753</v>
      </c>
      <c r="K46" t="s">
        <v>1755</v>
      </c>
      <c r="L46" s="22" t="s">
        <v>1700</v>
      </c>
      <c r="M46" s="22">
        <v>45</v>
      </c>
      <c r="N46" s="22" t="s">
        <v>1700</v>
      </c>
      <c r="O46" s="22" t="s">
        <v>1687</v>
      </c>
      <c r="P46" s="22" t="str">
        <f t="shared" si="16"/>
        <v>Jul-26</v>
      </c>
      <c r="Q46" s="30">
        <f t="shared" si="17"/>
        <v>1</v>
      </c>
    </row>
    <row r="47" spans="1:17" x14ac:dyDescent="0.3">
      <c r="A47" s="22" t="s">
        <v>1308</v>
      </c>
      <c r="B47" t="str">
        <f t="shared" si="9"/>
        <v>Rakesh Jain</v>
      </c>
      <c r="C47" t="str">
        <f t="shared" si="10"/>
        <v>Sales</v>
      </c>
      <c r="D47" t="str">
        <f t="shared" si="11"/>
        <v>Sales Associate</v>
      </c>
      <c r="E47" s="30" t="str">
        <f t="shared" si="12"/>
        <v>L1</v>
      </c>
      <c r="F47" t="str">
        <f t="shared" si="13"/>
        <v>Kavya Krishnan</v>
      </c>
      <c r="G47" s="36">
        <f t="shared" si="14"/>
        <v>45901</v>
      </c>
      <c r="H47" s="28">
        <v>46225</v>
      </c>
      <c r="I47" s="24">
        <f t="shared" si="15"/>
        <v>0.9</v>
      </c>
      <c r="J47" s="22" t="s">
        <v>1753</v>
      </c>
      <c r="K47" t="s">
        <v>1735</v>
      </c>
      <c r="L47" s="22" t="s">
        <v>1701</v>
      </c>
      <c r="M47" s="22">
        <v>90</v>
      </c>
      <c r="N47" s="22" t="s">
        <v>1700</v>
      </c>
      <c r="O47" s="22" t="s">
        <v>1687</v>
      </c>
      <c r="P47" s="22" t="str">
        <f t="shared" si="16"/>
        <v>Jul-26</v>
      </c>
      <c r="Q47" s="30">
        <f t="shared" si="17"/>
        <v>3</v>
      </c>
    </row>
    <row r="48" spans="1:17" x14ac:dyDescent="0.3">
      <c r="A48" s="22" t="s">
        <v>737</v>
      </c>
      <c r="B48" t="str">
        <f t="shared" si="9"/>
        <v>Venkat Subramanian</v>
      </c>
      <c r="C48" t="str">
        <f t="shared" si="10"/>
        <v>Operations</v>
      </c>
      <c r="D48" t="str">
        <f t="shared" si="11"/>
        <v>Operations Executive</v>
      </c>
      <c r="E48" s="30" t="str">
        <f t="shared" si="12"/>
        <v>L2</v>
      </c>
      <c r="F48" t="str">
        <f t="shared" si="13"/>
        <v>Amit Kumar</v>
      </c>
      <c r="G48" s="36">
        <f t="shared" si="14"/>
        <v>45137</v>
      </c>
      <c r="H48" s="28">
        <v>46228</v>
      </c>
      <c r="I48" s="24">
        <f t="shared" si="15"/>
        <v>3</v>
      </c>
      <c r="J48" s="22" t="s">
        <v>1753</v>
      </c>
      <c r="K48" t="s">
        <v>1734</v>
      </c>
      <c r="L48" s="22" t="s">
        <v>1700</v>
      </c>
      <c r="M48" s="22">
        <v>45</v>
      </c>
      <c r="N48" s="22" t="s">
        <v>1700</v>
      </c>
      <c r="O48" s="22" t="s">
        <v>1687</v>
      </c>
      <c r="P48" s="22" t="str">
        <f t="shared" si="16"/>
        <v>Jul-26</v>
      </c>
      <c r="Q48" s="30">
        <f t="shared" si="17"/>
        <v>4</v>
      </c>
    </row>
    <row r="49" spans="1:17" x14ac:dyDescent="0.3">
      <c r="A49" s="22" t="s">
        <v>775</v>
      </c>
      <c r="B49" t="str">
        <f t="shared" si="9"/>
        <v>Rajesh Kapoor</v>
      </c>
      <c r="C49" t="str">
        <f t="shared" si="10"/>
        <v>Sales</v>
      </c>
      <c r="D49" t="str">
        <f t="shared" si="11"/>
        <v>Sales Executive</v>
      </c>
      <c r="E49" s="30" t="str">
        <f t="shared" si="12"/>
        <v>L2</v>
      </c>
      <c r="F49" t="str">
        <f t="shared" si="13"/>
        <v>Kavya Krishnan</v>
      </c>
      <c r="G49" s="36">
        <f t="shared" si="14"/>
        <v>45215</v>
      </c>
      <c r="H49" s="28">
        <v>46230</v>
      </c>
      <c r="I49" s="24">
        <f t="shared" si="15"/>
        <v>2.8</v>
      </c>
      <c r="J49" s="22" t="s">
        <v>1756</v>
      </c>
      <c r="K49" t="s">
        <v>1761</v>
      </c>
      <c r="L49" s="22" t="s">
        <v>1701</v>
      </c>
      <c r="M49" s="22">
        <v>15</v>
      </c>
      <c r="N49" s="22" t="s">
        <v>1701</v>
      </c>
      <c r="O49" s="22" t="s">
        <v>1760</v>
      </c>
      <c r="P49" s="22" t="str">
        <f t="shared" si="16"/>
        <v>Jul-26</v>
      </c>
      <c r="Q49" s="30">
        <f t="shared" si="17"/>
        <v>1</v>
      </c>
    </row>
    <row r="50" spans="1:17" x14ac:dyDescent="0.3">
      <c r="A50" s="22" t="s">
        <v>1026</v>
      </c>
      <c r="B50" t="str">
        <f t="shared" si="9"/>
        <v>Tanvi Kamath</v>
      </c>
      <c r="C50" t="str">
        <f t="shared" si="10"/>
        <v>Finance</v>
      </c>
      <c r="D50" t="str">
        <f t="shared" si="11"/>
        <v>Senior Finance Executive</v>
      </c>
      <c r="E50" s="30" t="str">
        <f t="shared" si="12"/>
        <v>L3</v>
      </c>
      <c r="F50" t="str">
        <f t="shared" si="13"/>
        <v>Ravi Prabhu</v>
      </c>
      <c r="G50" s="36">
        <f t="shared" si="14"/>
        <v>45537</v>
      </c>
      <c r="H50" s="28">
        <v>46231</v>
      </c>
      <c r="I50" s="24">
        <f t="shared" si="15"/>
        <v>1.9</v>
      </c>
      <c r="J50" s="22" t="s">
        <v>1753</v>
      </c>
      <c r="K50" t="s">
        <v>1735</v>
      </c>
      <c r="L50" s="22" t="s">
        <v>1700</v>
      </c>
      <c r="M50" s="22">
        <v>90</v>
      </c>
      <c r="N50" s="22" t="s">
        <v>1701</v>
      </c>
      <c r="O50" s="22" t="s">
        <v>1687</v>
      </c>
      <c r="P50" s="22" t="str">
        <f t="shared" si="16"/>
        <v>Jul-26</v>
      </c>
      <c r="Q50" s="30">
        <f t="shared" si="17"/>
        <v>4</v>
      </c>
    </row>
    <row r="51" spans="1:17" x14ac:dyDescent="0.3">
      <c r="A51" s="22" t="s">
        <v>300</v>
      </c>
      <c r="B51" t="str">
        <f t="shared" si="9"/>
        <v>Nisha Mehta</v>
      </c>
      <c r="C51" t="str">
        <f t="shared" si="10"/>
        <v>Human Resources</v>
      </c>
      <c r="D51" t="str">
        <f t="shared" si="11"/>
        <v>HR Business Partner</v>
      </c>
      <c r="E51" s="30" t="str">
        <f t="shared" si="12"/>
        <v>L3</v>
      </c>
      <c r="F51" t="str">
        <f t="shared" si="13"/>
        <v>Akash Das</v>
      </c>
      <c r="G51" s="36">
        <f t="shared" si="14"/>
        <v>44266</v>
      </c>
      <c r="H51" s="28">
        <v>46232</v>
      </c>
      <c r="I51" s="24">
        <f t="shared" si="15"/>
        <v>5.4</v>
      </c>
      <c r="J51" s="22" t="s">
        <v>1753</v>
      </c>
      <c r="K51" t="s">
        <v>1735</v>
      </c>
      <c r="L51" s="22" t="s">
        <v>1701</v>
      </c>
      <c r="M51" s="22">
        <v>30</v>
      </c>
      <c r="N51" s="22" t="s">
        <v>1700</v>
      </c>
      <c r="O51" s="22" t="s">
        <v>1687</v>
      </c>
      <c r="P51" s="22" t="str">
        <f t="shared" si="16"/>
        <v>Jul-26</v>
      </c>
      <c r="Q51" s="30">
        <f t="shared" si="17"/>
        <v>2</v>
      </c>
    </row>
    <row r="52" spans="1:17" x14ac:dyDescent="0.3">
      <c r="A52" s="22" t="s">
        <v>1511</v>
      </c>
      <c r="B52" t="str">
        <f t="shared" si="9"/>
        <v>Sindhu Thomas</v>
      </c>
      <c r="C52" t="str">
        <f t="shared" si="10"/>
        <v>Customer Support</v>
      </c>
      <c r="D52" t="str">
        <f t="shared" si="11"/>
        <v>Support Executive</v>
      </c>
      <c r="E52" s="30" t="str">
        <f t="shared" si="12"/>
        <v>L2</v>
      </c>
      <c r="F52" t="str">
        <f t="shared" si="13"/>
        <v>Isha Verma</v>
      </c>
      <c r="G52" s="36">
        <f t="shared" si="14"/>
        <v>46123</v>
      </c>
      <c r="H52" s="28">
        <v>46233</v>
      </c>
      <c r="I52" s="24">
        <f t="shared" si="15"/>
        <v>0.3</v>
      </c>
      <c r="J52" s="22" t="s">
        <v>1756</v>
      </c>
      <c r="K52" t="s">
        <v>1761</v>
      </c>
      <c r="L52" s="22" t="s">
        <v>1701</v>
      </c>
      <c r="M52" s="22">
        <v>30</v>
      </c>
      <c r="N52" s="22" t="s">
        <v>1701</v>
      </c>
      <c r="O52" s="22" t="s">
        <v>1687</v>
      </c>
      <c r="P52" s="22" t="str">
        <f t="shared" si="16"/>
        <v>Jul-26</v>
      </c>
      <c r="Q52" s="30">
        <f t="shared" si="17"/>
        <v>2</v>
      </c>
    </row>
    <row r="53" spans="1:17" x14ac:dyDescent="0.3">
      <c r="A53" s="22" t="s">
        <v>1530</v>
      </c>
      <c r="B53" t="str">
        <f t="shared" si="9"/>
        <v>Vikas Jain</v>
      </c>
      <c r="C53" t="str">
        <f t="shared" si="10"/>
        <v>Legal &amp; Compliance</v>
      </c>
      <c r="D53" t="str">
        <f t="shared" si="11"/>
        <v>Legal Associate</v>
      </c>
      <c r="E53" s="30" t="str">
        <f t="shared" si="12"/>
        <v>L1</v>
      </c>
      <c r="F53" t="str">
        <f t="shared" si="13"/>
        <v>Lakshmi Subramanian</v>
      </c>
      <c r="G53" s="36">
        <f t="shared" si="14"/>
        <v>46139</v>
      </c>
      <c r="H53" s="28">
        <v>46235</v>
      </c>
      <c r="I53" s="24">
        <f t="shared" si="15"/>
        <v>0.3</v>
      </c>
      <c r="J53" s="22" t="s">
        <v>1756</v>
      </c>
      <c r="K53" t="s">
        <v>1761</v>
      </c>
      <c r="L53" s="22" t="s">
        <v>1701</v>
      </c>
      <c r="M53" s="22">
        <v>0</v>
      </c>
      <c r="N53" s="22" t="s">
        <v>1701</v>
      </c>
      <c r="O53" s="22" t="s">
        <v>1688</v>
      </c>
      <c r="P53" s="22" t="str">
        <f t="shared" si="16"/>
        <v>Aug-26</v>
      </c>
      <c r="Q53" s="30">
        <f t="shared" si="17"/>
        <v>1</v>
      </c>
    </row>
    <row r="54" spans="1:17" x14ac:dyDescent="0.3">
      <c r="A54" s="22" t="s">
        <v>1433</v>
      </c>
      <c r="B54" t="str">
        <f t="shared" si="9"/>
        <v>Imran Iyer</v>
      </c>
      <c r="C54" t="str">
        <f t="shared" si="10"/>
        <v>Operations</v>
      </c>
      <c r="D54" t="str">
        <f t="shared" si="11"/>
        <v>Senior Operations Executive</v>
      </c>
      <c r="E54" s="30" t="str">
        <f t="shared" si="12"/>
        <v>L3</v>
      </c>
      <c r="F54" t="str">
        <f t="shared" si="13"/>
        <v>Ajay Kumar</v>
      </c>
      <c r="G54" s="36">
        <f t="shared" si="14"/>
        <v>46055</v>
      </c>
      <c r="H54" s="28">
        <v>46236</v>
      </c>
      <c r="I54" s="24">
        <f t="shared" si="15"/>
        <v>0.5</v>
      </c>
      <c r="J54" s="22" t="s">
        <v>1756</v>
      </c>
      <c r="K54" t="s">
        <v>1757</v>
      </c>
      <c r="L54" s="22" t="s">
        <v>1701</v>
      </c>
      <c r="M54" s="22">
        <v>0</v>
      </c>
      <c r="N54" s="22" t="s">
        <v>1701</v>
      </c>
      <c r="O54" s="22" t="s">
        <v>1687</v>
      </c>
      <c r="P54" s="22" t="str">
        <f t="shared" si="16"/>
        <v>Aug-26</v>
      </c>
      <c r="Q54" s="30">
        <f t="shared" si="17"/>
        <v>3</v>
      </c>
    </row>
    <row r="55" spans="1:17" x14ac:dyDescent="0.3">
      <c r="A55" s="22" t="s">
        <v>118</v>
      </c>
      <c r="B55" t="str">
        <f t="shared" si="9"/>
        <v>Yash Shah</v>
      </c>
      <c r="C55" t="str">
        <f t="shared" si="10"/>
        <v>Operations</v>
      </c>
      <c r="D55" t="str">
        <f t="shared" si="11"/>
        <v>Operations Manager</v>
      </c>
      <c r="E55" s="30" t="str">
        <f t="shared" si="12"/>
        <v>L5</v>
      </c>
      <c r="F55" t="str">
        <f t="shared" si="13"/>
        <v>Pallavi Shah</v>
      </c>
      <c r="G55" s="36">
        <f t="shared" si="14"/>
        <v>43681</v>
      </c>
      <c r="H55" s="28">
        <v>46239</v>
      </c>
      <c r="I55" s="24">
        <f t="shared" si="15"/>
        <v>7</v>
      </c>
      <c r="J55" s="22" t="s">
        <v>1753</v>
      </c>
      <c r="K55" t="s">
        <v>1755</v>
      </c>
      <c r="L55" s="22" t="s">
        <v>1701</v>
      </c>
      <c r="M55" s="22">
        <v>90</v>
      </c>
      <c r="N55" s="22" t="s">
        <v>1700</v>
      </c>
      <c r="O55" s="22" t="s">
        <v>1687</v>
      </c>
      <c r="P55" s="22" t="str">
        <f t="shared" si="16"/>
        <v>Aug-26</v>
      </c>
      <c r="Q55" s="30">
        <f t="shared" si="17"/>
        <v>4</v>
      </c>
    </row>
    <row r="56" spans="1:17" x14ac:dyDescent="0.3">
      <c r="A56" s="22" t="s">
        <v>1521</v>
      </c>
      <c r="B56" t="str">
        <f t="shared" si="9"/>
        <v>Shruti Joshi</v>
      </c>
      <c r="C56" t="str">
        <f t="shared" si="10"/>
        <v>Engineering</v>
      </c>
      <c r="D56" t="str">
        <f t="shared" si="11"/>
        <v>Associate Software Engineer</v>
      </c>
      <c r="E56" s="30" t="str">
        <f t="shared" si="12"/>
        <v>L1</v>
      </c>
      <c r="F56" t="str">
        <f t="shared" si="13"/>
        <v>Tejaswini Hegde</v>
      </c>
      <c r="G56" s="36">
        <f t="shared" si="14"/>
        <v>46134</v>
      </c>
      <c r="H56" s="28">
        <v>46246</v>
      </c>
      <c r="I56" s="24">
        <f t="shared" si="15"/>
        <v>0.3</v>
      </c>
      <c r="J56" s="22" t="s">
        <v>1753</v>
      </c>
      <c r="K56" t="s">
        <v>1734</v>
      </c>
      <c r="L56" s="22" t="s">
        <v>1700</v>
      </c>
      <c r="M56" s="22">
        <v>60</v>
      </c>
      <c r="N56" s="22" t="s">
        <v>1700</v>
      </c>
      <c r="O56" s="22" t="s">
        <v>1688</v>
      </c>
      <c r="P56" s="22" t="str">
        <f t="shared" si="16"/>
        <v>Aug-26</v>
      </c>
      <c r="Q56" s="30">
        <f t="shared" si="17"/>
        <v>3</v>
      </c>
    </row>
    <row r="57" spans="1:17" x14ac:dyDescent="0.3">
      <c r="A57" s="22" t="s">
        <v>1401</v>
      </c>
      <c r="B57" t="str">
        <f t="shared" si="9"/>
        <v>Anand Bose</v>
      </c>
      <c r="C57" t="str">
        <f t="shared" si="10"/>
        <v>Operations</v>
      </c>
      <c r="D57" t="str">
        <f t="shared" si="11"/>
        <v>Operations Executive</v>
      </c>
      <c r="E57" s="30" t="str">
        <f t="shared" si="12"/>
        <v>L2</v>
      </c>
      <c r="F57" t="str">
        <f t="shared" si="13"/>
        <v>Ankit Khanna</v>
      </c>
      <c r="G57" s="36">
        <f t="shared" si="14"/>
        <v>46014</v>
      </c>
      <c r="H57" s="28">
        <v>46251</v>
      </c>
      <c r="I57" s="24">
        <f t="shared" si="15"/>
        <v>0.6</v>
      </c>
      <c r="J57" s="22" t="s">
        <v>1753</v>
      </c>
      <c r="K57" t="s">
        <v>1734</v>
      </c>
      <c r="L57" s="22" t="s">
        <v>1700</v>
      </c>
      <c r="M57" s="22">
        <v>90</v>
      </c>
      <c r="N57" s="22" t="s">
        <v>1700</v>
      </c>
      <c r="O57" s="22" t="s">
        <v>1688</v>
      </c>
      <c r="P57" s="22" t="str">
        <f t="shared" si="16"/>
        <v>Aug-26</v>
      </c>
      <c r="Q57" s="30">
        <f t="shared" si="17"/>
        <v>3</v>
      </c>
    </row>
    <row r="58" spans="1:17" x14ac:dyDescent="0.3">
      <c r="A58" s="22" t="s">
        <v>458</v>
      </c>
      <c r="B58" t="str">
        <f t="shared" si="9"/>
        <v>Madhuri Malhotra</v>
      </c>
      <c r="C58" t="str">
        <f t="shared" si="10"/>
        <v>Sales</v>
      </c>
      <c r="D58" t="str">
        <f t="shared" si="11"/>
        <v>Sales Manager</v>
      </c>
      <c r="E58" s="30" t="str">
        <f t="shared" si="12"/>
        <v>L5</v>
      </c>
      <c r="F58" t="str">
        <f t="shared" si="13"/>
        <v>Gayatri Tiwari</v>
      </c>
      <c r="G58" s="36">
        <f t="shared" si="14"/>
        <v>44605</v>
      </c>
      <c r="H58" s="28">
        <v>46255</v>
      </c>
      <c r="I58" s="24">
        <f t="shared" si="15"/>
        <v>4.5</v>
      </c>
      <c r="J58" s="22" t="s">
        <v>1753</v>
      </c>
      <c r="K58" t="s">
        <v>1755</v>
      </c>
      <c r="L58" s="22" t="s">
        <v>1701</v>
      </c>
      <c r="M58" s="22">
        <v>60</v>
      </c>
      <c r="N58" s="22" t="s">
        <v>1700</v>
      </c>
      <c r="O58" s="22" t="s">
        <v>1687</v>
      </c>
      <c r="P58" s="22" t="str">
        <f t="shared" si="16"/>
        <v>Aug-26</v>
      </c>
      <c r="Q58" s="30">
        <f t="shared" si="17"/>
        <v>3</v>
      </c>
    </row>
    <row r="59" spans="1:17" x14ac:dyDescent="0.3">
      <c r="A59" s="22" t="s">
        <v>835</v>
      </c>
      <c r="B59" t="str">
        <f t="shared" si="9"/>
        <v>Kunal Subramanian</v>
      </c>
      <c r="C59" t="str">
        <f t="shared" si="10"/>
        <v>Human Resources</v>
      </c>
      <c r="D59" t="str">
        <f t="shared" si="11"/>
        <v>HR Executive</v>
      </c>
      <c r="E59" s="30" t="str">
        <f t="shared" si="12"/>
        <v>L2</v>
      </c>
      <c r="F59" t="str">
        <f t="shared" si="13"/>
        <v>Akash Das</v>
      </c>
      <c r="G59" s="36">
        <f t="shared" si="14"/>
        <v>45308</v>
      </c>
      <c r="H59" s="28">
        <v>46259</v>
      </c>
      <c r="I59" s="24">
        <f t="shared" si="15"/>
        <v>2.6</v>
      </c>
      <c r="J59" s="22" t="s">
        <v>1753</v>
      </c>
      <c r="K59" t="s">
        <v>1735</v>
      </c>
      <c r="L59" s="22" t="s">
        <v>1700</v>
      </c>
      <c r="M59" s="22">
        <v>60</v>
      </c>
      <c r="N59" s="22" t="s">
        <v>1701</v>
      </c>
      <c r="O59" s="22" t="s">
        <v>1687</v>
      </c>
      <c r="P59" s="22" t="str">
        <f t="shared" si="16"/>
        <v>Aug-26</v>
      </c>
      <c r="Q59" s="30">
        <f t="shared" si="17"/>
        <v>4</v>
      </c>
    </row>
    <row r="60" spans="1:17" x14ac:dyDescent="0.3">
      <c r="A60" s="22" t="s">
        <v>1474</v>
      </c>
      <c r="B60" t="str">
        <f t="shared" si="9"/>
        <v>Gayatri Raghavan</v>
      </c>
      <c r="C60" t="str">
        <f t="shared" si="10"/>
        <v>Operations</v>
      </c>
      <c r="D60" t="str">
        <f t="shared" si="11"/>
        <v>Operations Associate</v>
      </c>
      <c r="E60" s="30" t="str">
        <f t="shared" si="12"/>
        <v>L1</v>
      </c>
      <c r="F60" t="str">
        <f t="shared" si="13"/>
        <v>Amit Kumar</v>
      </c>
      <c r="G60" s="36">
        <f t="shared" si="14"/>
        <v>46102</v>
      </c>
      <c r="H60" s="28">
        <v>46264</v>
      </c>
      <c r="I60" s="24">
        <f t="shared" si="15"/>
        <v>0.4</v>
      </c>
      <c r="J60" s="22" t="s">
        <v>1753</v>
      </c>
      <c r="K60" t="s">
        <v>1734</v>
      </c>
      <c r="L60" s="22" t="s">
        <v>1700</v>
      </c>
      <c r="M60" s="22">
        <v>30</v>
      </c>
      <c r="N60" s="22" t="s">
        <v>1700</v>
      </c>
      <c r="O60" s="22" t="s">
        <v>1688</v>
      </c>
      <c r="P60" s="22" t="str">
        <f t="shared" si="16"/>
        <v>Aug-26</v>
      </c>
      <c r="Q60" s="30">
        <f t="shared" si="17"/>
        <v>3</v>
      </c>
    </row>
    <row r="61" spans="1:17" x14ac:dyDescent="0.3">
      <c r="A61" s="22" t="s">
        <v>1486</v>
      </c>
      <c r="B61" t="str">
        <f t="shared" si="9"/>
        <v>Gayatri Prabhu</v>
      </c>
      <c r="C61" t="str">
        <f t="shared" si="10"/>
        <v>Operations</v>
      </c>
      <c r="D61" t="str">
        <f t="shared" si="11"/>
        <v>Operations Associate</v>
      </c>
      <c r="E61" s="30" t="str">
        <f t="shared" si="12"/>
        <v>L1</v>
      </c>
      <c r="F61" t="str">
        <f t="shared" si="13"/>
        <v>Ramya Menon</v>
      </c>
      <c r="G61" s="36">
        <f t="shared" si="14"/>
        <v>46108</v>
      </c>
      <c r="H61" s="28">
        <v>46264</v>
      </c>
      <c r="I61" s="24">
        <f t="shared" si="15"/>
        <v>0.4</v>
      </c>
      <c r="J61" s="22" t="s">
        <v>1753</v>
      </c>
      <c r="K61" t="s">
        <v>1734</v>
      </c>
      <c r="L61" s="22" t="s">
        <v>1701</v>
      </c>
      <c r="M61" s="22">
        <v>45</v>
      </c>
      <c r="N61" s="22" t="s">
        <v>1700</v>
      </c>
      <c r="O61" s="22" t="s">
        <v>1687</v>
      </c>
      <c r="P61" s="22" t="str">
        <f t="shared" si="16"/>
        <v>Aug-26</v>
      </c>
      <c r="Q61" s="30">
        <f t="shared" si="17"/>
        <v>2</v>
      </c>
    </row>
    <row r="62" spans="1:17" x14ac:dyDescent="0.3">
      <c r="A62" s="22" t="s">
        <v>1301</v>
      </c>
      <c r="B62" t="str">
        <f t="shared" si="9"/>
        <v>Joseph Gupta</v>
      </c>
      <c r="C62" t="str">
        <f t="shared" si="10"/>
        <v>Data &amp; Analytics</v>
      </c>
      <c r="D62" t="str">
        <f t="shared" si="11"/>
        <v>Lead Data Scientist</v>
      </c>
      <c r="E62" s="30" t="str">
        <f t="shared" si="12"/>
        <v>L4</v>
      </c>
      <c r="F62" t="str">
        <f t="shared" si="13"/>
        <v>Karan Verma</v>
      </c>
      <c r="G62" s="36">
        <f t="shared" si="14"/>
        <v>45895</v>
      </c>
      <c r="H62" s="28">
        <v>46266</v>
      </c>
      <c r="I62" s="24">
        <f t="shared" si="15"/>
        <v>1</v>
      </c>
      <c r="J62" s="22" t="s">
        <v>1753</v>
      </c>
      <c r="K62" t="s">
        <v>1754</v>
      </c>
      <c r="L62" s="22" t="s">
        <v>1700</v>
      </c>
      <c r="M62" s="22">
        <v>30</v>
      </c>
      <c r="N62" s="22" t="s">
        <v>1700</v>
      </c>
      <c r="O62" s="22" t="s">
        <v>1687</v>
      </c>
      <c r="P62" s="22" t="str">
        <f t="shared" si="16"/>
        <v>Sep-26</v>
      </c>
      <c r="Q62" s="30">
        <f t="shared" si="17"/>
        <v>4</v>
      </c>
    </row>
    <row r="63" spans="1:17" x14ac:dyDescent="0.3">
      <c r="A63" s="22" t="s">
        <v>1507</v>
      </c>
      <c r="B63" t="str">
        <f t="shared" si="9"/>
        <v>Vikram Khan</v>
      </c>
      <c r="C63" t="str">
        <f t="shared" si="10"/>
        <v>Engineering</v>
      </c>
      <c r="D63" t="str">
        <f t="shared" si="11"/>
        <v>Associate Software Engineer</v>
      </c>
      <c r="E63" s="30" t="str">
        <f t="shared" si="12"/>
        <v>L1</v>
      </c>
      <c r="F63" t="str">
        <f t="shared" si="13"/>
        <v>Fatima Choudhary</v>
      </c>
      <c r="G63" s="36">
        <f t="shared" si="14"/>
        <v>46118</v>
      </c>
      <c r="H63" s="28">
        <v>46266</v>
      </c>
      <c r="I63" s="24">
        <f t="shared" si="15"/>
        <v>0.4</v>
      </c>
      <c r="J63" s="22" t="s">
        <v>1753</v>
      </c>
      <c r="K63" t="s">
        <v>1754</v>
      </c>
      <c r="L63" s="22" t="s">
        <v>1700</v>
      </c>
      <c r="M63" s="22">
        <v>90</v>
      </c>
      <c r="N63" s="22" t="s">
        <v>1700</v>
      </c>
      <c r="O63" s="22" t="s">
        <v>1687</v>
      </c>
      <c r="P63" s="22" t="str">
        <f t="shared" si="16"/>
        <v>Sep-26</v>
      </c>
      <c r="Q63" s="30">
        <f t="shared" si="17"/>
        <v>3</v>
      </c>
    </row>
    <row r="64" spans="1:17" x14ac:dyDescent="0.3">
      <c r="A64" s="22" t="s">
        <v>1365</v>
      </c>
      <c r="B64" t="str">
        <f t="shared" si="9"/>
        <v>Aditya Das</v>
      </c>
      <c r="C64" t="str">
        <f t="shared" si="10"/>
        <v>Engineering</v>
      </c>
      <c r="D64" t="str">
        <f t="shared" si="11"/>
        <v>Associate Software Engineer</v>
      </c>
      <c r="E64" s="30" t="str">
        <f t="shared" si="12"/>
        <v>L1</v>
      </c>
      <c r="F64" t="str">
        <f t="shared" si="13"/>
        <v>Gaurav Fernandes</v>
      </c>
      <c r="G64" s="36">
        <f t="shared" si="14"/>
        <v>45972</v>
      </c>
      <c r="H64" s="28">
        <v>46279</v>
      </c>
      <c r="I64" s="24">
        <f t="shared" si="15"/>
        <v>0.8</v>
      </c>
      <c r="J64" s="22" t="s">
        <v>1753</v>
      </c>
      <c r="K64" t="s">
        <v>1755</v>
      </c>
      <c r="L64" s="22" t="s">
        <v>1701</v>
      </c>
      <c r="M64" s="22">
        <v>90</v>
      </c>
      <c r="N64" s="22" t="s">
        <v>1700</v>
      </c>
      <c r="O64" s="22" t="s">
        <v>1687</v>
      </c>
      <c r="P64" s="22" t="str">
        <f t="shared" si="16"/>
        <v>Sep-26</v>
      </c>
      <c r="Q64" s="30">
        <f t="shared" si="17"/>
        <v>5</v>
      </c>
    </row>
    <row r="65" spans="1:17" x14ac:dyDescent="0.3">
      <c r="A65" s="22" t="s">
        <v>1332</v>
      </c>
      <c r="B65" t="str">
        <f t="shared" si="9"/>
        <v>Keerthi Kamath</v>
      </c>
      <c r="C65" t="str">
        <f t="shared" si="10"/>
        <v>Sales</v>
      </c>
      <c r="D65" t="str">
        <f t="shared" si="11"/>
        <v>Sales Associate</v>
      </c>
      <c r="E65" s="30" t="str">
        <f t="shared" si="12"/>
        <v>L1</v>
      </c>
      <c r="F65" t="str">
        <f t="shared" si="13"/>
        <v>Kavya Krishnan</v>
      </c>
      <c r="G65" s="36">
        <f t="shared" si="14"/>
        <v>45941</v>
      </c>
      <c r="H65" s="28">
        <v>46292</v>
      </c>
      <c r="I65" s="24">
        <f t="shared" si="15"/>
        <v>1</v>
      </c>
      <c r="J65" s="22" t="s">
        <v>1753</v>
      </c>
      <c r="K65" t="s">
        <v>1755</v>
      </c>
      <c r="L65" s="22" t="s">
        <v>1700</v>
      </c>
      <c r="M65" s="22">
        <v>30</v>
      </c>
      <c r="N65" s="22" t="s">
        <v>1700</v>
      </c>
      <c r="O65" s="22" t="s">
        <v>1687</v>
      </c>
      <c r="P65" s="22" t="str">
        <f t="shared" si="16"/>
        <v>Sep-26</v>
      </c>
      <c r="Q65" s="30">
        <f t="shared" si="17"/>
        <v>3</v>
      </c>
    </row>
  </sheetData>
  <autoFilter ref="A1:Q65" xr:uid="{00000000-0009-0000-0000-000009000000}"/>
  <conditionalFormatting sqref="A2:Q65">
    <cfRule type="expression" dxfId="3" priority="1">
      <formula>MOD(ROW(),2)=0</formula>
    </cfRule>
  </conditionalFormatting>
  <conditionalFormatting sqref="L2:L65">
    <cfRule type="cellIs" dxfId="2" priority="2" operator="equal">
      <formula>"Yes"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3C7DC4"/>
  </sheetPr>
  <dimension ref="A1:R1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0.6640625" customWidth="1"/>
    <col min="2" max="2" width="18.6640625" customWidth="1"/>
    <col min="3" max="3" width="26.6640625" customWidth="1"/>
    <col min="4" max="4" width="7.6640625" customWidth="1"/>
    <col min="5" max="5" width="9.6640625" customWidth="1"/>
    <col min="6" max="6" width="15.6640625" customWidth="1"/>
    <col min="7" max="8" width="12.6640625" customWidth="1"/>
    <col min="9" max="9" width="10.6640625" customWidth="1"/>
    <col min="10" max="10" width="16.6640625" customWidth="1"/>
    <col min="11" max="13" width="9.6640625" customWidth="1"/>
    <col min="14" max="15" width="8.6640625" customWidth="1"/>
    <col min="16" max="17" width="10.6640625" customWidth="1"/>
    <col min="18" max="18" width="12.6640625" customWidth="1"/>
  </cols>
  <sheetData>
    <row r="1" spans="1:18" ht="31.95" customHeight="1" x14ac:dyDescent="0.3">
      <c r="A1" s="6" t="s">
        <v>1763</v>
      </c>
      <c r="B1" s="6" t="s">
        <v>80</v>
      </c>
      <c r="C1" s="6" t="s">
        <v>1764</v>
      </c>
      <c r="D1" s="6" t="s">
        <v>17</v>
      </c>
      <c r="E1" s="6" t="s">
        <v>1765</v>
      </c>
      <c r="F1" s="6" t="s">
        <v>1766</v>
      </c>
      <c r="G1" s="6" t="s">
        <v>1767</v>
      </c>
      <c r="H1" s="6" t="s">
        <v>1768</v>
      </c>
      <c r="I1" s="6" t="s">
        <v>86</v>
      </c>
      <c r="J1" s="6" t="s">
        <v>1769</v>
      </c>
      <c r="K1" s="6" t="s">
        <v>1770</v>
      </c>
      <c r="L1" s="6" t="s">
        <v>1771</v>
      </c>
      <c r="M1" s="6" t="s">
        <v>1772</v>
      </c>
      <c r="N1" s="6" t="s">
        <v>1773</v>
      </c>
      <c r="O1" s="6" t="s">
        <v>1774</v>
      </c>
      <c r="P1" s="27" t="s">
        <v>1775</v>
      </c>
      <c r="Q1" s="27" t="s">
        <v>1776</v>
      </c>
      <c r="R1" s="6" t="s">
        <v>1777</v>
      </c>
    </row>
    <row r="2" spans="1:18" x14ac:dyDescent="0.3">
      <c r="A2" s="22" t="s">
        <v>1778</v>
      </c>
      <c r="B2" t="s">
        <v>41</v>
      </c>
      <c r="C2" t="s">
        <v>393</v>
      </c>
      <c r="D2" s="22" t="s">
        <v>32</v>
      </c>
      <c r="E2" s="22" t="s">
        <v>59</v>
      </c>
      <c r="F2" t="s">
        <v>1779</v>
      </c>
      <c r="G2" s="28">
        <v>45939</v>
      </c>
      <c r="H2" s="28">
        <v>45987</v>
      </c>
      <c r="I2" s="22" t="s">
        <v>1780</v>
      </c>
      <c r="J2" t="s">
        <v>1781</v>
      </c>
      <c r="K2" s="22">
        <v>141</v>
      </c>
      <c r="L2" s="22">
        <v>23</v>
      </c>
      <c r="M2" s="22">
        <v>12</v>
      </c>
      <c r="N2" s="22">
        <v>1</v>
      </c>
      <c r="O2" s="22">
        <v>1</v>
      </c>
      <c r="P2" s="31">
        <f t="shared" ref="P2:P33" si="0">IF(N2=0,"",O2/N2)</f>
        <v>1</v>
      </c>
      <c r="Q2" s="22">
        <f t="shared" ref="Q2:Q33" si="1">IF(I2="Filled",H2-G2,IF(I2="Open",AsOf-G2,""))</f>
        <v>48</v>
      </c>
      <c r="R2" s="34">
        <v>18000</v>
      </c>
    </row>
    <row r="3" spans="1:18" x14ac:dyDescent="0.3">
      <c r="A3" s="22" t="s">
        <v>1782</v>
      </c>
      <c r="B3" t="s">
        <v>40</v>
      </c>
      <c r="C3" t="s">
        <v>550</v>
      </c>
      <c r="D3" s="22" t="s">
        <v>24</v>
      </c>
      <c r="E3" s="22" t="s">
        <v>60</v>
      </c>
      <c r="F3" t="s">
        <v>1783</v>
      </c>
      <c r="G3" s="28">
        <v>45939</v>
      </c>
      <c r="H3" s="28">
        <v>45992</v>
      </c>
      <c r="I3" s="22" t="s">
        <v>1780</v>
      </c>
      <c r="J3" t="s">
        <v>1781</v>
      </c>
      <c r="K3" s="22">
        <v>111</v>
      </c>
      <c r="L3" s="22">
        <v>23</v>
      </c>
      <c r="M3" s="22">
        <v>14</v>
      </c>
      <c r="N3" s="22">
        <v>1</v>
      </c>
      <c r="O3" s="22">
        <v>1</v>
      </c>
      <c r="P3" s="31">
        <f t="shared" si="0"/>
        <v>1</v>
      </c>
      <c r="Q3" s="22">
        <f t="shared" si="1"/>
        <v>53</v>
      </c>
      <c r="R3" s="34">
        <v>18000</v>
      </c>
    </row>
    <row r="4" spans="1:18" x14ac:dyDescent="0.3">
      <c r="A4" s="22" t="s">
        <v>1784</v>
      </c>
      <c r="B4" t="s">
        <v>45</v>
      </c>
      <c r="C4" t="s">
        <v>208</v>
      </c>
      <c r="D4" s="22" t="s">
        <v>30</v>
      </c>
      <c r="E4" s="22" t="s">
        <v>61</v>
      </c>
      <c r="F4" t="s">
        <v>1779</v>
      </c>
      <c r="G4" s="28">
        <v>45939</v>
      </c>
      <c r="H4" s="28">
        <v>45994</v>
      </c>
      <c r="I4" s="22" t="s">
        <v>1780</v>
      </c>
      <c r="J4" t="s">
        <v>1785</v>
      </c>
      <c r="K4" s="22">
        <v>70</v>
      </c>
      <c r="L4" s="22">
        <v>10</v>
      </c>
      <c r="M4" s="22">
        <v>6</v>
      </c>
      <c r="N4" s="22">
        <v>2</v>
      </c>
      <c r="O4" s="22">
        <v>1</v>
      </c>
      <c r="P4" s="31">
        <f t="shared" si="0"/>
        <v>0.5</v>
      </c>
      <c r="Q4" s="22">
        <f t="shared" si="1"/>
        <v>55</v>
      </c>
      <c r="R4" s="34">
        <v>15000</v>
      </c>
    </row>
    <row r="5" spans="1:18" x14ac:dyDescent="0.3">
      <c r="A5" s="22" t="s">
        <v>1786</v>
      </c>
      <c r="B5" t="s">
        <v>40</v>
      </c>
      <c r="C5" t="s">
        <v>155</v>
      </c>
      <c r="D5" s="22" t="s">
        <v>28</v>
      </c>
      <c r="E5" s="22" t="s">
        <v>61</v>
      </c>
      <c r="F5" t="s">
        <v>1779</v>
      </c>
      <c r="G5" s="28">
        <v>45941</v>
      </c>
      <c r="H5" s="28">
        <v>45980</v>
      </c>
      <c r="I5" s="22" t="s">
        <v>1780</v>
      </c>
      <c r="J5" t="s">
        <v>1787</v>
      </c>
      <c r="K5" s="22">
        <v>217</v>
      </c>
      <c r="L5" s="22">
        <v>56</v>
      </c>
      <c r="M5" s="22">
        <v>33</v>
      </c>
      <c r="N5" s="22">
        <v>1</v>
      </c>
      <c r="O5" s="22">
        <v>1</v>
      </c>
      <c r="P5" s="31">
        <f t="shared" si="0"/>
        <v>1</v>
      </c>
      <c r="Q5" s="22">
        <f t="shared" si="1"/>
        <v>39</v>
      </c>
      <c r="R5" s="34">
        <v>25000</v>
      </c>
    </row>
    <row r="6" spans="1:18" x14ac:dyDescent="0.3">
      <c r="A6" s="22" t="s">
        <v>1788</v>
      </c>
      <c r="B6" t="s">
        <v>45</v>
      </c>
      <c r="C6" t="s">
        <v>947</v>
      </c>
      <c r="D6" s="22" t="s">
        <v>22</v>
      </c>
      <c r="E6" s="22" t="s">
        <v>60</v>
      </c>
      <c r="F6" t="s">
        <v>1789</v>
      </c>
      <c r="G6" s="28">
        <v>45941</v>
      </c>
      <c r="H6" s="28">
        <v>45969</v>
      </c>
      <c r="I6" s="22" t="s">
        <v>1780</v>
      </c>
      <c r="J6" t="s">
        <v>1790</v>
      </c>
      <c r="K6" s="22">
        <v>146</v>
      </c>
      <c r="L6" s="22">
        <v>38</v>
      </c>
      <c r="M6" s="22">
        <v>17</v>
      </c>
      <c r="N6" s="22">
        <v>2</v>
      </c>
      <c r="O6" s="22">
        <v>1</v>
      </c>
      <c r="P6" s="31">
        <f t="shared" si="0"/>
        <v>0.5</v>
      </c>
      <c r="Q6" s="22">
        <f t="shared" si="1"/>
        <v>28</v>
      </c>
      <c r="R6" s="34">
        <v>5000</v>
      </c>
    </row>
    <row r="7" spans="1:18" x14ac:dyDescent="0.3">
      <c r="A7" s="22" t="s">
        <v>1791</v>
      </c>
      <c r="B7" t="s">
        <v>40</v>
      </c>
      <c r="C7" t="s">
        <v>550</v>
      </c>
      <c r="D7" s="22" t="s">
        <v>24</v>
      </c>
      <c r="E7" s="22" t="s">
        <v>61</v>
      </c>
      <c r="F7" t="s">
        <v>1792</v>
      </c>
      <c r="G7" s="28">
        <v>45942</v>
      </c>
      <c r="I7" s="22" t="s">
        <v>1793</v>
      </c>
      <c r="K7" s="22">
        <v>179</v>
      </c>
      <c r="L7" s="22">
        <v>21</v>
      </c>
      <c r="M7" s="22">
        <v>14</v>
      </c>
      <c r="N7" s="22">
        <v>1</v>
      </c>
      <c r="O7" s="22">
        <v>0</v>
      </c>
      <c r="P7" s="31">
        <f t="shared" si="0"/>
        <v>0</v>
      </c>
      <c r="Q7" s="22">
        <f t="shared" si="1"/>
        <v>353</v>
      </c>
    </row>
    <row r="8" spans="1:18" x14ac:dyDescent="0.3">
      <c r="A8" s="22" t="s">
        <v>1794</v>
      </c>
      <c r="B8" t="s">
        <v>39</v>
      </c>
      <c r="C8" t="s">
        <v>244</v>
      </c>
      <c r="D8" s="22" t="s">
        <v>26</v>
      </c>
      <c r="E8" s="22" t="s">
        <v>60</v>
      </c>
      <c r="F8" t="s">
        <v>1779</v>
      </c>
      <c r="G8" s="28">
        <v>45942</v>
      </c>
      <c r="H8" s="28">
        <v>45992</v>
      </c>
      <c r="I8" s="22" t="s">
        <v>1780</v>
      </c>
      <c r="J8" t="s">
        <v>1781</v>
      </c>
      <c r="K8" s="22">
        <v>46</v>
      </c>
      <c r="L8" s="22">
        <v>6</v>
      </c>
      <c r="M8" s="22">
        <v>3</v>
      </c>
      <c r="N8" s="22">
        <v>3</v>
      </c>
      <c r="O8" s="22">
        <v>1</v>
      </c>
      <c r="P8" s="31">
        <f t="shared" si="0"/>
        <v>0.33333333333333331</v>
      </c>
      <c r="Q8" s="22">
        <f t="shared" si="1"/>
        <v>50</v>
      </c>
      <c r="R8" s="34">
        <v>18000</v>
      </c>
    </row>
    <row r="9" spans="1:18" x14ac:dyDescent="0.3">
      <c r="A9" s="22" t="s">
        <v>1795</v>
      </c>
      <c r="B9" t="s">
        <v>40</v>
      </c>
      <c r="C9" t="s">
        <v>155</v>
      </c>
      <c r="D9" s="22" t="s">
        <v>28</v>
      </c>
      <c r="E9" s="22" t="s">
        <v>60</v>
      </c>
      <c r="F9" t="s">
        <v>1779</v>
      </c>
      <c r="G9" s="28">
        <v>45943</v>
      </c>
      <c r="I9" s="22" t="s">
        <v>1796</v>
      </c>
      <c r="K9" s="22">
        <v>193</v>
      </c>
      <c r="L9" s="22">
        <v>47</v>
      </c>
      <c r="M9" s="22">
        <v>30</v>
      </c>
      <c r="N9" s="22">
        <v>0</v>
      </c>
      <c r="O9" s="22">
        <v>0</v>
      </c>
      <c r="P9" s="31" t="str">
        <f t="shared" si="0"/>
        <v/>
      </c>
      <c r="Q9" s="22" t="str">
        <f t="shared" si="1"/>
        <v/>
      </c>
    </row>
    <row r="10" spans="1:18" x14ac:dyDescent="0.3">
      <c r="A10" s="22" t="s">
        <v>1797</v>
      </c>
      <c r="B10" t="s">
        <v>39</v>
      </c>
      <c r="C10" t="s">
        <v>911</v>
      </c>
      <c r="D10" s="22" t="s">
        <v>22</v>
      </c>
      <c r="E10" s="22" t="s">
        <v>59</v>
      </c>
      <c r="F10" t="s">
        <v>1789</v>
      </c>
      <c r="G10" s="28">
        <v>45943</v>
      </c>
      <c r="I10" s="22" t="s">
        <v>1793</v>
      </c>
      <c r="K10" s="22">
        <v>152</v>
      </c>
      <c r="L10" s="22">
        <v>29</v>
      </c>
      <c r="M10" s="22">
        <v>18</v>
      </c>
      <c r="N10" s="22">
        <v>0</v>
      </c>
      <c r="O10" s="22">
        <v>0</v>
      </c>
      <c r="P10" s="31" t="str">
        <f t="shared" si="0"/>
        <v/>
      </c>
      <c r="Q10" s="22">
        <f t="shared" si="1"/>
        <v>352</v>
      </c>
    </row>
    <row r="11" spans="1:18" x14ac:dyDescent="0.3">
      <c r="A11" s="22" t="s">
        <v>1798</v>
      </c>
      <c r="B11" t="s">
        <v>48</v>
      </c>
      <c r="C11" t="s">
        <v>686</v>
      </c>
      <c r="D11" s="22" t="s">
        <v>24</v>
      </c>
      <c r="E11" s="22" t="s">
        <v>61</v>
      </c>
      <c r="F11" t="s">
        <v>1792</v>
      </c>
      <c r="G11" s="28">
        <v>45944</v>
      </c>
      <c r="H11" s="28">
        <v>45983</v>
      </c>
      <c r="I11" s="22" t="s">
        <v>1780</v>
      </c>
      <c r="J11" t="s">
        <v>1787</v>
      </c>
      <c r="K11" s="22">
        <v>48</v>
      </c>
      <c r="L11" s="22">
        <v>7</v>
      </c>
      <c r="M11" s="22">
        <v>4</v>
      </c>
      <c r="N11" s="22">
        <v>1</v>
      </c>
      <c r="O11" s="22">
        <v>1</v>
      </c>
      <c r="P11" s="31">
        <f t="shared" si="0"/>
        <v>1</v>
      </c>
      <c r="Q11" s="22">
        <f t="shared" si="1"/>
        <v>39</v>
      </c>
      <c r="R11" s="34">
        <v>25000</v>
      </c>
    </row>
    <row r="12" spans="1:18" x14ac:dyDescent="0.3">
      <c r="A12" s="22" t="s">
        <v>1799</v>
      </c>
      <c r="B12" t="s">
        <v>45</v>
      </c>
      <c r="C12" t="s">
        <v>476</v>
      </c>
      <c r="D12" s="22" t="s">
        <v>28</v>
      </c>
      <c r="E12" s="22" t="s">
        <v>61</v>
      </c>
      <c r="F12" t="s">
        <v>1792</v>
      </c>
      <c r="G12" s="28">
        <v>45946</v>
      </c>
      <c r="H12" s="28">
        <v>46003</v>
      </c>
      <c r="I12" s="22" t="s">
        <v>1780</v>
      </c>
      <c r="J12" t="s">
        <v>1787</v>
      </c>
      <c r="K12" s="22">
        <v>59</v>
      </c>
      <c r="L12" s="22">
        <v>10</v>
      </c>
      <c r="M12" s="22">
        <v>6</v>
      </c>
      <c r="N12" s="22">
        <v>3</v>
      </c>
      <c r="O12" s="22">
        <v>1</v>
      </c>
      <c r="P12" s="31">
        <f t="shared" si="0"/>
        <v>0.33333333333333331</v>
      </c>
      <c r="Q12" s="22">
        <f t="shared" si="1"/>
        <v>57</v>
      </c>
      <c r="R12" s="34">
        <v>25000</v>
      </c>
    </row>
    <row r="13" spans="1:18" x14ac:dyDescent="0.3">
      <c r="A13" s="22" t="s">
        <v>1800</v>
      </c>
      <c r="B13" t="s">
        <v>39</v>
      </c>
      <c r="C13" t="s">
        <v>183</v>
      </c>
      <c r="D13" s="22" t="s">
        <v>28</v>
      </c>
      <c r="E13" s="22" t="s">
        <v>61</v>
      </c>
      <c r="F13" t="s">
        <v>1783</v>
      </c>
      <c r="G13" s="28">
        <v>45946</v>
      </c>
      <c r="H13" s="28">
        <v>46008</v>
      </c>
      <c r="I13" s="22" t="s">
        <v>1780</v>
      </c>
      <c r="J13" t="s">
        <v>1785</v>
      </c>
      <c r="K13" s="22">
        <v>48</v>
      </c>
      <c r="L13" s="22">
        <v>9</v>
      </c>
      <c r="M13" s="22">
        <v>5</v>
      </c>
      <c r="N13" s="22">
        <v>1</v>
      </c>
      <c r="O13" s="22">
        <v>1</v>
      </c>
      <c r="P13" s="31">
        <f t="shared" si="0"/>
        <v>1</v>
      </c>
      <c r="Q13" s="22">
        <f t="shared" si="1"/>
        <v>62</v>
      </c>
      <c r="R13" s="34">
        <v>15000</v>
      </c>
    </row>
    <row r="14" spans="1:18" x14ac:dyDescent="0.3">
      <c r="A14" s="22" t="s">
        <v>1801</v>
      </c>
      <c r="B14" t="s">
        <v>44</v>
      </c>
      <c r="C14" t="s">
        <v>263</v>
      </c>
      <c r="D14" s="22" t="s">
        <v>26</v>
      </c>
      <c r="E14" s="22" t="s">
        <v>59</v>
      </c>
      <c r="F14" t="s">
        <v>1789</v>
      </c>
      <c r="G14" s="28">
        <v>45946</v>
      </c>
      <c r="H14" s="28">
        <v>45993</v>
      </c>
      <c r="I14" s="22" t="s">
        <v>1780</v>
      </c>
      <c r="J14" t="s">
        <v>1787</v>
      </c>
      <c r="K14" s="22">
        <v>244</v>
      </c>
      <c r="L14" s="22">
        <v>53</v>
      </c>
      <c r="M14" s="22">
        <v>25</v>
      </c>
      <c r="N14" s="22">
        <v>1</v>
      </c>
      <c r="O14" s="22">
        <v>1</v>
      </c>
      <c r="P14" s="31">
        <f t="shared" si="0"/>
        <v>1</v>
      </c>
      <c r="Q14" s="22">
        <f t="shared" si="1"/>
        <v>47</v>
      </c>
      <c r="R14" s="34">
        <v>25000</v>
      </c>
    </row>
    <row r="15" spans="1:18" x14ac:dyDescent="0.3">
      <c r="A15" s="22" t="s">
        <v>1802</v>
      </c>
      <c r="B15" t="s">
        <v>44</v>
      </c>
      <c r="C15" t="s">
        <v>130</v>
      </c>
      <c r="D15" s="22" t="s">
        <v>28</v>
      </c>
      <c r="E15" s="22" t="s">
        <v>61</v>
      </c>
      <c r="F15" t="s">
        <v>1783</v>
      </c>
      <c r="G15" s="28">
        <v>45946</v>
      </c>
      <c r="H15" s="28">
        <v>45984</v>
      </c>
      <c r="I15" s="22" t="s">
        <v>1780</v>
      </c>
      <c r="J15" t="s">
        <v>1790</v>
      </c>
      <c r="K15" s="22">
        <v>169</v>
      </c>
      <c r="L15" s="22">
        <v>49</v>
      </c>
      <c r="M15" s="22">
        <v>32</v>
      </c>
      <c r="N15" s="22">
        <v>1</v>
      </c>
      <c r="O15" s="22">
        <v>1</v>
      </c>
      <c r="P15" s="31">
        <f t="shared" si="0"/>
        <v>1</v>
      </c>
      <c r="Q15" s="22">
        <f t="shared" si="1"/>
        <v>38</v>
      </c>
      <c r="R15" s="34">
        <v>5000</v>
      </c>
    </row>
    <row r="16" spans="1:18" x14ac:dyDescent="0.3">
      <c r="A16" s="22" t="s">
        <v>1803</v>
      </c>
      <c r="B16" t="s">
        <v>39</v>
      </c>
      <c r="C16" t="s">
        <v>105</v>
      </c>
      <c r="D16" s="22" t="s">
        <v>30</v>
      </c>
      <c r="E16" s="22" t="s">
        <v>60</v>
      </c>
      <c r="F16" t="s">
        <v>1792</v>
      </c>
      <c r="G16" s="28">
        <v>45948</v>
      </c>
      <c r="I16" s="22" t="s">
        <v>1804</v>
      </c>
      <c r="K16" s="22">
        <v>221</v>
      </c>
      <c r="L16" s="22">
        <v>35</v>
      </c>
      <c r="M16" s="22">
        <v>14</v>
      </c>
      <c r="N16" s="22">
        <v>0</v>
      </c>
      <c r="O16" s="22">
        <v>0</v>
      </c>
      <c r="P16" s="31" t="str">
        <f t="shared" si="0"/>
        <v/>
      </c>
      <c r="Q16" s="22" t="str">
        <f t="shared" si="1"/>
        <v/>
      </c>
    </row>
    <row r="17" spans="1:18" x14ac:dyDescent="0.3">
      <c r="A17" s="22" t="s">
        <v>1805</v>
      </c>
      <c r="B17" t="s">
        <v>42</v>
      </c>
      <c r="C17" t="s">
        <v>238</v>
      </c>
      <c r="D17" s="22" t="s">
        <v>26</v>
      </c>
      <c r="E17" s="22" t="s">
        <v>60</v>
      </c>
      <c r="F17" t="s">
        <v>1783</v>
      </c>
      <c r="G17" s="28">
        <v>45949</v>
      </c>
      <c r="I17" s="22" t="s">
        <v>1793</v>
      </c>
      <c r="K17" s="22">
        <v>53</v>
      </c>
      <c r="L17" s="22">
        <v>6</v>
      </c>
      <c r="M17" s="22">
        <v>3</v>
      </c>
      <c r="N17" s="22">
        <v>0</v>
      </c>
      <c r="O17" s="22">
        <v>0</v>
      </c>
      <c r="P17" s="31" t="str">
        <f t="shared" si="0"/>
        <v/>
      </c>
      <c r="Q17" s="22">
        <f t="shared" si="1"/>
        <v>346</v>
      </c>
    </row>
    <row r="18" spans="1:18" x14ac:dyDescent="0.3">
      <c r="A18" s="22" t="s">
        <v>1806</v>
      </c>
      <c r="B18" t="s">
        <v>47</v>
      </c>
      <c r="C18" t="s">
        <v>936</v>
      </c>
      <c r="D18" s="22" t="s">
        <v>22</v>
      </c>
      <c r="E18" s="22" t="s">
        <v>61</v>
      </c>
      <c r="F18" t="s">
        <v>1789</v>
      </c>
      <c r="G18" s="28">
        <v>45949</v>
      </c>
      <c r="H18" s="28">
        <v>45964</v>
      </c>
      <c r="I18" s="22" t="s">
        <v>1780</v>
      </c>
      <c r="J18" t="s">
        <v>1807</v>
      </c>
      <c r="K18" s="22">
        <v>238</v>
      </c>
      <c r="L18" s="22">
        <v>35</v>
      </c>
      <c r="M18" s="22">
        <v>23</v>
      </c>
      <c r="N18" s="22">
        <v>1</v>
      </c>
      <c r="O18" s="22">
        <v>1</v>
      </c>
      <c r="P18" s="31">
        <f t="shared" si="0"/>
        <v>1</v>
      </c>
      <c r="Q18" s="22">
        <f t="shared" si="1"/>
        <v>15</v>
      </c>
      <c r="R18" s="34">
        <v>12000</v>
      </c>
    </row>
    <row r="19" spans="1:18" x14ac:dyDescent="0.3">
      <c r="A19" s="22" t="s">
        <v>1808</v>
      </c>
      <c r="B19" t="s">
        <v>41</v>
      </c>
      <c r="C19" t="s">
        <v>560</v>
      </c>
      <c r="D19" s="22" t="s">
        <v>24</v>
      </c>
      <c r="E19" s="22" t="s">
        <v>61</v>
      </c>
      <c r="F19" t="s">
        <v>1789</v>
      </c>
      <c r="G19" s="28">
        <v>45950</v>
      </c>
      <c r="H19" s="28">
        <v>45987</v>
      </c>
      <c r="I19" s="22" t="s">
        <v>1780</v>
      </c>
      <c r="J19" t="s">
        <v>1790</v>
      </c>
      <c r="K19" s="22">
        <v>257</v>
      </c>
      <c r="L19" s="22">
        <v>38</v>
      </c>
      <c r="M19" s="22">
        <v>26</v>
      </c>
      <c r="N19" s="22">
        <v>1</v>
      </c>
      <c r="O19" s="22">
        <v>1</v>
      </c>
      <c r="P19" s="31">
        <f t="shared" si="0"/>
        <v>1</v>
      </c>
      <c r="Q19" s="22">
        <f t="shared" si="1"/>
        <v>37</v>
      </c>
      <c r="R19" s="34">
        <v>5000</v>
      </c>
    </row>
    <row r="20" spans="1:18" x14ac:dyDescent="0.3">
      <c r="A20" s="22" t="s">
        <v>1809</v>
      </c>
      <c r="B20" t="s">
        <v>43</v>
      </c>
      <c r="C20" t="s">
        <v>545</v>
      </c>
      <c r="D20" s="22" t="s">
        <v>24</v>
      </c>
      <c r="E20" s="22" t="s">
        <v>60</v>
      </c>
      <c r="F20" t="s">
        <v>1783</v>
      </c>
      <c r="G20" s="28">
        <v>45950</v>
      </c>
      <c r="H20" s="28">
        <v>45988</v>
      </c>
      <c r="I20" s="22" t="s">
        <v>1780</v>
      </c>
      <c r="J20" t="s">
        <v>1781</v>
      </c>
      <c r="K20" s="22">
        <v>104</v>
      </c>
      <c r="L20" s="22">
        <v>23</v>
      </c>
      <c r="M20" s="22">
        <v>15</v>
      </c>
      <c r="N20" s="22">
        <v>1</v>
      </c>
      <c r="O20" s="22">
        <v>1</v>
      </c>
      <c r="P20" s="31">
        <f t="shared" si="0"/>
        <v>1</v>
      </c>
      <c r="Q20" s="22">
        <f t="shared" si="1"/>
        <v>38</v>
      </c>
      <c r="R20" s="34">
        <v>18000</v>
      </c>
    </row>
    <row r="21" spans="1:18" x14ac:dyDescent="0.3">
      <c r="A21" s="22" t="s">
        <v>1810</v>
      </c>
      <c r="B21" t="s">
        <v>41</v>
      </c>
      <c r="C21" t="s">
        <v>253</v>
      </c>
      <c r="D21" s="22" t="s">
        <v>26</v>
      </c>
      <c r="E21" s="22" t="s">
        <v>60</v>
      </c>
      <c r="F21" t="s">
        <v>1792</v>
      </c>
      <c r="G21" s="28">
        <v>45950</v>
      </c>
      <c r="I21" s="22" t="s">
        <v>1793</v>
      </c>
      <c r="K21" s="22">
        <v>125</v>
      </c>
      <c r="L21" s="22">
        <v>28</v>
      </c>
      <c r="M21" s="22">
        <v>13</v>
      </c>
      <c r="N21" s="22">
        <v>0</v>
      </c>
      <c r="O21" s="22">
        <v>0</v>
      </c>
      <c r="P21" s="31" t="str">
        <f t="shared" si="0"/>
        <v/>
      </c>
      <c r="Q21" s="22">
        <f t="shared" si="1"/>
        <v>345</v>
      </c>
    </row>
    <row r="22" spans="1:18" x14ac:dyDescent="0.3">
      <c r="A22" s="22" t="s">
        <v>1811</v>
      </c>
      <c r="B22" t="s">
        <v>43</v>
      </c>
      <c r="C22" t="s">
        <v>545</v>
      </c>
      <c r="D22" s="22" t="s">
        <v>24</v>
      </c>
      <c r="E22" s="22" t="s">
        <v>60</v>
      </c>
      <c r="F22" t="s">
        <v>1792</v>
      </c>
      <c r="G22" s="28">
        <v>45952</v>
      </c>
      <c r="I22" s="22" t="s">
        <v>1804</v>
      </c>
      <c r="K22" s="22">
        <v>107</v>
      </c>
      <c r="L22" s="22">
        <v>25</v>
      </c>
      <c r="M22" s="22">
        <v>11</v>
      </c>
      <c r="N22" s="22">
        <v>0</v>
      </c>
      <c r="O22" s="22">
        <v>0</v>
      </c>
      <c r="P22" s="31" t="str">
        <f t="shared" si="0"/>
        <v/>
      </c>
      <c r="Q22" s="22" t="str">
        <f t="shared" si="1"/>
        <v/>
      </c>
    </row>
    <row r="23" spans="1:18" x14ac:dyDescent="0.3">
      <c r="A23" s="22" t="s">
        <v>1812</v>
      </c>
      <c r="B23" t="s">
        <v>40</v>
      </c>
      <c r="C23" t="s">
        <v>219</v>
      </c>
      <c r="D23" s="22" t="s">
        <v>26</v>
      </c>
      <c r="E23" s="22" t="s">
        <v>59</v>
      </c>
      <c r="F23" t="s">
        <v>1789</v>
      </c>
      <c r="G23" s="28">
        <v>45956</v>
      </c>
      <c r="H23" s="28">
        <v>46008</v>
      </c>
      <c r="I23" s="22" t="s">
        <v>1780</v>
      </c>
      <c r="J23" t="s">
        <v>1807</v>
      </c>
      <c r="K23" s="22">
        <v>71</v>
      </c>
      <c r="L23" s="22">
        <v>14</v>
      </c>
      <c r="M23" s="22">
        <v>9</v>
      </c>
      <c r="N23" s="22">
        <v>1</v>
      </c>
      <c r="O23" s="22">
        <v>1</v>
      </c>
      <c r="P23" s="31">
        <f t="shared" si="0"/>
        <v>1</v>
      </c>
      <c r="Q23" s="22">
        <f t="shared" si="1"/>
        <v>52</v>
      </c>
      <c r="R23" s="34">
        <v>12000</v>
      </c>
    </row>
    <row r="24" spans="1:18" x14ac:dyDescent="0.3">
      <c r="A24" s="22" t="s">
        <v>1813</v>
      </c>
      <c r="B24" t="s">
        <v>42</v>
      </c>
      <c r="C24" t="s">
        <v>576</v>
      </c>
      <c r="D24" s="22" t="s">
        <v>24</v>
      </c>
      <c r="E24" s="22" t="s">
        <v>61</v>
      </c>
      <c r="F24" t="s">
        <v>1783</v>
      </c>
      <c r="G24" s="28">
        <v>45956</v>
      </c>
      <c r="I24" s="22" t="s">
        <v>1793</v>
      </c>
      <c r="K24" s="22">
        <v>145</v>
      </c>
      <c r="L24" s="22">
        <v>40</v>
      </c>
      <c r="M24" s="22">
        <v>23</v>
      </c>
      <c r="N24" s="22">
        <v>0</v>
      </c>
      <c r="O24" s="22">
        <v>0</v>
      </c>
      <c r="P24" s="31" t="str">
        <f t="shared" si="0"/>
        <v/>
      </c>
      <c r="Q24" s="22">
        <f t="shared" si="1"/>
        <v>339</v>
      </c>
    </row>
    <row r="25" spans="1:18" x14ac:dyDescent="0.3">
      <c r="A25" s="22" t="s">
        <v>1814</v>
      </c>
      <c r="B25" t="s">
        <v>42</v>
      </c>
      <c r="C25" t="s">
        <v>238</v>
      </c>
      <c r="D25" s="22" t="s">
        <v>26</v>
      </c>
      <c r="E25" s="22" t="s">
        <v>59</v>
      </c>
      <c r="F25" t="s">
        <v>1789</v>
      </c>
      <c r="G25" s="28">
        <v>45961</v>
      </c>
      <c r="I25" s="22" t="s">
        <v>1793</v>
      </c>
      <c r="K25" s="22">
        <v>91</v>
      </c>
      <c r="L25" s="22">
        <v>12</v>
      </c>
      <c r="M25" s="22">
        <v>7</v>
      </c>
      <c r="N25" s="22">
        <v>1</v>
      </c>
      <c r="O25" s="22">
        <v>0</v>
      </c>
      <c r="P25" s="31">
        <f t="shared" si="0"/>
        <v>0</v>
      </c>
      <c r="Q25" s="22">
        <f t="shared" si="1"/>
        <v>334</v>
      </c>
    </row>
    <row r="26" spans="1:18" x14ac:dyDescent="0.3">
      <c r="A26" s="22" t="s">
        <v>1815</v>
      </c>
      <c r="B26" t="s">
        <v>41</v>
      </c>
      <c r="C26" t="s">
        <v>890</v>
      </c>
      <c r="D26" s="22" t="s">
        <v>22</v>
      </c>
      <c r="E26" s="22" t="s">
        <v>60</v>
      </c>
      <c r="F26" t="s">
        <v>1779</v>
      </c>
      <c r="G26" s="28">
        <v>45962</v>
      </c>
      <c r="H26" s="28">
        <v>45992</v>
      </c>
      <c r="I26" s="22" t="s">
        <v>1780</v>
      </c>
      <c r="J26" t="s">
        <v>1807</v>
      </c>
      <c r="K26" s="22">
        <v>93</v>
      </c>
      <c r="L26" s="22">
        <v>25</v>
      </c>
      <c r="M26" s="22">
        <v>15</v>
      </c>
      <c r="N26" s="22">
        <v>2</v>
      </c>
      <c r="O26" s="22">
        <v>1</v>
      </c>
      <c r="P26" s="31">
        <f t="shared" si="0"/>
        <v>0.5</v>
      </c>
      <c r="Q26" s="22">
        <f t="shared" si="1"/>
        <v>30</v>
      </c>
      <c r="R26" s="34">
        <v>12000</v>
      </c>
    </row>
    <row r="27" spans="1:18" x14ac:dyDescent="0.3">
      <c r="A27" s="22" t="s">
        <v>1816</v>
      </c>
      <c r="B27" t="s">
        <v>39</v>
      </c>
      <c r="C27" t="s">
        <v>183</v>
      </c>
      <c r="D27" s="22" t="s">
        <v>28</v>
      </c>
      <c r="E27" s="22" t="s">
        <v>61</v>
      </c>
      <c r="F27" t="s">
        <v>1779</v>
      </c>
      <c r="G27" s="28">
        <v>45964</v>
      </c>
      <c r="H27" s="28">
        <v>46008</v>
      </c>
      <c r="I27" s="22" t="s">
        <v>1780</v>
      </c>
      <c r="J27" t="s">
        <v>1781</v>
      </c>
      <c r="K27" s="22">
        <v>248</v>
      </c>
      <c r="L27" s="22">
        <v>57</v>
      </c>
      <c r="M27" s="22">
        <v>33</v>
      </c>
      <c r="N27" s="22">
        <v>3</v>
      </c>
      <c r="O27" s="22">
        <v>1</v>
      </c>
      <c r="P27" s="31">
        <f t="shared" si="0"/>
        <v>0.33333333333333331</v>
      </c>
      <c r="Q27" s="22">
        <f t="shared" si="1"/>
        <v>44</v>
      </c>
      <c r="R27" s="34">
        <v>18000</v>
      </c>
    </row>
    <row r="28" spans="1:18" x14ac:dyDescent="0.3">
      <c r="A28" s="22" t="s">
        <v>1817</v>
      </c>
      <c r="B28" t="s">
        <v>46</v>
      </c>
      <c r="C28" t="s">
        <v>671</v>
      </c>
      <c r="D28" s="22" t="s">
        <v>24</v>
      </c>
      <c r="E28" s="22" t="s">
        <v>60</v>
      </c>
      <c r="F28" t="s">
        <v>1783</v>
      </c>
      <c r="G28" s="28">
        <v>45972</v>
      </c>
      <c r="I28" s="22" t="s">
        <v>1793</v>
      </c>
      <c r="K28" s="22">
        <v>142</v>
      </c>
      <c r="L28" s="22">
        <v>34</v>
      </c>
      <c r="M28" s="22">
        <v>17</v>
      </c>
      <c r="N28" s="22">
        <v>0</v>
      </c>
      <c r="O28" s="22">
        <v>0</v>
      </c>
      <c r="P28" s="31" t="str">
        <f t="shared" si="0"/>
        <v/>
      </c>
      <c r="Q28" s="22">
        <f t="shared" si="1"/>
        <v>323</v>
      </c>
    </row>
    <row r="29" spans="1:18" x14ac:dyDescent="0.3">
      <c r="A29" s="22" t="s">
        <v>1818</v>
      </c>
      <c r="B29" t="s">
        <v>40</v>
      </c>
      <c r="C29" t="s">
        <v>219</v>
      </c>
      <c r="D29" s="22" t="s">
        <v>26</v>
      </c>
      <c r="E29" s="22" t="s">
        <v>61</v>
      </c>
      <c r="F29" t="s">
        <v>1789</v>
      </c>
      <c r="G29" s="28">
        <v>45973</v>
      </c>
      <c r="H29" s="28">
        <v>46004</v>
      </c>
      <c r="I29" s="22" t="s">
        <v>1780</v>
      </c>
      <c r="J29" t="s">
        <v>1787</v>
      </c>
      <c r="K29" s="22">
        <v>187</v>
      </c>
      <c r="L29" s="22">
        <v>53</v>
      </c>
      <c r="M29" s="22">
        <v>23</v>
      </c>
      <c r="N29" s="22">
        <v>1</v>
      </c>
      <c r="O29" s="22">
        <v>1</v>
      </c>
      <c r="P29" s="31">
        <f t="shared" si="0"/>
        <v>1</v>
      </c>
      <c r="Q29" s="22">
        <f t="shared" si="1"/>
        <v>31</v>
      </c>
      <c r="R29" s="34">
        <v>25000</v>
      </c>
    </row>
    <row r="30" spans="1:18" x14ac:dyDescent="0.3">
      <c r="A30" s="22" t="s">
        <v>1819</v>
      </c>
      <c r="B30" t="s">
        <v>44</v>
      </c>
      <c r="C30" t="s">
        <v>263</v>
      </c>
      <c r="D30" s="22" t="s">
        <v>26</v>
      </c>
      <c r="E30" s="22" t="s">
        <v>60</v>
      </c>
      <c r="F30" t="s">
        <v>1792</v>
      </c>
      <c r="G30" s="28">
        <v>45973</v>
      </c>
      <c r="I30" s="22" t="s">
        <v>1793</v>
      </c>
      <c r="K30" s="22">
        <v>62</v>
      </c>
      <c r="L30" s="22">
        <v>8</v>
      </c>
      <c r="M30" s="22">
        <v>5</v>
      </c>
      <c r="N30" s="22">
        <v>0</v>
      </c>
      <c r="O30" s="22">
        <v>0</v>
      </c>
      <c r="P30" s="31" t="str">
        <f t="shared" si="0"/>
        <v/>
      </c>
      <c r="Q30" s="22">
        <f t="shared" si="1"/>
        <v>322</v>
      </c>
    </row>
    <row r="31" spans="1:18" x14ac:dyDescent="0.3">
      <c r="A31" s="22" t="s">
        <v>1820</v>
      </c>
      <c r="B31" t="s">
        <v>48</v>
      </c>
      <c r="C31" t="s">
        <v>686</v>
      </c>
      <c r="D31" s="22" t="s">
        <v>24</v>
      </c>
      <c r="E31" s="22" t="s">
        <v>60</v>
      </c>
      <c r="F31" t="s">
        <v>1783</v>
      </c>
      <c r="G31" s="28">
        <v>45973</v>
      </c>
      <c r="H31" s="28">
        <v>46018</v>
      </c>
      <c r="I31" s="22" t="s">
        <v>1780</v>
      </c>
      <c r="J31" t="s">
        <v>1781</v>
      </c>
      <c r="K31" s="22">
        <v>120</v>
      </c>
      <c r="L31" s="22">
        <v>20</v>
      </c>
      <c r="M31" s="22">
        <v>8</v>
      </c>
      <c r="N31" s="22">
        <v>1</v>
      </c>
      <c r="O31" s="22">
        <v>1</v>
      </c>
      <c r="P31" s="31">
        <f t="shared" si="0"/>
        <v>1</v>
      </c>
      <c r="Q31" s="22">
        <f t="shared" si="1"/>
        <v>45</v>
      </c>
      <c r="R31" s="34">
        <v>18000</v>
      </c>
    </row>
    <row r="32" spans="1:18" x14ac:dyDescent="0.3">
      <c r="A32" s="22" t="s">
        <v>1821</v>
      </c>
      <c r="B32" t="s">
        <v>46</v>
      </c>
      <c r="C32" t="s">
        <v>671</v>
      </c>
      <c r="D32" s="22" t="s">
        <v>24</v>
      </c>
      <c r="E32" s="22" t="s">
        <v>60</v>
      </c>
      <c r="F32" t="s">
        <v>1789</v>
      </c>
      <c r="G32" s="28">
        <v>45974</v>
      </c>
      <c r="I32" s="22" t="s">
        <v>1796</v>
      </c>
      <c r="K32" s="22">
        <v>184</v>
      </c>
      <c r="L32" s="22">
        <v>51</v>
      </c>
      <c r="M32" s="22">
        <v>33</v>
      </c>
      <c r="N32" s="22">
        <v>0</v>
      </c>
      <c r="O32" s="22">
        <v>0</v>
      </c>
      <c r="P32" s="31" t="str">
        <f t="shared" si="0"/>
        <v/>
      </c>
      <c r="Q32" s="22" t="str">
        <f t="shared" si="1"/>
        <v/>
      </c>
    </row>
    <row r="33" spans="1:18" x14ac:dyDescent="0.3">
      <c r="A33" s="22" t="s">
        <v>1822</v>
      </c>
      <c r="B33" t="s">
        <v>40</v>
      </c>
      <c r="C33" t="s">
        <v>219</v>
      </c>
      <c r="D33" s="22" t="s">
        <v>26</v>
      </c>
      <c r="E33" s="22" t="s">
        <v>60</v>
      </c>
      <c r="F33" t="s">
        <v>1779</v>
      </c>
      <c r="G33" s="28">
        <v>45977</v>
      </c>
      <c r="H33" s="28">
        <v>46020</v>
      </c>
      <c r="I33" s="22" t="s">
        <v>1780</v>
      </c>
      <c r="J33" t="s">
        <v>1807</v>
      </c>
      <c r="K33" s="22">
        <v>112</v>
      </c>
      <c r="L33" s="22">
        <v>28</v>
      </c>
      <c r="M33" s="22">
        <v>18</v>
      </c>
      <c r="N33" s="22">
        <v>1</v>
      </c>
      <c r="O33" s="22">
        <v>1</v>
      </c>
      <c r="P33" s="31">
        <f t="shared" si="0"/>
        <v>1</v>
      </c>
      <c r="Q33" s="22">
        <f t="shared" si="1"/>
        <v>43</v>
      </c>
      <c r="R33" s="34">
        <v>12000</v>
      </c>
    </row>
    <row r="34" spans="1:18" x14ac:dyDescent="0.3">
      <c r="A34" s="22" t="s">
        <v>1823</v>
      </c>
      <c r="B34" t="s">
        <v>40</v>
      </c>
      <c r="C34" t="s">
        <v>902</v>
      </c>
      <c r="D34" s="22" t="s">
        <v>22</v>
      </c>
      <c r="E34" s="22" t="s">
        <v>60</v>
      </c>
      <c r="F34" t="s">
        <v>1792</v>
      </c>
      <c r="G34" s="28">
        <v>45984</v>
      </c>
      <c r="I34" s="22" t="s">
        <v>1793</v>
      </c>
      <c r="K34" s="22">
        <v>49</v>
      </c>
      <c r="L34" s="22">
        <v>10</v>
      </c>
      <c r="M34" s="22">
        <v>4</v>
      </c>
      <c r="N34" s="22">
        <v>0</v>
      </c>
      <c r="O34" s="22">
        <v>0</v>
      </c>
      <c r="P34" s="31" t="str">
        <f t="shared" ref="P34:P65" si="2">IF(N34=0,"",O34/N34)</f>
        <v/>
      </c>
      <c r="Q34" s="22">
        <f t="shared" ref="Q34:Q65" si="3">IF(I34="Filled",H34-G34,IF(I34="Open",AsOf-G34,""))</f>
        <v>311</v>
      </c>
    </row>
    <row r="35" spans="1:18" x14ac:dyDescent="0.3">
      <c r="A35" s="22" t="s">
        <v>1824</v>
      </c>
      <c r="B35" t="s">
        <v>40</v>
      </c>
      <c r="C35" t="s">
        <v>550</v>
      </c>
      <c r="D35" s="22" t="s">
        <v>24</v>
      </c>
      <c r="E35" s="22" t="s">
        <v>60</v>
      </c>
      <c r="F35" t="s">
        <v>1783</v>
      </c>
      <c r="G35" s="28">
        <v>45985</v>
      </c>
      <c r="I35" s="22" t="s">
        <v>1793</v>
      </c>
      <c r="K35" s="22">
        <v>228</v>
      </c>
      <c r="L35" s="22">
        <v>65</v>
      </c>
      <c r="M35" s="22">
        <v>34</v>
      </c>
      <c r="N35" s="22">
        <v>0</v>
      </c>
      <c r="O35" s="22">
        <v>0</v>
      </c>
      <c r="P35" s="31" t="str">
        <f t="shared" si="2"/>
        <v/>
      </c>
      <c r="Q35" s="22">
        <f t="shared" si="3"/>
        <v>310</v>
      </c>
    </row>
    <row r="36" spans="1:18" x14ac:dyDescent="0.3">
      <c r="A36" s="22" t="s">
        <v>1825</v>
      </c>
      <c r="B36" t="s">
        <v>40</v>
      </c>
      <c r="C36" t="s">
        <v>219</v>
      </c>
      <c r="D36" s="22" t="s">
        <v>26</v>
      </c>
      <c r="E36" s="22" t="s">
        <v>60</v>
      </c>
      <c r="F36" t="s">
        <v>1789</v>
      </c>
      <c r="G36" s="28">
        <v>45985</v>
      </c>
      <c r="I36" s="22" t="s">
        <v>1793</v>
      </c>
      <c r="K36" s="22">
        <v>80</v>
      </c>
      <c r="L36" s="22">
        <v>10</v>
      </c>
      <c r="M36" s="22">
        <v>4</v>
      </c>
      <c r="N36" s="22">
        <v>0</v>
      </c>
      <c r="O36" s="22">
        <v>0</v>
      </c>
      <c r="P36" s="31" t="str">
        <f t="shared" si="2"/>
        <v/>
      </c>
      <c r="Q36" s="22">
        <f t="shared" si="3"/>
        <v>310</v>
      </c>
    </row>
    <row r="37" spans="1:18" x14ac:dyDescent="0.3">
      <c r="A37" s="22" t="s">
        <v>1826</v>
      </c>
      <c r="B37" t="s">
        <v>48</v>
      </c>
      <c r="C37" t="s">
        <v>1206</v>
      </c>
      <c r="D37" s="22" t="s">
        <v>32</v>
      </c>
      <c r="E37" s="22" t="s">
        <v>60</v>
      </c>
      <c r="F37" t="s">
        <v>1783</v>
      </c>
      <c r="G37" s="28">
        <v>45989</v>
      </c>
      <c r="I37" s="22" t="s">
        <v>1793</v>
      </c>
      <c r="K37" s="22">
        <v>223</v>
      </c>
      <c r="L37" s="22">
        <v>55</v>
      </c>
      <c r="M37" s="22">
        <v>35</v>
      </c>
      <c r="N37" s="22">
        <v>0</v>
      </c>
      <c r="O37" s="22">
        <v>0</v>
      </c>
      <c r="P37" s="31" t="str">
        <f t="shared" si="2"/>
        <v/>
      </c>
      <c r="Q37" s="22">
        <f t="shared" si="3"/>
        <v>306</v>
      </c>
    </row>
    <row r="38" spans="1:18" x14ac:dyDescent="0.3">
      <c r="A38" s="22" t="s">
        <v>1827</v>
      </c>
      <c r="B38" t="s">
        <v>40</v>
      </c>
      <c r="C38" t="s">
        <v>219</v>
      </c>
      <c r="D38" s="22" t="s">
        <v>26</v>
      </c>
      <c r="E38" s="22" t="s">
        <v>61</v>
      </c>
      <c r="F38" t="s">
        <v>1779</v>
      </c>
      <c r="G38" s="28">
        <v>45992</v>
      </c>
      <c r="H38" s="28">
        <v>46038</v>
      </c>
      <c r="I38" s="22" t="s">
        <v>1780</v>
      </c>
      <c r="J38" t="s">
        <v>1787</v>
      </c>
      <c r="K38" s="22">
        <v>52</v>
      </c>
      <c r="L38" s="22">
        <v>11</v>
      </c>
      <c r="M38" s="22">
        <v>4</v>
      </c>
      <c r="N38" s="22">
        <v>3</v>
      </c>
      <c r="O38" s="22">
        <v>1</v>
      </c>
      <c r="P38" s="31">
        <f t="shared" si="2"/>
        <v>0.33333333333333331</v>
      </c>
      <c r="Q38" s="22">
        <f t="shared" si="3"/>
        <v>46</v>
      </c>
      <c r="R38" s="34">
        <v>25000</v>
      </c>
    </row>
    <row r="39" spans="1:18" x14ac:dyDescent="0.3">
      <c r="A39" s="22" t="s">
        <v>1828</v>
      </c>
      <c r="B39" t="s">
        <v>39</v>
      </c>
      <c r="C39" t="s">
        <v>183</v>
      </c>
      <c r="D39" s="22" t="s">
        <v>28</v>
      </c>
      <c r="E39" s="22" t="s">
        <v>61</v>
      </c>
      <c r="F39" t="s">
        <v>1789</v>
      </c>
      <c r="G39" s="28">
        <v>45995</v>
      </c>
      <c r="I39" s="22" t="s">
        <v>1793</v>
      </c>
      <c r="K39" s="22">
        <v>81</v>
      </c>
      <c r="L39" s="22">
        <v>14</v>
      </c>
      <c r="M39" s="22">
        <v>5</v>
      </c>
      <c r="N39" s="22">
        <v>1</v>
      </c>
      <c r="O39" s="22">
        <v>0</v>
      </c>
      <c r="P39" s="31">
        <f t="shared" si="2"/>
        <v>0</v>
      </c>
      <c r="Q39" s="22">
        <f t="shared" si="3"/>
        <v>300</v>
      </c>
    </row>
    <row r="40" spans="1:18" x14ac:dyDescent="0.3">
      <c r="A40" s="22" t="s">
        <v>1829</v>
      </c>
      <c r="B40" t="s">
        <v>40</v>
      </c>
      <c r="C40" t="s">
        <v>667</v>
      </c>
      <c r="D40" s="22" t="s">
        <v>32</v>
      </c>
      <c r="E40" s="22" t="s">
        <v>61</v>
      </c>
      <c r="F40" t="s">
        <v>1792</v>
      </c>
      <c r="G40" s="28">
        <v>45998</v>
      </c>
      <c r="H40" s="28">
        <v>46053</v>
      </c>
      <c r="I40" s="22" t="s">
        <v>1780</v>
      </c>
      <c r="J40" t="s">
        <v>1830</v>
      </c>
      <c r="K40" s="22">
        <v>164</v>
      </c>
      <c r="L40" s="22">
        <v>19</v>
      </c>
      <c r="M40" s="22">
        <v>10</v>
      </c>
      <c r="N40" s="22">
        <v>1</v>
      </c>
      <c r="O40" s="22">
        <v>1</v>
      </c>
      <c r="P40" s="31">
        <f t="shared" si="2"/>
        <v>1</v>
      </c>
      <c r="Q40" s="22">
        <f t="shared" si="3"/>
        <v>55</v>
      </c>
      <c r="R40" s="34">
        <v>349860</v>
      </c>
    </row>
    <row r="41" spans="1:18" x14ac:dyDescent="0.3">
      <c r="A41" s="22" t="s">
        <v>1831</v>
      </c>
      <c r="B41" t="s">
        <v>40</v>
      </c>
      <c r="C41" t="s">
        <v>219</v>
      </c>
      <c r="D41" s="22" t="s">
        <v>26</v>
      </c>
      <c r="E41" s="22" t="s">
        <v>61</v>
      </c>
      <c r="F41" t="s">
        <v>1789</v>
      </c>
      <c r="G41" s="28">
        <v>46000</v>
      </c>
      <c r="I41" s="22" t="s">
        <v>1804</v>
      </c>
      <c r="K41" s="22">
        <v>243</v>
      </c>
      <c r="L41" s="22">
        <v>70</v>
      </c>
      <c r="M41" s="22">
        <v>37</v>
      </c>
      <c r="N41" s="22">
        <v>0</v>
      </c>
      <c r="O41" s="22">
        <v>0</v>
      </c>
      <c r="P41" s="31" t="str">
        <f t="shared" si="2"/>
        <v/>
      </c>
      <c r="Q41" s="22" t="str">
        <f t="shared" si="3"/>
        <v/>
      </c>
    </row>
    <row r="42" spans="1:18" x14ac:dyDescent="0.3">
      <c r="A42" s="22" t="s">
        <v>1832</v>
      </c>
      <c r="B42" t="s">
        <v>48</v>
      </c>
      <c r="C42" t="s">
        <v>162</v>
      </c>
      <c r="D42" s="22" t="s">
        <v>30</v>
      </c>
      <c r="E42" s="22" t="s">
        <v>61</v>
      </c>
      <c r="F42" t="s">
        <v>1789</v>
      </c>
      <c r="G42" s="28">
        <v>46007</v>
      </c>
      <c r="H42" s="28">
        <v>46069</v>
      </c>
      <c r="I42" s="22" t="s">
        <v>1780</v>
      </c>
      <c r="J42" t="s">
        <v>1787</v>
      </c>
      <c r="K42" s="22">
        <v>54</v>
      </c>
      <c r="L42" s="22">
        <v>14</v>
      </c>
      <c r="M42" s="22">
        <v>9</v>
      </c>
      <c r="N42" s="22">
        <v>2</v>
      </c>
      <c r="O42" s="22">
        <v>1</v>
      </c>
      <c r="P42" s="31">
        <f t="shared" si="2"/>
        <v>0.5</v>
      </c>
      <c r="Q42" s="22">
        <f t="shared" si="3"/>
        <v>62</v>
      </c>
      <c r="R42" s="34">
        <v>25000</v>
      </c>
    </row>
    <row r="43" spans="1:18" x14ac:dyDescent="0.3">
      <c r="A43" s="22" t="s">
        <v>1833</v>
      </c>
      <c r="B43" t="s">
        <v>41</v>
      </c>
      <c r="C43" t="s">
        <v>560</v>
      </c>
      <c r="D43" s="22" t="s">
        <v>24</v>
      </c>
      <c r="E43" s="22" t="s">
        <v>60</v>
      </c>
      <c r="F43" t="s">
        <v>1792</v>
      </c>
      <c r="G43" s="28">
        <v>46007</v>
      </c>
      <c r="H43" s="28">
        <v>46046</v>
      </c>
      <c r="I43" s="22" t="s">
        <v>1780</v>
      </c>
      <c r="J43" t="s">
        <v>1807</v>
      </c>
      <c r="K43" s="22">
        <v>40</v>
      </c>
      <c r="L43" s="22">
        <v>10</v>
      </c>
      <c r="M43" s="22">
        <v>5</v>
      </c>
      <c r="N43" s="22">
        <v>1</v>
      </c>
      <c r="O43" s="22">
        <v>1</v>
      </c>
      <c r="P43" s="31">
        <f t="shared" si="2"/>
        <v>1</v>
      </c>
      <c r="Q43" s="22">
        <f t="shared" si="3"/>
        <v>39</v>
      </c>
      <c r="R43" s="34">
        <v>12000</v>
      </c>
    </row>
    <row r="44" spans="1:18" x14ac:dyDescent="0.3">
      <c r="A44" s="22" t="s">
        <v>1834</v>
      </c>
      <c r="B44" t="s">
        <v>48</v>
      </c>
      <c r="C44" t="s">
        <v>915</v>
      </c>
      <c r="D44" s="22" t="s">
        <v>28</v>
      </c>
      <c r="E44" s="22" t="s">
        <v>61</v>
      </c>
      <c r="F44" t="s">
        <v>1779</v>
      </c>
      <c r="G44" s="28">
        <v>46008</v>
      </c>
      <c r="H44" s="28">
        <v>46073</v>
      </c>
      <c r="I44" s="22" t="s">
        <v>1780</v>
      </c>
      <c r="J44" t="s">
        <v>1830</v>
      </c>
      <c r="K44" s="22">
        <v>197</v>
      </c>
      <c r="L44" s="22">
        <v>31</v>
      </c>
      <c r="M44" s="22">
        <v>16</v>
      </c>
      <c r="N44" s="22">
        <v>1</v>
      </c>
      <c r="O44" s="22">
        <v>1</v>
      </c>
      <c r="P44" s="31">
        <f t="shared" si="2"/>
        <v>1</v>
      </c>
      <c r="Q44" s="22">
        <f t="shared" si="3"/>
        <v>65</v>
      </c>
      <c r="R44" s="34">
        <v>141610</v>
      </c>
    </row>
    <row r="45" spans="1:18" x14ac:dyDescent="0.3">
      <c r="A45" s="22" t="s">
        <v>1835</v>
      </c>
      <c r="B45" t="s">
        <v>43</v>
      </c>
      <c r="C45" t="s">
        <v>408</v>
      </c>
      <c r="D45" s="22" t="s">
        <v>26</v>
      </c>
      <c r="E45" s="22" t="s">
        <v>61</v>
      </c>
      <c r="F45" t="s">
        <v>1783</v>
      </c>
      <c r="G45" s="28">
        <v>46010</v>
      </c>
      <c r="I45" s="22" t="s">
        <v>1793</v>
      </c>
      <c r="K45" s="22">
        <v>116</v>
      </c>
      <c r="L45" s="22">
        <v>32</v>
      </c>
      <c r="M45" s="22">
        <v>12</v>
      </c>
      <c r="N45" s="22">
        <v>0</v>
      </c>
      <c r="O45" s="22">
        <v>0</v>
      </c>
      <c r="P45" s="31" t="str">
        <f t="shared" si="2"/>
        <v/>
      </c>
      <c r="Q45" s="22">
        <f t="shared" si="3"/>
        <v>285</v>
      </c>
    </row>
    <row r="46" spans="1:18" x14ac:dyDescent="0.3">
      <c r="A46" s="22" t="s">
        <v>1836</v>
      </c>
      <c r="B46" t="s">
        <v>44</v>
      </c>
      <c r="C46" t="s">
        <v>263</v>
      </c>
      <c r="D46" s="22" t="s">
        <v>26</v>
      </c>
      <c r="E46" s="22" t="s">
        <v>60</v>
      </c>
      <c r="F46" t="s">
        <v>1783</v>
      </c>
      <c r="G46" s="28">
        <v>46012</v>
      </c>
      <c r="I46" s="22" t="s">
        <v>1793</v>
      </c>
      <c r="K46" s="22">
        <v>90</v>
      </c>
      <c r="L46" s="22">
        <v>24</v>
      </c>
      <c r="M46" s="22">
        <v>13</v>
      </c>
      <c r="N46" s="22">
        <v>0</v>
      </c>
      <c r="O46" s="22">
        <v>0</v>
      </c>
      <c r="P46" s="31" t="str">
        <f t="shared" si="2"/>
        <v/>
      </c>
      <c r="Q46" s="22">
        <f t="shared" si="3"/>
        <v>283</v>
      </c>
    </row>
    <row r="47" spans="1:18" x14ac:dyDescent="0.3">
      <c r="A47" s="22" t="s">
        <v>1837</v>
      </c>
      <c r="B47" t="s">
        <v>39</v>
      </c>
      <c r="C47" t="s">
        <v>105</v>
      </c>
      <c r="D47" s="22" t="s">
        <v>30</v>
      </c>
      <c r="E47" s="22" t="s">
        <v>61</v>
      </c>
      <c r="F47" t="s">
        <v>1783</v>
      </c>
      <c r="G47" s="28">
        <v>46012</v>
      </c>
      <c r="I47" s="22" t="s">
        <v>1793</v>
      </c>
      <c r="K47" s="22">
        <v>227</v>
      </c>
      <c r="L47" s="22">
        <v>36</v>
      </c>
      <c r="M47" s="22">
        <v>24</v>
      </c>
      <c r="N47" s="22">
        <v>0</v>
      </c>
      <c r="O47" s="22">
        <v>0</v>
      </c>
      <c r="P47" s="31" t="str">
        <f t="shared" si="2"/>
        <v/>
      </c>
      <c r="Q47" s="22">
        <f t="shared" si="3"/>
        <v>283</v>
      </c>
    </row>
    <row r="48" spans="1:18" x14ac:dyDescent="0.3">
      <c r="A48" s="22" t="s">
        <v>1838</v>
      </c>
      <c r="B48" t="s">
        <v>39</v>
      </c>
      <c r="C48" t="s">
        <v>183</v>
      </c>
      <c r="D48" s="22" t="s">
        <v>28</v>
      </c>
      <c r="E48" s="22" t="s">
        <v>59</v>
      </c>
      <c r="F48" t="s">
        <v>1783</v>
      </c>
      <c r="G48" s="28">
        <v>46015</v>
      </c>
      <c r="H48" s="28">
        <v>46061</v>
      </c>
      <c r="I48" s="22" t="s">
        <v>1780</v>
      </c>
      <c r="J48" t="s">
        <v>1781</v>
      </c>
      <c r="K48" s="22">
        <v>166</v>
      </c>
      <c r="L48" s="22">
        <v>31</v>
      </c>
      <c r="M48" s="22">
        <v>17</v>
      </c>
      <c r="N48" s="22">
        <v>1</v>
      </c>
      <c r="O48" s="22">
        <v>1</v>
      </c>
      <c r="P48" s="31">
        <f t="shared" si="2"/>
        <v>1</v>
      </c>
      <c r="Q48" s="22">
        <f t="shared" si="3"/>
        <v>46</v>
      </c>
      <c r="R48" s="34">
        <v>18000</v>
      </c>
    </row>
    <row r="49" spans="1:18" x14ac:dyDescent="0.3">
      <c r="A49" s="22" t="s">
        <v>1839</v>
      </c>
      <c r="B49" t="s">
        <v>39</v>
      </c>
      <c r="C49" t="s">
        <v>911</v>
      </c>
      <c r="D49" s="22" t="s">
        <v>22</v>
      </c>
      <c r="E49" s="22" t="s">
        <v>60</v>
      </c>
      <c r="F49" t="s">
        <v>1779</v>
      </c>
      <c r="G49" s="28">
        <v>46020</v>
      </c>
      <c r="I49" s="22" t="s">
        <v>1793</v>
      </c>
      <c r="K49" s="22">
        <v>41</v>
      </c>
      <c r="L49" s="22">
        <v>7</v>
      </c>
      <c r="M49" s="22">
        <v>3</v>
      </c>
      <c r="N49" s="22">
        <v>0</v>
      </c>
      <c r="O49" s="22">
        <v>0</v>
      </c>
      <c r="P49" s="31" t="str">
        <f t="shared" si="2"/>
        <v/>
      </c>
      <c r="Q49" s="22">
        <f t="shared" si="3"/>
        <v>275</v>
      </c>
    </row>
    <row r="50" spans="1:18" x14ac:dyDescent="0.3">
      <c r="A50" s="22" t="s">
        <v>1840</v>
      </c>
      <c r="B50" t="s">
        <v>44</v>
      </c>
      <c r="C50" t="s">
        <v>625</v>
      </c>
      <c r="D50" s="22" t="s">
        <v>24</v>
      </c>
      <c r="E50" s="22" t="s">
        <v>60</v>
      </c>
      <c r="F50" t="s">
        <v>1783</v>
      </c>
      <c r="G50" s="28">
        <v>46027</v>
      </c>
      <c r="H50" s="28">
        <v>46071</v>
      </c>
      <c r="I50" s="22" t="s">
        <v>1780</v>
      </c>
      <c r="J50" t="s">
        <v>1787</v>
      </c>
      <c r="K50" s="22">
        <v>211</v>
      </c>
      <c r="L50" s="22">
        <v>33</v>
      </c>
      <c r="M50" s="22">
        <v>13</v>
      </c>
      <c r="N50" s="22">
        <v>1</v>
      </c>
      <c r="O50" s="22">
        <v>1</v>
      </c>
      <c r="P50" s="31">
        <f t="shared" si="2"/>
        <v>1</v>
      </c>
      <c r="Q50" s="22">
        <f t="shared" si="3"/>
        <v>44</v>
      </c>
      <c r="R50" s="34">
        <v>25000</v>
      </c>
    </row>
    <row r="51" spans="1:18" x14ac:dyDescent="0.3">
      <c r="A51" s="22" t="s">
        <v>1841</v>
      </c>
      <c r="B51" t="s">
        <v>39</v>
      </c>
      <c r="C51" t="s">
        <v>183</v>
      </c>
      <c r="D51" s="22" t="s">
        <v>28</v>
      </c>
      <c r="E51" s="22" t="s">
        <v>60</v>
      </c>
      <c r="F51" t="s">
        <v>1789</v>
      </c>
      <c r="G51" s="28">
        <v>46030</v>
      </c>
      <c r="H51" s="28">
        <v>46092</v>
      </c>
      <c r="I51" s="22" t="s">
        <v>1780</v>
      </c>
      <c r="J51" t="s">
        <v>1785</v>
      </c>
      <c r="K51" s="22">
        <v>125</v>
      </c>
      <c r="L51" s="22">
        <v>28</v>
      </c>
      <c r="M51" s="22">
        <v>17</v>
      </c>
      <c r="N51" s="22">
        <v>1</v>
      </c>
      <c r="O51" s="22">
        <v>1</v>
      </c>
      <c r="P51" s="31">
        <f t="shared" si="2"/>
        <v>1</v>
      </c>
      <c r="Q51" s="22">
        <f t="shared" si="3"/>
        <v>62</v>
      </c>
      <c r="R51" s="34">
        <v>15000</v>
      </c>
    </row>
    <row r="52" spans="1:18" x14ac:dyDescent="0.3">
      <c r="A52" s="22" t="s">
        <v>1842</v>
      </c>
      <c r="B52" t="s">
        <v>39</v>
      </c>
      <c r="C52" t="s">
        <v>911</v>
      </c>
      <c r="D52" s="22" t="s">
        <v>22</v>
      </c>
      <c r="E52" s="22" t="s">
        <v>60</v>
      </c>
      <c r="F52" t="s">
        <v>1792</v>
      </c>
      <c r="G52" s="28">
        <v>46033</v>
      </c>
      <c r="H52" s="28">
        <v>46071</v>
      </c>
      <c r="I52" s="22" t="s">
        <v>1780</v>
      </c>
      <c r="J52" t="s">
        <v>1781</v>
      </c>
      <c r="K52" s="22">
        <v>42</v>
      </c>
      <c r="L52" s="22">
        <v>5</v>
      </c>
      <c r="M52" s="22">
        <v>3</v>
      </c>
      <c r="N52" s="22">
        <v>2</v>
      </c>
      <c r="O52" s="22">
        <v>1</v>
      </c>
      <c r="P52" s="31">
        <f t="shared" si="2"/>
        <v>0.5</v>
      </c>
      <c r="Q52" s="22">
        <f t="shared" si="3"/>
        <v>38</v>
      </c>
      <c r="R52" s="34">
        <v>18000</v>
      </c>
    </row>
    <row r="53" spans="1:18" x14ac:dyDescent="0.3">
      <c r="A53" s="22" t="s">
        <v>1843</v>
      </c>
      <c r="B53" t="s">
        <v>45</v>
      </c>
      <c r="C53" t="s">
        <v>947</v>
      </c>
      <c r="D53" s="22" t="s">
        <v>22</v>
      </c>
      <c r="E53" s="22" t="s">
        <v>61</v>
      </c>
      <c r="F53" t="s">
        <v>1783</v>
      </c>
      <c r="G53" s="28">
        <v>46034</v>
      </c>
      <c r="H53" s="28">
        <v>46063</v>
      </c>
      <c r="I53" s="22" t="s">
        <v>1780</v>
      </c>
      <c r="J53" t="s">
        <v>1830</v>
      </c>
      <c r="K53" s="22">
        <v>252</v>
      </c>
      <c r="L53" s="22">
        <v>45</v>
      </c>
      <c r="M53" s="22">
        <v>18</v>
      </c>
      <c r="N53" s="22">
        <v>1</v>
      </c>
      <c r="O53" s="22">
        <v>1</v>
      </c>
      <c r="P53" s="31">
        <f t="shared" si="2"/>
        <v>1</v>
      </c>
      <c r="Q53" s="22">
        <f t="shared" si="3"/>
        <v>29</v>
      </c>
      <c r="R53" s="34">
        <v>29155</v>
      </c>
    </row>
    <row r="54" spans="1:18" x14ac:dyDescent="0.3">
      <c r="A54" s="22" t="s">
        <v>1844</v>
      </c>
      <c r="B54" t="s">
        <v>39</v>
      </c>
      <c r="C54" t="s">
        <v>244</v>
      </c>
      <c r="D54" s="22" t="s">
        <v>26</v>
      </c>
      <c r="E54" s="22" t="s">
        <v>60</v>
      </c>
      <c r="F54" t="s">
        <v>1779</v>
      </c>
      <c r="G54" s="28">
        <v>46035</v>
      </c>
      <c r="H54" s="28">
        <v>46074</v>
      </c>
      <c r="I54" s="22" t="s">
        <v>1780</v>
      </c>
      <c r="J54" t="s">
        <v>1785</v>
      </c>
      <c r="K54" s="22">
        <v>136</v>
      </c>
      <c r="L54" s="22">
        <v>20</v>
      </c>
      <c r="M54" s="22">
        <v>12</v>
      </c>
      <c r="N54" s="22">
        <v>1</v>
      </c>
      <c r="O54" s="22">
        <v>1</v>
      </c>
      <c r="P54" s="31">
        <f t="shared" si="2"/>
        <v>1</v>
      </c>
      <c r="Q54" s="22">
        <f t="shared" si="3"/>
        <v>39</v>
      </c>
      <c r="R54" s="34">
        <v>15000</v>
      </c>
    </row>
    <row r="55" spans="1:18" x14ac:dyDescent="0.3">
      <c r="A55" s="22" t="s">
        <v>1845</v>
      </c>
      <c r="B55" t="s">
        <v>48</v>
      </c>
      <c r="C55" t="s">
        <v>541</v>
      </c>
      <c r="D55" s="22" t="s">
        <v>26</v>
      </c>
      <c r="E55" s="22" t="s">
        <v>59</v>
      </c>
      <c r="F55" t="s">
        <v>1789</v>
      </c>
      <c r="G55" s="28">
        <v>46036</v>
      </c>
      <c r="I55" s="22" t="s">
        <v>1793</v>
      </c>
      <c r="K55" s="22">
        <v>83</v>
      </c>
      <c r="L55" s="22">
        <v>14</v>
      </c>
      <c r="M55" s="22">
        <v>6</v>
      </c>
      <c r="N55" s="22">
        <v>0</v>
      </c>
      <c r="O55" s="22">
        <v>0</v>
      </c>
      <c r="P55" s="31" t="str">
        <f t="shared" si="2"/>
        <v/>
      </c>
      <c r="Q55" s="22">
        <f t="shared" si="3"/>
        <v>259</v>
      </c>
    </row>
    <row r="56" spans="1:18" x14ac:dyDescent="0.3">
      <c r="A56" s="22" t="s">
        <v>1846</v>
      </c>
      <c r="B56" t="s">
        <v>41</v>
      </c>
      <c r="C56" t="s">
        <v>890</v>
      </c>
      <c r="D56" s="22" t="s">
        <v>22</v>
      </c>
      <c r="E56" s="22" t="s">
        <v>61</v>
      </c>
      <c r="F56" t="s">
        <v>1779</v>
      </c>
      <c r="G56" s="28">
        <v>46036</v>
      </c>
      <c r="H56" s="28">
        <v>46063</v>
      </c>
      <c r="I56" s="22" t="s">
        <v>1780</v>
      </c>
      <c r="J56" t="s">
        <v>1785</v>
      </c>
      <c r="K56" s="22">
        <v>35</v>
      </c>
      <c r="L56" s="22">
        <v>7</v>
      </c>
      <c r="M56" s="22">
        <v>3</v>
      </c>
      <c r="N56" s="22">
        <v>2</v>
      </c>
      <c r="O56" s="22">
        <v>1</v>
      </c>
      <c r="P56" s="31">
        <f t="shared" si="2"/>
        <v>0.5</v>
      </c>
      <c r="Q56" s="22">
        <f t="shared" si="3"/>
        <v>27</v>
      </c>
      <c r="R56" s="34">
        <v>15000</v>
      </c>
    </row>
    <row r="57" spans="1:18" x14ac:dyDescent="0.3">
      <c r="A57" s="22" t="s">
        <v>1847</v>
      </c>
      <c r="B57" t="s">
        <v>41</v>
      </c>
      <c r="C57" t="s">
        <v>890</v>
      </c>
      <c r="D57" s="22" t="s">
        <v>22</v>
      </c>
      <c r="E57" s="22" t="s">
        <v>60</v>
      </c>
      <c r="F57" t="s">
        <v>1783</v>
      </c>
      <c r="G57" s="28">
        <v>46036</v>
      </c>
      <c r="H57" s="28">
        <v>46084</v>
      </c>
      <c r="I57" s="22" t="s">
        <v>1780</v>
      </c>
      <c r="J57" t="s">
        <v>1830</v>
      </c>
      <c r="K57" s="22">
        <v>221</v>
      </c>
      <c r="L57" s="22">
        <v>36</v>
      </c>
      <c r="M57" s="22">
        <v>22</v>
      </c>
      <c r="N57" s="22">
        <v>1</v>
      </c>
      <c r="O57" s="22">
        <v>1</v>
      </c>
      <c r="P57" s="31">
        <f t="shared" si="2"/>
        <v>1</v>
      </c>
      <c r="Q57" s="22">
        <f t="shared" si="3"/>
        <v>48</v>
      </c>
      <c r="R57" s="34">
        <v>29155</v>
      </c>
    </row>
    <row r="58" spans="1:18" x14ac:dyDescent="0.3">
      <c r="A58" s="22" t="s">
        <v>1848</v>
      </c>
      <c r="B58" t="s">
        <v>39</v>
      </c>
      <c r="C58" t="s">
        <v>911</v>
      </c>
      <c r="D58" s="22" t="s">
        <v>22</v>
      </c>
      <c r="E58" s="22" t="s">
        <v>60</v>
      </c>
      <c r="F58" t="s">
        <v>1792</v>
      </c>
      <c r="G58" s="28">
        <v>46048</v>
      </c>
      <c r="H58" s="28">
        <v>46065</v>
      </c>
      <c r="I58" s="22" t="s">
        <v>1780</v>
      </c>
      <c r="J58" t="s">
        <v>1849</v>
      </c>
      <c r="K58" s="22">
        <v>63</v>
      </c>
      <c r="L58" s="22">
        <v>18</v>
      </c>
      <c r="M58" s="22">
        <v>9</v>
      </c>
      <c r="N58" s="22">
        <v>1</v>
      </c>
      <c r="O58" s="22">
        <v>1</v>
      </c>
      <c r="P58" s="31">
        <f t="shared" si="2"/>
        <v>1</v>
      </c>
      <c r="Q58" s="22">
        <f t="shared" si="3"/>
        <v>17</v>
      </c>
      <c r="R58" s="34">
        <v>2000</v>
      </c>
    </row>
    <row r="59" spans="1:18" x14ac:dyDescent="0.3">
      <c r="A59" s="22" t="s">
        <v>1850</v>
      </c>
      <c r="B59" t="s">
        <v>43</v>
      </c>
      <c r="C59" t="s">
        <v>408</v>
      </c>
      <c r="D59" s="22" t="s">
        <v>26</v>
      </c>
      <c r="E59" s="22" t="s">
        <v>59</v>
      </c>
      <c r="F59" t="s">
        <v>1792</v>
      </c>
      <c r="G59" s="28">
        <v>46048</v>
      </c>
      <c r="H59" s="28">
        <v>46088</v>
      </c>
      <c r="I59" s="22" t="s">
        <v>1780</v>
      </c>
      <c r="J59" t="s">
        <v>1781</v>
      </c>
      <c r="K59" s="22">
        <v>243</v>
      </c>
      <c r="L59" s="22">
        <v>41</v>
      </c>
      <c r="M59" s="22">
        <v>17</v>
      </c>
      <c r="N59" s="22">
        <v>1</v>
      </c>
      <c r="O59" s="22">
        <v>1</v>
      </c>
      <c r="P59" s="31">
        <f t="shared" si="2"/>
        <v>1</v>
      </c>
      <c r="Q59" s="22">
        <f t="shared" si="3"/>
        <v>40</v>
      </c>
      <c r="R59" s="34">
        <v>18000</v>
      </c>
    </row>
    <row r="60" spans="1:18" x14ac:dyDescent="0.3">
      <c r="A60" s="22" t="s">
        <v>1851</v>
      </c>
      <c r="B60" t="s">
        <v>39</v>
      </c>
      <c r="C60" t="s">
        <v>911</v>
      </c>
      <c r="D60" s="22" t="s">
        <v>22</v>
      </c>
      <c r="E60" s="22" t="s">
        <v>61</v>
      </c>
      <c r="F60" t="s">
        <v>1783</v>
      </c>
      <c r="G60" s="28">
        <v>46049</v>
      </c>
      <c r="H60" s="28">
        <v>46071</v>
      </c>
      <c r="I60" s="22" t="s">
        <v>1780</v>
      </c>
      <c r="J60" t="s">
        <v>1781</v>
      </c>
      <c r="K60" s="22">
        <v>62</v>
      </c>
      <c r="L60" s="22">
        <v>15</v>
      </c>
      <c r="M60" s="22">
        <v>6</v>
      </c>
      <c r="N60" s="22">
        <v>1</v>
      </c>
      <c r="O60" s="22">
        <v>1</v>
      </c>
      <c r="P60" s="31">
        <f t="shared" si="2"/>
        <v>1</v>
      </c>
      <c r="Q60" s="22">
        <f t="shared" si="3"/>
        <v>22</v>
      </c>
      <c r="R60" s="34">
        <v>18000</v>
      </c>
    </row>
    <row r="61" spans="1:18" x14ac:dyDescent="0.3">
      <c r="A61" s="22" t="s">
        <v>1852</v>
      </c>
      <c r="B61" t="s">
        <v>48</v>
      </c>
      <c r="C61" t="s">
        <v>1130</v>
      </c>
      <c r="D61" s="22" t="s">
        <v>22</v>
      </c>
      <c r="E61" s="22" t="s">
        <v>59</v>
      </c>
      <c r="F61" t="s">
        <v>1783</v>
      </c>
      <c r="G61" s="28">
        <v>46050</v>
      </c>
      <c r="I61" s="22" t="s">
        <v>1796</v>
      </c>
      <c r="K61" s="22">
        <v>97</v>
      </c>
      <c r="L61" s="22">
        <v>17</v>
      </c>
      <c r="M61" s="22">
        <v>10</v>
      </c>
      <c r="N61" s="22">
        <v>1</v>
      </c>
      <c r="O61" s="22">
        <v>0</v>
      </c>
      <c r="P61" s="31">
        <f t="shared" si="2"/>
        <v>0</v>
      </c>
      <c r="Q61" s="22" t="str">
        <f t="shared" si="3"/>
        <v/>
      </c>
    </row>
    <row r="62" spans="1:18" x14ac:dyDescent="0.3">
      <c r="A62" s="22" t="s">
        <v>1853</v>
      </c>
      <c r="B62" t="s">
        <v>45</v>
      </c>
      <c r="C62" t="s">
        <v>749</v>
      </c>
      <c r="D62" s="22" t="s">
        <v>24</v>
      </c>
      <c r="E62" s="22" t="s">
        <v>60</v>
      </c>
      <c r="F62" t="s">
        <v>1792</v>
      </c>
      <c r="G62" s="28">
        <v>46051</v>
      </c>
      <c r="I62" s="22" t="s">
        <v>1793</v>
      </c>
      <c r="K62" s="22">
        <v>29</v>
      </c>
      <c r="L62" s="22">
        <v>4</v>
      </c>
      <c r="M62" s="22">
        <v>2</v>
      </c>
      <c r="N62" s="22">
        <v>0</v>
      </c>
      <c r="O62" s="22">
        <v>0</v>
      </c>
      <c r="P62" s="31" t="str">
        <f t="shared" si="2"/>
        <v/>
      </c>
      <c r="Q62" s="22">
        <f t="shared" si="3"/>
        <v>244</v>
      </c>
    </row>
    <row r="63" spans="1:18" x14ac:dyDescent="0.3">
      <c r="A63" s="22" t="s">
        <v>1854</v>
      </c>
      <c r="B63" t="s">
        <v>41</v>
      </c>
      <c r="C63" t="s">
        <v>393</v>
      </c>
      <c r="D63" s="22" t="s">
        <v>32</v>
      </c>
      <c r="E63" s="22" t="s">
        <v>60</v>
      </c>
      <c r="F63" t="s">
        <v>1779</v>
      </c>
      <c r="G63" s="28">
        <v>46052</v>
      </c>
      <c r="H63" s="28">
        <v>46117</v>
      </c>
      <c r="I63" s="22" t="s">
        <v>1780</v>
      </c>
      <c r="J63" t="s">
        <v>1830</v>
      </c>
      <c r="K63" s="22">
        <v>80</v>
      </c>
      <c r="L63" s="22">
        <v>11</v>
      </c>
      <c r="M63" s="22">
        <v>5</v>
      </c>
      <c r="N63" s="22">
        <v>3</v>
      </c>
      <c r="O63" s="22">
        <v>1</v>
      </c>
      <c r="P63" s="31">
        <f t="shared" si="2"/>
        <v>0.33333333333333331</v>
      </c>
      <c r="Q63" s="22">
        <f t="shared" si="3"/>
        <v>65</v>
      </c>
      <c r="R63" s="34">
        <v>349860</v>
      </c>
    </row>
    <row r="64" spans="1:18" x14ac:dyDescent="0.3">
      <c r="A64" s="22" t="s">
        <v>1855</v>
      </c>
      <c r="B64" t="s">
        <v>45</v>
      </c>
      <c r="C64" t="s">
        <v>476</v>
      </c>
      <c r="D64" s="22" t="s">
        <v>28</v>
      </c>
      <c r="E64" s="22" t="s">
        <v>61</v>
      </c>
      <c r="F64" t="s">
        <v>1792</v>
      </c>
      <c r="G64" s="28">
        <v>46054</v>
      </c>
      <c r="I64" s="22" t="s">
        <v>1804</v>
      </c>
      <c r="K64" s="22">
        <v>116</v>
      </c>
      <c r="L64" s="22">
        <v>23</v>
      </c>
      <c r="M64" s="22">
        <v>10</v>
      </c>
      <c r="N64" s="22">
        <v>0</v>
      </c>
      <c r="O64" s="22">
        <v>0</v>
      </c>
      <c r="P64" s="31" t="str">
        <f t="shared" si="2"/>
        <v/>
      </c>
      <c r="Q64" s="22" t="str">
        <f t="shared" si="3"/>
        <v/>
      </c>
    </row>
    <row r="65" spans="1:18" x14ac:dyDescent="0.3">
      <c r="A65" s="22" t="s">
        <v>1856</v>
      </c>
      <c r="B65" t="s">
        <v>40</v>
      </c>
      <c r="C65" t="s">
        <v>902</v>
      </c>
      <c r="D65" s="22" t="s">
        <v>22</v>
      </c>
      <c r="E65" s="22" t="s">
        <v>60</v>
      </c>
      <c r="F65" t="s">
        <v>1779</v>
      </c>
      <c r="G65" s="28">
        <v>46054</v>
      </c>
      <c r="H65" s="28">
        <v>46083</v>
      </c>
      <c r="I65" s="22" t="s">
        <v>1780</v>
      </c>
      <c r="J65" t="s">
        <v>1787</v>
      </c>
      <c r="K65" s="22">
        <v>117</v>
      </c>
      <c r="L65" s="22">
        <v>19</v>
      </c>
      <c r="M65" s="22">
        <v>9</v>
      </c>
      <c r="N65" s="22">
        <v>3</v>
      </c>
      <c r="O65" s="22">
        <v>1</v>
      </c>
      <c r="P65" s="31">
        <f t="shared" si="2"/>
        <v>0.33333333333333331</v>
      </c>
      <c r="Q65" s="22">
        <f t="shared" si="3"/>
        <v>29</v>
      </c>
      <c r="R65" s="34">
        <v>25000</v>
      </c>
    </row>
    <row r="66" spans="1:18" x14ac:dyDescent="0.3">
      <c r="A66" s="22" t="s">
        <v>1857</v>
      </c>
      <c r="B66" t="s">
        <v>44</v>
      </c>
      <c r="C66" t="s">
        <v>898</v>
      </c>
      <c r="D66" s="22" t="s">
        <v>22</v>
      </c>
      <c r="E66" s="22" t="s">
        <v>61</v>
      </c>
      <c r="F66" t="s">
        <v>1792</v>
      </c>
      <c r="G66" s="28">
        <v>46058</v>
      </c>
      <c r="I66" s="22" t="s">
        <v>1793</v>
      </c>
      <c r="K66" s="22">
        <v>244</v>
      </c>
      <c r="L66" s="22">
        <v>52</v>
      </c>
      <c r="M66" s="22">
        <v>34</v>
      </c>
      <c r="N66" s="22">
        <v>1</v>
      </c>
      <c r="O66" s="22">
        <v>0</v>
      </c>
      <c r="P66" s="31">
        <f t="shared" ref="P66:P97" si="4">IF(N66=0,"",O66/N66)</f>
        <v>0</v>
      </c>
      <c r="Q66" s="22">
        <f t="shared" ref="Q66:Q97" si="5">IF(I66="Filled",H66-G66,IF(I66="Open",AsOf-G66,""))</f>
        <v>237</v>
      </c>
    </row>
    <row r="67" spans="1:18" x14ac:dyDescent="0.3">
      <c r="A67" s="22" t="s">
        <v>1858</v>
      </c>
      <c r="B67" t="s">
        <v>46</v>
      </c>
      <c r="C67" t="s">
        <v>671</v>
      </c>
      <c r="D67" s="22" t="s">
        <v>24</v>
      </c>
      <c r="E67" s="22" t="s">
        <v>59</v>
      </c>
      <c r="F67" t="s">
        <v>1779</v>
      </c>
      <c r="G67" s="28">
        <v>46059</v>
      </c>
      <c r="I67" s="22" t="s">
        <v>1793</v>
      </c>
      <c r="K67" s="22">
        <v>35</v>
      </c>
      <c r="L67" s="22">
        <v>7</v>
      </c>
      <c r="M67" s="22">
        <v>4</v>
      </c>
      <c r="N67" s="22">
        <v>0</v>
      </c>
      <c r="O67" s="22">
        <v>0</v>
      </c>
      <c r="P67" s="31" t="str">
        <f t="shared" si="4"/>
        <v/>
      </c>
      <c r="Q67" s="22">
        <f t="shared" si="5"/>
        <v>236</v>
      </c>
    </row>
    <row r="68" spans="1:18" x14ac:dyDescent="0.3">
      <c r="A68" s="22" t="s">
        <v>1859</v>
      </c>
      <c r="B68" t="s">
        <v>39</v>
      </c>
      <c r="C68" t="s">
        <v>569</v>
      </c>
      <c r="D68" s="22" t="s">
        <v>24</v>
      </c>
      <c r="E68" s="22" t="s">
        <v>61</v>
      </c>
      <c r="F68" t="s">
        <v>1783</v>
      </c>
      <c r="G68" s="28">
        <v>46060</v>
      </c>
      <c r="H68" s="28">
        <v>46068</v>
      </c>
      <c r="I68" s="22" t="s">
        <v>1780</v>
      </c>
      <c r="J68" t="s">
        <v>1849</v>
      </c>
      <c r="K68" s="22">
        <v>62</v>
      </c>
      <c r="L68" s="22">
        <v>16</v>
      </c>
      <c r="M68" s="22">
        <v>10</v>
      </c>
      <c r="N68" s="22">
        <v>1</v>
      </c>
      <c r="O68" s="22">
        <v>1</v>
      </c>
      <c r="P68" s="31">
        <f t="shared" si="4"/>
        <v>1</v>
      </c>
      <c r="Q68" s="22">
        <f t="shared" si="5"/>
        <v>8</v>
      </c>
      <c r="R68" s="34">
        <v>2000</v>
      </c>
    </row>
    <row r="69" spans="1:18" x14ac:dyDescent="0.3">
      <c r="A69" s="22" t="s">
        <v>1860</v>
      </c>
      <c r="B69" t="s">
        <v>41</v>
      </c>
      <c r="C69" t="s">
        <v>560</v>
      </c>
      <c r="D69" s="22" t="s">
        <v>24</v>
      </c>
      <c r="E69" s="22" t="s">
        <v>60</v>
      </c>
      <c r="F69" t="s">
        <v>1789</v>
      </c>
      <c r="G69" s="28">
        <v>46064</v>
      </c>
      <c r="I69" s="22" t="s">
        <v>1804</v>
      </c>
      <c r="K69" s="22">
        <v>53</v>
      </c>
      <c r="L69" s="22">
        <v>14</v>
      </c>
      <c r="M69" s="22">
        <v>7</v>
      </c>
      <c r="N69" s="22">
        <v>0</v>
      </c>
      <c r="O69" s="22">
        <v>0</v>
      </c>
      <c r="P69" s="31" t="str">
        <f t="shared" si="4"/>
        <v/>
      </c>
      <c r="Q69" s="22" t="str">
        <f t="shared" si="5"/>
        <v/>
      </c>
    </row>
    <row r="70" spans="1:18" x14ac:dyDescent="0.3">
      <c r="A70" s="22" t="s">
        <v>1861</v>
      </c>
      <c r="B70" t="s">
        <v>39</v>
      </c>
      <c r="C70" t="s">
        <v>911</v>
      </c>
      <c r="D70" s="22" t="s">
        <v>22</v>
      </c>
      <c r="E70" s="22" t="s">
        <v>60</v>
      </c>
      <c r="F70" t="s">
        <v>1792</v>
      </c>
      <c r="G70" s="28">
        <v>46070</v>
      </c>
      <c r="I70" s="22" t="s">
        <v>1804</v>
      </c>
      <c r="K70" s="22">
        <v>213</v>
      </c>
      <c r="L70" s="22">
        <v>42</v>
      </c>
      <c r="M70" s="22">
        <v>26</v>
      </c>
      <c r="N70" s="22">
        <v>0</v>
      </c>
      <c r="O70" s="22">
        <v>0</v>
      </c>
      <c r="P70" s="31" t="str">
        <f t="shared" si="4"/>
        <v/>
      </c>
      <c r="Q70" s="22" t="str">
        <f t="shared" si="5"/>
        <v/>
      </c>
    </row>
    <row r="71" spans="1:18" x14ac:dyDescent="0.3">
      <c r="A71" s="22" t="s">
        <v>1862</v>
      </c>
      <c r="B71" t="s">
        <v>43</v>
      </c>
      <c r="C71" t="s">
        <v>894</v>
      </c>
      <c r="D71" s="22" t="s">
        <v>22</v>
      </c>
      <c r="E71" s="22" t="s">
        <v>60</v>
      </c>
      <c r="F71" t="s">
        <v>1783</v>
      </c>
      <c r="G71" s="28">
        <v>46077</v>
      </c>
      <c r="I71" s="22" t="s">
        <v>1793</v>
      </c>
      <c r="K71" s="22">
        <v>152</v>
      </c>
      <c r="L71" s="22">
        <v>20</v>
      </c>
      <c r="M71" s="22">
        <v>10</v>
      </c>
      <c r="N71" s="22">
        <v>0</v>
      </c>
      <c r="O71" s="22">
        <v>0</v>
      </c>
      <c r="P71" s="31" t="str">
        <f t="shared" si="4"/>
        <v/>
      </c>
      <c r="Q71" s="22">
        <f t="shared" si="5"/>
        <v>218</v>
      </c>
    </row>
    <row r="72" spans="1:18" x14ac:dyDescent="0.3">
      <c r="A72" s="22" t="s">
        <v>1863</v>
      </c>
      <c r="B72" t="s">
        <v>39</v>
      </c>
      <c r="C72" t="s">
        <v>244</v>
      </c>
      <c r="D72" s="22" t="s">
        <v>26</v>
      </c>
      <c r="E72" s="22" t="s">
        <v>59</v>
      </c>
      <c r="F72" t="s">
        <v>1783</v>
      </c>
      <c r="G72" s="28">
        <v>46077</v>
      </c>
      <c r="I72" s="22" t="s">
        <v>1804</v>
      </c>
      <c r="K72" s="22">
        <v>248</v>
      </c>
      <c r="L72" s="22">
        <v>44</v>
      </c>
      <c r="M72" s="22">
        <v>30</v>
      </c>
      <c r="N72" s="22">
        <v>0</v>
      </c>
      <c r="O72" s="22">
        <v>0</v>
      </c>
      <c r="P72" s="31" t="str">
        <f t="shared" si="4"/>
        <v/>
      </c>
      <c r="Q72" s="22" t="str">
        <f t="shared" si="5"/>
        <v/>
      </c>
    </row>
    <row r="73" spans="1:18" x14ac:dyDescent="0.3">
      <c r="A73" s="22" t="s">
        <v>1864</v>
      </c>
      <c r="B73" t="s">
        <v>39</v>
      </c>
      <c r="C73" t="s">
        <v>183</v>
      </c>
      <c r="D73" s="22" t="s">
        <v>28</v>
      </c>
      <c r="E73" s="22" t="s">
        <v>59</v>
      </c>
      <c r="F73" t="s">
        <v>1792</v>
      </c>
      <c r="G73" s="28">
        <v>46077</v>
      </c>
      <c r="H73" s="28">
        <v>46133</v>
      </c>
      <c r="I73" s="22" t="s">
        <v>1780</v>
      </c>
      <c r="J73" t="s">
        <v>1849</v>
      </c>
      <c r="K73" s="22">
        <v>180</v>
      </c>
      <c r="L73" s="22">
        <v>40</v>
      </c>
      <c r="M73" s="22">
        <v>19</v>
      </c>
      <c r="N73" s="22">
        <v>2</v>
      </c>
      <c r="O73" s="22">
        <v>1</v>
      </c>
      <c r="P73" s="31">
        <f t="shared" si="4"/>
        <v>0.5</v>
      </c>
      <c r="Q73" s="22">
        <f t="shared" si="5"/>
        <v>56</v>
      </c>
      <c r="R73" s="34">
        <v>2000</v>
      </c>
    </row>
    <row r="74" spans="1:18" x14ac:dyDescent="0.3">
      <c r="A74" s="22" t="s">
        <v>1865</v>
      </c>
      <c r="B74" t="s">
        <v>45</v>
      </c>
      <c r="C74" t="s">
        <v>749</v>
      </c>
      <c r="D74" s="22" t="s">
        <v>24</v>
      </c>
      <c r="E74" s="22" t="s">
        <v>60</v>
      </c>
      <c r="F74" t="s">
        <v>1779</v>
      </c>
      <c r="G74" s="28">
        <v>46078</v>
      </c>
      <c r="I74" s="22" t="s">
        <v>1793</v>
      </c>
      <c r="K74" s="22">
        <v>53</v>
      </c>
      <c r="L74" s="22">
        <v>11</v>
      </c>
      <c r="M74" s="22">
        <v>6</v>
      </c>
      <c r="N74" s="22">
        <v>1</v>
      </c>
      <c r="O74" s="22">
        <v>0</v>
      </c>
      <c r="P74" s="31">
        <f t="shared" si="4"/>
        <v>0</v>
      </c>
      <c r="Q74" s="22">
        <f t="shared" si="5"/>
        <v>217</v>
      </c>
    </row>
    <row r="75" spans="1:18" x14ac:dyDescent="0.3">
      <c r="A75" s="22" t="s">
        <v>1866</v>
      </c>
      <c r="B75" t="s">
        <v>41</v>
      </c>
      <c r="C75" t="s">
        <v>202</v>
      </c>
      <c r="D75" s="22" t="s">
        <v>28</v>
      </c>
      <c r="E75" s="22" t="s">
        <v>61</v>
      </c>
      <c r="F75" t="s">
        <v>1789</v>
      </c>
      <c r="G75" s="28">
        <v>46081</v>
      </c>
      <c r="I75" s="22" t="s">
        <v>1793</v>
      </c>
      <c r="K75" s="22">
        <v>90</v>
      </c>
      <c r="L75" s="22">
        <v>18</v>
      </c>
      <c r="M75" s="22">
        <v>9</v>
      </c>
      <c r="N75" s="22">
        <v>1</v>
      </c>
      <c r="O75" s="22">
        <v>0</v>
      </c>
      <c r="P75" s="31">
        <f t="shared" si="4"/>
        <v>0</v>
      </c>
      <c r="Q75" s="22">
        <f t="shared" si="5"/>
        <v>214</v>
      </c>
    </row>
    <row r="76" spans="1:18" x14ac:dyDescent="0.3">
      <c r="A76" s="22" t="s">
        <v>1867</v>
      </c>
      <c r="B76" t="s">
        <v>40</v>
      </c>
      <c r="C76" t="s">
        <v>219</v>
      </c>
      <c r="D76" s="22" t="s">
        <v>26</v>
      </c>
      <c r="E76" s="22" t="s">
        <v>60</v>
      </c>
      <c r="F76" t="s">
        <v>1789</v>
      </c>
      <c r="G76" s="28">
        <v>46082</v>
      </c>
      <c r="H76" s="28">
        <v>46124</v>
      </c>
      <c r="I76" s="22" t="s">
        <v>1780</v>
      </c>
      <c r="J76" t="s">
        <v>1790</v>
      </c>
      <c r="K76" s="22">
        <v>231</v>
      </c>
      <c r="L76" s="22">
        <v>35</v>
      </c>
      <c r="M76" s="22">
        <v>14</v>
      </c>
      <c r="N76" s="22">
        <v>1</v>
      </c>
      <c r="O76" s="22">
        <v>1</v>
      </c>
      <c r="P76" s="31">
        <f t="shared" si="4"/>
        <v>1</v>
      </c>
      <c r="Q76" s="22">
        <f t="shared" si="5"/>
        <v>42</v>
      </c>
      <c r="R76" s="34">
        <v>5000</v>
      </c>
    </row>
    <row r="77" spans="1:18" x14ac:dyDescent="0.3">
      <c r="A77" s="22" t="s">
        <v>1868</v>
      </c>
      <c r="B77" t="s">
        <v>43</v>
      </c>
      <c r="C77" t="s">
        <v>149</v>
      </c>
      <c r="D77" s="22" t="s">
        <v>32</v>
      </c>
      <c r="E77" s="22" t="s">
        <v>60</v>
      </c>
      <c r="F77" t="s">
        <v>1783</v>
      </c>
      <c r="G77" s="28">
        <v>46083</v>
      </c>
      <c r="H77" s="28">
        <v>46152</v>
      </c>
      <c r="I77" s="22" t="s">
        <v>1780</v>
      </c>
      <c r="J77" t="s">
        <v>1785</v>
      </c>
      <c r="K77" s="22">
        <v>84</v>
      </c>
      <c r="L77" s="22">
        <v>20</v>
      </c>
      <c r="M77" s="22">
        <v>13</v>
      </c>
      <c r="N77" s="22">
        <v>2</v>
      </c>
      <c r="O77" s="22">
        <v>1</v>
      </c>
      <c r="P77" s="31">
        <f t="shared" si="4"/>
        <v>0.5</v>
      </c>
      <c r="Q77" s="22">
        <f t="shared" si="5"/>
        <v>69</v>
      </c>
      <c r="R77" s="34">
        <v>15000</v>
      </c>
    </row>
    <row r="78" spans="1:18" x14ac:dyDescent="0.3">
      <c r="A78" s="22" t="s">
        <v>1869</v>
      </c>
      <c r="B78" t="s">
        <v>39</v>
      </c>
      <c r="C78" t="s">
        <v>911</v>
      </c>
      <c r="D78" s="22" t="s">
        <v>22</v>
      </c>
      <c r="E78" s="22" t="s">
        <v>60</v>
      </c>
      <c r="F78" t="s">
        <v>1783</v>
      </c>
      <c r="G78" s="28">
        <v>46084</v>
      </c>
      <c r="H78" s="28">
        <v>46109</v>
      </c>
      <c r="I78" s="22" t="s">
        <v>1780</v>
      </c>
      <c r="J78" t="s">
        <v>1781</v>
      </c>
      <c r="K78" s="22">
        <v>37</v>
      </c>
      <c r="L78" s="22">
        <v>7</v>
      </c>
      <c r="M78" s="22">
        <v>4</v>
      </c>
      <c r="N78" s="22">
        <v>2</v>
      </c>
      <c r="O78" s="22">
        <v>1</v>
      </c>
      <c r="P78" s="31">
        <f t="shared" si="4"/>
        <v>0.5</v>
      </c>
      <c r="Q78" s="22">
        <f t="shared" si="5"/>
        <v>25</v>
      </c>
      <c r="R78" s="34">
        <v>18000</v>
      </c>
    </row>
    <row r="79" spans="1:18" x14ac:dyDescent="0.3">
      <c r="A79" s="22" t="s">
        <v>1870</v>
      </c>
      <c r="B79" t="s">
        <v>45</v>
      </c>
      <c r="C79" t="s">
        <v>476</v>
      </c>
      <c r="D79" s="22" t="s">
        <v>28</v>
      </c>
      <c r="E79" s="22" t="s">
        <v>59</v>
      </c>
      <c r="F79" t="s">
        <v>1779</v>
      </c>
      <c r="G79" s="28">
        <v>46085</v>
      </c>
      <c r="H79" s="28">
        <v>46140</v>
      </c>
      <c r="I79" s="22" t="s">
        <v>1780</v>
      </c>
      <c r="J79" t="s">
        <v>1807</v>
      </c>
      <c r="K79" s="22">
        <v>188</v>
      </c>
      <c r="L79" s="22">
        <v>29</v>
      </c>
      <c r="M79" s="22">
        <v>11</v>
      </c>
      <c r="N79" s="22">
        <v>1</v>
      </c>
      <c r="O79" s="22">
        <v>1</v>
      </c>
      <c r="P79" s="31">
        <f t="shared" si="4"/>
        <v>1</v>
      </c>
      <c r="Q79" s="22">
        <f t="shared" si="5"/>
        <v>55</v>
      </c>
      <c r="R79" s="34">
        <v>12000</v>
      </c>
    </row>
    <row r="80" spans="1:18" x14ac:dyDescent="0.3">
      <c r="A80" s="22" t="s">
        <v>1871</v>
      </c>
      <c r="B80" t="s">
        <v>41</v>
      </c>
      <c r="C80" t="s">
        <v>253</v>
      </c>
      <c r="D80" s="22" t="s">
        <v>26</v>
      </c>
      <c r="E80" s="22" t="s">
        <v>61</v>
      </c>
      <c r="F80" t="s">
        <v>1792</v>
      </c>
      <c r="G80" s="28">
        <v>46086</v>
      </c>
      <c r="H80" s="28">
        <v>46131</v>
      </c>
      <c r="I80" s="22" t="s">
        <v>1780</v>
      </c>
      <c r="J80" t="s">
        <v>1781</v>
      </c>
      <c r="K80" s="22">
        <v>101</v>
      </c>
      <c r="L80" s="22">
        <v>24</v>
      </c>
      <c r="M80" s="22">
        <v>16</v>
      </c>
      <c r="N80" s="22">
        <v>1</v>
      </c>
      <c r="O80" s="22">
        <v>1</v>
      </c>
      <c r="P80" s="31">
        <f t="shared" si="4"/>
        <v>1</v>
      </c>
      <c r="Q80" s="22">
        <f t="shared" si="5"/>
        <v>45</v>
      </c>
      <c r="R80" s="34">
        <v>18000</v>
      </c>
    </row>
    <row r="81" spans="1:18" x14ac:dyDescent="0.3">
      <c r="A81" s="22" t="s">
        <v>1872</v>
      </c>
      <c r="B81" t="s">
        <v>39</v>
      </c>
      <c r="C81" t="s">
        <v>569</v>
      </c>
      <c r="D81" s="22" t="s">
        <v>24</v>
      </c>
      <c r="E81" s="22" t="s">
        <v>60</v>
      </c>
      <c r="F81" t="s">
        <v>1779</v>
      </c>
      <c r="G81" s="28">
        <v>46088</v>
      </c>
      <c r="I81" s="22" t="s">
        <v>1804</v>
      </c>
      <c r="K81" s="22">
        <v>85</v>
      </c>
      <c r="L81" s="22">
        <v>19</v>
      </c>
      <c r="M81" s="22">
        <v>9</v>
      </c>
      <c r="N81" s="22">
        <v>0</v>
      </c>
      <c r="O81" s="22">
        <v>0</v>
      </c>
      <c r="P81" s="31" t="str">
        <f t="shared" si="4"/>
        <v/>
      </c>
      <c r="Q81" s="22" t="str">
        <f t="shared" si="5"/>
        <v/>
      </c>
    </row>
    <row r="82" spans="1:18" x14ac:dyDescent="0.3">
      <c r="A82" s="22" t="s">
        <v>1873</v>
      </c>
      <c r="B82" t="s">
        <v>40</v>
      </c>
      <c r="C82" t="s">
        <v>219</v>
      </c>
      <c r="D82" s="22" t="s">
        <v>26</v>
      </c>
      <c r="E82" s="22" t="s">
        <v>61</v>
      </c>
      <c r="F82" t="s">
        <v>1792</v>
      </c>
      <c r="G82" s="28">
        <v>46089</v>
      </c>
      <c r="I82" s="22" t="s">
        <v>1796</v>
      </c>
      <c r="K82" s="22">
        <v>57</v>
      </c>
      <c r="L82" s="22">
        <v>9</v>
      </c>
      <c r="M82" s="22">
        <v>5</v>
      </c>
      <c r="N82" s="22">
        <v>1</v>
      </c>
      <c r="O82" s="22">
        <v>0</v>
      </c>
      <c r="P82" s="31">
        <f t="shared" si="4"/>
        <v>0</v>
      </c>
      <c r="Q82" s="22" t="str">
        <f t="shared" si="5"/>
        <v/>
      </c>
    </row>
    <row r="83" spans="1:18" x14ac:dyDescent="0.3">
      <c r="A83" s="22" t="s">
        <v>1874</v>
      </c>
      <c r="B83" t="s">
        <v>43</v>
      </c>
      <c r="C83" t="s">
        <v>149</v>
      </c>
      <c r="D83" s="22" t="s">
        <v>32</v>
      </c>
      <c r="E83" s="22" t="s">
        <v>59</v>
      </c>
      <c r="F83" t="s">
        <v>1789</v>
      </c>
      <c r="G83" s="28">
        <v>46091</v>
      </c>
      <c r="H83" s="28">
        <v>46153</v>
      </c>
      <c r="I83" s="22" t="s">
        <v>1780</v>
      </c>
      <c r="J83" t="s">
        <v>1790</v>
      </c>
      <c r="K83" s="22">
        <v>137</v>
      </c>
      <c r="L83" s="22">
        <v>26</v>
      </c>
      <c r="M83" s="22">
        <v>12</v>
      </c>
      <c r="N83" s="22">
        <v>1</v>
      </c>
      <c r="O83" s="22">
        <v>1</v>
      </c>
      <c r="P83" s="31">
        <f t="shared" si="4"/>
        <v>1</v>
      </c>
      <c r="Q83" s="22">
        <f t="shared" si="5"/>
        <v>62</v>
      </c>
      <c r="R83" s="34">
        <v>5000</v>
      </c>
    </row>
    <row r="84" spans="1:18" x14ac:dyDescent="0.3">
      <c r="A84" s="22" t="s">
        <v>1875</v>
      </c>
      <c r="B84" t="s">
        <v>40</v>
      </c>
      <c r="C84" t="s">
        <v>123</v>
      </c>
      <c r="D84" s="22" t="s">
        <v>30</v>
      </c>
      <c r="E84" s="22" t="s">
        <v>61</v>
      </c>
      <c r="F84" t="s">
        <v>1792</v>
      </c>
      <c r="G84" s="28">
        <v>46093</v>
      </c>
      <c r="H84" s="28">
        <v>46151</v>
      </c>
      <c r="I84" s="22" t="s">
        <v>1780</v>
      </c>
      <c r="J84" t="s">
        <v>1807</v>
      </c>
      <c r="K84" s="22">
        <v>90</v>
      </c>
      <c r="L84" s="22">
        <v>25</v>
      </c>
      <c r="M84" s="22">
        <v>14</v>
      </c>
      <c r="N84" s="22">
        <v>1</v>
      </c>
      <c r="O84" s="22">
        <v>1</v>
      </c>
      <c r="P84" s="31">
        <f t="shared" si="4"/>
        <v>1</v>
      </c>
      <c r="Q84" s="22">
        <f t="shared" si="5"/>
        <v>58</v>
      </c>
      <c r="R84" s="34">
        <v>12000</v>
      </c>
    </row>
    <row r="85" spans="1:18" x14ac:dyDescent="0.3">
      <c r="A85" s="22" t="s">
        <v>1876</v>
      </c>
      <c r="B85" t="s">
        <v>39</v>
      </c>
      <c r="C85" t="s">
        <v>569</v>
      </c>
      <c r="D85" s="22" t="s">
        <v>24</v>
      </c>
      <c r="E85" s="22" t="s">
        <v>60</v>
      </c>
      <c r="F85" t="s">
        <v>1783</v>
      </c>
      <c r="G85" s="28">
        <v>46101</v>
      </c>
      <c r="I85" s="22" t="s">
        <v>1804</v>
      </c>
      <c r="K85" s="22">
        <v>144</v>
      </c>
      <c r="L85" s="22">
        <v>23</v>
      </c>
      <c r="M85" s="22">
        <v>15</v>
      </c>
      <c r="N85" s="22">
        <v>0</v>
      </c>
      <c r="O85" s="22">
        <v>0</v>
      </c>
      <c r="P85" s="31" t="str">
        <f t="shared" si="4"/>
        <v/>
      </c>
      <c r="Q85" s="22" t="str">
        <f t="shared" si="5"/>
        <v/>
      </c>
    </row>
    <row r="86" spans="1:18" x14ac:dyDescent="0.3">
      <c r="A86" s="22" t="s">
        <v>1877</v>
      </c>
      <c r="B86" t="s">
        <v>43</v>
      </c>
      <c r="C86" t="s">
        <v>894</v>
      </c>
      <c r="D86" s="22" t="s">
        <v>22</v>
      </c>
      <c r="E86" s="22" t="s">
        <v>61</v>
      </c>
      <c r="F86" t="s">
        <v>1789</v>
      </c>
      <c r="G86" s="28">
        <v>46102</v>
      </c>
      <c r="H86" s="28">
        <v>46134</v>
      </c>
      <c r="I86" s="22" t="s">
        <v>1780</v>
      </c>
      <c r="J86" t="s">
        <v>1807</v>
      </c>
      <c r="K86" s="22">
        <v>127</v>
      </c>
      <c r="L86" s="22">
        <v>16</v>
      </c>
      <c r="M86" s="22">
        <v>8</v>
      </c>
      <c r="N86" s="22">
        <v>1</v>
      </c>
      <c r="O86" s="22">
        <v>1</v>
      </c>
      <c r="P86" s="31">
        <f t="shared" si="4"/>
        <v>1</v>
      </c>
      <c r="Q86" s="22">
        <f t="shared" si="5"/>
        <v>32</v>
      </c>
      <c r="R86" s="34">
        <v>12000</v>
      </c>
    </row>
    <row r="87" spans="1:18" x14ac:dyDescent="0.3">
      <c r="A87" s="22" t="s">
        <v>1878</v>
      </c>
      <c r="B87" t="s">
        <v>41</v>
      </c>
      <c r="C87" t="s">
        <v>890</v>
      </c>
      <c r="D87" s="22" t="s">
        <v>22</v>
      </c>
      <c r="E87" s="22" t="s">
        <v>61</v>
      </c>
      <c r="F87" t="s">
        <v>1789</v>
      </c>
      <c r="G87" s="28">
        <v>46102</v>
      </c>
      <c r="H87" s="28">
        <v>46112</v>
      </c>
      <c r="I87" s="22" t="s">
        <v>1780</v>
      </c>
      <c r="J87" t="s">
        <v>1830</v>
      </c>
      <c r="K87" s="22">
        <v>105</v>
      </c>
      <c r="L87" s="22">
        <v>16</v>
      </c>
      <c r="M87" s="22">
        <v>9</v>
      </c>
      <c r="N87" s="22">
        <v>1</v>
      </c>
      <c r="O87" s="22">
        <v>1</v>
      </c>
      <c r="P87" s="31">
        <f t="shared" si="4"/>
        <v>1</v>
      </c>
      <c r="Q87" s="22">
        <f t="shared" si="5"/>
        <v>10</v>
      </c>
      <c r="R87" s="34">
        <v>29155</v>
      </c>
    </row>
    <row r="88" spans="1:18" x14ac:dyDescent="0.3">
      <c r="A88" s="22" t="s">
        <v>1879</v>
      </c>
      <c r="B88" t="s">
        <v>47</v>
      </c>
      <c r="C88" t="s">
        <v>936</v>
      </c>
      <c r="D88" s="22" t="s">
        <v>22</v>
      </c>
      <c r="E88" s="22" t="s">
        <v>59</v>
      </c>
      <c r="F88" t="s">
        <v>1779</v>
      </c>
      <c r="G88" s="28">
        <v>46105</v>
      </c>
      <c r="H88" s="28">
        <v>46125</v>
      </c>
      <c r="I88" s="22" t="s">
        <v>1780</v>
      </c>
      <c r="J88" t="s">
        <v>1807</v>
      </c>
      <c r="K88" s="22">
        <v>32</v>
      </c>
      <c r="L88" s="22">
        <v>5</v>
      </c>
      <c r="M88" s="22">
        <v>2</v>
      </c>
      <c r="N88" s="22">
        <v>1</v>
      </c>
      <c r="O88" s="22">
        <v>1</v>
      </c>
      <c r="P88" s="31">
        <f t="shared" si="4"/>
        <v>1</v>
      </c>
      <c r="Q88" s="22">
        <f t="shared" si="5"/>
        <v>20</v>
      </c>
      <c r="R88" s="34">
        <v>12000</v>
      </c>
    </row>
    <row r="89" spans="1:18" x14ac:dyDescent="0.3">
      <c r="A89" s="22" t="s">
        <v>1880</v>
      </c>
      <c r="B89" t="s">
        <v>39</v>
      </c>
      <c r="C89" t="s">
        <v>244</v>
      </c>
      <c r="D89" s="22" t="s">
        <v>26</v>
      </c>
      <c r="E89" s="22" t="s">
        <v>61</v>
      </c>
      <c r="F89" t="s">
        <v>1792</v>
      </c>
      <c r="G89" s="28">
        <v>46105</v>
      </c>
      <c r="H89" s="28">
        <v>46139</v>
      </c>
      <c r="I89" s="22" t="s">
        <v>1780</v>
      </c>
      <c r="J89" t="s">
        <v>1785</v>
      </c>
      <c r="K89" s="22">
        <v>77</v>
      </c>
      <c r="L89" s="22">
        <v>22</v>
      </c>
      <c r="M89" s="22">
        <v>10</v>
      </c>
      <c r="N89" s="22">
        <v>2</v>
      </c>
      <c r="O89" s="22">
        <v>1</v>
      </c>
      <c r="P89" s="31">
        <f t="shared" si="4"/>
        <v>0.5</v>
      </c>
      <c r="Q89" s="22">
        <f t="shared" si="5"/>
        <v>34</v>
      </c>
      <c r="R89" s="34">
        <v>15000</v>
      </c>
    </row>
    <row r="90" spans="1:18" x14ac:dyDescent="0.3">
      <c r="A90" s="22" t="s">
        <v>1881</v>
      </c>
      <c r="B90" t="s">
        <v>42</v>
      </c>
      <c r="C90" t="s">
        <v>576</v>
      </c>
      <c r="D90" s="22" t="s">
        <v>24</v>
      </c>
      <c r="E90" s="22" t="s">
        <v>61</v>
      </c>
      <c r="F90" t="s">
        <v>1792</v>
      </c>
      <c r="G90" s="28">
        <v>46110</v>
      </c>
      <c r="I90" s="22" t="s">
        <v>1804</v>
      </c>
      <c r="K90" s="22">
        <v>100</v>
      </c>
      <c r="L90" s="22">
        <v>15</v>
      </c>
      <c r="M90" s="22">
        <v>6</v>
      </c>
      <c r="N90" s="22">
        <v>1</v>
      </c>
      <c r="O90" s="22">
        <v>0</v>
      </c>
      <c r="P90" s="31">
        <f t="shared" si="4"/>
        <v>0</v>
      </c>
      <c r="Q90" s="22" t="str">
        <f t="shared" si="5"/>
        <v/>
      </c>
    </row>
    <row r="91" spans="1:18" x14ac:dyDescent="0.3">
      <c r="A91" s="22" t="s">
        <v>1882</v>
      </c>
      <c r="B91" t="s">
        <v>39</v>
      </c>
      <c r="C91" t="s">
        <v>105</v>
      </c>
      <c r="D91" s="22" t="s">
        <v>30</v>
      </c>
      <c r="E91" s="22" t="s">
        <v>60</v>
      </c>
      <c r="F91" t="s">
        <v>1783</v>
      </c>
      <c r="G91" s="28">
        <v>46111</v>
      </c>
      <c r="I91" s="22" t="s">
        <v>1796</v>
      </c>
      <c r="K91" s="22">
        <v>65</v>
      </c>
      <c r="L91" s="22">
        <v>15</v>
      </c>
      <c r="M91" s="22">
        <v>10</v>
      </c>
      <c r="N91" s="22">
        <v>0</v>
      </c>
      <c r="O91" s="22">
        <v>0</v>
      </c>
      <c r="P91" s="31" t="str">
        <f t="shared" si="4"/>
        <v/>
      </c>
      <c r="Q91" s="22" t="str">
        <f t="shared" si="5"/>
        <v/>
      </c>
    </row>
    <row r="92" spans="1:18" x14ac:dyDescent="0.3">
      <c r="A92" s="22" t="s">
        <v>1883</v>
      </c>
      <c r="B92" t="s">
        <v>44</v>
      </c>
      <c r="C92" t="s">
        <v>625</v>
      </c>
      <c r="D92" s="22" t="s">
        <v>24</v>
      </c>
      <c r="E92" s="22" t="s">
        <v>61</v>
      </c>
      <c r="F92" t="s">
        <v>1789</v>
      </c>
      <c r="G92" s="28">
        <v>46112</v>
      </c>
      <c r="I92" s="22" t="s">
        <v>1793</v>
      </c>
      <c r="K92" s="22">
        <v>200</v>
      </c>
      <c r="L92" s="22">
        <v>42</v>
      </c>
      <c r="M92" s="22">
        <v>27</v>
      </c>
      <c r="N92" s="22">
        <v>0</v>
      </c>
      <c r="O92" s="22">
        <v>0</v>
      </c>
      <c r="P92" s="31" t="str">
        <f t="shared" si="4"/>
        <v/>
      </c>
      <c r="Q92" s="22">
        <f t="shared" si="5"/>
        <v>183</v>
      </c>
    </row>
    <row r="93" spans="1:18" x14ac:dyDescent="0.3">
      <c r="A93" s="22" t="s">
        <v>1884</v>
      </c>
      <c r="B93" t="s">
        <v>41</v>
      </c>
      <c r="C93" t="s">
        <v>253</v>
      </c>
      <c r="D93" s="22" t="s">
        <v>26</v>
      </c>
      <c r="E93" s="22" t="s">
        <v>59</v>
      </c>
      <c r="F93" t="s">
        <v>1779</v>
      </c>
      <c r="G93" s="28">
        <v>46124</v>
      </c>
      <c r="I93" s="22" t="s">
        <v>1793</v>
      </c>
      <c r="K93" s="22">
        <v>206</v>
      </c>
      <c r="L93" s="22">
        <v>45</v>
      </c>
      <c r="M93" s="22">
        <v>28</v>
      </c>
      <c r="N93" s="22">
        <v>0</v>
      </c>
      <c r="O93" s="22">
        <v>0</v>
      </c>
      <c r="P93" s="31" t="str">
        <f t="shared" si="4"/>
        <v/>
      </c>
      <c r="Q93" s="22">
        <f t="shared" si="5"/>
        <v>171</v>
      </c>
    </row>
    <row r="94" spans="1:18" x14ac:dyDescent="0.3">
      <c r="A94" s="22" t="s">
        <v>1885</v>
      </c>
      <c r="B94" t="s">
        <v>41</v>
      </c>
      <c r="C94" t="s">
        <v>253</v>
      </c>
      <c r="D94" s="22" t="s">
        <v>26</v>
      </c>
      <c r="E94" s="22" t="s">
        <v>60</v>
      </c>
      <c r="F94" t="s">
        <v>1792</v>
      </c>
      <c r="G94" s="28">
        <v>46124</v>
      </c>
      <c r="H94" s="28">
        <v>46159</v>
      </c>
      <c r="I94" s="22" t="s">
        <v>1780</v>
      </c>
      <c r="J94" t="s">
        <v>1781</v>
      </c>
      <c r="K94" s="22">
        <v>78</v>
      </c>
      <c r="L94" s="22">
        <v>12</v>
      </c>
      <c r="M94" s="22">
        <v>7</v>
      </c>
      <c r="N94" s="22">
        <v>1</v>
      </c>
      <c r="O94" s="22">
        <v>1</v>
      </c>
      <c r="P94" s="31">
        <f t="shared" si="4"/>
        <v>1</v>
      </c>
      <c r="Q94" s="22">
        <f t="shared" si="5"/>
        <v>35</v>
      </c>
      <c r="R94" s="34">
        <v>18000</v>
      </c>
    </row>
    <row r="95" spans="1:18" x14ac:dyDescent="0.3">
      <c r="A95" s="22" t="s">
        <v>1886</v>
      </c>
      <c r="B95" t="s">
        <v>40</v>
      </c>
      <c r="C95" t="s">
        <v>550</v>
      </c>
      <c r="D95" s="22" t="s">
        <v>24</v>
      </c>
      <c r="E95" s="22" t="s">
        <v>61</v>
      </c>
      <c r="F95" t="s">
        <v>1789</v>
      </c>
      <c r="G95" s="28">
        <v>46127</v>
      </c>
      <c r="H95" s="28">
        <v>46177</v>
      </c>
      <c r="I95" s="22" t="s">
        <v>1780</v>
      </c>
      <c r="J95" t="s">
        <v>1807</v>
      </c>
      <c r="K95" s="22">
        <v>72</v>
      </c>
      <c r="L95" s="22">
        <v>13</v>
      </c>
      <c r="M95" s="22">
        <v>8</v>
      </c>
      <c r="N95" s="22">
        <v>1</v>
      </c>
      <c r="O95" s="22">
        <v>1</v>
      </c>
      <c r="P95" s="31">
        <f t="shared" si="4"/>
        <v>1</v>
      </c>
      <c r="Q95" s="22">
        <f t="shared" si="5"/>
        <v>50</v>
      </c>
      <c r="R95" s="34">
        <v>12000</v>
      </c>
    </row>
    <row r="96" spans="1:18" x14ac:dyDescent="0.3">
      <c r="A96" s="22" t="s">
        <v>1887</v>
      </c>
      <c r="B96" t="s">
        <v>39</v>
      </c>
      <c r="C96" t="s">
        <v>244</v>
      </c>
      <c r="D96" s="22" t="s">
        <v>26</v>
      </c>
      <c r="E96" s="22" t="s">
        <v>61</v>
      </c>
      <c r="F96" t="s">
        <v>1779</v>
      </c>
      <c r="G96" s="28">
        <v>46127</v>
      </c>
      <c r="H96" s="28">
        <v>46166</v>
      </c>
      <c r="I96" s="22" t="s">
        <v>1780</v>
      </c>
      <c r="J96" t="s">
        <v>1781</v>
      </c>
      <c r="K96" s="22">
        <v>86</v>
      </c>
      <c r="L96" s="22">
        <v>19</v>
      </c>
      <c r="M96" s="22">
        <v>11</v>
      </c>
      <c r="N96" s="22">
        <v>1</v>
      </c>
      <c r="O96" s="22">
        <v>1</v>
      </c>
      <c r="P96" s="31">
        <f t="shared" si="4"/>
        <v>1</v>
      </c>
      <c r="Q96" s="22">
        <f t="shared" si="5"/>
        <v>39</v>
      </c>
      <c r="R96" s="34">
        <v>18000</v>
      </c>
    </row>
    <row r="97" spans="1:18" x14ac:dyDescent="0.3">
      <c r="A97" s="22" t="s">
        <v>1888</v>
      </c>
      <c r="B97" t="s">
        <v>43</v>
      </c>
      <c r="C97" t="s">
        <v>287</v>
      </c>
      <c r="D97" s="22" t="s">
        <v>28</v>
      </c>
      <c r="E97" s="22" t="s">
        <v>61</v>
      </c>
      <c r="F97" t="s">
        <v>1792</v>
      </c>
      <c r="G97" s="28">
        <v>46128</v>
      </c>
      <c r="H97" s="28">
        <v>46182</v>
      </c>
      <c r="I97" s="22" t="s">
        <v>1780</v>
      </c>
      <c r="J97" t="s">
        <v>1781</v>
      </c>
      <c r="K97" s="22">
        <v>188</v>
      </c>
      <c r="L97" s="22">
        <v>37</v>
      </c>
      <c r="M97" s="22">
        <v>17</v>
      </c>
      <c r="N97" s="22">
        <v>2</v>
      </c>
      <c r="O97" s="22">
        <v>1</v>
      </c>
      <c r="P97" s="31">
        <f t="shared" si="4"/>
        <v>0.5</v>
      </c>
      <c r="Q97" s="22">
        <f t="shared" si="5"/>
        <v>54</v>
      </c>
      <c r="R97" s="34">
        <v>18000</v>
      </c>
    </row>
    <row r="98" spans="1:18" x14ac:dyDescent="0.3">
      <c r="A98" s="22" t="s">
        <v>1889</v>
      </c>
      <c r="B98" t="s">
        <v>40</v>
      </c>
      <c r="C98" t="s">
        <v>155</v>
      </c>
      <c r="D98" s="22" t="s">
        <v>28</v>
      </c>
      <c r="E98" s="22" t="s">
        <v>60</v>
      </c>
      <c r="F98" t="s">
        <v>1783</v>
      </c>
      <c r="G98" s="28">
        <v>46138</v>
      </c>
      <c r="H98" s="28">
        <v>46196</v>
      </c>
      <c r="I98" s="22" t="s">
        <v>1780</v>
      </c>
      <c r="J98" t="s">
        <v>1787</v>
      </c>
      <c r="K98" s="22">
        <v>39</v>
      </c>
      <c r="L98" s="22">
        <v>6</v>
      </c>
      <c r="M98" s="22">
        <v>3</v>
      </c>
      <c r="N98" s="22">
        <v>1</v>
      </c>
      <c r="O98" s="22">
        <v>1</v>
      </c>
      <c r="P98" s="31">
        <f t="shared" ref="P98:P129" si="6">IF(N98=0,"",O98/N98)</f>
        <v>1</v>
      </c>
      <c r="Q98" s="22">
        <f t="shared" ref="Q98:Q129" si="7">IF(I98="Filled",H98-G98,IF(I98="Open",AsOf-G98,""))</f>
        <v>58</v>
      </c>
      <c r="R98" s="34">
        <v>25000</v>
      </c>
    </row>
    <row r="99" spans="1:18" x14ac:dyDescent="0.3">
      <c r="A99" s="22" t="s">
        <v>1890</v>
      </c>
      <c r="B99" t="s">
        <v>40</v>
      </c>
      <c r="C99" t="s">
        <v>902</v>
      </c>
      <c r="D99" s="22" t="s">
        <v>22</v>
      </c>
      <c r="E99" s="22" t="s">
        <v>59</v>
      </c>
      <c r="F99" t="s">
        <v>1792</v>
      </c>
      <c r="G99" s="28">
        <v>46144</v>
      </c>
      <c r="H99" s="28">
        <v>46158</v>
      </c>
      <c r="I99" s="22" t="s">
        <v>1780</v>
      </c>
      <c r="J99" t="s">
        <v>1830</v>
      </c>
      <c r="K99" s="22">
        <v>31</v>
      </c>
      <c r="L99" s="22">
        <v>9</v>
      </c>
      <c r="M99" s="22">
        <v>5</v>
      </c>
      <c r="N99" s="22">
        <v>1</v>
      </c>
      <c r="O99" s="22">
        <v>1</v>
      </c>
      <c r="P99" s="31">
        <f t="shared" si="6"/>
        <v>1</v>
      </c>
      <c r="Q99" s="22">
        <f t="shared" si="7"/>
        <v>14</v>
      </c>
      <c r="R99" s="34">
        <v>29155</v>
      </c>
    </row>
    <row r="100" spans="1:18" x14ac:dyDescent="0.3">
      <c r="A100" s="22" t="s">
        <v>1891</v>
      </c>
      <c r="B100" t="s">
        <v>48</v>
      </c>
      <c r="C100" t="s">
        <v>686</v>
      </c>
      <c r="D100" s="22" t="s">
        <v>24</v>
      </c>
      <c r="E100" s="22" t="s">
        <v>60</v>
      </c>
      <c r="F100" t="s">
        <v>1789</v>
      </c>
      <c r="G100" s="28">
        <v>46148</v>
      </c>
      <c r="I100" s="22" t="s">
        <v>1793</v>
      </c>
      <c r="K100" s="22">
        <v>116</v>
      </c>
      <c r="L100" s="22">
        <v>26</v>
      </c>
      <c r="M100" s="22">
        <v>12</v>
      </c>
      <c r="N100" s="22">
        <v>0</v>
      </c>
      <c r="O100" s="22">
        <v>0</v>
      </c>
      <c r="P100" s="31" t="str">
        <f t="shared" si="6"/>
        <v/>
      </c>
      <c r="Q100" s="22">
        <f t="shared" si="7"/>
        <v>147</v>
      </c>
    </row>
    <row r="101" spans="1:18" x14ac:dyDescent="0.3">
      <c r="A101" s="22" t="s">
        <v>1892</v>
      </c>
      <c r="B101" t="s">
        <v>39</v>
      </c>
      <c r="C101" t="s">
        <v>911</v>
      </c>
      <c r="D101" s="22" t="s">
        <v>22</v>
      </c>
      <c r="E101" s="22" t="s">
        <v>59</v>
      </c>
      <c r="F101" t="s">
        <v>1779</v>
      </c>
      <c r="G101" s="28">
        <v>46160</v>
      </c>
      <c r="I101" s="22" t="s">
        <v>1793</v>
      </c>
      <c r="K101" s="22">
        <v>143</v>
      </c>
      <c r="L101" s="22">
        <v>35</v>
      </c>
      <c r="M101" s="22">
        <v>20</v>
      </c>
      <c r="N101" s="22">
        <v>1</v>
      </c>
      <c r="O101" s="22">
        <v>0</v>
      </c>
      <c r="P101" s="31">
        <f t="shared" si="6"/>
        <v>0</v>
      </c>
      <c r="Q101" s="22">
        <f t="shared" si="7"/>
        <v>135</v>
      </c>
    </row>
    <row r="102" spans="1:18" x14ac:dyDescent="0.3">
      <c r="A102" s="22" t="s">
        <v>1893</v>
      </c>
      <c r="B102" t="s">
        <v>44</v>
      </c>
      <c r="C102" t="s">
        <v>898</v>
      </c>
      <c r="D102" s="22" t="s">
        <v>22</v>
      </c>
      <c r="E102" s="22" t="s">
        <v>61</v>
      </c>
      <c r="F102" t="s">
        <v>1792</v>
      </c>
      <c r="G102" s="28">
        <v>46160</v>
      </c>
      <c r="H102" s="28">
        <v>46193</v>
      </c>
      <c r="I102" s="22" t="s">
        <v>1780</v>
      </c>
      <c r="J102" t="s">
        <v>1830</v>
      </c>
      <c r="K102" s="22">
        <v>155</v>
      </c>
      <c r="L102" s="22">
        <v>38</v>
      </c>
      <c r="M102" s="22">
        <v>19</v>
      </c>
      <c r="N102" s="22">
        <v>1</v>
      </c>
      <c r="O102" s="22">
        <v>1</v>
      </c>
      <c r="P102" s="31">
        <f t="shared" si="6"/>
        <v>1</v>
      </c>
      <c r="Q102" s="22">
        <f t="shared" si="7"/>
        <v>33</v>
      </c>
      <c r="R102" s="34">
        <v>29155</v>
      </c>
    </row>
    <row r="103" spans="1:18" x14ac:dyDescent="0.3">
      <c r="A103" s="22" t="s">
        <v>1894</v>
      </c>
      <c r="B103" t="s">
        <v>41</v>
      </c>
      <c r="C103" t="s">
        <v>890</v>
      </c>
      <c r="D103" s="22" t="s">
        <v>22</v>
      </c>
      <c r="E103" s="22" t="s">
        <v>60</v>
      </c>
      <c r="F103" t="s">
        <v>1783</v>
      </c>
      <c r="G103" s="28">
        <v>46163</v>
      </c>
      <c r="H103" s="28">
        <v>46188</v>
      </c>
      <c r="I103" s="22" t="s">
        <v>1780</v>
      </c>
      <c r="J103" t="s">
        <v>1807</v>
      </c>
      <c r="K103" s="22">
        <v>42</v>
      </c>
      <c r="L103" s="22">
        <v>11</v>
      </c>
      <c r="M103" s="22">
        <v>6</v>
      </c>
      <c r="N103" s="22">
        <v>3</v>
      </c>
      <c r="O103" s="22">
        <v>1</v>
      </c>
      <c r="P103" s="31">
        <f t="shared" si="6"/>
        <v>0.33333333333333331</v>
      </c>
      <c r="Q103" s="22">
        <f t="shared" si="7"/>
        <v>25</v>
      </c>
      <c r="R103" s="34">
        <v>12000</v>
      </c>
    </row>
    <row r="104" spans="1:18" x14ac:dyDescent="0.3">
      <c r="A104" s="22" t="s">
        <v>1895</v>
      </c>
      <c r="B104" t="s">
        <v>43</v>
      </c>
      <c r="C104" t="s">
        <v>894</v>
      </c>
      <c r="D104" s="22" t="s">
        <v>22</v>
      </c>
      <c r="E104" s="22" t="s">
        <v>59</v>
      </c>
      <c r="F104" t="s">
        <v>1789</v>
      </c>
      <c r="G104" s="28">
        <v>46166</v>
      </c>
      <c r="I104" s="22" t="s">
        <v>1796</v>
      </c>
      <c r="K104" s="22">
        <v>205</v>
      </c>
      <c r="L104" s="22">
        <v>54</v>
      </c>
      <c r="M104" s="22">
        <v>36</v>
      </c>
      <c r="N104" s="22">
        <v>1</v>
      </c>
      <c r="O104" s="22">
        <v>0</v>
      </c>
      <c r="P104" s="31">
        <f t="shared" si="6"/>
        <v>0</v>
      </c>
      <c r="Q104" s="22" t="str">
        <f t="shared" si="7"/>
        <v/>
      </c>
    </row>
    <row r="105" spans="1:18" x14ac:dyDescent="0.3">
      <c r="A105" s="22" t="s">
        <v>1896</v>
      </c>
      <c r="B105" t="s">
        <v>45</v>
      </c>
      <c r="C105" t="s">
        <v>212</v>
      </c>
      <c r="D105" s="22" t="s">
        <v>26</v>
      </c>
      <c r="E105" s="22" t="s">
        <v>61</v>
      </c>
      <c r="F105" t="s">
        <v>1789</v>
      </c>
      <c r="G105" s="28">
        <v>46166</v>
      </c>
      <c r="H105" s="28">
        <v>46206</v>
      </c>
      <c r="I105" s="22" t="s">
        <v>1780</v>
      </c>
      <c r="J105" t="s">
        <v>1790</v>
      </c>
      <c r="K105" s="22">
        <v>166</v>
      </c>
      <c r="L105" s="22">
        <v>39</v>
      </c>
      <c r="M105" s="22">
        <v>19</v>
      </c>
      <c r="N105" s="22">
        <v>1</v>
      </c>
      <c r="O105" s="22">
        <v>1</v>
      </c>
      <c r="P105" s="31">
        <f t="shared" si="6"/>
        <v>1</v>
      </c>
      <c r="Q105" s="22">
        <f t="shared" si="7"/>
        <v>40</v>
      </c>
      <c r="R105" s="34">
        <v>5000</v>
      </c>
    </row>
    <row r="106" spans="1:18" x14ac:dyDescent="0.3">
      <c r="A106" s="22" t="s">
        <v>1897</v>
      </c>
      <c r="B106" t="s">
        <v>44</v>
      </c>
      <c r="C106" t="s">
        <v>263</v>
      </c>
      <c r="D106" s="22" t="s">
        <v>26</v>
      </c>
      <c r="E106" s="22" t="s">
        <v>59</v>
      </c>
      <c r="F106" t="s">
        <v>1789</v>
      </c>
      <c r="G106" s="28">
        <v>46167</v>
      </c>
      <c r="H106" s="28">
        <v>46209</v>
      </c>
      <c r="I106" s="22" t="s">
        <v>1780</v>
      </c>
      <c r="J106" t="s">
        <v>1807</v>
      </c>
      <c r="K106" s="22">
        <v>141</v>
      </c>
      <c r="L106" s="22">
        <v>23</v>
      </c>
      <c r="M106" s="22">
        <v>10</v>
      </c>
      <c r="N106" s="22">
        <v>1</v>
      </c>
      <c r="O106" s="22">
        <v>1</v>
      </c>
      <c r="P106" s="31">
        <f t="shared" si="6"/>
        <v>1</v>
      </c>
      <c r="Q106" s="22">
        <f t="shared" si="7"/>
        <v>42</v>
      </c>
      <c r="R106" s="34">
        <v>12000</v>
      </c>
    </row>
    <row r="107" spans="1:18" x14ac:dyDescent="0.3">
      <c r="A107" s="22" t="s">
        <v>1898</v>
      </c>
      <c r="B107" t="s">
        <v>41</v>
      </c>
      <c r="C107" t="s">
        <v>890</v>
      </c>
      <c r="D107" s="22" t="s">
        <v>22</v>
      </c>
      <c r="E107" s="22" t="s">
        <v>61</v>
      </c>
      <c r="F107" t="s">
        <v>1789</v>
      </c>
      <c r="G107" s="28">
        <v>46172</v>
      </c>
      <c r="I107" s="22" t="s">
        <v>1796</v>
      </c>
      <c r="K107" s="22">
        <v>28</v>
      </c>
      <c r="L107" s="22">
        <v>7</v>
      </c>
      <c r="M107" s="22">
        <v>4</v>
      </c>
      <c r="N107" s="22">
        <v>0</v>
      </c>
      <c r="O107" s="22">
        <v>0</v>
      </c>
      <c r="P107" s="31" t="str">
        <f t="shared" si="6"/>
        <v/>
      </c>
      <c r="Q107" s="22" t="str">
        <f t="shared" si="7"/>
        <v/>
      </c>
    </row>
    <row r="108" spans="1:18" x14ac:dyDescent="0.3">
      <c r="A108" s="22" t="s">
        <v>1899</v>
      </c>
      <c r="B108" t="s">
        <v>41</v>
      </c>
      <c r="C108" t="s">
        <v>253</v>
      </c>
      <c r="D108" s="22" t="s">
        <v>26</v>
      </c>
      <c r="E108" s="22" t="s">
        <v>61</v>
      </c>
      <c r="F108" t="s">
        <v>1779</v>
      </c>
      <c r="G108" s="28">
        <v>46172</v>
      </c>
      <c r="H108" s="28">
        <v>46221</v>
      </c>
      <c r="I108" s="22" t="s">
        <v>1780</v>
      </c>
      <c r="J108" t="s">
        <v>1781</v>
      </c>
      <c r="K108" s="22">
        <v>90</v>
      </c>
      <c r="L108" s="22">
        <v>13</v>
      </c>
      <c r="M108" s="22">
        <v>8</v>
      </c>
      <c r="N108" s="22">
        <v>1</v>
      </c>
      <c r="O108" s="22">
        <v>1</v>
      </c>
      <c r="P108" s="31">
        <f t="shared" si="6"/>
        <v>1</v>
      </c>
      <c r="Q108" s="22">
        <f t="shared" si="7"/>
        <v>49</v>
      </c>
      <c r="R108" s="34">
        <v>18000</v>
      </c>
    </row>
    <row r="109" spans="1:18" x14ac:dyDescent="0.3">
      <c r="A109" s="22" t="s">
        <v>1900</v>
      </c>
      <c r="B109" t="s">
        <v>39</v>
      </c>
      <c r="C109" t="s">
        <v>911</v>
      </c>
      <c r="D109" s="22" t="s">
        <v>22</v>
      </c>
      <c r="E109" s="22" t="s">
        <v>61</v>
      </c>
      <c r="F109" t="s">
        <v>1789</v>
      </c>
      <c r="G109" s="28">
        <v>46172</v>
      </c>
      <c r="I109" s="22" t="s">
        <v>1793</v>
      </c>
      <c r="K109" s="22">
        <v>191</v>
      </c>
      <c r="L109" s="22">
        <v>53</v>
      </c>
      <c r="M109" s="22">
        <v>27</v>
      </c>
      <c r="N109" s="22">
        <v>0</v>
      </c>
      <c r="O109" s="22">
        <v>0</v>
      </c>
      <c r="P109" s="31" t="str">
        <f t="shared" si="6"/>
        <v/>
      </c>
      <c r="Q109" s="22">
        <f t="shared" si="7"/>
        <v>123</v>
      </c>
    </row>
    <row r="110" spans="1:18" x14ac:dyDescent="0.3">
      <c r="A110" s="22" t="s">
        <v>1901</v>
      </c>
      <c r="B110" t="s">
        <v>40</v>
      </c>
      <c r="C110" t="s">
        <v>155</v>
      </c>
      <c r="D110" s="22" t="s">
        <v>28</v>
      </c>
      <c r="E110" s="22" t="s">
        <v>60</v>
      </c>
      <c r="F110" t="s">
        <v>1792</v>
      </c>
      <c r="G110" s="28">
        <v>46177</v>
      </c>
      <c r="I110" s="22" t="s">
        <v>1804</v>
      </c>
      <c r="K110" s="22">
        <v>121</v>
      </c>
      <c r="L110" s="22">
        <v>27</v>
      </c>
      <c r="M110" s="22">
        <v>12</v>
      </c>
      <c r="N110" s="22">
        <v>0</v>
      </c>
      <c r="O110" s="22">
        <v>0</v>
      </c>
      <c r="P110" s="31" t="str">
        <f t="shared" si="6"/>
        <v/>
      </c>
      <c r="Q110" s="22" t="str">
        <f t="shared" si="7"/>
        <v/>
      </c>
    </row>
    <row r="111" spans="1:18" x14ac:dyDescent="0.3">
      <c r="A111" s="22" t="s">
        <v>1902</v>
      </c>
      <c r="B111" t="s">
        <v>42</v>
      </c>
      <c r="C111" t="s">
        <v>576</v>
      </c>
      <c r="D111" s="22" t="s">
        <v>24</v>
      </c>
      <c r="E111" s="22" t="s">
        <v>59</v>
      </c>
      <c r="F111" t="s">
        <v>1783</v>
      </c>
      <c r="G111" s="28">
        <v>46186</v>
      </c>
      <c r="I111" s="22" t="s">
        <v>1796</v>
      </c>
      <c r="K111" s="22">
        <v>161</v>
      </c>
      <c r="L111" s="22">
        <v>24</v>
      </c>
      <c r="M111" s="22">
        <v>16</v>
      </c>
      <c r="N111" s="22">
        <v>0</v>
      </c>
      <c r="O111" s="22">
        <v>0</v>
      </c>
      <c r="P111" s="31" t="str">
        <f t="shared" si="6"/>
        <v/>
      </c>
      <c r="Q111" s="22" t="str">
        <f t="shared" si="7"/>
        <v/>
      </c>
    </row>
    <row r="112" spans="1:18" x14ac:dyDescent="0.3">
      <c r="A112" s="22" t="s">
        <v>1903</v>
      </c>
      <c r="B112" t="s">
        <v>39</v>
      </c>
      <c r="C112" t="s">
        <v>244</v>
      </c>
      <c r="D112" s="22" t="s">
        <v>26</v>
      </c>
      <c r="E112" s="22" t="s">
        <v>60</v>
      </c>
      <c r="F112" t="s">
        <v>1783</v>
      </c>
      <c r="G112" s="28">
        <v>46187</v>
      </c>
      <c r="I112" s="22" t="s">
        <v>1793</v>
      </c>
      <c r="K112" s="22">
        <v>62</v>
      </c>
      <c r="L112" s="22">
        <v>12</v>
      </c>
      <c r="M112" s="22">
        <v>4</v>
      </c>
      <c r="N112" s="22">
        <v>0</v>
      </c>
      <c r="O112" s="22">
        <v>0</v>
      </c>
      <c r="P112" s="31" t="str">
        <f t="shared" si="6"/>
        <v/>
      </c>
      <c r="Q112" s="22">
        <f t="shared" si="7"/>
        <v>108</v>
      </c>
    </row>
    <row r="113" spans="1:18" x14ac:dyDescent="0.3">
      <c r="A113" s="22" t="s">
        <v>1904</v>
      </c>
      <c r="B113" t="s">
        <v>39</v>
      </c>
      <c r="C113" t="s">
        <v>244</v>
      </c>
      <c r="D113" s="22" t="s">
        <v>26</v>
      </c>
      <c r="E113" s="22" t="s">
        <v>61</v>
      </c>
      <c r="F113" t="s">
        <v>1779</v>
      </c>
      <c r="G113" s="28">
        <v>46193</v>
      </c>
      <c r="H113" s="28">
        <v>46241</v>
      </c>
      <c r="I113" s="22" t="s">
        <v>1780</v>
      </c>
      <c r="J113" t="s">
        <v>1787</v>
      </c>
      <c r="K113" s="22">
        <v>203</v>
      </c>
      <c r="L113" s="22">
        <v>31</v>
      </c>
      <c r="M113" s="22">
        <v>17</v>
      </c>
      <c r="N113" s="22">
        <v>1</v>
      </c>
      <c r="O113" s="22">
        <v>1</v>
      </c>
      <c r="P113" s="31">
        <f t="shared" si="6"/>
        <v>1</v>
      </c>
      <c r="Q113" s="22">
        <f t="shared" si="7"/>
        <v>48</v>
      </c>
      <c r="R113" s="34">
        <v>25000</v>
      </c>
    </row>
    <row r="114" spans="1:18" x14ac:dyDescent="0.3">
      <c r="A114" s="22" t="s">
        <v>1905</v>
      </c>
      <c r="B114" t="s">
        <v>44</v>
      </c>
      <c r="C114" t="s">
        <v>189</v>
      </c>
      <c r="D114" s="22" t="s">
        <v>30</v>
      </c>
      <c r="E114" s="22" t="s">
        <v>61</v>
      </c>
      <c r="F114" t="s">
        <v>1783</v>
      </c>
      <c r="G114" s="28">
        <v>46194</v>
      </c>
      <c r="H114" s="28">
        <v>46238</v>
      </c>
      <c r="I114" s="22" t="s">
        <v>1780</v>
      </c>
      <c r="J114" t="s">
        <v>1807</v>
      </c>
      <c r="K114" s="22">
        <v>138</v>
      </c>
      <c r="L114" s="22">
        <v>32</v>
      </c>
      <c r="M114" s="22">
        <v>16</v>
      </c>
      <c r="N114" s="22">
        <v>1</v>
      </c>
      <c r="O114" s="22">
        <v>1</v>
      </c>
      <c r="P114" s="31">
        <f t="shared" si="6"/>
        <v>1</v>
      </c>
      <c r="Q114" s="22">
        <f t="shared" si="7"/>
        <v>44</v>
      </c>
      <c r="R114" s="34">
        <v>12000</v>
      </c>
    </row>
    <row r="115" spans="1:18" x14ac:dyDescent="0.3">
      <c r="A115" s="22" t="s">
        <v>1906</v>
      </c>
      <c r="B115" t="s">
        <v>41</v>
      </c>
      <c r="C115" t="s">
        <v>560</v>
      </c>
      <c r="D115" s="22" t="s">
        <v>24</v>
      </c>
      <c r="E115" s="22" t="s">
        <v>60</v>
      </c>
      <c r="F115" t="s">
        <v>1792</v>
      </c>
      <c r="G115" s="28">
        <v>46195</v>
      </c>
      <c r="I115" s="22" t="s">
        <v>1793</v>
      </c>
      <c r="K115" s="22">
        <v>94</v>
      </c>
      <c r="L115" s="22">
        <v>18</v>
      </c>
      <c r="M115" s="22">
        <v>10</v>
      </c>
      <c r="N115" s="22">
        <v>0</v>
      </c>
      <c r="O115" s="22">
        <v>0</v>
      </c>
      <c r="P115" s="31" t="str">
        <f t="shared" si="6"/>
        <v/>
      </c>
      <c r="Q115" s="22">
        <f t="shared" si="7"/>
        <v>100</v>
      </c>
    </row>
    <row r="116" spans="1:18" x14ac:dyDescent="0.3">
      <c r="A116" s="22" t="s">
        <v>1907</v>
      </c>
      <c r="B116" t="s">
        <v>40</v>
      </c>
      <c r="C116" t="s">
        <v>550</v>
      </c>
      <c r="D116" s="22" t="s">
        <v>24</v>
      </c>
      <c r="E116" s="22" t="s">
        <v>60</v>
      </c>
      <c r="F116" t="s">
        <v>1789</v>
      </c>
      <c r="G116" s="28">
        <v>46198</v>
      </c>
      <c r="I116" s="22" t="s">
        <v>1793</v>
      </c>
      <c r="K116" s="22">
        <v>101</v>
      </c>
      <c r="L116" s="22">
        <v>23</v>
      </c>
      <c r="M116" s="22">
        <v>15</v>
      </c>
      <c r="N116" s="22">
        <v>1</v>
      </c>
      <c r="O116" s="22">
        <v>0</v>
      </c>
      <c r="P116" s="31">
        <f t="shared" si="6"/>
        <v>0</v>
      </c>
      <c r="Q116" s="22">
        <f t="shared" si="7"/>
        <v>97</v>
      </c>
    </row>
    <row r="117" spans="1:18" x14ac:dyDescent="0.3">
      <c r="A117" s="22" t="s">
        <v>1908</v>
      </c>
      <c r="B117" t="s">
        <v>43</v>
      </c>
      <c r="C117" t="s">
        <v>287</v>
      </c>
      <c r="D117" s="22" t="s">
        <v>28</v>
      </c>
      <c r="E117" s="22" t="s">
        <v>60</v>
      </c>
      <c r="F117" t="s">
        <v>1783</v>
      </c>
      <c r="G117" s="28">
        <v>46202</v>
      </c>
      <c r="I117" s="22" t="s">
        <v>1793</v>
      </c>
      <c r="K117" s="22">
        <v>145</v>
      </c>
      <c r="L117" s="22">
        <v>20</v>
      </c>
      <c r="M117" s="22">
        <v>10</v>
      </c>
      <c r="N117" s="22">
        <v>0</v>
      </c>
      <c r="O117" s="22">
        <v>0</v>
      </c>
      <c r="P117" s="31" t="str">
        <f t="shared" si="6"/>
        <v/>
      </c>
      <c r="Q117" s="22">
        <f t="shared" si="7"/>
        <v>93</v>
      </c>
    </row>
    <row r="118" spans="1:18" x14ac:dyDescent="0.3">
      <c r="A118" s="22" t="s">
        <v>1909</v>
      </c>
      <c r="B118" t="s">
        <v>44</v>
      </c>
      <c r="C118" t="s">
        <v>625</v>
      </c>
      <c r="D118" s="22" t="s">
        <v>24</v>
      </c>
      <c r="E118" s="22" t="s">
        <v>60</v>
      </c>
      <c r="F118" t="s">
        <v>1779</v>
      </c>
      <c r="G118" s="28">
        <v>46205</v>
      </c>
      <c r="H118" s="28">
        <v>46240</v>
      </c>
      <c r="I118" s="22" t="s">
        <v>1780</v>
      </c>
      <c r="J118" t="s">
        <v>1787</v>
      </c>
      <c r="K118" s="22">
        <v>140</v>
      </c>
      <c r="L118" s="22">
        <v>21</v>
      </c>
      <c r="M118" s="22">
        <v>11</v>
      </c>
      <c r="N118" s="22">
        <v>1</v>
      </c>
      <c r="O118" s="22">
        <v>1</v>
      </c>
      <c r="P118" s="31">
        <f t="shared" si="6"/>
        <v>1</v>
      </c>
      <c r="Q118" s="22">
        <f t="shared" si="7"/>
        <v>35</v>
      </c>
      <c r="R118" s="34">
        <v>25000</v>
      </c>
    </row>
    <row r="119" spans="1:18" x14ac:dyDescent="0.3">
      <c r="A119" s="22" t="s">
        <v>1910</v>
      </c>
      <c r="B119" t="s">
        <v>42</v>
      </c>
      <c r="C119" t="s">
        <v>272</v>
      </c>
      <c r="D119" s="22" t="s">
        <v>32</v>
      </c>
      <c r="E119" s="22" t="s">
        <v>59</v>
      </c>
      <c r="F119" t="s">
        <v>1783</v>
      </c>
      <c r="G119" s="28">
        <v>46210</v>
      </c>
      <c r="H119" s="28">
        <v>46275</v>
      </c>
      <c r="I119" s="22" t="s">
        <v>1780</v>
      </c>
      <c r="J119" t="s">
        <v>1849</v>
      </c>
      <c r="K119" s="22">
        <v>111</v>
      </c>
      <c r="L119" s="22">
        <v>24</v>
      </c>
      <c r="M119" s="22">
        <v>15</v>
      </c>
      <c r="N119" s="22">
        <v>1</v>
      </c>
      <c r="O119" s="22">
        <v>1</v>
      </c>
      <c r="P119" s="31">
        <f t="shared" si="6"/>
        <v>1</v>
      </c>
      <c r="Q119" s="22">
        <f t="shared" si="7"/>
        <v>65</v>
      </c>
      <c r="R119" s="34">
        <v>2000</v>
      </c>
    </row>
    <row r="120" spans="1:18" x14ac:dyDescent="0.3">
      <c r="A120" s="22" t="s">
        <v>1911</v>
      </c>
      <c r="B120" t="s">
        <v>42</v>
      </c>
      <c r="C120" t="s">
        <v>1062</v>
      </c>
      <c r="D120" s="22" t="s">
        <v>22</v>
      </c>
      <c r="E120" s="22" t="s">
        <v>60</v>
      </c>
      <c r="F120" t="s">
        <v>1792</v>
      </c>
      <c r="G120" s="28">
        <v>46210</v>
      </c>
      <c r="H120" s="28">
        <v>46228</v>
      </c>
      <c r="I120" s="22" t="s">
        <v>1780</v>
      </c>
      <c r="J120" t="s">
        <v>1807</v>
      </c>
      <c r="K120" s="22">
        <v>214</v>
      </c>
      <c r="L120" s="22">
        <v>46</v>
      </c>
      <c r="M120" s="22">
        <v>27</v>
      </c>
      <c r="N120" s="22">
        <v>1</v>
      </c>
      <c r="O120" s="22">
        <v>1</v>
      </c>
      <c r="P120" s="31">
        <f t="shared" si="6"/>
        <v>1</v>
      </c>
      <c r="Q120" s="22">
        <f t="shared" si="7"/>
        <v>18</v>
      </c>
      <c r="R120" s="34">
        <v>12000</v>
      </c>
    </row>
    <row r="121" spans="1:18" x14ac:dyDescent="0.3">
      <c r="A121" s="22" t="s">
        <v>1912</v>
      </c>
      <c r="B121" t="s">
        <v>40</v>
      </c>
      <c r="C121" t="s">
        <v>219</v>
      </c>
      <c r="D121" s="22" t="s">
        <v>26</v>
      </c>
      <c r="E121" s="22" t="s">
        <v>59</v>
      </c>
      <c r="F121" t="s">
        <v>1783</v>
      </c>
      <c r="G121" s="28">
        <v>46211</v>
      </c>
      <c r="H121" s="28">
        <v>46257</v>
      </c>
      <c r="I121" s="22" t="s">
        <v>1780</v>
      </c>
      <c r="J121" t="s">
        <v>1807</v>
      </c>
      <c r="K121" s="22">
        <v>214</v>
      </c>
      <c r="L121" s="22">
        <v>40</v>
      </c>
      <c r="M121" s="22">
        <v>27</v>
      </c>
      <c r="N121" s="22">
        <v>1</v>
      </c>
      <c r="O121" s="22">
        <v>1</v>
      </c>
      <c r="P121" s="31">
        <f t="shared" si="6"/>
        <v>1</v>
      </c>
      <c r="Q121" s="22">
        <f t="shared" si="7"/>
        <v>46</v>
      </c>
      <c r="R121" s="34">
        <v>12000</v>
      </c>
    </row>
    <row r="122" spans="1:18" x14ac:dyDescent="0.3">
      <c r="A122" s="22" t="s">
        <v>1913</v>
      </c>
      <c r="B122" t="s">
        <v>40</v>
      </c>
      <c r="C122" t="s">
        <v>550</v>
      </c>
      <c r="D122" s="22" t="s">
        <v>24</v>
      </c>
      <c r="E122" s="22" t="s">
        <v>61</v>
      </c>
      <c r="F122" t="s">
        <v>1789</v>
      </c>
      <c r="G122" s="28">
        <v>46213</v>
      </c>
      <c r="H122" s="28">
        <v>46250</v>
      </c>
      <c r="I122" s="22" t="s">
        <v>1780</v>
      </c>
      <c r="J122" t="s">
        <v>1787</v>
      </c>
      <c r="K122" s="22">
        <v>144</v>
      </c>
      <c r="L122" s="22">
        <v>29</v>
      </c>
      <c r="M122" s="22">
        <v>14</v>
      </c>
      <c r="N122" s="22">
        <v>1</v>
      </c>
      <c r="O122" s="22">
        <v>1</v>
      </c>
      <c r="P122" s="31">
        <f t="shared" si="6"/>
        <v>1</v>
      </c>
      <c r="Q122" s="22">
        <f t="shared" si="7"/>
        <v>37</v>
      </c>
      <c r="R122" s="34">
        <v>25000</v>
      </c>
    </row>
    <row r="123" spans="1:18" x14ac:dyDescent="0.3">
      <c r="A123" s="22" t="s">
        <v>1914</v>
      </c>
      <c r="B123" t="s">
        <v>48</v>
      </c>
      <c r="C123" t="s">
        <v>162</v>
      </c>
      <c r="D123" s="22" t="s">
        <v>30</v>
      </c>
      <c r="E123" s="22" t="s">
        <v>60</v>
      </c>
      <c r="F123" t="s">
        <v>1792</v>
      </c>
      <c r="G123" s="28">
        <v>46215</v>
      </c>
      <c r="H123" s="28">
        <v>46268</v>
      </c>
      <c r="I123" s="22" t="s">
        <v>1780</v>
      </c>
      <c r="J123" t="s">
        <v>1849</v>
      </c>
      <c r="K123" s="22">
        <v>124</v>
      </c>
      <c r="L123" s="22">
        <v>20</v>
      </c>
      <c r="M123" s="22">
        <v>8</v>
      </c>
      <c r="N123" s="22">
        <v>3</v>
      </c>
      <c r="O123" s="22">
        <v>1</v>
      </c>
      <c r="P123" s="31">
        <f t="shared" si="6"/>
        <v>0.33333333333333331</v>
      </c>
      <c r="Q123" s="22">
        <f t="shared" si="7"/>
        <v>53</v>
      </c>
      <c r="R123" s="34">
        <v>2000</v>
      </c>
    </row>
    <row r="124" spans="1:18" x14ac:dyDescent="0.3">
      <c r="A124" s="22" t="s">
        <v>1915</v>
      </c>
      <c r="B124" t="s">
        <v>40</v>
      </c>
      <c r="C124" t="s">
        <v>902</v>
      </c>
      <c r="D124" s="22" t="s">
        <v>22</v>
      </c>
      <c r="E124" s="22" t="s">
        <v>60</v>
      </c>
      <c r="F124" t="s">
        <v>1783</v>
      </c>
      <c r="G124" s="28">
        <v>46216</v>
      </c>
      <c r="H124" s="28">
        <v>46235</v>
      </c>
      <c r="I124" s="22" t="s">
        <v>1780</v>
      </c>
      <c r="J124" t="s">
        <v>1807</v>
      </c>
      <c r="K124" s="22">
        <v>28</v>
      </c>
      <c r="L124" s="22">
        <v>4</v>
      </c>
      <c r="M124" s="22">
        <v>1</v>
      </c>
      <c r="N124" s="22">
        <v>2</v>
      </c>
      <c r="O124" s="22">
        <v>1</v>
      </c>
      <c r="P124" s="31">
        <f t="shared" si="6"/>
        <v>0.5</v>
      </c>
      <c r="Q124" s="22">
        <f t="shared" si="7"/>
        <v>19</v>
      </c>
      <c r="R124" s="34">
        <v>12000</v>
      </c>
    </row>
    <row r="125" spans="1:18" x14ac:dyDescent="0.3">
      <c r="A125" s="22" t="s">
        <v>1916</v>
      </c>
      <c r="B125" t="s">
        <v>42</v>
      </c>
      <c r="C125" t="s">
        <v>238</v>
      </c>
      <c r="D125" s="22" t="s">
        <v>26</v>
      </c>
      <c r="E125" s="22" t="s">
        <v>60</v>
      </c>
      <c r="F125" t="s">
        <v>1783</v>
      </c>
      <c r="G125" s="28">
        <v>46216</v>
      </c>
      <c r="H125" s="28">
        <v>46257</v>
      </c>
      <c r="I125" s="22" t="s">
        <v>1780</v>
      </c>
      <c r="J125" t="s">
        <v>1807</v>
      </c>
      <c r="K125" s="22">
        <v>57</v>
      </c>
      <c r="L125" s="22">
        <v>11</v>
      </c>
      <c r="M125" s="22">
        <v>4</v>
      </c>
      <c r="N125" s="22">
        <v>2</v>
      </c>
      <c r="O125" s="22">
        <v>1</v>
      </c>
      <c r="P125" s="31">
        <f t="shared" si="6"/>
        <v>0.5</v>
      </c>
      <c r="Q125" s="22">
        <f t="shared" si="7"/>
        <v>41</v>
      </c>
      <c r="R125" s="34">
        <v>12000</v>
      </c>
    </row>
    <row r="126" spans="1:18" x14ac:dyDescent="0.3">
      <c r="A126" s="22" t="s">
        <v>1917</v>
      </c>
      <c r="B126" t="s">
        <v>39</v>
      </c>
      <c r="C126" t="s">
        <v>569</v>
      </c>
      <c r="D126" s="22" t="s">
        <v>24</v>
      </c>
      <c r="E126" s="22" t="s">
        <v>59</v>
      </c>
      <c r="F126" t="s">
        <v>1789</v>
      </c>
      <c r="G126" s="28">
        <v>46217</v>
      </c>
      <c r="H126" s="28">
        <v>46248</v>
      </c>
      <c r="I126" s="22" t="s">
        <v>1780</v>
      </c>
      <c r="J126" t="s">
        <v>1830</v>
      </c>
      <c r="K126" s="22">
        <v>259</v>
      </c>
      <c r="L126" s="22">
        <v>71</v>
      </c>
      <c r="M126" s="22">
        <v>31</v>
      </c>
      <c r="N126" s="22">
        <v>2</v>
      </c>
      <c r="O126" s="22">
        <v>1</v>
      </c>
      <c r="P126" s="31">
        <f t="shared" si="6"/>
        <v>0.5</v>
      </c>
      <c r="Q126" s="22">
        <f t="shared" si="7"/>
        <v>31</v>
      </c>
      <c r="R126" s="34">
        <v>49980</v>
      </c>
    </row>
    <row r="127" spans="1:18" x14ac:dyDescent="0.3">
      <c r="A127" s="22" t="s">
        <v>1918</v>
      </c>
      <c r="B127" t="s">
        <v>42</v>
      </c>
      <c r="C127" t="s">
        <v>196</v>
      </c>
      <c r="D127" s="22" t="s">
        <v>28</v>
      </c>
      <c r="E127" s="22" t="s">
        <v>59</v>
      </c>
      <c r="F127" t="s">
        <v>1789</v>
      </c>
      <c r="G127" s="28">
        <v>46221</v>
      </c>
      <c r="H127" s="28">
        <v>46273</v>
      </c>
      <c r="I127" s="22" t="s">
        <v>1780</v>
      </c>
      <c r="J127" t="s">
        <v>1830</v>
      </c>
      <c r="K127" s="22">
        <v>87</v>
      </c>
      <c r="L127" s="22">
        <v>13</v>
      </c>
      <c r="M127" s="22">
        <v>5</v>
      </c>
      <c r="N127" s="22">
        <v>2</v>
      </c>
      <c r="O127" s="22">
        <v>1</v>
      </c>
      <c r="P127" s="31">
        <f t="shared" si="6"/>
        <v>0.5</v>
      </c>
      <c r="Q127" s="22">
        <f t="shared" si="7"/>
        <v>52</v>
      </c>
      <c r="R127" s="34">
        <v>141610</v>
      </c>
    </row>
    <row r="128" spans="1:18" x14ac:dyDescent="0.3">
      <c r="A128" s="22" t="s">
        <v>1919</v>
      </c>
      <c r="B128" t="s">
        <v>46</v>
      </c>
      <c r="C128" t="s">
        <v>259</v>
      </c>
      <c r="D128" s="22" t="s">
        <v>26</v>
      </c>
      <c r="E128" s="22" t="s">
        <v>61</v>
      </c>
      <c r="F128" t="s">
        <v>1783</v>
      </c>
      <c r="G128" s="28">
        <v>46224</v>
      </c>
      <c r="H128" s="28">
        <v>46256</v>
      </c>
      <c r="I128" s="22" t="s">
        <v>1780</v>
      </c>
      <c r="J128" t="s">
        <v>1785</v>
      </c>
      <c r="K128" s="22">
        <v>175</v>
      </c>
      <c r="L128" s="22">
        <v>25</v>
      </c>
      <c r="M128" s="22">
        <v>12</v>
      </c>
      <c r="N128" s="22">
        <v>1</v>
      </c>
      <c r="O128" s="22">
        <v>1</v>
      </c>
      <c r="P128" s="31">
        <f t="shared" si="6"/>
        <v>1</v>
      </c>
      <c r="Q128" s="22">
        <f t="shared" si="7"/>
        <v>32</v>
      </c>
      <c r="R128" s="34">
        <v>15000</v>
      </c>
    </row>
    <row r="129" spans="1:18" x14ac:dyDescent="0.3">
      <c r="A129" s="22" t="s">
        <v>1920</v>
      </c>
      <c r="B129" t="s">
        <v>40</v>
      </c>
      <c r="C129" t="s">
        <v>902</v>
      </c>
      <c r="D129" s="22" t="s">
        <v>22</v>
      </c>
      <c r="E129" s="22" t="s">
        <v>61</v>
      </c>
      <c r="F129" t="s">
        <v>1779</v>
      </c>
      <c r="G129" s="28">
        <v>46228</v>
      </c>
      <c r="I129" s="22" t="s">
        <v>1796</v>
      </c>
      <c r="K129" s="22">
        <v>104</v>
      </c>
      <c r="L129" s="22">
        <v>15</v>
      </c>
      <c r="M129" s="22">
        <v>6</v>
      </c>
      <c r="N129" s="22">
        <v>0</v>
      </c>
      <c r="O129" s="22">
        <v>0</v>
      </c>
      <c r="P129" s="31" t="str">
        <f t="shared" si="6"/>
        <v/>
      </c>
      <c r="Q129" s="22" t="str">
        <f t="shared" si="7"/>
        <v/>
      </c>
    </row>
    <row r="130" spans="1:18" x14ac:dyDescent="0.3">
      <c r="A130" s="22" t="s">
        <v>1921</v>
      </c>
      <c r="B130" t="s">
        <v>47</v>
      </c>
      <c r="C130" t="s">
        <v>226</v>
      </c>
      <c r="D130" s="22" t="s">
        <v>26</v>
      </c>
      <c r="E130" s="22" t="s">
        <v>60</v>
      </c>
      <c r="F130" t="s">
        <v>1779</v>
      </c>
      <c r="G130" s="28">
        <v>46229</v>
      </c>
      <c r="I130" s="22" t="s">
        <v>1793</v>
      </c>
      <c r="K130" s="22">
        <v>132</v>
      </c>
      <c r="L130" s="22">
        <v>27</v>
      </c>
      <c r="M130" s="22">
        <v>12</v>
      </c>
      <c r="N130" s="22">
        <v>0</v>
      </c>
      <c r="O130" s="22">
        <v>0</v>
      </c>
      <c r="P130" s="31" t="str">
        <f t="shared" ref="P130:P141" si="8">IF(N130=0,"",O130/N130)</f>
        <v/>
      </c>
      <c r="Q130" s="22">
        <f t="shared" ref="Q130:Q141" si="9">IF(I130="Filled",H130-G130,IF(I130="Open",AsOf-G130,""))</f>
        <v>66</v>
      </c>
    </row>
    <row r="131" spans="1:18" x14ac:dyDescent="0.3">
      <c r="A131" s="22" t="s">
        <v>1922</v>
      </c>
      <c r="B131" t="s">
        <v>41</v>
      </c>
      <c r="C131" t="s">
        <v>177</v>
      </c>
      <c r="D131" s="22" t="s">
        <v>30</v>
      </c>
      <c r="E131" s="22" t="s">
        <v>60</v>
      </c>
      <c r="F131" t="s">
        <v>1792</v>
      </c>
      <c r="G131" s="28">
        <v>46232</v>
      </c>
      <c r="I131" s="22" t="s">
        <v>1793</v>
      </c>
      <c r="K131" s="22">
        <v>142</v>
      </c>
      <c r="L131" s="22">
        <v>35</v>
      </c>
      <c r="M131" s="22">
        <v>20</v>
      </c>
      <c r="N131" s="22">
        <v>0</v>
      </c>
      <c r="O131" s="22">
        <v>0</v>
      </c>
      <c r="P131" s="31" t="str">
        <f t="shared" si="8"/>
        <v/>
      </c>
      <c r="Q131" s="22">
        <f t="shared" si="9"/>
        <v>63</v>
      </c>
    </row>
    <row r="132" spans="1:18" x14ac:dyDescent="0.3">
      <c r="A132" s="22" t="s">
        <v>1923</v>
      </c>
      <c r="B132" t="s">
        <v>42</v>
      </c>
      <c r="C132" t="s">
        <v>238</v>
      </c>
      <c r="D132" s="22" t="s">
        <v>26</v>
      </c>
      <c r="E132" s="22" t="s">
        <v>61</v>
      </c>
      <c r="F132" t="s">
        <v>1783</v>
      </c>
      <c r="G132" s="28">
        <v>46255</v>
      </c>
      <c r="H132" s="28">
        <v>46290</v>
      </c>
      <c r="I132" s="22" t="s">
        <v>1780</v>
      </c>
      <c r="J132" t="s">
        <v>1830</v>
      </c>
      <c r="K132" s="22">
        <v>135</v>
      </c>
      <c r="L132" s="22">
        <v>18</v>
      </c>
      <c r="M132" s="22">
        <v>10</v>
      </c>
      <c r="N132" s="22">
        <v>1</v>
      </c>
      <c r="O132" s="22">
        <v>1</v>
      </c>
      <c r="P132" s="31">
        <f t="shared" si="8"/>
        <v>1</v>
      </c>
      <c r="Q132" s="22">
        <f t="shared" si="9"/>
        <v>35</v>
      </c>
      <c r="R132" s="34">
        <v>83300</v>
      </c>
    </row>
    <row r="133" spans="1:18" x14ac:dyDescent="0.3">
      <c r="A133" s="22" t="s">
        <v>1924</v>
      </c>
      <c r="B133" t="s">
        <v>40</v>
      </c>
      <c r="C133" t="s">
        <v>219</v>
      </c>
      <c r="D133" s="22" t="s">
        <v>26</v>
      </c>
      <c r="E133" s="22" t="s">
        <v>59</v>
      </c>
      <c r="F133" t="s">
        <v>1792</v>
      </c>
      <c r="G133" s="28">
        <v>46262</v>
      </c>
      <c r="I133" s="22" t="s">
        <v>1793</v>
      </c>
      <c r="K133" s="22">
        <v>143</v>
      </c>
      <c r="L133" s="22">
        <v>17</v>
      </c>
      <c r="M133" s="22">
        <v>8</v>
      </c>
      <c r="N133" s="22">
        <v>0</v>
      </c>
      <c r="O133" s="22">
        <v>0</v>
      </c>
      <c r="P133" s="31" t="str">
        <f t="shared" si="8"/>
        <v/>
      </c>
      <c r="Q133" s="22">
        <f t="shared" si="9"/>
        <v>33</v>
      </c>
    </row>
    <row r="134" spans="1:18" x14ac:dyDescent="0.3">
      <c r="A134" s="22" t="s">
        <v>1925</v>
      </c>
      <c r="B134" t="s">
        <v>39</v>
      </c>
      <c r="C134" t="s">
        <v>911</v>
      </c>
      <c r="D134" s="22" t="s">
        <v>22</v>
      </c>
      <c r="E134" s="22" t="s">
        <v>60</v>
      </c>
      <c r="F134" t="s">
        <v>1779</v>
      </c>
      <c r="G134" s="28">
        <v>46264</v>
      </c>
      <c r="H134" s="28">
        <v>46288</v>
      </c>
      <c r="I134" s="22" t="s">
        <v>1780</v>
      </c>
      <c r="J134" t="s">
        <v>1790</v>
      </c>
      <c r="K134" s="22">
        <v>156</v>
      </c>
      <c r="L134" s="22">
        <v>32</v>
      </c>
      <c r="M134" s="22">
        <v>17</v>
      </c>
      <c r="N134" s="22">
        <v>1</v>
      </c>
      <c r="O134" s="22">
        <v>1</v>
      </c>
      <c r="P134" s="31">
        <f t="shared" si="8"/>
        <v>1</v>
      </c>
      <c r="Q134" s="22">
        <f t="shared" si="9"/>
        <v>24</v>
      </c>
      <c r="R134" s="34">
        <v>5000</v>
      </c>
    </row>
    <row r="135" spans="1:18" x14ac:dyDescent="0.3">
      <c r="A135" s="22" t="s">
        <v>1926</v>
      </c>
      <c r="B135" t="s">
        <v>42</v>
      </c>
      <c r="C135" t="s">
        <v>576</v>
      </c>
      <c r="D135" s="22" t="s">
        <v>24</v>
      </c>
      <c r="E135" s="22" t="s">
        <v>60</v>
      </c>
      <c r="F135" t="s">
        <v>1792</v>
      </c>
      <c r="G135" s="28">
        <v>46268</v>
      </c>
      <c r="I135" s="22" t="s">
        <v>1793</v>
      </c>
      <c r="K135" s="22">
        <v>251</v>
      </c>
      <c r="L135" s="22">
        <v>58</v>
      </c>
      <c r="M135" s="22">
        <v>29</v>
      </c>
      <c r="N135" s="22">
        <v>1</v>
      </c>
      <c r="O135" s="22">
        <v>0</v>
      </c>
      <c r="P135" s="31">
        <f t="shared" si="8"/>
        <v>0</v>
      </c>
      <c r="Q135" s="22">
        <f t="shared" si="9"/>
        <v>27</v>
      </c>
    </row>
    <row r="136" spans="1:18" x14ac:dyDescent="0.3">
      <c r="A136" s="22" t="s">
        <v>1927</v>
      </c>
      <c r="B136" t="s">
        <v>40</v>
      </c>
      <c r="C136" t="s">
        <v>550</v>
      </c>
      <c r="D136" s="22" t="s">
        <v>24</v>
      </c>
      <c r="E136" s="22" t="s">
        <v>60</v>
      </c>
      <c r="F136" t="s">
        <v>1779</v>
      </c>
      <c r="G136" s="28">
        <v>46273</v>
      </c>
      <c r="I136" s="22" t="s">
        <v>1793</v>
      </c>
      <c r="K136" s="22">
        <v>232</v>
      </c>
      <c r="L136" s="22">
        <v>61</v>
      </c>
      <c r="M136" s="22">
        <v>33</v>
      </c>
      <c r="N136" s="22">
        <v>0</v>
      </c>
      <c r="O136" s="22">
        <v>0</v>
      </c>
      <c r="P136" s="31" t="str">
        <f t="shared" si="8"/>
        <v/>
      </c>
      <c r="Q136" s="22">
        <f t="shared" si="9"/>
        <v>22</v>
      </c>
    </row>
    <row r="137" spans="1:18" x14ac:dyDescent="0.3">
      <c r="A137" s="22" t="s">
        <v>1928</v>
      </c>
      <c r="B137" t="s">
        <v>45</v>
      </c>
      <c r="C137" t="s">
        <v>749</v>
      </c>
      <c r="D137" s="22" t="s">
        <v>24</v>
      </c>
      <c r="E137" s="22" t="s">
        <v>60</v>
      </c>
      <c r="F137" t="s">
        <v>1783</v>
      </c>
      <c r="G137" s="28">
        <v>46276</v>
      </c>
      <c r="I137" s="22" t="s">
        <v>1793</v>
      </c>
      <c r="K137" s="22">
        <v>199</v>
      </c>
      <c r="L137" s="22">
        <v>36</v>
      </c>
      <c r="M137" s="22">
        <v>19</v>
      </c>
      <c r="N137" s="22">
        <v>0</v>
      </c>
      <c r="O137" s="22">
        <v>0</v>
      </c>
      <c r="P137" s="31" t="str">
        <f t="shared" si="8"/>
        <v/>
      </c>
      <c r="Q137" s="22">
        <f t="shared" si="9"/>
        <v>19</v>
      </c>
    </row>
    <row r="138" spans="1:18" x14ac:dyDescent="0.3">
      <c r="A138" s="22" t="s">
        <v>1929</v>
      </c>
      <c r="B138" t="s">
        <v>48</v>
      </c>
      <c r="C138" t="s">
        <v>686</v>
      </c>
      <c r="D138" s="22" t="s">
        <v>24</v>
      </c>
      <c r="E138" s="22" t="s">
        <v>59</v>
      </c>
      <c r="F138" t="s">
        <v>1779</v>
      </c>
      <c r="G138" s="28">
        <v>46282</v>
      </c>
      <c r="I138" s="22" t="s">
        <v>1793</v>
      </c>
      <c r="K138" s="22">
        <v>133</v>
      </c>
      <c r="L138" s="22">
        <v>29</v>
      </c>
      <c r="M138" s="22">
        <v>19</v>
      </c>
      <c r="N138" s="22">
        <v>0</v>
      </c>
      <c r="O138" s="22">
        <v>0</v>
      </c>
      <c r="P138" s="31" t="str">
        <f t="shared" si="8"/>
        <v/>
      </c>
      <c r="Q138" s="22">
        <f t="shared" si="9"/>
        <v>13</v>
      </c>
    </row>
    <row r="139" spans="1:18" x14ac:dyDescent="0.3">
      <c r="A139" s="22" t="s">
        <v>1930</v>
      </c>
      <c r="B139" t="s">
        <v>41</v>
      </c>
      <c r="C139" t="s">
        <v>560</v>
      </c>
      <c r="D139" s="22" t="s">
        <v>24</v>
      </c>
      <c r="E139" s="22" t="s">
        <v>61</v>
      </c>
      <c r="F139" t="s">
        <v>1792</v>
      </c>
      <c r="G139" s="28">
        <v>46285</v>
      </c>
      <c r="I139" s="22" t="s">
        <v>1793</v>
      </c>
      <c r="K139" s="22">
        <v>163</v>
      </c>
      <c r="L139" s="22">
        <v>37</v>
      </c>
      <c r="M139" s="22">
        <v>22</v>
      </c>
      <c r="N139" s="22">
        <v>0</v>
      </c>
      <c r="O139" s="22">
        <v>0</v>
      </c>
      <c r="P139" s="31" t="str">
        <f t="shared" si="8"/>
        <v/>
      </c>
      <c r="Q139" s="22">
        <f t="shared" si="9"/>
        <v>10</v>
      </c>
    </row>
    <row r="140" spans="1:18" x14ac:dyDescent="0.3">
      <c r="A140" s="22" t="s">
        <v>1931</v>
      </c>
      <c r="B140" t="s">
        <v>40</v>
      </c>
      <c r="C140" t="s">
        <v>219</v>
      </c>
      <c r="D140" s="22" t="s">
        <v>26</v>
      </c>
      <c r="E140" s="22" t="s">
        <v>60</v>
      </c>
      <c r="F140" t="s">
        <v>1792</v>
      </c>
      <c r="G140" s="28">
        <v>46286</v>
      </c>
      <c r="I140" s="22" t="s">
        <v>1793</v>
      </c>
      <c r="K140" s="22">
        <v>42</v>
      </c>
      <c r="L140" s="22">
        <v>9</v>
      </c>
      <c r="M140" s="22">
        <v>5</v>
      </c>
      <c r="N140" s="22">
        <v>1</v>
      </c>
      <c r="O140" s="22">
        <v>0</v>
      </c>
      <c r="P140" s="31">
        <f t="shared" si="8"/>
        <v>0</v>
      </c>
      <c r="Q140" s="22">
        <f t="shared" si="9"/>
        <v>9</v>
      </c>
    </row>
    <row r="141" spans="1:18" x14ac:dyDescent="0.3">
      <c r="A141" s="22" t="s">
        <v>1932</v>
      </c>
      <c r="B141" t="s">
        <v>39</v>
      </c>
      <c r="C141" t="s">
        <v>244</v>
      </c>
      <c r="D141" s="22" t="s">
        <v>26</v>
      </c>
      <c r="E141" s="22" t="s">
        <v>59</v>
      </c>
      <c r="F141" t="s">
        <v>1792</v>
      </c>
      <c r="G141" s="28">
        <v>46288</v>
      </c>
      <c r="I141" s="22" t="s">
        <v>1793</v>
      </c>
      <c r="K141" s="22">
        <v>205</v>
      </c>
      <c r="L141" s="22">
        <v>34</v>
      </c>
      <c r="M141" s="22">
        <v>19</v>
      </c>
      <c r="N141" s="22">
        <v>0</v>
      </c>
      <c r="O141" s="22">
        <v>0</v>
      </c>
      <c r="P141" s="31" t="str">
        <f t="shared" si="8"/>
        <v/>
      </c>
      <c r="Q141" s="22">
        <f t="shared" si="9"/>
        <v>7</v>
      </c>
    </row>
  </sheetData>
  <autoFilter ref="A1:R141" xr:uid="{00000000-0009-0000-0000-00000A000000}"/>
  <conditionalFormatting sqref="A2:R141">
    <cfRule type="expression" dxfId="1" priority="1">
      <formula>MOD(ROW(),2)=0</formula>
    </cfRule>
  </conditionalFormatting>
  <conditionalFormatting sqref="I2:I141">
    <cfRule type="cellIs" dxfId="0" priority="2" operator="equal">
      <formula>"Open"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9A23B"/>
  </sheetPr>
  <dimension ref="A1:K33"/>
  <sheetViews>
    <sheetView workbookViewId="0"/>
  </sheetViews>
  <sheetFormatPr defaultRowHeight="14.4" x14ac:dyDescent="0.3"/>
  <cols>
    <col min="1" max="1" width="30.6640625" customWidth="1"/>
    <col min="2" max="6" width="16.6640625" customWidth="1"/>
    <col min="7" max="7" width="6.6640625" customWidth="1"/>
    <col min="8" max="11" width="22.6640625" customWidth="1"/>
  </cols>
  <sheetData>
    <row r="1" spans="1:9" ht="21" x14ac:dyDescent="0.3">
      <c r="A1" s="37" t="s">
        <v>0</v>
      </c>
    </row>
    <row r="2" spans="1:9" ht="34.200000000000003" x14ac:dyDescent="0.3">
      <c r="A2" s="5" t="s">
        <v>1</v>
      </c>
    </row>
    <row r="4" spans="1:9" ht="45.6" x14ac:dyDescent="0.3">
      <c r="A4" s="23" t="s">
        <v>2</v>
      </c>
      <c r="B4" s="38">
        <v>46295</v>
      </c>
      <c r="C4" s="5" t="s">
        <v>3</v>
      </c>
    </row>
    <row r="5" spans="1:9" ht="45.6" x14ac:dyDescent="0.3">
      <c r="A5" s="23" t="s">
        <v>4</v>
      </c>
      <c r="B5" s="39">
        <v>4</v>
      </c>
      <c r="C5" s="5" t="s">
        <v>5</v>
      </c>
    </row>
    <row r="6" spans="1:9" ht="34.200000000000003" x14ac:dyDescent="0.3">
      <c r="A6" s="23" t="s">
        <v>6</v>
      </c>
      <c r="B6" s="39">
        <v>1.5</v>
      </c>
      <c r="C6" s="5" t="s">
        <v>7</v>
      </c>
    </row>
    <row r="7" spans="1:9" ht="45.6" x14ac:dyDescent="0.3">
      <c r="A7" s="23" t="s">
        <v>8</v>
      </c>
      <c r="B7" s="39">
        <v>6</v>
      </c>
      <c r="C7" s="5" t="s">
        <v>9</v>
      </c>
    </row>
    <row r="8" spans="1:9" ht="34.200000000000003" x14ac:dyDescent="0.3">
      <c r="A8" s="23" t="s">
        <v>10</v>
      </c>
      <c r="B8" s="39">
        <v>3</v>
      </c>
      <c r="C8" s="5" t="s">
        <v>11</v>
      </c>
    </row>
    <row r="9" spans="1:9" ht="34.200000000000003" x14ac:dyDescent="0.3">
      <c r="A9" s="23" t="s">
        <v>12</v>
      </c>
      <c r="B9" s="39">
        <v>0.9</v>
      </c>
      <c r="C9" s="5" t="s">
        <v>13</v>
      </c>
    </row>
    <row r="10" spans="1:9" ht="45.6" x14ac:dyDescent="0.3">
      <c r="A10" s="23" t="s">
        <v>14</v>
      </c>
      <c r="B10" s="28">
        <f>EDATE(AsOf,-12)</f>
        <v>45930</v>
      </c>
      <c r="C10" s="5" t="s">
        <v>15</v>
      </c>
    </row>
    <row r="12" spans="1:9" x14ac:dyDescent="0.3">
      <c r="A12" s="7" t="s">
        <v>16</v>
      </c>
      <c r="H12" s="7" t="s">
        <v>49</v>
      </c>
    </row>
    <row r="13" spans="1:9" x14ac:dyDescent="0.3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H13" s="6" t="s">
        <v>50</v>
      </c>
      <c r="I13" s="6" t="s">
        <v>51</v>
      </c>
    </row>
    <row r="14" spans="1:9" x14ac:dyDescent="0.3">
      <c r="A14" s="22" t="s">
        <v>22</v>
      </c>
      <c r="B14" s="23" t="s">
        <v>23</v>
      </c>
      <c r="C14" s="40">
        <v>297500</v>
      </c>
      <c r="D14" s="34">
        <f t="shared" ref="D14:D20" si="0">(C14+E14)/2</f>
        <v>508750</v>
      </c>
      <c r="E14" s="40">
        <v>720000</v>
      </c>
      <c r="H14" s="22">
        <v>1</v>
      </c>
      <c r="I14" s="23" t="s">
        <v>52</v>
      </c>
    </row>
    <row r="15" spans="1:9" x14ac:dyDescent="0.3">
      <c r="A15" s="22" t="s">
        <v>24</v>
      </c>
      <c r="B15" s="23" t="s">
        <v>25</v>
      </c>
      <c r="C15" s="40">
        <v>510000</v>
      </c>
      <c r="D15" s="34">
        <f t="shared" si="0"/>
        <v>855000</v>
      </c>
      <c r="E15" s="40">
        <v>1200000</v>
      </c>
      <c r="H15" s="22">
        <v>2</v>
      </c>
      <c r="I15" s="23" t="s">
        <v>53</v>
      </c>
    </row>
    <row r="16" spans="1:9" x14ac:dyDescent="0.3">
      <c r="A16" s="22" t="s">
        <v>26</v>
      </c>
      <c r="B16" s="23" t="s">
        <v>27</v>
      </c>
      <c r="C16" s="40">
        <v>850000</v>
      </c>
      <c r="D16" s="34">
        <f t="shared" si="0"/>
        <v>1445000</v>
      </c>
      <c r="E16" s="40">
        <v>2040000</v>
      </c>
      <c r="H16" s="22">
        <v>3</v>
      </c>
      <c r="I16" s="23" t="s">
        <v>54</v>
      </c>
    </row>
    <row r="17" spans="1:11" x14ac:dyDescent="0.3">
      <c r="A17" s="22" t="s">
        <v>28</v>
      </c>
      <c r="B17" s="23" t="s">
        <v>29</v>
      </c>
      <c r="C17" s="40">
        <v>1445000</v>
      </c>
      <c r="D17" s="34">
        <f t="shared" si="0"/>
        <v>2342500</v>
      </c>
      <c r="E17" s="40">
        <v>3240000</v>
      </c>
      <c r="H17" s="22">
        <v>4</v>
      </c>
      <c r="I17" s="23" t="s">
        <v>55</v>
      </c>
    </row>
    <row r="18" spans="1:11" x14ac:dyDescent="0.3">
      <c r="A18" s="22" t="s">
        <v>30</v>
      </c>
      <c r="B18" s="23" t="s">
        <v>31</v>
      </c>
      <c r="C18" s="40">
        <v>2295000</v>
      </c>
      <c r="D18" s="34">
        <f t="shared" si="0"/>
        <v>3667500</v>
      </c>
      <c r="E18" s="40">
        <v>5040000</v>
      </c>
      <c r="H18" s="22">
        <v>5</v>
      </c>
      <c r="I18" s="23" t="s">
        <v>56</v>
      </c>
    </row>
    <row r="19" spans="1:11" x14ac:dyDescent="0.3">
      <c r="A19" s="22" t="s">
        <v>32</v>
      </c>
      <c r="B19" s="23" t="s">
        <v>33</v>
      </c>
      <c r="C19" s="40">
        <v>3570000</v>
      </c>
      <c r="D19" s="34">
        <f t="shared" si="0"/>
        <v>5385000</v>
      </c>
      <c r="E19" s="40">
        <v>7200000</v>
      </c>
    </row>
    <row r="20" spans="1:11" x14ac:dyDescent="0.3">
      <c r="A20" s="22" t="s">
        <v>34</v>
      </c>
      <c r="B20" s="23" t="s">
        <v>35</v>
      </c>
      <c r="C20" s="40">
        <v>5100000</v>
      </c>
      <c r="D20" s="34">
        <f t="shared" si="0"/>
        <v>8250000</v>
      </c>
      <c r="E20" s="40">
        <v>11400000</v>
      </c>
    </row>
    <row r="21" spans="1:11" ht="22.8" x14ac:dyDescent="0.3">
      <c r="A21" s="5" t="s">
        <v>36</v>
      </c>
      <c r="H21" s="7" t="s">
        <v>57</v>
      </c>
    </row>
    <row r="22" spans="1:11" x14ac:dyDescent="0.3">
      <c r="A22" s="7" t="s">
        <v>37</v>
      </c>
      <c r="H22" s="6" t="s">
        <v>58</v>
      </c>
      <c r="I22" s="6" t="s">
        <v>59</v>
      </c>
      <c r="J22" s="6" t="s">
        <v>60</v>
      </c>
      <c r="K22" s="6" t="s">
        <v>61</v>
      </c>
    </row>
    <row r="23" spans="1:11" x14ac:dyDescent="0.3">
      <c r="A23" s="41" t="s">
        <v>38</v>
      </c>
      <c r="H23" s="42" t="s">
        <v>59</v>
      </c>
      <c r="I23" s="23" t="s">
        <v>62</v>
      </c>
      <c r="J23" s="23" t="s">
        <v>63</v>
      </c>
      <c r="K23" s="23" t="s">
        <v>64</v>
      </c>
    </row>
    <row r="24" spans="1:11" x14ac:dyDescent="0.3">
      <c r="A24" s="23" t="s">
        <v>39</v>
      </c>
      <c r="H24" s="42" t="s">
        <v>65</v>
      </c>
      <c r="I24" s="23" t="s">
        <v>66</v>
      </c>
      <c r="J24" s="23" t="s">
        <v>67</v>
      </c>
      <c r="K24" s="23" t="s">
        <v>68</v>
      </c>
    </row>
    <row r="25" spans="1:11" x14ac:dyDescent="0.3">
      <c r="A25" s="23" t="s">
        <v>40</v>
      </c>
      <c r="H25" s="42" t="s">
        <v>61</v>
      </c>
      <c r="I25" s="23" t="s">
        <v>69</v>
      </c>
      <c r="J25" s="23" t="s">
        <v>70</v>
      </c>
      <c r="K25" s="23" t="s">
        <v>71</v>
      </c>
    </row>
    <row r="26" spans="1:11" x14ac:dyDescent="0.3">
      <c r="A26" s="23" t="s">
        <v>41</v>
      </c>
    </row>
    <row r="27" spans="1:11" ht="34.200000000000003" x14ac:dyDescent="0.3">
      <c r="A27" s="23" t="s">
        <v>42</v>
      </c>
      <c r="H27" s="5" t="s">
        <v>72</v>
      </c>
    </row>
    <row r="28" spans="1:11" x14ac:dyDescent="0.3">
      <c r="A28" s="23" t="s">
        <v>43</v>
      </c>
    </row>
    <row r="29" spans="1:11" ht="48" customHeight="1" x14ac:dyDescent="0.3">
      <c r="A29" s="23" t="s">
        <v>44</v>
      </c>
      <c r="H29" s="5" t="s">
        <v>73</v>
      </c>
    </row>
    <row r="30" spans="1:11" x14ac:dyDescent="0.3">
      <c r="A30" s="23" t="s">
        <v>45</v>
      </c>
    </row>
    <row r="31" spans="1:11" x14ac:dyDescent="0.3">
      <c r="A31" s="23" t="s">
        <v>46</v>
      </c>
    </row>
    <row r="32" spans="1:11" x14ac:dyDescent="0.3">
      <c r="A32" s="23" t="s">
        <v>47</v>
      </c>
    </row>
    <row r="33" spans="1:1" x14ac:dyDescent="0.3">
      <c r="A33" s="23" t="s">
        <v>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C9D1DC"/>
  </sheetPr>
  <dimension ref="A1:N501"/>
  <sheetViews>
    <sheetView workbookViewId="0"/>
  </sheetViews>
  <sheetFormatPr defaultRowHeight="14.4" x14ac:dyDescent="0.3"/>
  <cols>
    <col min="1" max="1" width="30.6640625" customWidth="1"/>
    <col min="2" max="2" width="24.6640625" customWidth="1"/>
    <col min="3" max="7" width="3.6640625" customWidth="1"/>
    <col min="8" max="8" width="8.6640625" customWidth="1"/>
    <col min="9" max="9" width="10.6640625" customWidth="1"/>
    <col min="10" max="10" width="30.6640625" customWidth="1"/>
    <col min="11" max="11" width="3.6640625" customWidth="1"/>
    <col min="12" max="12" width="26.6640625" customWidth="1"/>
    <col min="13" max="17" width="12.6640625" customWidth="1"/>
  </cols>
  <sheetData>
    <row r="1" spans="1:14" x14ac:dyDescent="0.3">
      <c r="A1" s="41" t="s">
        <v>1933</v>
      </c>
      <c r="B1" s="29" t="str">
        <f>Dashboard!$D$4</f>
        <v>All Departments</v>
      </c>
      <c r="H1" s="6" t="s">
        <v>1942</v>
      </c>
      <c r="I1" s="6" t="s">
        <v>74</v>
      </c>
      <c r="J1" s="6" t="s">
        <v>1943</v>
      </c>
      <c r="L1" s="7" t="str">
        <f>"Active Headcount by Department · "&amp;SelLabel</f>
        <v>Active Headcount by Department · All Departments</v>
      </c>
    </row>
    <row r="2" spans="1:14" x14ac:dyDescent="0.3">
      <c r="A2" s="41" t="s">
        <v>1934</v>
      </c>
      <c r="B2" t="str">
        <f>IF(OR(B1="",B1="All Departments"),"*",B1)</f>
        <v>*</v>
      </c>
      <c r="H2" s="22">
        <f>IF(OR($B$2="*",Employee_Master!I2=$B$1),MAX(H$1:H1)+1,"")</f>
        <v>1</v>
      </c>
      <c r="I2" s="22" t="str">
        <f t="shared" ref="I2:I65" si="0">IFERROR(INDEX(M_ID,MATCH(ROW()-1,$H$2:$H$501,0)),"")</f>
        <v>EMP1001</v>
      </c>
      <c r="J2" t="str">
        <f t="shared" ref="J2:J65" si="1">IF(I2="","",I2&amp;" | "&amp;INDEX(M_Name,MATCH(I2,M_ID,0)))</f>
        <v>EMP1001 | Vidya Kulkarni</v>
      </c>
      <c r="L2" s="6" t="s">
        <v>1944</v>
      </c>
      <c r="M2" s="6" t="s">
        <v>1945</v>
      </c>
      <c r="N2" s="6" t="s">
        <v>1946</v>
      </c>
    </row>
    <row r="3" spans="1:14" x14ac:dyDescent="0.3">
      <c r="A3" s="41" t="s">
        <v>1935</v>
      </c>
      <c r="B3" s="29" t="str">
        <f>Dashboard!$J$4</f>
        <v>EMP1001 | Vidya Kulkarni</v>
      </c>
      <c r="H3" s="22">
        <f>IF(OR($B$2="*",Employee_Master!I3=$B$1),MAX(H$1:H2)+1,"")</f>
        <v>2</v>
      </c>
      <c r="I3" s="22" t="str">
        <f t="shared" si="0"/>
        <v>EMP1002</v>
      </c>
      <c r="J3" t="str">
        <f t="shared" si="1"/>
        <v>EMP1002 | Vikas Singh</v>
      </c>
      <c r="L3" s="23" t="s">
        <v>39</v>
      </c>
      <c r="M3" s="43">
        <f t="shared" ref="M3:M12" si="2">IF(OR(SelCrit="*",$L3=SelDept),COUNTIFS(M_Dept,$L3,M_Status,"Active"),0)</f>
        <v>97</v>
      </c>
      <c r="N3" s="43">
        <f t="shared" ref="N3:N12" si="3">IF(OR(SelCrit="*",$L3=SelDept),0,COUNTIFS(M_Dept,$L3,M_Status,"Active"))</f>
        <v>0</v>
      </c>
    </row>
    <row r="4" spans="1:14" x14ac:dyDescent="0.3">
      <c r="A4" s="41" t="s">
        <v>1936</v>
      </c>
      <c r="B4" t="str">
        <f>IF(LEFT(B3,3)&lt;&gt;"EMP",I2,IF(OR(B2="*",IFERROR(INDEX(M_Dept,MATCH(LEFT(B3,7),M_ID,0)),"")=B1),LEFT(B3,7),I2))</f>
        <v>EMP1001</v>
      </c>
      <c r="H4" s="22">
        <f>IF(OR($B$2="*",Employee_Master!I4=$B$1),MAX(H$1:H3)+1,"")</f>
        <v>3</v>
      </c>
      <c r="I4" s="22" t="str">
        <f t="shared" si="0"/>
        <v>EMP1003</v>
      </c>
      <c r="J4" t="str">
        <f t="shared" si="1"/>
        <v>EMP1003 | Prakash Das</v>
      </c>
      <c r="L4" s="23" t="s">
        <v>40</v>
      </c>
      <c r="M4" s="43">
        <f t="shared" si="2"/>
        <v>77</v>
      </c>
      <c r="N4" s="43">
        <f t="shared" si="3"/>
        <v>0</v>
      </c>
    </row>
    <row r="5" spans="1:14" x14ac:dyDescent="0.3">
      <c r="A5" s="41" t="s">
        <v>1937</v>
      </c>
      <c r="B5">
        <f>MATCH(B4,M_ID,0)</f>
        <v>1</v>
      </c>
      <c r="H5" s="22">
        <f>IF(OR($B$2="*",Employee_Master!I5=$B$1),MAX(H$1:H4)+1,"")</f>
        <v>4</v>
      </c>
      <c r="I5" s="22" t="str">
        <f t="shared" si="0"/>
        <v>EMP1004</v>
      </c>
      <c r="J5" t="str">
        <f t="shared" si="1"/>
        <v>EMP1004 | Fatima Choudhary</v>
      </c>
      <c r="L5" s="23" t="s">
        <v>41</v>
      </c>
      <c r="M5" s="43">
        <f t="shared" si="2"/>
        <v>61</v>
      </c>
      <c r="N5" s="43">
        <f t="shared" si="3"/>
        <v>0</v>
      </c>
    </row>
    <row r="6" spans="1:14" x14ac:dyDescent="0.3">
      <c r="A6" s="41" t="s">
        <v>1938</v>
      </c>
      <c r="B6" t="str">
        <f>IF(B2="*","All Departments",B1)</f>
        <v>All Departments</v>
      </c>
      <c r="H6" s="22">
        <f>IF(OR($B$2="*",Employee_Master!I6=$B$1),MAX(H$1:H5)+1,"")</f>
        <v>5</v>
      </c>
      <c r="I6" s="22" t="str">
        <f t="shared" si="0"/>
        <v>EMP1005</v>
      </c>
      <c r="J6" t="str">
        <f t="shared" si="1"/>
        <v>EMP1005 | Gaurav Fernandes</v>
      </c>
      <c r="L6" s="23" t="s">
        <v>42</v>
      </c>
      <c r="M6" s="43">
        <f t="shared" si="2"/>
        <v>51</v>
      </c>
      <c r="N6" s="43">
        <f t="shared" si="3"/>
        <v>0</v>
      </c>
    </row>
    <row r="7" spans="1:14" x14ac:dyDescent="0.3">
      <c r="A7" s="41" t="s">
        <v>1939</v>
      </c>
      <c r="B7" t="str">
        <f>IF(LEFT(B3,7)=B4,"","Selected employee is not in "&amp;B1&amp;" - showing first employee of the department. Pick one from the list.")</f>
        <v/>
      </c>
      <c r="H7" s="22">
        <f>IF(OR($B$2="*",Employee_Master!I7=$B$1),MAX(H$1:H6)+1,"")</f>
        <v>6</v>
      </c>
      <c r="I7" s="22" t="str">
        <f t="shared" si="0"/>
        <v>EMP1006</v>
      </c>
      <c r="J7" t="str">
        <f t="shared" si="1"/>
        <v>EMP1006 | Yash Shah</v>
      </c>
      <c r="L7" s="23" t="s">
        <v>43</v>
      </c>
      <c r="M7" s="43">
        <f t="shared" si="2"/>
        <v>33</v>
      </c>
      <c r="N7" s="43">
        <f t="shared" si="3"/>
        <v>0</v>
      </c>
    </row>
    <row r="8" spans="1:14" x14ac:dyDescent="0.3">
      <c r="H8" s="22">
        <f>IF(OR($B$2="*",Employee_Master!I8=$B$1),MAX(H$1:H7)+1,"")</f>
        <v>7</v>
      </c>
      <c r="I8" s="22" t="str">
        <f t="shared" si="0"/>
        <v>EMP1007</v>
      </c>
      <c r="J8" t="str">
        <f t="shared" si="1"/>
        <v>EMP1007 | Imran Tiwari</v>
      </c>
      <c r="L8" s="23" t="s">
        <v>44</v>
      </c>
      <c r="M8" s="43">
        <f t="shared" si="2"/>
        <v>27</v>
      </c>
      <c r="N8" s="43">
        <f t="shared" si="3"/>
        <v>0</v>
      </c>
    </row>
    <row r="9" spans="1:14" x14ac:dyDescent="0.3">
      <c r="A9" s="7" t="s">
        <v>1940</v>
      </c>
      <c r="H9" s="22">
        <f>IF(OR($B$2="*",Employee_Master!I9=$B$1),MAX(H$1:H8)+1,"")</f>
        <v>8</v>
      </c>
      <c r="I9" s="22" t="str">
        <f t="shared" si="0"/>
        <v>EMP1008</v>
      </c>
      <c r="J9" t="str">
        <f t="shared" si="1"/>
        <v>EMP1008 | Aishwarya Khan</v>
      </c>
      <c r="L9" s="23" t="s">
        <v>45</v>
      </c>
      <c r="M9" s="43">
        <f t="shared" si="2"/>
        <v>23</v>
      </c>
      <c r="N9" s="43">
        <f t="shared" si="3"/>
        <v>0</v>
      </c>
    </row>
    <row r="10" spans="1:14" ht="90" customHeight="1" x14ac:dyDescent="0.3">
      <c r="A10" s="5" t="s">
        <v>1941</v>
      </c>
      <c r="H10" s="22">
        <f>IF(OR($B$2="*",Employee_Master!I10=$B$1),MAX(H$1:H9)+1,"")</f>
        <v>9</v>
      </c>
      <c r="I10" s="22" t="str">
        <f t="shared" si="0"/>
        <v>EMP1009</v>
      </c>
      <c r="J10" t="str">
        <f t="shared" si="1"/>
        <v>EMP1009 | Ankit Khanna</v>
      </c>
      <c r="L10" s="23" t="s">
        <v>46</v>
      </c>
      <c r="M10" s="43">
        <f t="shared" si="2"/>
        <v>22</v>
      </c>
      <c r="N10" s="43">
        <f t="shared" si="3"/>
        <v>0</v>
      </c>
    </row>
    <row r="11" spans="1:14" x14ac:dyDescent="0.3">
      <c r="H11" s="22">
        <f>IF(OR($B$2="*",Employee_Master!I11=$B$1),MAX(H$1:H10)+1,"")</f>
        <v>10</v>
      </c>
      <c r="I11" s="22" t="str">
        <f t="shared" si="0"/>
        <v>EMP1010</v>
      </c>
      <c r="J11" t="str">
        <f t="shared" si="1"/>
        <v>EMP1010 | Pooja Das</v>
      </c>
      <c r="L11" s="23" t="s">
        <v>47</v>
      </c>
      <c r="M11" s="43">
        <f t="shared" si="2"/>
        <v>22</v>
      </c>
      <c r="N11" s="43">
        <f t="shared" si="3"/>
        <v>0</v>
      </c>
    </row>
    <row r="12" spans="1:14" x14ac:dyDescent="0.3">
      <c r="H12" s="22">
        <f>IF(OR($B$2="*",Employee_Master!I12=$B$1),MAX(H$1:H11)+1,"")</f>
        <v>11</v>
      </c>
      <c r="I12" s="22" t="str">
        <f t="shared" si="0"/>
        <v>EMP1011</v>
      </c>
      <c r="J12" t="str">
        <f t="shared" si="1"/>
        <v>EMP1011 | Trisha Patel</v>
      </c>
      <c r="L12" s="23" t="s">
        <v>48</v>
      </c>
      <c r="M12" s="43">
        <f t="shared" si="2"/>
        <v>23</v>
      </c>
      <c r="N12" s="43">
        <f t="shared" si="3"/>
        <v>0</v>
      </c>
    </row>
    <row r="13" spans="1:14" x14ac:dyDescent="0.3">
      <c r="H13" s="22">
        <f>IF(OR($B$2="*",Employee_Master!I13=$B$1),MAX(H$1:H12)+1,"")</f>
        <v>12</v>
      </c>
      <c r="I13" s="22" t="str">
        <f t="shared" si="0"/>
        <v>EMP1012</v>
      </c>
      <c r="J13" t="str">
        <f t="shared" si="1"/>
        <v>EMP1012 | Krishna Kumar</v>
      </c>
    </row>
    <row r="14" spans="1:14" x14ac:dyDescent="0.3">
      <c r="H14" s="22">
        <f>IF(OR($B$2="*",Employee_Master!I14=$B$1),MAX(H$1:H13)+1,"")</f>
        <v>13</v>
      </c>
      <c r="I14" s="22" t="str">
        <f t="shared" si="0"/>
        <v>EMP1013</v>
      </c>
      <c r="J14" t="str">
        <f t="shared" si="1"/>
        <v>EMP1013 | Ramya Khanna</v>
      </c>
    </row>
    <row r="15" spans="1:14" x14ac:dyDescent="0.3">
      <c r="H15" s="22">
        <f>IF(OR($B$2="*",Employee_Master!I15=$B$1),MAX(H$1:H14)+1,"")</f>
        <v>14</v>
      </c>
      <c r="I15" s="22" t="str">
        <f t="shared" si="0"/>
        <v>EMP1014</v>
      </c>
      <c r="J15" t="str">
        <f t="shared" si="1"/>
        <v>EMP1014 | Rashmi Jain</v>
      </c>
      <c r="L15" s="7" t="str">
        <f>"Performance Rating Distribution · "&amp;SelLabel</f>
        <v>Performance Rating Distribution · All Departments</v>
      </c>
    </row>
    <row r="16" spans="1:14" x14ac:dyDescent="0.3">
      <c r="H16" s="22">
        <f>IF(OR($B$2="*",Employee_Master!I16=$B$1),MAX(H$1:H15)+1,"")</f>
        <v>15</v>
      </c>
      <c r="I16" s="22" t="str">
        <f t="shared" si="0"/>
        <v>EMP1015</v>
      </c>
      <c r="J16" t="str">
        <f t="shared" si="1"/>
        <v>EMP1015 | Ajay Ansari</v>
      </c>
      <c r="L16" s="6" t="s">
        <v>1944</v>
      </c>
      <c r="M16" s="6" t="s">
        <v>1947</v>
      </c>
    </row>
    <row r="17" spans="8:13" x14ac:dyDescent="0.3">
      <c r="H17" s="22">
        <f>IF(OR($B$2="*",Employee_Master!I17=$B$1),MAX(H$1:H16)+1,"")</f>
        <v>16</v>
      </c>
      <c r="I17" s="22" t="str">
        <f t="shared" si="0"/>
        <v>EMP1016</v>
      </c>
      <c r="J17" t="str">
        <f t="shared" si="1"/>
        <v>EMP1016 | Isha Verma</v>
      </c>
      <c r="L17" s="23" t="s">
        <v>1948</v>
      </c>
      <c r="M17" s="43">
        <f>COUNTIFS(P_Dept,SelCrit,P_Rating,VALUE(LEFT($L17,1)))</f>
        <v>26</v>
      </c>
    </row>
    <row r="18" spans="8:13" x14ac:dyDescent="0.3">
      <c r="H18" s="22">
        <f>IF(OR($B$2="*",Employee_Master!I18=$B$1),MAX(H$1:H17)+1,"")</f>
        <v>17</v>
      </c>
      <c r="I18" s="22" t="str">
        <f t="shared" si="0"/>
        <v>EMP1017</v>
      </c>
      <c r="J18" t="str">
        <f t="shared" si="1"/>
        <v>EMP1017 | Pooja Naidu</v>
      </c>
      <c r="L18" s="23" t="s">
        <v>1949</v>
      </c>
      <c r="M18" s="43">
        <f>COUNTIFS(P_Dept,SelCrit,P_Rating,VALUE(LEFT($L18,1)))</f>
        <v>69</v>
      </c>
    </row>
    <row r="19" spans="8:13" x14ac:dyDescent="0.3">
      <c r="H19" s="22">
        <f>IF(OR($B$2="*",Employee_Master!I19=$B$1),MAX(H$1:H18)+1,"")</f>
        <v>18</v>
      </c>
      <c r="I19" s="22" t="str">
        <f t="shared" si="0"/>
        <v>EMP1018</v>
      </c>
      <c r="J19" t="str">
        <f t="shared" si="1"/>
        <v>EMP1018 | Isha Chatterjee</v>
      </c>
      <c r="L19" s="23" t="s">
        <v>1950</v>
      </c>
      <c r="M19" s="43">
        <f>COUNTIFS(P_Dept,SelCrit,P_Rating,VALUE(LEFT($L19,1)))</f>
        <v>217</v>
      </c>
    </row>
    <row r="20" spans="8:13" x14ac:dyDescent="0.3">
      <c r="H20" s="22">
        <f>IF(OR($B$2="*",Employee_Master!I20=$B$1),MAX(H$1:H19)+1,"")</f>
        <v>19</v>
      </c>
      <c r="I20" s="22" t="str">
        <f t="shared" si="0"/>
        <v>EMP1019</v>
      </c>
      <c r="J20" t="str">
        <f t="shared" si="1"/>
        <v>EMP1019 | Fatima Reddy</v>
      </c>
      <c r="L20" s="23" t="s">
        <v>1951</v>
      </c>
      <c r="M20" s="43">
        <f>COUNTIFS(P_Dept,SelCrit,P_Rating,VALUE(LEFT($L20,1)))</f>
        <v>138</v>
      </c>
    </row>
    <row r="21" spans="8:13" x14ac:dyDescent="0.3">
      <c r="H21" s="22">
        <f>IF(OR($B$2="*",Employee_Master!I21=$B$1),MAX(H$1:H20)+1,"")</f>
        <v>20</v>
      </c>
      <c r="I21" s="22" t="str">
        <f t="shared" si="0"/>
        <v>EMP1020</v>
      </c>
      <c r="J21" t="str">
        <f t="shared" si="1"/>
        <v>EMP1020 | Naveen Subramanian</v>
      </c>
      <c r="L21" s="23" t="s">
        <v>1952</v>
      </c>
      <c r="M21" s="43">
        <f>COUNTIFS(P_Dept,SelCrit,P_Rating,VALUE(LEFT($L21,1)))</f>
        <v>50</v>
      </c>
    </row>
    <row r="22" spans="8:13" x14ac:dyDescent="0.3">
      <c r="H22" s="22">
        <f>IF(OR($B$2="*",Employee_Master!I22=$B$1),MAX(H$1:H21)+1,"")</f>
        <v>21</v>
      </c>
      <c r="I22" s="22" t="str">
        <f t="shared" si="0"/>
        <v>EMP1021</v>
      </c>
      <c r="J22" t="str">
        <f t="shared" si="1"/>
        <v>EMP1021 | Arun Mukherjee</v>
      </c>
    </row>
    <row r="23" spans="8:13" x14ac:dyDescent="0.3">
      <c r="H23" s="22">
        <f>IF(OR($B$2="*",Employee_Master!I23=$B$1),MAX(H$1:H22)+1,"")</f>
        <v>22</v>
      </c>
      <c r="I23" s="22" t="str">
        <f t="shared" si="0"/>
        <v>EMP1022</v>
      </c>
      <c r="J23" t="str">
        <f t="shared" si="1"/>
        <v>EMP1022 | Arun Joshi</v>
      </c>
    </row>
    <row r="24" spans="8:13" x14ac:dyDescent="0.3">
      <c r="H24" s="22">
        <f>IF(OR($B$2="*",Employee_Master!I24=$B$1),MAX(H$1:H23)+1,"")</f>
        <v>23</v>
      </c>
      <c r="I24" s="22" t="str">
        <f t="shared" si="0"/>
        <v>EMP1023</v>
      </c>
      <c r="J24" t="str">
        <f t="shared" si="1"/>
        <v>EMP1023 | Ashish Prabhu</v>
      </c>
      <c r="L24" s="7" t="str">
        <f>"Active Headcount by Level · "&amp;SelLabel</f>
        <v>Active Headcount by Level · All Departments</v>
      </c>
    </row>
    <row r="25" spans="8:13" x14ac:dyDescent="0.3">
      <c r="H25" s="22">
        <f>IF(OR($B$2="*",Employee_Master!I25=$B$1),MAX(H$1:H24)+1,"")</f>
        <v>24</v>
      </c>
      <c r="I25" s="22" t="str">
        <f t="shared" si="0"/>
        <v>EMP1024</v>
      </c>
      <c r="J25" t="str">
        <f t="shared" si="1"/>
        <v>EMP1024 | Priyanka Naidu</v>
      </c>
      <c r="L25" s="6" t="s">
        <v>1944</v>
      </c>
      <c r="M25" s="6" t="s">
        <v>1947</v>
      </c>
    </row>
    <row r="26" spans="8:13" x14ac:dyDescent="0.3">
      <c r="H26" s="22">
        <f>IF(OR($B$2="*",Employee_Master!I26=$B$1),MAX(H$1:H25)+1,"")</f>
        <v>25</v>
      </c>
      <c r="I26" s="22" t="str">
        <f t="shared" si="0"/>
        <v>EMP1025</v>
      </c>
      <c r="J26" t="str">
        <f t="shared" si="1"/>
        <v>EMP1025 | Nikhil Agarwal</v>
      </c>
      <c r="L26" s="23" t="s">
        <v>22</v>
      </c>
      <c r="M26" s="43">
        <f t="shared" ref="M26:M32" si="4">COUNTIFS(M_Dept,SelCrit,M_Level,$L26,M_Status,"Active")</f>
        <v>82</v>
      </c>
    </row>
    <row r="27" spans="8:13" x14ac:dyDescent="0.3">
      <c r="H27" s="22">
        <f>IF(OR($B$2="*",Employee_Master!I27=$B$1),MAX(H$1:H26)+1,"")</f>
        <v>26</v>
      </c>
      <c r="I27" s="22" t="str">
        <f t="shared" si="0"/>
        <v>EMP1026</v>
      </c>
      <c r="J27" t="str">
        <f t="shared" si="1"/>
        <v>EMP1026 | Revathi Rao</v>
      </c>
      <c r="L27" s="23" t="s">
        <v>24</v>
      </c>
      <c r="M27" s="43">
        <f t="shared" si="4"/>
        <v>117</v>
      </c>
    </row>
    <row r="28" spans="8:13" x14ac:dyDescent="0.3">
      <c r="H28" s="22">
        <f>IF(OR($B$2="*",Employee_Master!I28=$B$1),MAX(H$1:H27)+1,"")</f>
        <v>27</v>
      </c>
      <c r="I28" s="22" t="str">
        <f t="shared" si="0"/>
        <v>EMP1027</v>
      </c>
      <c r="J28" t="str">
        <f t="shared" si="1"/>
        <v>EMP1027 | Yash Yadav</v>
      </c>
      <c r="L28" s="23" t="s">
        <v>26</v>
      </c>
      <c r="M28" s="43">
        <f t="shared" si="4"/>
        <v>116</v>
      </c>
    </row>
    <row r="29" spans="8:13" x14ac:dyDescent="0.3">
      <c r="H29" s="22">
        <f>IF(OR($B$2="*",Employee_Master!I29=$B$1),MAX(H$1:H28)+1,"")</f>
        <v>28</v>
      </c>
      <c r="I29" s="22" t="str">
        <f t="shared" si="0"/>
        <v>EMP1028</v>
      </c>
      <c r="J29" t="str">
        <f t="shared" si="1"/>
        <v>EMP1028 | Gayatri Krishnan</v>
      </c>
      <c r="L29" s="23" t="s">
        <v>28</v>
      </c>
      <c r="M29" s="43">
        <f t="shared" si="4"/>
        <v>62</v>
      </c>
    </row>
    <row r="30" spans="8:13" x14ac:dyDescent="0.3">
      <c r="H30" s="22">
        <f>IF(OR($B$2="*",Employee_Master!I30=$B$1),MAX(H$1:H29)+1,"")</f>
        <v>29</v>
      </c>
      <c r="I30" s="22" t="str">
        <f t="shared" si="0"/>
        <v>EMP1029</v>
      </c>
      <c r="J30" t="str">
        <f t="shared" si="1"/>
        <v>EMP1029 | Nisha Jain</v>
      </c>
      <c r="L30" s="23" t="s">
        <v>30</v>
      </c>
      <c r="M30" s="43">
        <f t="shared" si="4"/>
        <v>35</v>
      </c>
    </row>
    <row r="31" spans="8:13" x14ac:dyDescent="0.3">
      <c r="H31" s="22">
        <f>IF(OR($B$2="*",Employee_Master!I31=$B$1),MAX(H$1:H30)+1,"")</f>
        <v>30</v>
      </c>
      <c r="I31" s="22" t="str">
        <f t="shared" si="0"/>
        <v>EMP1030</v>
      </c>
      <c r="J31" t="str">
        <f t="shared" si="1"/>
        <v>EMP1030 | Rashmi Ansari</v>
      </c>
      <c r="L31" s="23" t="s">
        <v>32</v>
      </c>
      <c r="M31" s="43">
        <f t="shared" si="4"/>
        <v>14</v>
      </c>
    </row>
    <row r="32" spans="8:13" x14ac:dyDescent="0.3">
      <c r="H32" s="22">
        <f>IF(OR($B$2="*",Employee_Master!I32=$B$1),MAX(H$1:H31)+1,"")</f>
        <v>31</v>
      </c>
      <c r="I32" s="22" t="str">
        <f t="shared" si="0"/>
        <v>EMP1031</v>
      </c>
      <c r="J32" t="str">
        <f t="shared" si="1"/>
        <v>EMP1031 | Prakash Krishnan</v>
      </c>
      <c r="L32" s="23" t="s">
        <v>34</v>
      </c>
      <c r="M32" s="43">
        <f t="shared" si="4"/>
        <v>10</v>
      </c>
    </row>
    <row r="33" spans="8:14" x14ac:dyDescent="0.3">
      <c r="H33" s="22">
        <f>IF(OR($B$2="*",Employee_Master!I33=$B$1),MAX(H$1:H32)+1,"")</f>
        <v>32</v>
      </c>
      <c r="I33" s="22" t="str">
        <f t="shared" si="0"/>
        <v>EMP1032</v>
      </c>
      <c r="J33" t="str">
        <f t="shared" si="1"/>
        <v>EMP1032 | Vishal Prabhu</v>
      </c>
    </row>
    <row r="34" spans="8:14" x14ac:dyDescent="0.3">
      <c r="H34" s="22">
        <f>IF(OR($B$2="*",Employee_Master!I34=$B$1),MAX(H$1:H33)+1,"")</f>
        <v>33</v>
      </c>
      <c r="I34" s="22" t="str">
        <f t="shared" si="0"/>
        <v>EMP1033</v>
      </c>
      <c r="J34" t="str">
        <f t="shared" si="1"/>
        <v>EMP1033 | Gayatri Tiwari</v>
      </c>
    </row>
    <row r="35" spans="8:14" x14ac:dyDescent="0.3">
      <c r="H35" s="22">
        <f>IF(OR($B$2="*",Employee_Master!I35=$B$1),MAX(H$1:H34)+1,"")</f>
        <v>34</v>
      </c>
      <c r="I35" s="22" t="str">
        <f t="shared" si="0"/>
        <v>EMP1034</v>
      </c>
      <c r="J35" t="str">
        <f t="shared" si="1"/>
        <v>EMP1034 | Aditi Varghese</v>
      </c>
      <c r="L35" s="7" t="str">
        <f>"Gender Mix (Active) · "&amp;SelLabel</f>
        <v>Gender Mix (Active) · All Departments</v>
      </c>
    </row>
    <row r="36" spans="8:14" x14ac:dyDescent="0.3">
      <c r="H36" s="22">
        <f>IF(OR($B$2="*",Employee_Master!I36=$B$1),MAX(H$1:H35)+1,"")</f>
        <v>35</v>
      </c>
      <c r="I36" s="22" t="str">
        <f t="shared" si="0"/>
        <v>EMP1035</v>
      </c>
      <c r="J36" t="str">
        <f t="shared" si="1"/>
        <v>EMP1035 | Dev Gupta</v>
      </c>
      <c r="L36" s="6" t="s">
        <v>1944</v>
      </c>
      <c r="M36" s="6" t="s">
        <v>1947</v>
      </c>
    </row>
    <row r="37" spans="8:14" x14ac:dyDescent="0.3">
      <c r="H37" s="22">
        <f>IF(OR($B$2="*",Employee_Master!I37=$B$1),MAX(H$1:H36)+1,"")</f>
        <v>36</v>
      </c>
      <c r="I37" s="22" t="str">
        <f t="shared" si="0"/>
        <v>EMP1036</v>
      </c>
      <c r="J37" t="str">
        <f t="shared" si="1"/>
        <v>EMP1036 | Anjali Thomas</v>
      </c>
      <c r="L37" s="23" t="s">
        <v>106</v>
      </c>
      <c r="M37" s="43">
        <f>COUNTIFS(M_Dept,SelCrit,M_Gender,$L37,M_Status,"Active")</f>
        <v>233</v>
      </c>
    </row>
    <row r="38" spans="8:14" x14ac:dyDescent="0.3">
      <c r="H38" s="22">
        <f>IF(OR($B$2="*",Employee_Master!I38=$B$1),MAX(H$1:H37)+1,"")</f>
        <v>37</v>
      </c>
      <c r="I38" s="22" t="str">
        <f t="shared" si="0"/>
        <v>EMP1037</v>
      </c>
      <c r="J38" t="str">
        <f t="shared" si="1"/>
        <v>EMP1037 | Aniket Khanna</v>
      </c>
      <c r="L38" s="23" t="s">
        <v>97</v>
      </c>
      <c r="M38" s="43">
        <f>COUNTIFS(M_Dept,SelCrit,M_Gender,$L38,M_Status,"Active")</f>
        <v>203</v>
      </c>
    </row>
    <row r="39" spans="8:14" x14ac:dyDescent="0.3">
      <c r="H39" s="22">
        <f>IF(OR($B$2="*",Employee_Master!I39=$B$1),MAX(H$1:H38)+1,"")</f>
        <v>38</v>
      </c>
      <c r="I39" s="22" t="str">
        <f t="shared" si="0"/>
        <v>EMP1038</v>
      </c>
      <c r="J39" t="str">
        <f t="shared" si="1"/>
        <v>EMP1038 | Varun Reddy</v>
      </c>
    </row>
    <row r="40" spans="8:14" x14ac:dyDescent="0.3">
      <c r="H40" s="22">
        <f>IF(OR($B$2="*",Employee_Master!I40=$B$1),MAX(H$1:H39)+1,"")</f>
        <v>39</v>
      </c>
      <c r="I40" s="22" t="str">
        <f t="shared" si="0"/>
        <v>EMP1039</v>
      </c>
      <c r="J40" t="str">
        <f t="shared" si="1"/>
        <v>EMP1039 | Karan Patel</v>
      </c>
    </row>
    <row r="41" spans="8:14" x14ac:dyDescent="0.3">
      <c r="H41" s="22">
        <f>IF(OR($B$2="*",Employee_Master!I41=$B$1),MAX(H$1:H40)+1,"")</f>
        <v>40</v>
      </c>
      <c r="I41" s="22" t="str">
        <f t="shared" si="0"/>
        <v>EMP1040</v>
      </c>
      <c r="J41" t="str">
        <f t="shared" si="1"/>
        <v>EMP1040 | Sanjay Mehta</v>
      </c>
      <c r="L41" s="7" t="str">
        <f>"Promotion Eligibility by Level · "&amp;SelLabel</f>
        <v>Promotion Eligibility by Level · All Departments</v>
      </c>
    </row>
    <row r="42" spans="8:14" x14ac:dyDescent="0.3">
      <c r="H42" s="22">
        <f>IF(OR($B$2="*",Employee_Master!I42=$B$1),MAX(H$1:H41)+1,"")</f>
        <v>41</v>
      </c>
      <c r="I42" s="22" t="str">
        <f t="shared" si="0"/>
        <v>EMP1041</v>
      </c>
      <c r="J42" t="str">
        <f t="shared" si="1"/>
        <v>EMP1041 | Nisha Mehta</v>
      </c>
      <c r="L42" s="6" t="s">
        <v>1944</v>
      </c>
      <c r="M42" s="6" t="s">
        <v>1953</v>
      </c>
      <c r="N42" s="6" t="s">
        <v>1954</v>
      </c>
    </row>
    <row r="43" spans="8:14" x14ac:dyDescent="0.3">
      <c r="H43" s="22">
        <f>IF(OR($B$2="*",Employee_Master!I43=$B$1),MAX(H$1:H42)+1,"")</f>
        <v>42</v>
      </c>
      <c r="I43" s="22" t="str">
        <f t="shared" si="0"/>
        <v>EMP1042</v>
      </c>
      <c r="J43" t="str">
        <f t="shared" si="1"/>
        <v>EMP1042 | Tejaswini Hegde</v>
      </c>
      <c r="L43" s="23" t="s">
        <v>22</v>
      </c>
      <c r="M43" s="43">
        <f t="shared" ref="M43:M49" si="5">COUNTIFS(P_Dept,SelCrit,P_Level,$L43,P_Elig,"Eligible")</f>
        <v>11</v>
      </c>
      <c r="N43" s="43">
        <f t="shared" ref="N43:N49" si="6">COUNTIFS(P_Dept,SelCrit,P_Level,$L43,P_Elig,"Not Eligible",P_Status,"Active")</f>
        <v>71</v>
      </c>
    </row>
    <row r="44" spans="8:14" x14ac:dyDescent="0.3">
      <c r="H44" s="22">
        <f>IF(OR($B$2="*",Employee_Master!I44=$B$1),MAX(H$1:H43)+1,"")</f>
        <v>43</v>
      </c>
      <c r="I44" s="22" t="str">
        <f t="shared" si="0"/>
        <v>EMP1043</v>
      </c>
      <c r="J44" t="str">
        <f t="shared" si="1"/>
        <v>EMP1043 | Trisha Jain</v>
      </c>
      <c r="L44" s="23" t="s">
        <v>24</v>
      </c>
      <c r="M44" s="43">
        <f t="shared" si="5"/>
        <v>20</v>
      </c>
      <c r="N44" s="43">
        <f t="shared" si="6"/>
        <v>97</v>
      </c>
    </row>
    <row r="45" spans="8:14" x14ac:dyDescent="0.3">
      <c r="H45" s="22">
        <f>IF(OR($B$2="*",Employee_Master!I45=$B$1),MAX(H$1:H44)+1,"")</f>
        <v>44</v>
      </c>
      <c r="I45" s="22" t="str">
        <f t="shared" si="0"/>
        <v>EMP1044</v>
      </c>
      <c r="J45" t="str">
        <f t="shared" si="1"/>
        <v>EMP1044 | Rohan Patel</v>
      </c>
      <c r="L45" s="23" t="s">
        <v>26</v>
      </c>
      <c r="M45" s="43">
        <f t="shared" si="5"/>
        <v>27</v>
      </c>
      <c r="N45" s="43">
        <f t="shared" si="6"/>
        <v>89</v>
      </c>
    </row>
    <row r="46" spans="8:14" x14ac:dyDescent="0.3">
      <c r="H46" s="22">
        <f>IF(OR($B$2="*",Employee_Master!I46=$B$1),MAX(H$1:H45)+1,"")</f>
        <v>45</v>
      </c>
      <c r="I46" s="22" t="str">
        <f t="shared" si="0"/>
        <v>EMP1045</v>
      </c>
      <c r="J46" t="str">
        <f t="shared" si="1"/>
        <v>EMP1045 | Vikas Chatterjee</v>
      </c>
      <c r="L46" s="23" t="s">
        <v>28</v>
      </c>
      <c r="M46" s="43">
        <f t="shared" si="5"/>
        <v>12</v>
      </c>
      <c r="N46" s="43">
        <f t="shared" si="6"/>
        <v>50</v>
      </c>
    </row>
    <row r="47" spans="8:14" x14ac:dyDescent="0.3">
      <c r="H47" s="22">
        <f>IF(OR($B$2="*",Employee_Master!I47=$B$1),MAX(H$1:H46)+1,"")</f>
        <v>46</v>
      </c>
      <c r="I47" s="22" t="str">
        <f t="shared" si="0"/>
        <v>EMP1046</v>
      </c>
      <c r="J47" t="str">
        <f t="shared" si="1"/>
        <v>EMP1046 | Karan Gowda</v>
      </c>
      <c r="L47" s="23" t="s">
        <v>30</v>
      </c>
      <c r="M47" s="43">
        <f t="shared" si="5"/>
        <v>9</v>
      </c>
      <c r="N47" s="43">
        <f t="shared" si="6"/>
        <v>26</v>
      </c>
    </row>
    <row r="48" spans="8:14" x14ac:dyDescent="0.3">
      <c r="H48" s="22">
        <f>IF(OR($B$2="*",Employee_Master!I48=$B$1),MAX(H$1:H47)+1,"")</f>
        <v>47</v>
      </c>
      <c r="I48" s="22" t="str">
        <f t="shared" si="0"/>
        <v>EMP1047</v>
      </c>
      <c r="J48" t="str">
        <f t="shared" si="1"/>
        <v>EMP1047 | Keerthi Gupta</v>
      </c>
      <c r="L48" s="23" t="s">
        <v>32</v>
      </c>
      <c r="M48" s="43">
        <f t="shared" si="5"/>
        <v>3</v>
      </c>
      <c r="N48" s="43">
        <f t="shared" si="6"/>
        <v>11</v>
      </c>
    </row>
    <row r="49" spans="8:14" x14ac:dyDescent="0.3">
      <c r="H49" s="22">
        <f>IF(OR($B$2="*",Employee_Master!I49=$B$1),MAX(H$1:H48)+1,"")</f>
        <v>48</v>
      </c>
      <c r="I49" s="22" t="str">
        <f t="shared" si="0"/>
        <v>EMP1048</v>
      </c>
      <c r="J49" t="str">
        <f t="shared" si="1"/>
        <v>EMP1048 | Sindhu Sharma</v>
      </c>
      <c r="L49" s="23" t="s">
        <v>34</v>
      </c>
      <c r="M49" s="43">
        <f t="shared" si="5"/>
        <v>0</v>
      </c>
      <c r="N49" s="43">
        <f t="shared" si="6"/>
        <v>10</v>
      </c>
    </row>
    <row r="50" spans="8:14" x14ac:dyDescent="0.3">
      <c r="H50" s="22">
        <f>IF(OR($B$2="*",Employee_Master!I50=$B$1),MAX(H$1:H49)+1,"")</f>
        <v>49</v>
      </c>
      <c r="I50" s="22" t="str">
        <f t="shared" si="0"/>
        <v>EMP1049</v>
      </c>
      <c r="J50" t="str">
        <f t="shared" si="1"/>
        <v>EMP1049 | Ajay Kumar</v>
      </c>
    </row>
    <row r="51" spans="8:14" x14ac:dyDescent="0.3">
      <c r="H51" s="22">
        <f>IF(OR($B$2="*",Employee_Master!I51=$B$1),MAX(H$1:H50)+1,"")</f>
        <v>50</v>
      </c>
      <c r="I51" s="22" t="str">
        <f t="shared" si="0"/>
        <v>EMP1050</v>
      </c>
      <c r="J51" t="str">
        <f t="shared" si="1"/>
        <v>EMP1050 | Harini Choudhary</v>
      </c>
    </row>
    <row r="52" spans="8:14" x14ac:dyDescent="0.3">
      <c r="H52" s="22">
        <f>IF(OR($B$2="*",Employee_Master!I52=$B$1),MAX(H$1:H51)+1,"")</f>
        <v>51</v>
      </c>
      <c r="I52" s="22" t="str">
        <f t="shared" si="0"/>
        <v>EMP1051</v>
      </c>
      <c r="J52" t="str">
        <f t="shared" si="1"/>
        <v>EMP1051 | Joseph Varghese</v>
      </c>
      <c r="L52" s="7" t="str">
        <f>"Average Annual CTC by Level (₹ Lakh) · "&amp;SelLabel</f>
        <v>Average Annual CTC by Level (₹ Lakh) · All Departments</v>
      </c>
    </row>
    <row r="53" spans="8:14" ht="26.4" x14ac:dyDescent="0.3">
      <c r="H53" s="22">
        <f>IF(OR($B$2="*",Employee_Master!I53=$B$1),MAX(H$1:H52)+1,"")</f>
        <v>52</v>
      </c>
      <c r="I53" s="22" t="str">
        <f t="shared" si="0"/>
        <v>EMP1052</v>
      </c>
      <c r="J53" t="str">
        <f t="shared" si="1"/>
        <v>EMP1052 | Siddharth Mehta</v>
      </c>
      <c r="L53" s="6" t="s">
        <v>1944</v>
      </c>
      <c r="M53" s="6" t="s">
        <v>1955</v>
      </c>
    </row>
    <row r="54" spans="8:14" x14ac:dyDescent="0.3">
      <c r="H54" s="22">
        <f>IF(OR($B$2="*",Employee_Master!I54=$B$1),MAX(H$1:H53)+1,"")</f>
        <v>53</v>
      </c>
      <c r="I54" s="22" t="str">
        <f t="shared" si="0"/>
        <v>EMP1053</v>
      </c>
      <c r="J54" t="str">
        <f t="shared" si="1"/>
        <v>EMP1053 | Dev Jain</v>
      </c>
      <c r="L54" s="23" t="s">
        <v>22</v>
      </c>
      <c r="M54" s="24">
        <f t="shared" ref="M54:M60" si="7">IFERROR(AVERAGEIFS(C_CTC,C_Dept,SelCrit,C_Level,$L54,C_Status,"Active")/100000,0)</f>
        <v>4.8945121951219512</v>
      </c>
    </row>
    <row r="55" spans="8:14" x14ac:dyDescent="0.3">
      <c r="H55" s="22">
        <f>IF(OR($B$2="*",Employee_Master!I55=$B$1),MAX(H$1:H54)+1,"")</f>
        <v>54</v>
      </c>
      <c r="I55" s="22" t="str">
        <f t="shared" si="0"/>
        <v>EMP1054</v>
      </c>
      <c r="J55" t="str">
        <f t="shared" si="1"/>
        <v>EMP1054 | Ritu Patel</v>
      </c>
      <c r="L55" s="23" t="s">
        <v>24</v>
      </c>
      <c r="M55" s="24">
        <f t="shared" si="7"/>
        <v>8.2739316239316238</v>
      </c>
    </row>
    <row r="56" spans="8:14" x14ac:dyDescent="0.3">
      <c r="H56" s="22">
        <f>IF(OR($B$2="*",Employee_Master!I56=$B$1),MAX(H$1:H55)+1,"")</f>
        <v>55</v>
      </c>
      <c r="I56" s="22" t="str">
        <f t="shared" si="0"/>
        <v>EMP1055</v>
      </c>
      <c r="J56" t="str">
        <f t="shared" si="1"/>
        <v>EMP1055 | Sachin Iyer</v>
      </c>
      <c r="L56" s="23" t="s">
        <v>26</v>
      </c>
      <c r="M56" s="24">
        <f t="shared" si="7"/>
        <v>14.130258620689656</v>
      </c>
    </row>
    <row r="57" spans="8:14" x14ac:dyDescent="0.3">
      <c r="H57" s="22">
        <f>IF(OR($B$2="*",Employee_Master!I57=$B$1),MAX(H$1:H56)+1,"")</f>
        <v>56</v>
      </c>
      <c r="I57" s="22" t="str">
        <f t="shared" si="0"/>
        <v>EMP1056</v>
      </c>
      <c r="J57" t="str">
        <f t="shared" si="1"/>
        <v>EMP1056 | Pallavi Menon</v>
      </c>
      <c r="L57" s="23" t="s">
        <v>28</v>
      </c>
      <c r="M57" s="24">
        <f t="shared" si="7"/>
        <v>22.35161290322581</v>
      </c>
    </row>
    <row r="58" spans="8:14" x14ac:dyDescent="0.3">
      <c r="H58" s="22">
        <f>IF(OR($B$2="*",Employee_Master!I58=$B$1),MAX(H$1:H57)+1,"")</f>
        <v>57</v>
      </c>
      <c r="I58" s="22" t="str">
        <f t="shared" si="0"/>
        <v>EMP1057</v>
      </c>
      <c r="J58" t="str">
        <f t="shared" si="1"/>
        <v>EMP1057 | Imran Jain</v>
      </c>
      <c r="L58" s="23" t="s">
        <v>30</v>
      </c>
      <c r="M58" s="24">
        <f t="shared" si="7"/>
        <v>36.411714285714289</v>
      </c>
    </row>
    <row r="59" spans="8:14" x14ac:dyDescent="0.3">
      <c r="H59" s="22">
        <f>IF(OR($B$2="*",Employee_Master!I59=$B$1),MAX(H$1:H58)+1,"")</f>
        <v>58</v>
      </c>
      <c r="I59" s="22" t="str">
        <f t="shared" si="0"/>
        <v>EMP1058</v>
      </c>
      <c r="J59" t="str">
        <f t="shared" si="1"/>
        <v>EMP1058 | Amit Gupta</v>
      </c>
      <c r="L59" s="23" t="s">
        <v>32</v>
      </c>
      <c r="M59" s="24">
        <f t="shared" si="7"/>
        <v>51.478571428571428</v>
      </c>
    </row>
    <row r="60" spans="8:14" x14ac:dyDescent="0.3">
      <c r="H60" s="22">
        <f>IF(OR($B$2="*",Employee_Master!I60=$B$1),MAX(H$1:H59)+1,"")</f>
        <v>59</v>
      </c>
      <c r="I60" s="22" t="str">
        <f t="shared" si="0"/>
        <v>EMP1059</v>
      </c>
      <c r="J60" t="str">
        <f t="shared" si="1"/>
        <v>EMP1059 | Fatima Kulkarni</v>
      </c>
      <c r="L60" s="23" t="s">
        <v>34</v>
      </c>
      <c r="M60" s="24">
        <f t="shared" si="7"/>
        <v>78.616</v>
      </c>
    </row>
    <row r="61" spans="8:14" x14ac:dyDescent="0.3">
      <c r="H61" s="22">
        <f>IF(OR($B$2="*",Employee_Master!I61=$B$1),MAX(H$1:H60)+1,"")</f>
        <v>60</v>
      </c>
      <c r="I61" s="22" t="str">
        <f t="shared" si="0"/>
        <v>EMP1060</v>
      </c>
      <c r="J61" t="str">
        <f t="shared" si="1"/>
        <v>EMP1060 | Isha Jain</v>
      </c>
    </row>
    <row r="62" spans="8:14" x14ac:dyDescent="0.3">
      <c r="H62" s="22">
        <f>IF(OR($B$2="*",Employee_Master!I62=$B$1),MAX(H$1:H61)+1,"")</f>
        <v>61</v>
      </c>
      <c r="I62" s="22" t="str">
        <f t="shared" si="0"/>
        <v>EMP1061</v>
      </c>
      <c r="J62" t="str">
        <f t="shared" si="1"/>
        <v>EMP1061 | Sowmya Mishra</v>
      </c>
    </row>
    <row r="63" spans="8:14" x14ac:dyDescent="0.3">
      <c r="H63" s="22">
        <f>IF(OR($B$2="*",Employee_Master!I63=$B$1),MAX(H$1:H62)+1,"")</f>
        <v>62</v>
      </c>
      <c r="I63" s="22" t="str">
        <f t="shared" si="0"/>
        <v>EMP1062</v>
      </c>
      <c r="J63" t="str">
        <f t="shared" si="1"/>
        <v>EMP1062 | Mohit Kapoor</v>
      </c>
      <c r="L63" s="7" t="str">
        <f>"Exit Reasons (Last 12 Months) · "&amp;SelLabel</f>
        <v>Exit Reasons (Last 12 Months) · All Departments</v>
      </c>
    </row>
    <row r="64" spans="8:14" x14ac:dyDescent="0.3">
      <c r="H64" s="22">
        <f>IF(OR($B$2="*",Employee_Master!I64=$B$1),MAX(H$1:H63)+1,"")</f>
        <v>63</v>
      </c>
      <c r="I64" s="22" t="str">
        <f t="shared" si="0"/>
        <v>EMP1063</v>
      </c>
      <c r="J64" t="str">
        <f t="shared" si="1"/>
        <v>EMP1063 | Akash Mukherjee</v>
      </c>
      <c r="L64" s="6" t="s">
        <v>1944</v>
      </c>
      <c r="M64" s="6" t="s">
        <v>1956</v>
      </c>
    </row>
    <row r="65" spans="8:14" x14ac:dyDescent="0.3">
      <c r="H65" s="22">
        <f>IF(OR($B$2="*",Employee_Master!I65=$B$1),MAX(H$1:H64)+1,"")</f>
        <v>64</v>
      </c>
      <c r="I65" s="22" t="str">
        <f t="shared" si="0"/>
        <v>EMP1064</v>
      </c>
      <c r="J65" t="str">
        <f t="shared" si="1"/>
        <v>EMP1064 | Swathi Bose</v>
      </c>
      <c r="L65" s="23" t="s">
        <v>1755</v>
      </c>
      <c r="M65" s="43">
        <f t="shared" ref="M65:M73" si="8">COUNTIFS(X_Dept,SelCrit,X_Reason,$L65)</f>
        <v>14</v>
      </c>
    </row>
    <row r="66" spans="8:14" x14ac:dyDescent="0.3">
      <c r="H66" s="22">
        <f>IF(OR($B$2="*",Employee_Master!I66=$B$1),MAX(H$1:H65)+1,"")</f>
        <v>65</v>
      </c>
      <c r="I66" s="22" t="str">
        <f t="shared" ref="I66:I129" si="9">IFERROR(INDEX(M_ID,MATCH(ROW()-1,$H$2:$H$501,0)),"")</f>
        <v>EMP1065</v>
      </c>
      <c r="J66" t="str">
        <f t="shared" ref="J66:J129" si="10">IF(I66="","",I66&amp;" | "&amp;INDEX(M_Name,MATCH(I66,M_ID,0)))</f>
        <v>EMP1065 | Rohit Iyer</v>
      </c>
      <c r="L66" s="23" t="s">
        <v>1734</v>
      </c>
      <c r="M66" s="43">
        <f t="shared" si="8"/>
        <v>15</v>
      </c>
    </row>
    <row r="67" spans="8:14" x14ac:dyDescent="0.3">
      <c r="H67" s="22">
        <f>IF(OR($B$2="*",Employee_Master!I67=$B$1),MAX(H$1:H66)+1,"")</f>
        <v>66</v>
      </c>
      <c r="I67" s="22" t="str">
        <f t="shared" si="9"/>
        <v>EMP1066</v>
      </c>
      <c r="J67" t="str">
        <f t="shared" si="10"/>
        <v>EMP1066 | Ajay Joshi</v>
      </c>
      <c r="L67" s="23" t="s">
        <v>1735</v>
      </c>
      <c r="M67" s="43">
        <f t="shared" si="8"/>
        <v>8</v>
      </c>
    </row>
    <row r="68" spans="8:14" x14ac:dyDescent="0.3">
      <c r="H68" s="22">
        <f>IF(OR($B$2="*",Employee_Master!I68=$B$1),MAX(H$1:H67)+1,"")</f>
        <v>67</v>
      </c>
      <c r="I68" s="22" t="str">
        <f t="shared" si="9"/>
        <v>EMP1067</v>
      </c>
      <c r="J68" t="str">
        <f t="shared" si="10"/>
        <v>EMP1067 | Akash Bansal</v>
      </c>
      <c r="L68" s="23" t="s">
        <v>1758</v>
      </c>
      <c r="M68" s="43">
        <f t="shared" si="8"/>
        <v>6</v>
      </c>
    </row>
    <row r="69" spans="8:14" x14ac:dyDescent="0.3">
      <c r="H69" s="22">
        <f>IF(OR($B$2="*",Employee_Master!I69=$B$1),MAX(H$1:H68)+1,"")</f>
        <v>68</v>
      </c>
      <c r="I69" s="22" t="str">
        <f t="shared" si="9"/>
        <v>EMP1068</v>
      </c>
      <c r="J69" t="str">
        <f t="shared" si="10"/>
        <v>EMP1068 | Pooja Mehta</v>
      </c>
      <c r="L69" s="23" t="s">
        <v>1754</v>
      </c>
      <c r="M69" s="43">
        <f t="shared" si="8"/>
        <v>5</v>
      </c>
    </row>
    <row r="70" spans="8:14" x14ac:dyDescent="0.3">
      <c r="H70" s="22">
        <f>IF(OR($B$2="*",Employee_Master!I70=$B$1),MAX(H$1:H69)+1,"")</f>
        <v>69</v>
      </c>
      <c r="I70" s="22" t="str">
        <f t="shared" si="9"/>
        <v>EMP1069</v>
      </c>
      <c r="J70" t="str">
        <f t="shared" si="10"/>
        <v>EMP1069 | Akash Dsouza</v>
      </c>
      <c r="L70" s="23" t="s">
        <v>1759</v>
      </c>
      <c r="M70" s="43">
        <f t="shared" si="8"/>
        <v>2</v>
      </c>
    </row>
    <row r="71" spans="8:14" x14ac:dyDescent="0.3">
      <c r="H71" s="22">
        <f>IF(OR($B$2="*",Employee_Master!I71=$B$1),MAX(H$1:H70)+1,"")</f>
        <v>70</v>
      </c>
      <c r="I71" s="22" t="str">
        <f t="shared" si="9"/>
        <v>EMP1070</v>
      </c>
      <c r="J71" t="str">
        <f t="shared" si="10"/>
        <v>EMP1070 | Naveen Mehta</v>
      </c>
      <c r="L71" s="23" t="s">
        <v>1762</v>
      </c>
      <c r="M71" s="43">
        <f t="shared" si="8"/>
        <v>2</v>
      </c>
    </row>
    <row r="72" spans="8:14" x14ac:dyDescent="0.3">
      <c r="H72" s="22">
        <f>IF(OR($B$2="*",Employee_Master!I72=$B$1),MAX(H$1:H71)+1,"")</f>
        <v>71</v>
      </c>
      <c r="I72" s="22" t="str">
        <f t="shared" si="9"/>
        <v>EMP1071</v>
      </c>
      <c r="J72" t="str">
        <f t="shared" si="10"/>
        <v>EMP1071 | Varsha Siddiqui</v>
      </c>
      <c r="L72" s="23" t="s">
        <v>1761</v>
      </c>
      <c r="M72" s="43">
        <f t="shared" si="8"/>
        <v>6</v>
      </c>
    </row>
    <row r="73" spans="8:14" x14ac:dyDescent="0.3">
      <c r="H73" s="22">
        <f>IF(OR($B$2="*",Employee_Master!I73=$B$1),MAX(H$1:H72)+1,"")</f>
        <v>72</v>
      </c>
      <c r="I73" s="22" t="str">
        <f t="shared" si="9"/>
        <v>EMP1072</v>
      </c>
      <c r="J73" t="str">
        <f t="shared" si="10"/>
        <v>EMP1072 | Rajesh Shah</v>
      </c>
      <c r="L73" s="23" t="s">
        <v>1757</v>
      </c>
      <c r="M73" s="43">
        <f t="shared" si="8"/>
        <v>6</v>
      </c>
    </row>
    <row r="74" spans="8:14" x14ac:dyDescent="0.3">
      <c r="H74" s="22">
        <f>IF(OR($B$2="*",Employee_Master!I74=$B$1),MAX(H$1:H73)+1,"")</f>
        <v>73</v>
      </c>
      <c r="I74" s="22" t="str">
        <f t="shared" si="9"/>
        <v>EMP1073</v>
      </c>
      <c r="J74" t="str">
        <f t="shared" si="10"/>
        <v>EMP1073 | Vishal Ansari</v>
      </c>
    </row>
    <row r="75" spans="8:14" x14ac:dyDescent="0.3">
      <c r="H75" s="22">
        <f>IF(OR($B$2="*",Employee_Master!I75=$B$1),MAX(H$1:H74)+1,"")</f>
        <v>74</v>
      </c>
      <c r="I75" s="22" t="str">
        <f t="shared" si="9"/>
        <v>EMP1074</v>
      </c>
      <c r="J75" t="str">
        <f t="shared" si="10"/>
        <v>EMP1074 | Mansi Reddy</v>
      </c>
    </row>
    <row r="76" spans="8:14" x14ac:dyDescent="0.3">
      <c r="H76" s="22">
        <f>IF(OR($B$2="*",Employee_Master!I76=$B$1),MAX(H$1:H75)+1,"")</f>
        <v>75</v>
      </c>
      <c r="I76" s="22" t="str">
        <f t="shared" si="9"/>
        <v>EMP1075</v>
      </c>
      <c r="J76" t="str">
        <f t="shared" si="10"/>
        <v>EMP1075 | Sandeep Gupta</v>
      </c>
      <c r="L76" s="7" t="str">
        <f>"Monthly Hires vs Exits · "&amp;SelLabel</f>
        <v>Monthly Hires vs Exits · All Departments</v>
      </c>
    </row>
    <row r="77" spans="8:14" x14ac:dyDescent="0.3">
      <c r="H77" s="22">
        <f>IF(OR($B$2="*",Employee_Master!I77=$B$1),MAX(H$1:H76)+1,"")</f>
        <v>76</v>
      </c>
      <c r="I77" s="22" t="str">
        <f t="shared" si="9"/>
        <v>EMP1076</v>
      </c>
      <c r="J77" t="str">
        <f t="shared" si="10"/>
        <v>EMP1076 | Sneha Hegde</v>
      </c>
      <c r="L77" s="6" t="s">
        <v>1944</v>
      </c>
      <c r="M77" s="6" t="s">
        <v>1957</v>
      </c>
      <c r="N77" s="6" t="s">
        <v>1956</v>
      </c>
    </row>
    <row r="78" spans="8:14" x14ac:dyDescent="0.3">
      <c r="H78" s="22">
        <f>IF(OR($B$2="*",Employee_Master!I78=$B$1),MAX(H$1:H77)+1,"")</f>
        <v>77</v>
      </c>
      <c r="I78" s="22" t="str">
        <f t="shared" si="9"/>
        <v>EMP1077</v>
      </c>
      <c r="J78" t="str">
        <f t="shared" si="10"/>
        <v>EMP1077 | Kiran Chatterjee</v>
      </c>
      <c r="L78" s="44">
        <v>45931</v>
      </c>
      <c r="M78" s="43">
        <f t="shared" ref="M78:M89" si="11">COUNTIFS(M_Dept,SelCrit,M_DOJ,"&gt;="&amp;$L78,M_DOJ,"&lt;"&amp;EDATE($L78,1))</f>
        <v>14</v>
      </c>
      <c r="N78" s="43">
        <f t="shared" ref="N78:N89" si="12">COUNTIFS(X_Dept,SelCrit,X_Date,"&gt;="&amp;$L78,X_Date,"&lt;"&amp;EDATE($L78,1))</f>
        <v>4</v>
      </c>
    </row>
    <row r="79" spans="8:14" x14ac:dyDescent="0.3">
      <c r="H79" s="22">
        <f>IF(OR($B$2="*",Employee_Master!I79=$B$1),MAX(H$1:H78)+1,"")</f>
        <v>78</v>
      </c>
      <c r="I79" s="22" t="str">
        <f t="shared" si="9"/>
        <v>EMP1078</v>
      </c>
      <c r="J79" t="str">
        <f t="shared" si="10"/>
        <v>EMP1078 | Aishwarya Joshi</v>
      </c>
      <c r="L79" s="44">
        <v>45962</v>
      </c>
      <c r="M79" s="43">
        <f t="shared" si="11"/>
        <v>7</v>
      </c>
      <c r="N79" s="43">
        <f t="shared" si="12"/>
        <v>3</v>
      </c>
    </row>
    <row r="80" spans="8:14" x14ac:dyDescent="0.3">
      <c r="H80" s="22">
        <f>IF(OR($B$2="*",Employee_Master!I80=$B$1),MAX(H$1:H79)+1,"")</f>
        <v>79</v>
      </c>
      <c r="I80" s="22" t="str">
        <f t="shared" si="9"/>
        <v>EMP1079</v>
      </c>
      <c r="J80" t="str">
        <f t="shared" si="10"/>
        <v>EMP1079 | Sindhu Das</v>
      </c>
      <c r="L80" s="44">
        <v>45992</v>
      </c>
      <c r="M80" s="43">
        <f t="shared" si="11"/>
        <v>10</v>
      </c>
      <c r="N80" s="43">
        <f t="shared" si="12"/>
        <v>3</v>
      </c>
    </row>
    <row r="81" spans="8:14" x14ac:dyDescent="0.3">
      <c r="H81" s="22">
        <f>IF(OR($B$2="*",Employee_Master!I81=$B$1),MAX(H$1:H80)+1,"")</f>
        <v>80</v>
      </c>
      <c r="I81" s="22" t="str">
        <f t="shared" si="9"/>
        <v>EMP1080</v>
      </c>
      <c r="J81" t="str">
        <f t="shared" si="10"/>
        <v>EMP1080 | Nandini Shetty</v>
      </c>
      <c r="L81" s="44">
        <v>46023</v>
      </c>
      <c r="M81" s="43">
        <f t="shared" si="11"/>
        <v>7</v>
      </c>
      <c r="N81" s="43">
        <f t="shared" si="12"/>
        <v>5</v>
      </c>
    </row>
    <row r="82" spans="8:14" x14ac:dyDescent="0.3">
      <c r="H82" s="22">
        <f>IF(OR($B$2="*",Employee_Master!I82=$B$1),MAX(H$1:H81)+1,"")</f>
        <v>81</v>
      </c>
      <c r="I82" s="22" t="str">
        <f t="shared" si="9"/>
        <v>EMP1081</v>
      </c>
      <c r="J82" t="str">
        <f t="shared" si="10"/>
        <v>EMP1081 | Deepak Thomas</v>
      </c>
      <c r="L82" s="44">
        <v>46054</v>
      </c>
      <c r="M82" s="43">
        <f t="shared" si="11"/>
        <v>7</v>
      </c>
      <c r="N82" s="43">
        <f t="shared" si="12"/>
        <v>3</v>
      </c>
    </row>
    <row r="83" spans="8:14" x14ac:dyDescent="0.3">
      <c r="H83" s="22">
        <f>IF(OR($B$2="*",Employee_Master!I83=$B$1),MAX(H$1:H82)+1,"")</f>
        <v>82</v>
      </c>
      <c r="I83" s="22" t="str">
        <f t="shared" si="9"/>
        <v>EMP1082</v>
      </c>
      <c r="J83" t="str">
        <f t="shared" si="10"/>
        <v>EMP1082 | Mansi Dsouza</v>
      </c>
      <c r="L83" s="44">
        <v>46082</v>
      </c>
      <c r="M83" s="43">
        <f t="shared" si="11"/>
        <v>14</v>
      </c>
      <c r="N83" s="43">
        <f t="shared" si="12"/>
        <v>1</v>
      </c>
    </row>
    <row r="84" spans="8:14" x14ac:dyDescent="0.3">
      <c r="H84" s="22">
        <f>IF(OR($B$2="*",Employee_Master!I84=$B$1),MAX(H$1:H83)+1,"")</f>
        <v>83</v>
      </c>
      <c r="I84" s="22" t="str">
        <f t="shared" si="9"/>
        <v>EMP1083</v>
      </c>
      <c r="J84" t="str">
        <f t="shared" si="10"/>
        <v>EMP1083 | Akash Das</v>
      </c>
      <c r="L84" s="44">
        <v>46113</v>
      </c>
      <c r="M84" s="43">
        <f t="shared" si="11"/>
        <v>15</v>
      </c>
      <c r="N84" s="43">
        <f t="shared" si="12"/>
        <v>13</v>
      </c>
    </row>
    <row r="85" spans="8:14" x14ac:dyDescent="0.3">
      <c r="H85" s="22">
        <f>IF(OR($B$2="*",Employee_Master!I85=$B$1),MAX(H$1:H84)+1,"")</f>
        <v>84</v>
      </c>
      <c r="I85" s="22" t="str">
        <f t="shared" si="9"/>
        <v>EMP1084</v>
      </c>
      <c r="J85" t="str">
        <f t="shared" si="10"/>
        <v>EMP1084 | Mansi Pillai</v>
      </c>
      <c r="L85" s="44">
        <v>46143</v>
      </c>
      <c r="M85" s="43">
        <f t="shared" si="11"/>
        <v>8</v>
      </c>
      <c r="N85" s="43">
        <f t="shared" si="12"/>
        <v>3</v>
      </c>
    </row>
    <row r="86" spans="8:14" x14ac:dyDescent="0.3">
      <c r="H86" s="22">
        <f>IF(OR($B$2="*",Employee_Master!I86=$B$1),MAX(H$1:H85)+1,"")</f>
        <v>85</v>
      </c>
      <c r="I86" s="22" t="str">
        <f t="shared" si="9"/>
        <v>EMP1085</v>
      </c>
      <c r="J86" t="str">
        <f t="shared" si="10"/>
        <v>EMP1085 | Rohan Menon</v>
      </c>
      <c r="L86" s="44">
        <v>46174</v>
      </c>
      <c r="M86" s="43">
        <f t="shared" si="11"/>
        <v>9</v>
      </c>
      <c r="N86" s="43">
        <f t="shared" si="12"/>
        <v>4</v>
      </c>
    </row>
    <row r="87" spans="8:14" x14ac:dyDescent="0.3">
      <c r="H87" s="22">
        <f>IF(OR($B$2="*",Employee_Master!I87=$B$1),MAX(H$1:H86)+1,"")</f>
        <v>86</v>
      </c>
      <c r="I87" s="22" t="str">
        <f t="shared" si="9"/>
        <v>EMP1086</v>
      </c>
      <c r="J87" t="str">
        <f t="shared" si="10"/>
        <v>EMP1086 | Bhavana Hegde</v>
      </c>
      <c r="L87" s="44">
        <v>46204</v>
      </c>
      <c r="M87" s="43">
        <f t="shared" si="11"/>
        <v>13</v>
      </c>
      <c r="N87" s="43">
        <f t="shared" si="12"/>
        <v>12</v>
      </c>
    </row>
    <row r="88" spans="8:14" x14ac:dyDescent="0.3">
      <c r="H88" s="22">
        <f>IF(OR($B$2="*",Employee_Master!I88=$B$1),MAX(H$1:H87)+1,"")</f>
        <v>87</v>
      </c>
      <c r="I88" s="22" t="str">
        <f t="shared" si="9"/>
        <v>EMP1087</v>
      </c>
      <c r="J88" t="str">
        <f t="shared" si="10"/>
        <v>EMP1087 | Arun Choudhary</v>
      </c>
      <c r="L88" s="44">
        <v>46235</v>
      </c>
      <c r="M88" s="43">
        <f t="shared" si="11"/>
        <v>11</v>
      </c>
      <c r="N88" s="43">
        <f t="shared" si="12"/>
        <v>9</v>
      </c>
    </row>
    <row r="89" spans="8:14" x14ac:dyDescent="0.3">
      <c r="H89" s="22">
        <f>IF(OR($B$2="*",Employee_Master!I89=$B$1),MAX(H$1:H88)+1,"")</f>
        <v>88</v>
      </c>
      <c r="I89" s="22" t="str">
        <f t="shared" si="9"/>
        <v>EMP1088</v>
      </c>
      <c r="J89" t="str">
        <f t="shared" si="10"/>
        <v>EMP1088 | Ankit Tiwari</v>
      </c>
      <c r="L89" s="44">
        <v>46266</v>
      </c>
      <c r="M89" s="43">
        <f t="shared" si="11"/>
        <v>6</v>
      </c>
      <c r="N89" s="43">
        <f t="shared" si="12"/>
        <v>4</v>
      </c>
    </row>
    <row r="90" spans="8:14" x14ac:dyDescent="0.3">
      <c r="H90" s="22">
        <f>IF(OR($B$2="*",Employee_Master!I90=$B$1),MAX(H$1:H89)+1,"")</f>
        <v>89</v>
      </c>
      <c r="I90" s="22" t="str">
        <f t="shared" si="9"/>
        <v>EMP1089</v>
      </c>
      <c r="J90" t="str">
        <f t="shared" si="10"/>
        <v>EMP1089 | Mary Varghese</v>
      </c>
    </row>
    <row r="91" spans="8:14" x14ac:dyDescent="0.3">
      <c r="H91" s="22">
        <f>IF(OR($B$2="*",Employee_Master!I91=$B$1),MAX(H$1:H90)+1,"")</f>
        <v>90</v>
      </c>
      <c r="I91" s="22" t="str">
        <f t="shared" si="9"/>
        <v>EMP1090</v>
      </c>
      <c r="J91" t="str">
        <f t="shared" si="10"/>
        <v>EMP1090 | Madhuri Malhotra</v>
      </c>
    </row>
    <row r="92" spans="8:14" x14ac:dyDescent="0.3">
      <c r="H92" s="22">
        <f>IF(OR($B$2="*",Employee_Master!I92=$B$1),MAX(H$1:H91)+1,"")</f>
        <v>91</v>
      </c>
      <c r="I92" s="22" t="str">
        <f t="shared" si="9"/>
        <v>EMP1091</v>
      </c>
      <c r="J92" t="str">
        <f t="shared" si="10"/>
        <v>EMP1091 | Srinivas Bose</v>
      </c>
      <c r="L92" s="7" t="str">
        <f>"Engagement by Dimension (1-5) · "&amp;SelLabel</f>
        <v>Engagement by Dimension (1-5) · All Departments</v>
      </c>
    </row>
    <row r="93" spans="8:14" x14ac:dyDescent="0.3">
      <c r="H93" s="22">
        <f>IF(OR($B$2="*",Employee_Master!I93=$B$1),MAX(H$1:H92)+1,"")</f>
        <v>92</v>
      </c>
      <c r="I93" s="22" t="str">
        <f t="shared" si="9"/>
        <v>EMP1092</v>
      </c>
      <c r="J93" t="str">
        <f t="shared" si="10"/>
        <v>EMP1092 | Kunal Jain</v>
      </c>
      <c r="L93" s="6" t="s">
        <v>1944</v>
      </c>
      <c r="M93" s="6" t="s">
        <v>1958</v>
      </c>
    </row>
    <row r="94" spans="8:14" x14ac:dyDescent="0.3">
      <c r="H94" s="22">
        <f>IF(OR($B$2="*",Employee_Master!I94=$B$1),MAX(H$1:H93)+1,"")</f>
        <v>93</v>
      </c>
      <c r="I94" s="22" t="str">
        <f t="shared" si="9"/>
        <v>EMP1093</v>
      </c>
      <c r="J94" t="str">
        <f t="shared" si="10"/>
        <v>EMP1093 | Priyanka Hegde</v>
      </c>
      <c r="L94" s="23" t="s">
        <v>1733</v>
      </c>
      <c r="M94" s="25">
        <f>IFERROR(AVERAGEIFS(E_Dim1,E_Dept,SelCrit,E_Status,"Active"),0)</f>
        <v>3.2399082568807325</v>
      </c>
    </row>
    <row r="95" spans="8:14" x14ac:dyDescent="0.3">
      <c r="H95" s="22">
        <f>IF(OR($B$2="*",Employee_Master!I95=$B$1),MAX(H$1:H94)+1,"")</f>
        <v>94</v>
      </c>
      <c r="I95" s="22" t="str">
        <f t="shared" si="9"/>
        <v>EMP1094</v>
      </c>
      <c r="J95" t="str">
        <f t="shared" si="10"/>
        <v>EMP1094 | Gayatri Thomas</v>
      </c>
      <c r="L95" s="23" t="s">
        <v>1734</v>
      </c>
      <c r="M95" s="25">
        <f>IFERROR(AVERAGEIFS(E_Dim2,E_Dept,SelCrit,E_Status,"Active"),0)</f>
        <v>3.2779816513761473</v>
      </c>
    </row>
    <row r="96" spans="8:14" x14ac:dyDescent="0.3">
      <c r="H96" s="22">
        <f>IF(OR($B$2="*",Employee_Master!I96=$B$1),MAX(H$1:H95)+1,"")</f>
        <v>95</v>
      </c>
      <c r="I96" s="22" t="str">
        <f t="shared" si="9"/>
        <v>EMP1095</v>
      </c>
      <c r="J96" t="str">
        <f t="shared" si="10"/>
        <v>EMP1095 | Mary Banerjee</v>
      </c>
      <c r="L96" s="23" t="s">
        <v>1735</v>
      </c>
      <c r="M96" s="25">
        <f>IFERROR(AVERAGEIFS(E_Dim3,E_Dept,SelCrit,E_Status,"Active"),0)</f>
        <v>3.2637614678899105</v>
      </c>
    </row>
    <row r="97" spans="8:13" x14ac:dyDescent="0.3">
      <c r="H97" s="22">
        <f>IF(OR($B$2="*",Employee_Master!I97=$B$1),MAX(H$1:H96)+1,"")</f>
        <v>96</v>
      </c>
      <c r="I97" s="22" t="str">
        <f t="shared" si="9"/>
        <v>EMP1096</v>
      </c>
      <c r="J97" t="str">
        <f t="shared" si="10"/>
        <v>EMP1096 | Pallavi Malhotra</v>
      </c>
      <c r="L97" s="23" t="s">
        <v>1736</v>
      </c>
      <c r="M97" s="25">
        <f>IFERROR(AVERAGEIFS(E_Dim4,E_Dept,SelCrit,E_Status,"Active"),0)</f>
        <v>3.2548165137614689</v>
      </c>
    </row>
    <row r="98" spans="8:13" x14ac:dyDescent="0.3">
      <c r="H98" s="22">
        <f>IF(OR($B$2="*",Employee_Master!I98=$B$1),MAX(H$1:H97)+1,"")</f>
        <v>97</v>
      </c>
      <c r="I98" s="22" t="str">
        <f t="shared" si="9"/>
        <v>EMP1097</v>
      </c>
      <c r="J98" t="str">
        <f t="shared" si="10"/>
        <v>EMP1097 | Sowmya Menon</v>
      </c>
      <c r="L98" s="23" t="s">
        <v>1737</v>
      </c>
      <c r="M98" s="25">
        <f>IFERROR(AVERAGEIFS(E_Dim5,E_Dept,SelCrit,E_Status,"Active"),0)</f>
        <v>3.2305045871559637</v>
      </c>
    </row>
    <row r="99" spans="8:13" x14ac:dyDescent="0.3">
      <c r="H99" s="22">
        <f>IF(OR($B$2="*",Employee_Master!I99=$B$1),MAX(H$1:H98)+1,"")</f>
        <v>98</v>
      </c>
      <c r="I99" s="22" t="str">
        <f t="shared" si="9"/>
        <v>EMP1098</v>
      </c>
      <c r="J99" t="str">
        <f t="shared" si="10"/>
        <v>EMP1098 | Sanjana Verma</v>
      </c>
      <c r="L99" s="23" t="s">
        <v>1738</v>
      </c>
      <c r="M99" s="25">
        <f>IFERROR(AVERAGEIFS(E_Dim6,E_Dept,SelCrit,E_Status,"Active"),0)</f>
        <v>3.2410550458715592</v>
      </c>
    </row>
    <row r="100" spans="8:13" x14ac:dyDescent="0.3">
      <c r="H100" s="22">
        <f>IF(OR($B$2="*",Employee_Master!I100=$B$1),MAX(H$1:H99)+1,"")</f>
        <v>99</v>
      </c>
      <c r="I100" s="22" t="str">
        <f t="shared" si="9"/>
        <v>EMP1099</v>
      </c>
      <c r="J100" t="str">
        <f t="shared" si="10"/>
        <v>EMP1099 | Karan Khan</v>
      </c>
    </row>
    <row r="101" spans="8:13" x14ac:dyDescent="0.3">
      <c r="H101" s="22">
        <f>IF(OR($B$2="*",Employee_Master!I101=$B$1),MAX(H$1:H100)+1,"")</f>
        <v>100</v>
      </c>
      <c r="I101" s="22" t="str">
        <f t="shared" si="9"/>
        <v>EMP1100</v>
      </c>
      <c r="J101" t="str">
        <f t="shared" si="10"/>
        <v>EMP1100 | Arjun Iyer</v>
      </c>
    </row>
    <row r="102" spans="8:13" x14ac:dyDescent="0.3">
      <c r="H102" s="22">
        <f>IF(OR($B$2="*",Employee_Master!I102=$B$1),MAX(H$1:H101)+1,"")</f>
        <v>101</v>
      </c>
      <c r="I102" s="22" t="str">
        <f t="shared" si="9"/>
        <v>EMP1101</v>
      </c>
      <c r="J102" t="str">
        <f t="shared" si="10"/>
        <v>EMP1101 | Pallavi Nair</v>
      </c>
      <c r="L102" s="7" t="str">
        <f>"Hires by Source (Filled Requisitions) · "&amp;SelLabel</f>
        <v>Hires by Source (Filled Requisitions) · All Departments</v>
      </c>
    </row>
    <row r="103" spans="8:13" x14ac:dyDescent="0.3">
      <c r="H103" s="22">
        <f>IF(OR($B$2="*",Employee_Master!I103=$B$1),MAX(H$1:H102)+1,"")</f>
        <v>102</v>
      </c>
      <c r="I103" s="22" t="str">
        <f t="shared" si="9"/>
        <v>EMP1102</v>
      </c>
      <c r="J103" t="str">
        <f t="shared" si="10"/>
        <v>EMP1102 | Ravi Kumar</v>
      </c>
      <c r="L103" s="6" t="s">
        <v>1944</v>
      </c>
      <c r="M103" s="6" t="s">
        <v>1957</v>
      </c>
    </row>
    <row r="104" spans="8:13" x14ac:dyDescent="0.3">
      <c r="H104" s="22">
        <f>IF(OR($B$2="*",Employee_Master!I104=$B$1),MAX(H$1:H103)+1,"")</f>
        <v>103</v>
      </c>
      <c r="I104" s="22" t="str">
        <f t="shared" si="9"/>
        <v>EMP1103</v>
      </c>
      <c r="J104" t="str">
        <f t="shared" si="10"/>
        <v>EMP1103 | Sowmya Verma</v>
      </c>
      <c r="L104" s="23" t="s">
        <v>1787</v>
      </c>
      <c r="M104" s="43">
        <f t="shared" ref="M104:M110" si="13">COUNTIFS(R_Dept,SelCrit,R_Source,$L104,R_Status,"Filled")</f>
        <v>13</v>
      </c>
    </row>
    <row r="105" spans="8:13" x14ac:dyDescent="0.3">
      <c r="H105" s="22">
        <f>IF(OR($B$2="*",Employee_Master!I105=$B$1),MAX(H$1:H104)+1,"")</f>
        <v>104</v>
      </c>
      <c r="I105" s="22" t="str">
        <f t="shared" si="9"/>
        <v>EMP1104</v>
      </c>
      <c r="J105" t="str">
        <f t="shared" si="10"/>
        <v>EMP1104 | Arun Agarwal</v>
      </c>
      <c r="L105" s="23" t="s">
        <v>1781</v>
      </c>
      <c r="M105" s="43">
        <f t="shared" si="13"/>
        <v>16</v>
      </c>
    </row>
    <row r="106" spans="8:13" x14ac:dyDescent="0.3">
      <c r="H106" s="22">
        <f>IF(OR($B$2="*",Employee_Master!I106=$B$1),MAX(H$1:H105)+1,"")</f>
        <v>105</v>
      </c>
      <c r="I106" s="22" t="str">
        <f t="shared" si="9"/>
        <v>EMP1105</v>
      </c>
      <c r="J106" t="str">
        <f t="shared" si="10"/>
        <v>EMP1105 | Shreya Gowda</v>
      </c>
      <c r="L106" s="23" t="s">
        <v>1807</v>
      </c>
      <c r="M106" s="43">
        <f t="shared" si="13"/>
        <v>17</v>
      </c>
    </row>
    <row r="107" spans="8:13" x14ac:dyDescent="0.3">
      <c r="H107" s="22">
        <f>IF(OR($B$2="*",Employee_Master!I107=$B$1),MAX(H$1:H106)+1,"")</f>
        <v>106</v>
      </c>
      <c r="I107" s="22" t="str">
        <f t="shared" si="9"/>
        <v>EMP1106</v>
      </c>
      <c r="J107" t="str">
        <f t="shared" si="10"/>
        <v>EMP1106 | Harsh Siddiqui</v>
      </c>
      <c r="L107" s="23" t="s">
        <v>1830</v>
      </c>
      <c r="M107" s="43">
        <f t="shared" si="13"/>
        <v>11</v>
      </c>
    </row>
    <row r="108" spans="8:13" x14ac:dyDescent="0.3">
      <c r="H108" s="22">
        <f>IF(OR($B$2="*",Employee_Master!I108=$B$1),MAX(H$1:H107)+1,"")</f>
        <v>107</v>
      </c>
      <c r="I108" s="22" t="str">
        <f t="shared" si="9"/>
        <v>EMP1107</v>
      </c>
      <c r="J108" t="str">
        <f t="shared" si="10"/>
        <v>EMP1107 | Imran Subramanian</v>
      </c>
      <c r="L108" s="23" t="s">
        <v>1785</v>
      </c>
      <c r="M108" s="43">
        <f t="shared" si="13"/>
        <v>8</v>
      </c>
    </row>
    <row r="109" spans="8:13" x14ac:dyDescent="0.3">
      <c r="H109" s="22">
        <f>IF(OR($B$2="*",Employee_Master!I109=$B$1),MAX(H$1:H108)+1,"")</f>
        <v>108</v>
      </c>
      <c r="I109" s="22" t="str">
        <f t="shared" si="9"/>
        <v>EMP1108</v>
      </c>
      <c r="J109" t="str">
        <f t="shared" si="10"/>
        <v>EMP1108 | Keerthi Siddiqui</v>
      </c>
      <c r="L109" s="23" t="s">
        <v>1790</v>
      </c>
      <c r="M109" s="43">
        <f t="shared" si="13"/>
        <v>7</v>
      </c>
    </row>
    <row r="110" spans="8:13" x14ac:dyDescent="0.3">
      <c r="H110" s="22">
        <f>IF(OR($B$2="*",Employee_Master!I110=$B$1),MAX(H$1:H109)+1,"")</f>
        <v>109</v>
      </c>
      <c r="I110" s="22" t="str">
        <f t="shared" si="9"/>
        <v>EMP1109</v>
      </c>
      <c r="J110" t="str">
        <f t="shared" si="10"/>
        <v>EMP1109 | Nandini Choudhary</v>
      </c>
      <c r="L110" s="23" t="s">
        <v>1849</v>
      </c>
      <c r="M110" s="43">
        <f t="shared" si="13"/>
        <v>5</v>
      </c>
    </row>
    <row r="111" spans="8:13" x14ac:dyDescent="0.3">
      <c r="H111" s="22">
        <f>IF(OR($B$2="*",Employee_Master!I111=$B$1),MAX(H$1:H110)+1,"")</f>
        <v>110</v>
      </c>
      <c r="I111" s="22" t="str">
        <f t="shared" si="9"/>
        <v>EMP1110</v>
      </c>
      <c r="J111" t="str">
        <f t="shared" si="10"/>
        <v>EMP1110 | Aishwarya Mukherjee</v>
      </c>
    </row>
    <row r="112" spans="8:13" x14ac:dyDescent="0.3">
      <c r="H112" s="22">
        <f>IF(OR($B$2="*",Employee_Master!I112=$B$1),MAX(H$1:H111)+1,"")</f>
        <v>111</v>
      </c>
      <c r="I112" s="22" t="str">
        <f t="shared" si="9"/>
        <v>EMP1111</v>
      </c>
      <c r="J112" t="str">
        <f t="shared" si="10"/>
        <v>EMP1111 | Ajay Patel</v>
      </c>
    </row>
    <row r="113" spans="8:13" x14ac:dyDescent="0.3">
      <c r="H113" s="22">
        <f>IF(OR($B$2="*",Employee_Master!I113=$B$1),MAX(H$1:H112)+1,"")</f>
        <v>112</v>
      </c>
      <c r="I113" s="22" t="str">
        <f t="shared" si="9"/>
        <v>EMP1112</v>
      </c>
      <c r="J113" t="str">
        <f t="shared" si="10"/>
        <v>EMP1112 | Trisha Saxena</v>
      </c>
      <c r="L113" s="7" t="str">
        <f>"Tenure Profile (Active) · "&amp;SelLabel</f>
        <v>Tenure Profile (Active) · All Departments</v>
      </c>
    </row>
    <row r="114" spans="8:13" x14ac:dyDescent="0.3">
      <c r="H114" s="22">
        <f>IF(OR($B$2="*",Employee_Master!I114=$B$1),MAX(H$1:H113)+1,"")</f>
        <v>113</v>
      </c>
      <c r="I114" s="22" t="str">
        <f t="shared" si="9"/>
        <v>EMP1113</v>
      </c>
      <c r="J114" t="str">
        <f t="shared" si="10"/>
        <v>EMP1113 | Vikas Shah</v>
      </c>
      <c r="L114" s="6" t="s">
        <v>1944</v>
      </c>
      <c r="M114" s="6" t="s">
        <v>1947</v>
      </c>
    </row>
    <row r="115" spans="8:13" x14ac:dyDescent="0.3">
      <c r="H115" s="22">
        <f>IF(OR($B$2="*",Employee_Master!I115=$B$1),MAX(H$1:H114)+1,"")</f>
        <v>114</v>
      </c>
      <c r="I115" s="22" t="str">
        <f t="shared" si="9"/>
        <v>EMP1114</v>
      </c>
      <c r="J115" t="str">
        <f t="shared" si="10"/>
        <v>EMP1114 | Aarav Thomas</v>
      </c>
      <c r="L115" s="23" t="s">
        <v>1959</v>
      </c>
      <c r="M115" s="43">
        <f>COUNTIFS(M_Dept,SelCrit,M_TBand,$L115,M_Status,"Active")</f>
        <v>101</v>
      </c>
    </row>
    <row r="116" spans="8:13" x14ac:dyDescent="0.3">
      <c r="H116" s="22">
        <f>IF(OR($B$2="*",Employee_Master!I116=$B$1),MAX(H$1:H115)+1,"")</f>
        <v>115</v>
      </c>
      <c r="I116" s="22" t="str">
        <f t="shared" si="9"/>
        <v>EMP1115</v>
      </c>
      <c r="J116" t="str">
        <f t="shared" si="10"/>
        <v>EMP1115 | Naveen Verma</v>
      </c>
      <c r="L116" s="23" t="s">
        <v>1960</v>
      </c>
      <c r="M116" s="43">
        <f>COUNTIFS(M_Dept,SelCrit,M_TBand,$L116,M_Status,"Active")</f>
        <v>165</v>
      </c>
    </row>
    <row r="117" spans="8:13" x14ac:dyDescent="0.3">
      <c r="H117" s="22">
        <f>IF(OR($B$2="*",Employee_Master!I117=$B$1),MAX(H$1:H116)+1,"")</f>
        <v>116</v>
      </c>
      <c r="I117" s="22" t="str">
        <f t="shared" si="9"/>
        <v>EMP1116</v>
      </c>
      <c r="J117" t="str">
        <f t="shared" si="10"/>
        <v>EMP1116 | Tanvi Tiwari</v>
      </c>
      <c r="L117" s="23" t="s">
        <v>1961</v>
      </c>
      <c r="M117" s="43">
        <f>COUNTIFS(M_Dept,SelCrit,M_TBand,$L117,M_Status,"Active")</f>
        <v>107</v>
      </c>
    </row>
    <row r="118" spans="8:13" x14ac:dyDescent="0.3">
      <c r="H118" s="22">
        <f>IF(OR($B$2="*",Employee_Master!I118=$B$1),MAX(H$1:H117)+1,"")</f>
        <v>117</v>
      </c>
      <c r="I118" s="22" t="str">
        <f t="shared" si="9"/>
        <v>EMP1117</v>
      </c>
      <c r="J118" t="str">
        <f t="shared" si="10"/>
        <v>EMP1117 | Sneha Saxena</v>
      </c>
      <c r="L118" s="23" t="s">
        <v>1962</v>
      </c>
      <c r="M118" s="43">
        <f>COUNTIFS(M_Dept,SelCrit,M_TBand,$L118,M_Status,"Active")</f>
        <v>63</v>
      </c>
    </row>
    <row r="119" spans="8:13" x14ac:dyDescent="0.3">
      <c r="H119" s="22">
        <f>IF(OR($B$2="*",Employee_Master!I119=$B$1),MAX(H$1:H118)+1,"")</f>
        <v>118</v>
      </c>
      <c r="I119" s="22" t="str">
        <f t="shared" si="9"/>
        <v>EMP1118</v>
      </c>
      <c r="J119" t="str">
        <f t="shared" si="10"/>
        <v>EMP1118 | Amit Kumar</v>
      </c>
    </row>
    <row r="120" spans="8:13" x14ac:dyDescent="0.3">
      <c r="H120" s="22">
        <f>IF(OR($B$2="*",Employee_Master!I120=$B$1),MAX(H$1:H119)+1,"")</f>
        <v>119</v>
      </c>
      <c r="I120" s="22" t="str">
        <f t="shared" si="9"/>
        <v>EMP1119</v>
      </c>
      <c r="J120" t="str">
        <f t="shared" si="10"/>
        <v>EMP1119 | Pranav Banerjee</v>
      </c>
    </row>
    <row r="121" spans="8:13" x14ac:dyDescent="0.3">
      <c r="H121" s="22">
        <f>IF(OR($B$2="*",Employee_Master!I121=$B$1),MAX(H$1:H120)+1,"")</f>
        <v>120</v>
      </c>
      <c r="I121" s="22" t="str">
        <f t="shared" si="9"/>
        <v>EMP1120</v>
      </c>
      <c r="J121" t="str">
        <f t="shared" si="10"/>
        <v>EMP1120 | Ayesha Reddy</v>
      </c>
      <c r="L121" s="7" t="str">
        <f>"Flight Risk (Active) · "&amp;SelLabel</f>
        <v>Flight Risk (Active) · All Departments</v>
      </c>
    </row>
    <row r="122" spans="8:13" x14ac:dyDescent="0.3">
      <c r="H122" s="22">
        <f>IF(OR($B$2="*",Employee_Master!I122=$B$1),MAX(H$1:H121)+1,"")</f>
        <v>121</v>
      </c>
      <c r="I122" s="22" t="str">
        <f t="shared" si="9"/>
        <v>EMP1121</v>
      </c>
      <c r="J122" t="str">
        <f t="shared" si="10"/>
        <v>EMP1121 | Srinivas Kulkarni</v>
      </c>
      <c r="L122" s="6" t="s">
        <v>1944</v>
      </c>
      <c r="M122" s="6" t="s">
        <v>1947</v>
      </c>
    </row>
    <row r="123" spans="8:13" x14ac:dyDescent="0.3">
      <c r="H123" s="22">
        <f>IF(OR($B$2="*",Employee_Master!I123=$B$1),MAX(H$1:H122)+1,"")</f>
        <v>122</v>
      </c>
      <c r="I123" s="22" t="str">
        <f t="shared" si="9"/>
        <v>EMP1122</v>
      </c>
      <c r="J123" t="str">
        <f t="shared" si="10"/>
        <v>EMP1122 | Divya Kulkarni</v>
      </c>
      <c r="L123" s="23" t="s">
        <v>61</v>
      </c>
      <c r="M123" s="43">
        <f>COUNTIFS(E_Dept,SelCrit,E_Risk,$L123)</f>
        <v>27</v>
      </c>
    </row>
    <row r="124" spans="8:13" x14ac:dyDescent="0.3">
      <c r="H124" s="22">
        <f>IF(OR($B$2="*",Employee_Master!I124=$B$1),MAX(H$1:H123)+1,"")</f>
        <v>123</v>
      </c>
      <c r="I124" s="22" t="str">
        <f t="shared" si="9"/>
        <v>EMP1123</v>
      </c>
      <c r="J124" t="str">
        <f t="shared" si="10"/>
        <v>EMP1123 | Arjun Bansal</v>
      </c>
      <c r="L124" s="23" t="s">
        <v>60</v>
      </c>
      <c r="M124" s="43">
        <f>COUNTIFS(E_Dept,SelCrit,E_Risk,$L124)</f>
        <v>138</v>
      </c>
    </row>
    <row r="125" spans="8:13" x14ac:dyDescent="0.3">
      <c r="H125" s="22">
        <f>IF(OR($B$2="*",Employee_Master!I125=$B$1),MAX(H$1:H124)+1,"")</f>
        <v>124</v>
      </c>
      <c r="I125" s="22" t="str">
        <f t="shared" si="9"/>
        <v>EMP1124</v>
      </c>
      <c r="J125" t="str">
        <f t="shared" si="10"/>
        <v>EMP1124 | Vikram Joshi</v>
      </c>
      <c r="L125" s="23" t="s">
        <v>59</v>
      </c>
      <c r="M125" s="43">
        <f>COUNTIFS(E_Dept,SelCrit,E_Risk,$L125)</f>
        <v>271</v>
      </c>
    </row>
    <row r="126" spans="8:13" x14ac:dyDescent="0.3">
      <c r="H126" s="22">
        <f>IF(OR($B$2="*",Employee_Master!I126=$B$1),MAX(H$1:H125)+1,"")</f>
        <v>125</v>
      </c>
      <c r="I126" s="22" t="str">
        <f t="shared" si="9"/>
        <v>EMP1125</v>
      </c>
      <c r="J126" t="str">
        <f t="shared" si="10"/>
        <v>EMP1125 | Rohan Pandey</v>
      </c>
    </row>
    <row r="127" spans="8:13" x14ac:dyDescent="0.3">
      <c r="H127" s="22">
        <f>IF(OR($B$2="*",Employee_Master!I127=$B$1),MAX(H$1:H126)+1,"")</f>
        <v>126</v>
      </c>
      <c r="I127" s="22" t="str">
        <f t="shared" si="9"/>
        <v>EMP1126</v>
      </c>
      <c r="J127" t="str">
        <f t="shared" si="10"/>
        <v>EMP1126 | Imran Krishnan</v>
      </c>
    </row>
    <row r="128" spans="8:13" x14ac:dyDescent="0.3">
      <c r="H128" s="22">
        <f>IF(OR($B$2="*",Employee_Master!I128=$B$1),MAX(H$1:H127)+1,"")</f>
        <v>127</v>
      </c>
      <c r="I128" s="22" t="str">
        <f t="shared" si="9"/>
        <v>EMP1127</v>
      </c>
      <c r="J128" t="str">
        <f t="shared" si="10"/>
        <v>EMP1127 | Ayesha Raghavan</v>
      </c>
    </row>
    <row r="129" spans="8:10" x14ac:dyDescent="0.3">
      <c r="H129" s="22">
        <f>IF(OR($B$2="*",Employee_Master!I129=$B$1),MAX(H$1:H128)+1,"")</f>
        <v>128</v>
      </c>
      <c r="I129" s="22" t="str">
        <f t="shared" si="9"/>
        <v>EMP1128</v>
      </c>
      <c r="J129" t="str">
        <f t="shared" si="10"/>
        <v>EMP1128 | Abhishek Das</v>
      </c>
    </row>
    <row r="130" spans="8:10" x14ac:dyDescent="0.3">
      <c r="H130" s="22">
        <f>IF(OR($B$2="*",Employee_Master!I130=$B$1),MAX(H$1:H129)+1,"")</f>
        <v>129</v>
      </c>
      <c r="I130" s="22" t="str">
        <f t="shared" ref="I130:I193" si="14">IFERROR(INDEX(M_ID,MATCH(ROW()-1,$H$2:$H$501,0)),"")</f>
        <v>EMP1129</v>
      </c>
      <c r="J130" t="str">
        <f t="shared" ref="J130:J193" si="15">IF(I130="","",I130&amp;" | "&amp;INDEX(M_Name,MATCH(I130,M_ID,0)))</f>
        <v>EMP1129 | Madhuri Menon</v>
      </c>
    </row>
    <row r="131" spans="8:10" x14ac:dyDescent="0.3">
      <c r="H131" s="22">
        <f>IF(OR($B$2="*",Employee_Master!I131=$B$1),MAX(H$1:H130)+1,"")</f>
        <v>130</v>
      </c>
      <c r="I131" s="22" t="str">
        <f t="shared" si="14"/>
        <v>EMP1130</v>
      </c>
      <c r="J131" t="str">
        <f t="shared" si="15"/>
        <v>EMP1130 | Yash Raghavan</v>
      </c>
    </row>
    <row r="132" spans="8:10" x14ac:dyDescent="0.3">
      <c r="H132" s="22">
        <f>IF(OR($B$2="*",Employee_Master!I132=$B$1),MAX(H$1:H131)+1,"")</f>
        <v>131</v>
      </c>
      <c r="I132" s="22" t="str">
        <f t="shared" si="14"/>
        <v>EMP1131</v>
      </c>
      <c r="J132" t="str">
        <f t="shared" si="15"/>
        <v>EMP1131 | Vidya Saxena</v>
      </c>
    </row>
    <row r="133" spans="8:10" x14ac:dyDescent="0.3">
      <c r="H133" s="22">
        <f>IF(OR($B$2="*",Employee_Master!I133=$B$1),MAX(H$1:H132)+1,"")</f>
        <v>132</v>
      </c>
      <c r="I133" s="22" t="str">
        <f t="shared" si="14"/>
        <v>EMP1132</v>
      </c>
      <c r="J133" t="str">
        <f t="shared" si="15"/>
        <v>EMP1132 | Ramya Mukherjee</v>
      </c>
    </row>
    <row r="134" spans="8:10" x14ac:dyDescent="0.3">
      <c r="H134" s="22">
        <f>IF(OR($B$2="*",Employee_Master!I134=$B$1),MAX(H$1:H133)+1,"")</f>
        <v>133</v>
      </c>
      <c r="I134" s="22" t="str">
        <f t="shared" si="14"/>
        <v>EMP1133</v>
      </c>
      <c r="J134" t="str">
        <f t="shared" si="15"/>
        <v>EMP1133 | Meera Naidu</v>
      </c>
    </row>
    <row r="135" spans="8:10" x14ac:dyDescent="0.3">
      <c r="H135" s="22">
        <f>IF(OR($B$2="*",Employee_Master!I135=$B$1),MAX(H$1:H134)+1,"")</f>
        <v>134</v>
      </c>
      <c r="I135" s="22" t="str">
        <f t="shared" si="14"/>
        <v>EMP1134</v>
      </c>
      <c r="J135" t="str">
        <f t="shared" si="15"/>
        <v>EMP1134 | Krishna Shah</v>
      </c>
    </row>
    <row r="136" spans="8:10" x14ac:dyDescent="0.3">
      <c r="H136" s="22">
        <f>IF(OR($B$2="*",Employee_Master!I136=$B$1),MAX(H$1:H135)+1,"")</f>
        <v>135</v>
      </c>
      <c r="I136" s="22" t="str">
        <f t="shared" si="14"/>
        <v>EMP1135</v>
      </c>
      <c r="J136" t="str">
        <f t="shared" si="15"/>
        <v>EMP1135 | Neha Kamath</v>
      </c>
    </row>
    <row r="137" spans="8:10" x14ac:dyDescent="0.3">
      <c r="H137" s="22">
        <f>IF(OR($B$2="*",Employee_Master!I137=$B$1),MAX(H$1:H136)+1,"")</f>
        <v>136</v>
      </c>
      <c r="I137" s="22" t="str">
        <f t="shared" si="14"/>
        <v>EMP1136</v>
      </c>
      <c r="J137" t="str">
        <f t="shared" si="15"/>
        <v>EMP1136 | Lakshmi Iyer</v>
      </c>
    </row>
    <row r="138" spans="8:10" x14ac:dyDescent="0.3">
      <c r="H138" s="22">
        <f>IF(OR($B$2="*",Employee_Master!I138=$B$1),MAX(H$1:H137)+1,"")</f>
        <v>137</v>
      </c>
      <c r="I138" s="22" t="str">
        <f t="shared" si="14"/>
        <v>EMP1137</v>
      </c>
      <c r="J138" t="str">
        <f t="shared" si="15"/>
        <v>EMP1137 | Aarav Choudhary</v>
      </c>
    </row>
    <row r="139" spans="8:10" x14ac:dyDescent="0.3">
      <c r="H139" s="22">
        <f>IF(OR($B$2="*",Employee_Master!I139=$B$1),MAX(H$1:H138)+1,"")</f>
        <v>138</v>
      </c>
      <c r="I139" s="22" t="str">
        <f t="shared" si="14"/>
        <v>EMP1138</v>
      </c>
      <c r="J139" t="str">
        <f t="shared" si="15"/>
        <v>EMP1138 | Ananya Banerjee</v>
      </c>
    </row>
    <row r="140" spans="8:10" x14ac:dyDescent="0.3">
      <c r="H140" s="22">
        <f>IF(OR($B$2="*",Employee_Master!I140=$B$1),MAX(H$1:H139)+1,"")</f>
        <v>139</v>
      </c>
      <c r="I140" s="22" t="str">
        <f t="shared" si="14"/>
        <v>EMP1139</v>
      </c>
      <c r="J140" t="str">
        <f t="shared" si="15"/>
        <v>EMP1139 | Prakash Kamath</v>
      </c>
    </row>
    <row r="141" spans="8:10" x14ac:dyDescent="0.3">
      <c r="H141" s="22">
        <f>IF(OR($B$2="*",Employee_Master!I141=$B$1),MAX(H$1:H140)+1,"")</f>
        <v>140</v>
      </c>
      <c r="I141" s="22" t="str">
        <f t="shared" si="14"/>
        <v>EMP1140</v>
      </c>
      <c r="J141" t="str">
        <f t="shared" si="15"/>
        <v>EMP1140 | Anusha Jain</v>
      </c>
    </row>
    <row r="142" spans="8:10" x14ac:dyDescent="0.3">
      <c r="H142" s="22">
        <f>IF(OR($B$2="*",Employee_Master!I142=$B$1),MAX(H$1:H141)+1,"")</f>
        <v>141</v>
      </c>
      <c r="I142" s="22" t="str">
        <f t="shared" si="14"/>
        <v>EMP1141</v>
      </c>
      <c r="J142" t="str">
        <f t="shared" si="15"/>
        <v>EMP1141 | Abhishek Banerjee</v>
      </c>
    </row>
    <row r="143" spans="8:10" x14ac:dyDescent="0.3">
      <c r="H143" s="22">
        <f>IF(OR($B$2="*",Employee_Master!I143=$B$1),MAX(H$1:H142)+1,"")</f>
        <v>142</v>
      </c>
      <c r="I143" s="22" t="str">
        <f t="shared" si="14"/>
        <v>EMP1142</v>
      </c>
      <c r="J143" t="str">
        <f t="shared" si="15"/>
        <v>EMP1142 | Nisha Naidu</v>
      </c>
    </row>
    <row r="144" spans="8:10" x14ac:dyDescent="0.3">
      <c r="H144" s="22">
        <f>IF(OR($B$2="*",Employee_Master!I144=$B$1),MAX(H$1:H143)+1,"")</f>
        <v>143</v>
      </c>
      <c r="I144" s="22" t="str">
        <f t="shared" si="14"/>
        <v>EMP1143</v>
      </c>
      <c r="J144" t="str">
        <f t="shared" si="15"/>
        <v>EMP1143 | Tejaswini Naidu</v>
      </c>
    </row>
    <row r="145" spans="8:10" x14ac:dyDescent="0.3">
      <c r="H145" s="22">
        <f>IF(OR($B$2="*",Employee_Master!I145=$B$1),MAX(H$1:H144)+1,"")</f>
        <v>144</v>
      </c>
      <c r="I145" s="22" t="str">
        <f t="shared" si="14"/>
        <v>EMP1144</v>
      </c>
      <c r="J145" t="str">
        <f t="shared" si="15"/>
        <v>EMP1144 | Nandini Bansal</v>
      </c>
    </row>
    <row r="146" spans="8:10" x14ac:dyDescent="0.3">
      <c r="H146" s="22">
        <f>IF(OR($B$2="*",Employee_Master!I146=$B$1),MAX(H$1:H145)+1,"")</f>
        <v>145</v>
      </c>
      <c r="I146" s="22" t="str">
        <f t="shared" si="14"/>
        <v>EMP1145</v>
      </c>
      <c r="J146" t="str">
        <f t="shared" si="15"/>
        <v>EMP1145 | Srinivas Bansal</v>
      </c>
    </row>
    <row r="147" spans="8:10" x14ac:dyDescent="0.3">
      <c r="H147" s="22">
        <f>IF(OR($B$2="*",Employee_Master!I147=$B$1),MAX(H$1:H146)+1,"")</f>
        <v>146</v>
      </c>
      <c r="I147" s="22" t="str">
        <f t="shared" si="14"/>
        <v>EMP1146</v>
      </c>
      <c r="J147" t="str">
        <f t="shared" si="15"/>
        <v>EMP1146 | Tejaswini Dsouza</v>
      </c>
    </row>
    <row r="148" spans="8:10" x14ac:dyDescent="0.3">
      <c r="H148" s="22">
        <f>IF(OR($B$2="*",Employee_Master!I148=$B$1),MAX(H$1:H147)+1,"")</f>
        <v>147</v>
      </c>
      <c r="I148" s="22" t="str">
        <f t="shared" si="14"/>
        <v>EMP1147</v>
      </c>
      <c r="J148" t="str">
        <f t="shared" si="15"/>
        <v>EMP1147 | Zara Krishnan</v>
      </c>
    </row>
    <row r="149" spans="8:10" x14ac:dyDescent="0.3">
      <c r="H149" s="22">
        <f>IF(OR($B$2="*",Employee_Master!I149=$B$1),MAX(H$1:H148)+1,"")</f>
        <v>148</v>
      </c>
      <c r="I149" s="22" t="str">
        <f t="shared" si="14"/>
        <v>EMP1148</v>
      </c>
      <c r="J149" t="str">
        <f t="shared" si="15"/>
        <v>EMP1148 | Suresh Bansal</v>
      </c>
    </row>
    <row r="150" spans="8:10" x14ac:dyDescent="0.3">
      <c r="H150" s="22">
        <f>IF(OR($B$2="*",Employee_Master!I150=$B$1),MAX(H$1:H149)+1,"")</f>
        <v>149</v>
      </c>
      <c r="I150" s="22" t="str">
        <f t="shared" si="14"/>
        <v>EMP1149</v>
      </c>
      <c r="J150" t="str">
        <f t="shared" si="15"/>
        <v>EMP1149 | Ashish Sharma</v>
      </c>
    </row>
    <row r="151" spans="8:10" x14ac:dyDescent="0.3">
      <c r="H151" s="22">
        <f>IF(OR($B$2="*",Employee_Master!I151=$B$1),MAX(H$1:H150)+1,"")</f>
        <v>150</v>
      </c>
      <c r="I151" s="22" t="str">
        <f t="shared" si="14"/>
        <v>EMP1150</v>
      </c>
      <c r="J151" t="str">
        <f t="shared" si="15"/>
        <v>EMP1150 | Vidya Chatterjee</v>
      </c>
    </row>
    <row r="152" spans="8:10" x14ac:dyDescent="0.3">
      <c r="H152" s="22">
        <f>IF(OR($B$2="*",Employee_Master!I152=$B$1),MAX(H$1:H151)+1,"")</f>
        <v>151</v>
      </c>
      <c r="I152" s="22" t="str">
        <f t="shared" si="14"/>
        <v>EMP1151</v>
      </c>
      <c r="J152" t="str">
        <f t="shared" si="15"/>
        <v>EMP1151 | Abhishek Verma</v>
      </c>
    </row>
    <row r="153" spans="8:10" x14ac:dyDescent="0.3">
      <c r="H153" s="22">
        <f>IF(OR($B$2="*",Employee_Master!I153=$B$1),MAX(H$1:H152)+1,"")</f>
        <v>152</v>
      </c>
      <c r="I153" s="22" t="str">
        <f t="shared" si="14"/>
        <v>EMP1152</v>
      </c>
      <c r="J153" t="str">
        <f t="shared" si="15"/>
        <v>EMP1152 | Tarun Pillai</v>
      </c>
    </row>
    <row r="154" spans="8:10" x14ac:dyDescent="0.3">
      <c r="H154" s="22">
        <f>IF(OR($B$2="*",Employee_Master!I154=$B$1),MAX(H$1:H153)+1,"")</f>
        <v>153</v>
      </c>
      <c r="I154" s="22" t="str">
        <f t="shared" si="14"/>
        <v>EMP1153</v>
      </c>
      <c r="J154" t="str">
        <f t="shared" si="15"/>
        <v>EMP1153 | Zara Bose</v>
      </c>
    </row>
    <row r="155" spans="8:10" x14ac:dyDescent="0.3">
      <c r="H155" s="22">
        <f>IF(OR($B$2="*",Employee_Master!I155=$B$1),MAX(H$1:H154)+1,"")</f>
        <v>154</v>
      </c>
      <c r="I155" s="22" t="str">
        <f t="shared" si="14"/>
        <v>EMP1154</v>
      </c>
      <c r="J155" t="str">
        <f t="shared" si="15"/>
        <v>EMP1154 | Krishna Chatterjee</v>
      </c>
    </row>
    <row r="156" spans="8:10" x14ac:dyDescent="0.3">
      <c r="H156" s="22">
        <f>IF(OR($B$2="*",Employee_Master!I156=$B$1),MAX(H$1:H155)+1,"")</f>
        <v>155</v>
      </c>
      <c r="I156" s="22" t="str">
        <f t="shared" si="14"/>
        <v>EMP1155</v>
      </c>
      <c r="J156" t="str">
        <f t="shared" si="15"/>
        <v>EMP1155 | Mary Singh</v>
      </c>
    </row>
    <row r="157" spans="8:10" x14ac:dyDescent="0.3">
      <c r="H157" s="22">
        <f>IF(OR($B$2="*",Employee_Master!I157=$B$1),MAX(H$1:H156)+1,"")</f>
        <v>156</v>
      </c>
      <c r="I157" s="22" t="str">
        <f t="shared" si="14"/>
        <v>EMP1156</v>
      </c>
      <c r="J157" t="str">
        <f t="shared" si="15"/>
        <v>EMP1156 | Lakshmi Pillai</v>
      </c>
    </row>
    <row r="158" spans="8:10" x14ac:dyDescent="0.3">
      <c r="H158" s="22">
        <f>IF(OR($B$2="*",Employee_Master!I158=$B$1),MAX(H$1:H157)+1,"")</f>
        <v>157</v>
      </c>
      <c r="I158" s="22" t="str">
        <f t="shared" si="14"/>
        <v>EMP1157</v>
      </c>
      <c r="J158" t="str">
        <f t="shared" si="15"/>
        <v>EMP1157 | Varun Subramanian</v>
      </c>
    </row>
    <row r="159" spans="8:10" x14ac:dyDescent="0.3">
      <c r="H159" s="22">
        <f>IF(OR($B$2="*",Employee_Master!I159=$B$1),MAX(H$1:H158)+1,"")</f>
        <v>158</v>
      </c>
      <c r="I159" s="22" t="str">
        <f t="shared" si="14"/>
        <v>EMP1158</v>
      </c>
      <c r="J159" t="str">
        <f t="shared" si="15"/>
        <v>EMP1158 | Pallavi Shah</v>
      </c>
    </row>
    <row r="160" spans="8:10" x14ac:dyDescent="0.3">
      <c r="H160" s="22">
        <f>IF(OR($B$2="*",Employee_Master!I160=$B$1),MAX(H$1:H159)+1,"")</f>
        <v>159</v>
      </c>
      <c r="I160" s="22" t="str">
        <f t="shared" si="14"/>
        <v>EMP1159</v>
      </c>
      <c r="J160" t="str">
        <f t="shared" si="15"/>
        <v>EMP1159 | Sanjana Kamath</v>
      </c>
    </row>
    <row r="161" spans="8:10" x14ac:dyDescent="0.3">
      <c r="H161" s="22">
        <f>IF(OR($B$2="*",Employee_Master!I161=$B$1),MAX(H$1:H160)+1,"")</f>
        <v>160</v>
      </c>
      <c r="I161" s="22" t="str">
        <f t="shared" si="14"/>
        <v>EMP1160</v>
      </c>
      <c r="J161" t="str">
        <f t="shared" si="15"/>
        <v>EMP1160 | Bhavana Varghese</v>
      </c>
    </row>
    <row r="162" spans="8:10" x14ac:dyDescent="0.3">
      <c r="H162" s="22">
        <f>IF(OR($B$2="*",Employee_Master!I162=$B$1),MAX(H$1:H161)+1,"")</f>
        <v>161</v>
      </c>
      <c r="I162" s="22" t="str">
        <f t="shared" si="14"/>
        <v>EMP1161</v>
      </c>
      <c r="J162" t="str">
        <f t="shared" si="15"/>
        <v>EMP1161 | Tanvi Siddiqui</v>
      </c>
    </row>
    <row r="163" spans="8:10" x14ac:dyDescent="0.3">
      <c r="H163" s="22">
        <f>IF(OR($B$2="*",Employee_Master!I163=$B$1),MAX(H$1:H162)+1,"")</f>
        <v>162</v>
      </c>
      <c r="I163" s="22" t="str">
        <f t="shared" si="14"/>
        <v>EMP1162</v>
      </c>
      <c r="J163" t="str">
        <f t="shared" si="15"/>
        <v>EMP1162 | Aditi Siddiqui</v>
      </c>
    </row>
    <row r="164" spans="8:10" x14ac:dyDescent="0.3">
      <c r="H164" s="22">
        <f>IF(OR($B$2="*",Employee_Master!I164=$B$1),MAX(H$1:H163)+1,"")</f>
        <v>163</v>
      </c>
      <c r="I164" s="22" t="str">
        <f t="shared" si="14"/>
        <v>EMP1163</v>
      </c>
      <c r="J164" t="str">
        <f t="shared" si="15"/>
        <v>EMP1163 | Aditi Yadav</v>
      </c>
    </row>
    <row r="165" spans="8:10" x14ac:dyDescent="0.3">
      <c r="H165" s="22">
        <f>IF(OR($B$2="*",Employee_Master!I165=$B$1),MAX(H$1:H164)+1,"")</f>
        <v>164</v>
      </c>
      <c r="I165" s="22" t="str">
        <f t="shared" si="14"/>
        <v>EMP1164</v>
      </c>
      <c r="J165" t="str">
        <f t="shared" si="15"/>
        <v>EMP1164 | Gaurav Saxena</v>
      </c>
    </row>
    <row r="166" spans="8:10" x14ac:dyDescent="0.3">
      <c r="H166" s="22">
        <f>IF(OR($B$2="*",Employee_Master!I166=$B$1),MAX(H$1:H165)+1,"")</f>
        <v>165</v>
      </c>
      <c r="I166" s="22" t="str">
        <f t="shared" si="14"/>
        <v>EMP1165</v>
      </c>
      <c r="J166" t="str">
        <f t="shared" si="15"/>
        <v>EMP1165 | Kiran Hegde</v>
      </c>
    </row>
    <row r="167" spans="8:10" x14ac:dyDescent="0.3">
      <c r="H167" s="22">
        <f>IF(OR($B$2="*",Employee_Master!I167=$B$1),MAX(H$1:H166)+1,"")</f>
        <v>166</v>
      </c>
      <c r="I167" s="22" t="str">
        <f t="shared" si="14"/>
        <v>EMP1166</v>
      </c>
      <c r="J167" t="str">
        <f t="shared" si="15"/>
        <v>EMP1166 | Aditi Prabhu</v>
      </c>
    </row>
    <row r="168" spans="8:10" x14ac:dyDescent="0.3">
      <c r="H168" s="22">
        <f>IF(OR($B$2="*",Employee_Master!I168=$B$1),MAX(H$1:H167)+1,"")</f>
        <v>167</v>
      </c>
      <c r="I168" s="22" t="str">
        <f t="shared" si="14"/>
        <v>EMP1167</v>
      </c>
      <c r="J168" t="str">
        <f t="shared" si="15"/>
        <v>EMP1167 | Sanjay Krishnan</v>
      </c>
    </row>
    <row r="169" spans="8:10" x14ac:dyDescent="0.3">
      <c r="H169" s="22">
        <f>IF(OR($B$2="*",Employee_Master!I169=$B$1),MAX(H$1:H168)+1,"")</f>
        <v>168</v>
      </c>
      <c r="I169" s="22" t="str">
        <f t="shared" si="14"/>
        <v>EMP1168</v>
      </c>
      <c r="J169" t="str">
        <f t="shared" si="15"/>
        <v>EMP1168 | Priya Fernandes</v>
      </c>
    </row>
    <row r="170" spans="8:10" x14ac:dyDescent="0.3">
      <c r="H170" s="22">
        <f>IF(OR($B$2="*",Employee_Master!I170=$B$1),MAX(H$1:H169)+1,"")</f>
        <v>169</v>
      </c>
      <c r="I170" s="22" t="str">
        <f t="shared" si="14"/>
        <v>EMP1169</v>
      </c>
      <c r="J170" t="str">
        <f t="shared" si="15"/>
        <v>EMP1169 | Aniket Siddiqui</v>
      </c>
    </row>
    <row r="171" spans="8:10" x14ac:dyDescent="0.3">
      <c r="H171" s="22">
        <f>IF(OR($B$2="*",Employee_Master!I171=$B$1),MAX(H$1:H170)+1,"")</f>
        <v>170</v>
      </c>
      <c r="I171" s="22" t="str">
        <f t="shared" si="14"/>
        <v>EMP1170</v>
      </c>
      <c r="J171" t="str">
        <f t="shared" si="15"/>
        <v>EMP1170 | Deepak Saxena</v>
      </c>
    </row>
    <row r="172" spans="8:10" x14ac:dyDescent="0.3">
      <c r="H172" s="22">
        <f>IF(OR($B$2="*",Employee_Master!I172=$B$1),MAX(H$1:H171)+1,"")</f>
        <v>171</v>
      </c>
      <c r="I172" s="22" t="str">
        <f t="shared" si="14"/>
        <v>EMP1171</v>
      </c>
      <c r="J172" t="str">
        <f t="shared" si="15"/>
        <v>EMP1171 | Kritika Gowda</v>
      </c>
    </row>
    <row r="173" spans="8:10" x14ac:dyDescent="0.3">
      <c r="H173" s="22">
        <f>IF(OR($B$2="*",Employee_Master!I173=$B$1),MAX(H$1:H172)+1,"")</f>
        <v>172</v>
      </c>
      <c r="I173" s="22" t="str">
        <f t="shared" si="14"/>
        <v>EMP1172</v>
      </c>
      <c r="J173" t="str">
        <f t="shared" si="15"/>
        <v>EMP1172 | Sai Desai</v>
      </c>
    </row>
    <row r="174" spans="8:10" x14ac:dyDescent="0.3">
      <c r="H174" s="22">
        <f>IF(OR($B$2="*",Employee_Master!I174=$B$1),MAX(H$1:H173)+1,"")</f>
        <v>173</v>
      </c>
      <c r="I174" s="22" t="str">
        <f t="shared" si="14"/>
        <v>EMP1173</v>
      </c>
      <c r="J174" t="str">
        <f t="shared" si="15"/>
        <v>EMP1173 | Rashmi Kulkarni</v>
      </c>
    </row>
    <row r="175" spans="8:10" x14ac:dyDescent="0.3">
      <c r="H175" s="22">
        <f>IF(OR($B$2="*",Employee_Master!I175=$B$1),MAX(H$1:H174)+1,"")</f>
        <v>174</v>
      </c>
      <c r="I175" s="22" t="str">
        <f t="shared" si="14"/>
        <v>EMP1174</v>
      </c>
      <c r="J175" t="str">
        <f t="shared" si="15"/>
        <v>EMP1174 | Nikhil Desai</v>
      </c>
    </row>
    <row r="176" spans="8:10" x14ac:dyDescent="0.3">
      <c r="H176" s="22">
        <f>IF(OR($B$2="*",Employee_Master!I176=$B$1),MAX(H$1:H175)+1,"")</f>
        <v>175</v>
      </c>
      <c r="I176" s="22" t="str">
        <f t="shared" si="14"/>
        <v>EMP1175</v>
      </c>
      <c r="J176" t="str">
        <f t="shared" si="15"/>
        <v>EMP1175 | Ananya Sharma</v>
      </c>
    </row>
    <row r="177" spans="8:10" x14ac:dyDescent="0.3">
      <c r="H177" s="22">
        <f>IF(OR($B$2="*",Employee_Master!I177=$B$1),MAX(H$1:H176)+1,"")</f>
        <v>176</v>
      </c>
      <c r="I177" s="22" t="str">
        <f t="shared" si="14"/>
        <v>EMP1176</v>
      </c>
      <c r="J177" t="str">
        <f t="shared" si="15"/>
        <v>EMP1176 | Manish Khanna</v>
      </c>
    </row>
    <row r="178" spans="8:10" x14ac:dyDescent="0.3">
      <c r="H178" s="22">
        <f>IF(OR($B$2="*",Employee_Master!I178=$B$1),MAX(H$1:H177)+1,"")</f>
        <v>177</v>
      </c>
      <c r="I178" s="22" t="str">
        <f t="shared" si="14"/>
        <v>EMP1177</v>
      </c>
      <c r="J178" t="str">
        <f t="shared" si="15"/>
        <v>EMP1177 | Vinay Malhotra</v>
      </c>
    </row>
    <row r="179" spans="8:10" x14ac:dyDescent="0.3">
      <c r="H179" s="22">
        <f>IF(OR($B$2="*",Employee_Master!I179=$B$1),MAX(H$1:H178)+1,"")</f>
        <v>178</v>
      </c>
      <c r="I179" s="22" t="str">
        <f t="shared" si="14"/>
        <v>EMP1178</v>
      </c>
      <c r="J179" t="str">
        <f t="shared" si="15"/>
        <v>EMP1178 | Sai Kumar</v>
      </c>
    </row>
    <row r="180" spans="8:10" x14ac:dyDescent="0.3">
      <c r="H180" s="22">
        <f>IF(OR($B$2="*",Employee_Master!I180=$B$1),MAX(H$1:H179)+1,"")</f>
        <v>179</v>
      </c>
      <c r="I180" s="22" t="str">
        <f t="shared" si="14"/>
        <v>EMP1179</v>
      </c>
      <c r="J180" t="str">
        <f t="shared" si="15"/>
        <v>EMP1179 | Zara Chatterjee</v>
      </c>
    </row>
    <row r="181" spans="8:10" x14ac:dyDescent="0.3">
      <c r="H181" s="22">
        <f>IF(OR($B$2="*",Employee_Master!I181=$B$1),MAX(H$1:H180)+1,"")</f>
        <v>180</v>
      </c>
      <c r="I181" s="22" t="str">
        <f t="shared" si="14"/>
        <v>EMP1180</v>
      </c>
      <c r="J181" t="str">
        <f t="shared" si="15"/>
        <v>EMP1180 | Venkat Subramanian</v>
      </c>
    </row>
    <row r="182" spans="8:10" x14ac:dyDescent="0.3">
      <c r="H182" s="22">
        <f>IF(OR($B$2="*",Employee_Master!I182=$B$1),MAX(H$1:H181)+1,"")</f>
        <v>181</v>
      </c>
      <c r="I182" s="22" t="str">
        <f t="shared" si="14"/>
        <v>EMP1181</v>
      </c>
      <c r="J182" t="str">
        <f t="shared" si="15"/>
        <v>EMP1181 | Radhika Saxena</v>
      </c>
    </row>
    <row r="183" spans="8:10" x14ac:dyDescent="0.3">
      <c r="H183" s="22">
        <f>IF(OR($B$2="*",Employee_Master!I183=$B$1),MAX(H$1:H182)+1,"")</f>
        <v>182</v>
      </c>
      <c r="I183" s="22" t="str">
        <f t="shared" si="14"/>
        <v>EMP1182</v>
      </c>
      <c r="J183" t="str">
        <f t="shared" si="15"/>
        <v>EMP1182 | Revathi Pandey</v>
      </c>
    </row>
    <row r="184" spans="8:10" x14ac:dyDescent="0.3">
      <c r="H184" s="22">
        <f>IF(OR($B$2="*",Employee_Master!I184=$B$1),MAX(H$1:H183)+1,"")</f>
        <v>183</v>
      </c>
      <c r="I184" s="22" t="str">
        <f t="shared" si="14"/>
        <v>EMP1183</v>
      </c>
      <c r="J184" t="str">
        <f t="shared" si="15"/>
        <v>EMP1183 | Tarun Pandey</v>
      </c>
    </row>
    <row r="185" spans="8:10" x14ac:dyDescent="0.3">
      <c r="H185" s="22">
        <f>IF(OR($B$2="*",Employee_Master!I185=$B$1),MAX(H$1:H184)+1,"")</f>
        <v>184</v>
      </c>
      <c r="I185" s="22" t="str">
        <f t="shared" si="14"/>
        <v>EMP1184</v>
      </c>
      <c r="J185" t="str">
        <f t="shared" si="15"/>
        <v>EMP1184 | Amit Shah</v>
      </c>
    </row>
    <row r="186" spans="8:10" x14ac:dyDescent="0.3">
      <c r="H186" s="22">
        <f>IF(OR($B$2="*",Employee_Master!I186=$B$1),MAX(H$1:H185)+1,"")</f>
        <v>185</v>
      </c>
      <c r="I186" s="22" t="str">
        <f t="shared" si="14"/>
        <v>EMP1185</v>
      </c>
      <c r="J186" t="str">
        <f t="shared" si="15"/>
        <v>EMP1185 | Arjun Nair</v>
      </c>
    </row>
    <row r="187" spans="8:10" x14ac:dyDescent="0.3">
      <c r="H187" s="22">
        <f>IF(OR($B$2="*",Employee_Master!I187=$B$1),MAX(H$1:H186)+1,"")</f>
        <v>186</v>
      </c>
      <c r="I187" s="22" t="str">
        <f t="shared" si="14"/>
        <v>EMP1186</v>
      </c>
      <c r="J187" t="str">
        <f t="shared" si="15"/>
        <v>EMP1186 | Yash Das</v>
      </c>
    </row>
    <row r="188" spans="8:10" x14ac:dyDescent="0.3">
      <c r="H188" s="22">
        <f>IF(OR($B$2="*",Employee_Master!I188=$B$1),MAX(H$1:H187)+1,"")</f>
        <v>187</v>
      </c>
      <c r="I188" s="22" t="str">
        <f t="shared" si="14"/>
        <v>EMP1187</v>
      </c>
      <c r="J188" t="str">
        <f t="shared" si="15"/>
        <v>EMP1187 | Manish Siddiqui</v>
      </c>
    </row>
    <row r="189" spans="8:10" x14ac:dyDescent="0.3">
      <c r="H189" s="22">
        <f>IF(OR($B$2="*",Employee_Master!I189=$B$1),MAX(H$1:H188)+1,"")</f>
        <v>188</v>
      </c>
      <c r="I189" s="22" t="str">
        <f t="shared" si="14"/>
        <v>EMP1188</v>
      </c>
      <c r="J189" t="str">
        <f t="shared" si="15"/>
        <v>EMP1188 | Gaurav Ansari</v>
      </c>
    </row>
    <row r="190" spans="8:10" x14ac:dyDescent="0.3">
      <c r="H190" s="22">
        <f>IF(OR($B$2="*",Employee_Master!I190=$B$1),MAX(H$1:H189)+1,"")</f>
        <v>189</v>
      </c>
      <c r="I190" s="22" t="str">
        <f t="shared" si="14"/>
        <v>EMP1189</v>
      </c>
      <c r="J190" t="str">
        <f t="shared" si="15"/>
        <v>EMP1189 | Ramya Menon</v>
      </c>
    </row>
    <row r="191" spans="8:10" x14ac:dyDescent="0.3">
      <c r="H191" s="22">
        <f>IF(OR($B$2="*",Employee_Master!I191=$B$1),MAX(H$1:H190)+1,"")</f>
        <v>190</v>
      </c>
      <c r="I191" s="22" t="str">
        <f t="shared" si="14"/>
        <v>EMP1190</v>
      </c>
      <c r="J191" t="str">
        <f t="shared" si="15"/>
        <v>EMP1190 | Imran Kapoor</v>
      </c>
    </row>
    <row r="192" spans="8:10" x14ac:dyDescent="0.3">
      <c r="H192" s="22">
        <f>IF(OR($B$2="*",Employee_Master!I192=$B$1),MAX(H$1:H191)+1,"")</f>
        <v>191</v>
      </c>
      <c r="I192" s="22" t="str">
        <f t="shared" si="14"/>
        <v>EMP1191</v>
      </c>
      <c r="J192" t="str">
        <f t="shared" si="15"/>
        <v>EMP1191 | Pooja Choudhary</v>
      </c>
    </row>
    <row r="193" spans="8:10" x14ac:dyDescent="0.3">
      <c r="H193" s="22">
        <f>IF(OR($B$2="*",Employee_Master!I193=$B$1),MAX(H$1:H192)+1,"")</f>
        <v>192</v>
      </c>
      <c r="I193" s="22" t="str">
        <f t="shared" si="14"/>
        <v>EMP1192</v>
      </c>
      <c r="J193" t="str">
        <f t="shared" si="15"/>
        <v>EMP1192 | Ayesha Mishra</v>
      </c>
    </row>
    <row r="194" spans="8:10" x14ac:dyDescent="0.3">
      <c r="H194" s="22">
        <f>IF(OR($B$2="*",Employee_Master!I194=$B$1),MAX(H$1:H193)+1,"")</f>
        <v>193</v>
      </c>
      <c r="I194" s="22" t="str">
        <f t="shared" ref="I194:I257" si="16">IFERROR(INDEX(M_ID,MATCH(ROW()-1,$H$2:$H$501,0)),"")</f>
        <v>EMP1193</v>
      </c>
      <c r="J194" t="str">
        <f t="shared" ref="J194:J257" si="17">IF(I194="","",I194&amp;" | "&amp;INDEX(M_Name,MATCH(I194,M_ID,0)))</f>
        <v>EMP1193 | Rajesh Kapoor</v>
      </c>
    </row>
    <row r="195" spans="8:10" x14ac:dyDescent="0.3">
      <c r="H195" s="22">
        <f>IF(OR($B$2="*",Employee_Master!I195=$B$1),MAX(H$1:H194)+1,"")</f>
        <v>194</v>
      </c>
      <c r="I195" s="22" t="str">
        <f t="shared" si="16"/>
        <v>EMP1194</v>
      </c>
      <c r="J195" t="str">
        <f t="shared" si="17"/>
        <v>EMP1194 | Ashish Varghese</v>
      </c>
    </row>
    <row r="196" spans="8:10" x14ac:dyDescent="0.3">
      <c r="H196" s="22">
        <f>IF(OR($B$2="*",Employee_Master!I196=$B$1),MAX(H$1:H195)+1,"")</f>
        <v>195</v>
      </c>
      <c r="I196" s="22" t="str">
        <f t="shared" si="16"/>
        <v>EMP1195</v>
      </c>
      <c r="J196" t="str">
        <f t="shared" si="17"/>
        <v>EMP1195 | Pallavi Das</v>
      </c>
    </row>
    <row r="197" spans="8:10" x14ac:dyDescent="0.3">
      <c r="H197" s="22">
        <f>IF(OR($B$2="*",Employee_Master!I197=$B$1),MAX(H$1:H196)+1,"")</f>
        <v>196</v>
      </c>
      <c r="I197" s="22" t="str">
        <f t="shared" si="16"/>
        <v>EMP1196</v>
      </c>
      <c r="J197" t="str">
        <f t="shared" si="17"/>
        <v>EMP1196 | Vikas Bansal</v>
      </c>
    </row>
    <row r="198" spans="8:10" x14ac:dyDescent="0.3">
      <c r="H198" s="22">
        <f>IF(OR($B$2="*",Employee_Master!I198=$B$1),MAX(H$1:H197)+1,"")</f>
        <v>197</v>
      </c>
      <c r="I198" s="22" t="str">
        <f t="shared" si="16"/>
        <v>EMP1197</v>
      </c>
      <c r="J198" t="str">
        <f t="shared" si="17"/>
        <v>EMP1197 | Mansi Naidu</v>
      </c>
    </row>
    <row r="199" spans="8:10" x14ac:dyDescent="0.3">
      <c r="H199" s="22">
        <f>IF(OR($B$2="*",Employee_Master!I199=$B$1),MAX(H$1:H198)+1,"")</f>
        <v>198</v>
      </c>
      <c r="I199" s="22" t="str">
        <f t="shared" si="16"/>
        <v>EMP1198</v>
      </c>
      <c r="J199" t="str">
        <f t="shared" si="17"/>
        <v>EMP1198 | Siddharth Dsouza</v>
      </c>
    </row>
    <row r="200" spans="8:10" x14ac:dyDescent="0.3">
      <c r="H200" s="22">
        <f>IF(OR($B$2="*",Employee_Master!I200=$B$1),MAX(H$1:H199)+1,"")</f>
        <v>199</v>
      </c>
      <c r="I200" s="22" t="str">
        <f t="shared" si="16"/>
        <v>EMP1199</v>
      </c>
      <c r="J200" t="str">
        <f t="shared" si="17"/>
        <v>EMP1199 | Anjali Bansal</v>
      </c>
    </row>
    <row r="201" spans="8:10" x14ac:dyDescent="0.3">
      <c r="H201" s="22">
        <f>IF(OR($B$2="*",Employee_Master!I201=$B$1),MAX(H$1:H200)+1,"")</f>
        <v>200</v>
      </c>
      <c r="I201" s="22" t="str">
        <f t="shared" si="16"/>
        <v>EMP1200</v>
      </c>
      <c r="J201" t="str">
        <f t="shared" si="17"/>
        <v>EMP1200 | Arun Jain</v>
      </c>
    </row>
    <row r="202" spans="8:10" x14ac:dyDescent="0.3">
      <c r="H202" s="22">
        <f>IF(OR($B$2="*",Employee_Master!I202=$B$1),MAX(H$1:H201)+1,"")</f>
        <v>201</v>
      </c>
      <c r="I202" s="22" t="str">
        <f t="shared" si="16"/>
        <v>EMP1201</v>
      </c>
      <c r="J202" t="str">
        <f t="shared" si="17"/>
        <v>EMP1201 | Anjali Shah</v>
      </c>
    </row>
    <row r="203" spans="8:10" x14ac:dyDescent="0.3">
      <c r="H203" s="22">
        <f>IF(OR($B$2="*",Employee_Master!I203=$B$1),MAX(H$1:H202)+1,"")</f>
        <v>202</v>
      </c>
      <c r="I203" s="22" t="str">
        <f t="shared" si="16"/>
        <v>EMP1202</v>
      </c>
      <c r="J203" t="str">
        <f t="shared" si="17"/>
        <v>EMP1202 | Ankit Mukherjee</v>
      </c>
    </row>
    <row r="204" spans="8:10" x14ac:dyDescent="0.3">
      <c r="H204" s="22">
        <f>IF(OR($B$2="*",Employee_Master!I204=$B$1),MAX(H$1:H203)+1,"")</f>
        <v>203</v>
      </c>
      <c r="I204" s="22" t="str">
        <f t="shared" si="16"/>
        <v>EMP1203</v>
      </c>
      <c r="J204" t="str">
        <f t="shared" si="17"/>
        <v>EMP1203 | Anjali Rao</v>
      </c>
    </row>
    <row r="205" spans="8:10" x14ac:dyDescent="0.3">
      <c r="H205" s="22">
        <f>IF(OR($B$2="*",Employee_Master!I205=$B$1),MAX(H$1:H204)+1,"")</f>
        <v>204</v>
      </c>
      <c r="I205" s="22" t="str">
        <f t="shared" si="16"/>
        <v>EMP1204</v>
      </c>
      <c r="J205" t="str">
        <f t="shared" si="17"/>
        <v>EMP1204 | Anand Shetty</v>
      </c>
    </row>
    <row r="206" spans="8:10" x14ac:dyDescent="0.3">
      <c r="H206" s="22">
        <f>IF(OR($B$2="*",Employee_Master!I206=$B$1),MAX(H$1:H205)+1,"")</f>
        <v>205</v>
      </c>
      <c r="I206" s="22" t="str">
        <f t="shared" si="16"/>
        <v>EMP1205</v>
      </c>
      <c r="J206" t="str">
        <f t="shared" si="17"/>
        <v>EMP1205 | Srinivas Shah</v>
      </c>
    </row>
    <row r="207" spans="8:10" x14ac:dyDescent="0.3">
      <c r="H207" s="22">
        <f>IF(OR($B$2="*",Employee_Master!I207=$B$1),MAX(H$1:H206)+1,"")</f>
        <v>206</v>
      </c>
      <c r="I207" s="22" t="str">
        <f t="shared" si="16"/>
        <v>EMP1206</v>
      </c>
      <c r="J207" t="str">
        <f t="shared" si="17"/>
        <v>EMP1206 | Meera Chatterjee</v>
      </c>
    </row>
    <row r="208" spans="8:10" x14ac:dyDescent="0.3">
      <c r="H208" s="22">
        <f>IF(OR($B$2="*",Employee_Master!I208=$B$1),MAX(H$1:H207)+1,"")</f>
        <v>207</v>
      </c>
      <c r="I208" s="22" t="str">
        <f t="shared" si="16"/>
        <v>EMP1207</v>
      </c>
      <c r="J208" t="str">
        <f t="shared" si="17"/>
        <v>EMP1207 | Tejaswini Nair</v>
      </c>
    </row>
    <row r="209" spans="8:10" x14ac:dyDescent="0.3">
      <c r="H209" s="22">
        <f>IF(OR($B$2="*",Employee_Master!I209=$B$1),MAX(H$1:H208)+1,"")</f>
        <v>208</v>
      </c>
      <c r="I209" s="22" t="str">
        <f t="shared" si="16"/>
        <v>EMP1208</v>
      </c>
      <c r="J209" t="str">
        <f t="shared" si="17"/>
        <v>EMP1208 | Ashish Fernandes</v>
      </c>
    </row>
    <row r="210" spans="8:10" x14ac:dyDescent="0.3">
      <c r="H210" s="22">
        <f>IF(OR($B$2="*",Employee_Master!I210=$B$1),MAX(H$1:H209)+1,"")</f>
        <v>209</v>
      </c>
      <c r="I210" s="22" t="str">
        <f t="shared" si="16"/>
        <v>EMP1209</v>
      </c>
      <c r="J210" t="str">
        <f t="shared" si="17"/>
        <v>EMP1209 | Ritu Hegde</v>
      </c>
    </row>
    <row r="211" spans="8:10" x14ac:dyDescent="0.3">
      <c r="H211" s="22">
        <f>IF(OR($B$2="*",Employee_Master!I211=$B$1),MAX(H$1:H210)+1,"")</f>
        <v>210</v>
      </c>
      <c r="I211" s="22" t="str">
        <f t="shared" si="16"/>
        <v>EMP1210</v>
      </c>
      <c r="J211" t="str">
        <f t="shared" si="17"/>
        <v>EMP1210 | Srinivas Kumar</v>
      </c>
    </row>
    <row r="212" spans="8:10" x14ac:dyDescent="0.3">
      <c r="H212" s="22">
        <f>IF(OR($B$2="*",Employee_Master!I212=$B$1),MAX(H$1:H211)+1,"")</f>
        <v>211</v>
      </c>
      <c r="I212" s="22" t="str">
        <f t="shared" si="16"/>
        <v>EMP1211</v>
      </c>
      <c r="J212" t="str">
        <f t="shared" si="17"/>
        <v>EMP1211 | Tarun Das</v>
      </c>
    </row>
    <row r="213" spans="8:10" x14ac:dyDescent="0.3">
      <c r="H213" s="22">
        <f>IF(OR($B$2="*",Employee_Master!I213=$B$1),MAX(H$1:H212)+1,"")</f>
        <v>212</v>
      </c>
      <c r="I213" s="22" t="str">
        <f t="shared" si="16"/>
        <v>EMP1212</v>
      </c>
      <c r="J213" t="str">
        <f t="shared" si="17"/>
        <v>EMP1212 | Arun Kamath</v>
      </c>
    </row>
    <row r="214" spans="8:10" x14ac:dyDescent="0.3">
      <c r="H214" s="22">
        <f>IF(OR($B$2="*",Employee_Master!I214=$B$1),MAX(H$1:H213)+1,"")</f>
        <v>213</v>
      </c>
      <c r="I214" s="22" t="str">
        <f t="shared" si="16"/>
        <v>EMP1213</v>
      </c>
      <c r="J214" t="str">
        <f t="shared" si="17"/>
        <v>EMP1213 | Vikram Verma</v>
      </c>
    </row>
    <row r="215" spans="8:10" x14ac:dyDescent="0.3">
      <c r="H215" s="22">
        <f>IF(OR($B$2="*",Employee_Master!I215=$B$1),MAX(H$1:H214)+1,"")</f>
        <v>214</v>
      </c>
      <c r="I215" s="22" t="str">
        <f t="shared" si="16"/>
        <v>EMP1214</v>
      </c>
      <c r="J215" t="str">
        <f t="shared" si="17"/>
        <v>EMP1214 | Kunal Subramanian</v>
      </c>
    </row>
    <row r="216" spans="8:10" x14ac:dyDescent="0.3">
      <c r="H216" s="22">
        <f>IF(OR($B$2="*",Employee_Master!I216=$B$1),MAX(H$1:H215)+1,"")</f>
        <v>215</v>
      </c>
      <c r="I216" s="22" t="str">
        <f t="shared" si="16"/>
        <v>EMP1215</v>
      </c>
      <c r="J216" t="str">
        <f t="shared" si="17"/>
        <v>EMP1215 | Krishna Siddiqui</v>
      </c>
    </row>
    <row r="217" spans="8:10" x14ac:dyDescent="0.3">
      <c r="H217" s="22">
        <f>IF(OR($B$2="*",Employee_Master!I217=$B$1),MAX(H$1:H216)+1,"")</f>
        <v>216</v>
      </c>
      <c r="I217" s="22" t="str">
        <f t="shared" si="16"/>
        <v>EMP1216</v>
      </c>
      <c r="J217" t="str">
        <f t="shared" si="17"/>
        <v>EMP1216 | Bhavana Siddiqui</v>
      </c>
    </row>
    <row r="218" spans="8:10" x14ac:dyDescent="0.3">
      <c r="H218" s="22">
        <f>IF(OR($B$2="*",Employee_Master!I218=$B$1),MAX(H$1:H217)+1,"")</f>
        <v>217</v>
      </c>
      <c r="I218" s="22" t="str">
        <f t="shared" si="16"/>
        <v>EMP1217</v>
      </c>
      <c r="J218" t="str">
        <f t="shared" si="17"/>
        <v>EMP1217 | Krishna Pillai</v>
      </c>
    </row>
    <row r="219" spans="8:10" x14ac:dyDescent="0.3">
      <c r="H219" s="22">
        <f>IF(OR($B$2="*",Employee_Master!I219=$B$1),MAX(H$1:H218)+1,"")</f>
        <v>218</v>
      </c>
      <c r="I219" s="22" t="str">
        <f t="shared" si="16"/>
        <v>EMP1218</v>
      </c>
      <c r="J219" t="str">
        <f t="shared" si="17"/>
        <v>EMP1218 | Nisha Subramanian</v>
      </c>
    </row>
    <row r="220" spans="8:10" x14ac:dyDescent="0.3">
      <c r="H220" s="22">
        <f>IF(OR($B$2="*",Employee_Master!I220=$B$1),MAX(H$1:H219)+1,"")</f>
        <v>219</v>
      </c>
      <c r="I220" s="22" t="str">
        <f t="shared" si="16"/>
        <v>EMP1219</v>
      </c>
      <c r="J220" t="str">
        <f t="shared" si="17"/>
        <v>EMP1219 | Neha Patel</v>
      </c>
    </row>
    <row r="221" spans="8:10" x14ac:dyDescent="0.3">
      <c r="H221" s="22">
        <f>IF(OR($B$2="*",Employee_Master!I221=$B$1),MAX(H$1:H220)+1,"")</f>
        <v>220</v>
      </c>
      <c r="I221" s="22" t="str">
        <f t="shared" si="16"/>
        <v>EMP1220</v>
      </c>
      <c r="J221" t="str">
        <f t="shared" si="17"/>
        <v>EMP1220 | Madhuri Choudhary</v>
      </c>
    </row>
    <row r="222" spans="8:10" x14ac:dyDescent="0.3">
      <c r="H222" s="22">
        <f>IF(OR($B$2="*",Employee_Master!I222=$B$1),MAX(H$1:H221)+1,"")</f>
        <v>221</v>
      </c>
      <c r="I222" s="22" t="str">
        <f t="shared" si="16"/>
        <v>EMP1221</v>
      </c>
      <c r="J222" t="str">
        <f t="shared" si="17"/>
        <v>EMP1221 | Sai Khanna</v>
      </c>
    </row>
    <row r="223" spans="8:10" x14ac:dyDescent="0.3">
      <c r="H223" s="22">
        <f>IF(OR($B$2="*",Employee_Master!I223=$B$1),MAX(H$1:H222)+1,"")</f>
        <v>222</v>
      </c>
      <c r="I223" s="22" t="str">
        <f t="shared" si="16"/>
        <v>EMP1222</v>
      </c>
      <c r="J223" t="str">
        <f t="shared" si="17"/>
        <v>EMP1222 | Karan Varghese</v>
      </c>
    </row>
    <row r="224" spans="8:10" x14ac:dyDescent="0.3">
      <c r="H224" s="22">
        <f>IF(OR($B$2="*",Employee_Master!I224=$B$1),MAX(H$1:H223)+1,"")</f>
        <v>223</v>
      </c>
      <c r="I224" s="22" t="str">
        <f t="shared" si="16"/>
        <v>EMP1223</v>
      </c>
      <c r="J224" t="str">
        <f t="shared" si="17"/>
        <v>EMP1223 | Meera Kumar</v>
      </c>
    </row>
    <row r="225" spans="8:10" x14ac:dyDescent="0.3">
      <c r="H225" s="22">
        <f>IF(OR($B$2="*",Employee_Master!I225=$B$1),MAX(H$1:H224)+1,"")</f>
        <v>224</v>
      </c>
      <c r="I225" s="22" t="str">
        <f t="shared" si="16"/>
        <v>EMP1224</v>
      </c>
      <c r="J225" t="str">
        <f t="shared" si="17"/>
        <v>EMP1224 | Aditya Bose</v>
      </c>
    </row>
    <row r="226" spans="8:10" x14ac:dyDescent="0.3">
      <c r="H226" s="22">
        <f>IF(OR($B$2="*",Employee_Master!I226=$B$1),MAX(H$1:H225)+1,"")</f>
        <v>225</v>
      </c>
      <c r="I226" s="22" t="str">
        <f t="shared" si="16"/>
        <v>EMP1225</v>
      </c>
      <c r="J226" t="str">
        <f t="shared" si="17"/>
        <v>EMP1225 | Nandini Fernandes</v>
      </c>
    </row>
    <row r="227" spans="8:10" x14ac:dyDescent="0.3">
      <c r="H227" s="22">
        <f>IF(OR($B$2="*",Employee_Master!I227=$B$1),MAX(H$1:H226)+1,"")</f>
        <v>226</v>
      </c>
      <c r="I227" s="22" t="str">
        <f t="shared" si="16"/>
        <v>EMP1226</v>
      </c>
      <c r="J227" t="str">
        <f t="shared" si="17"/>
        <v>EMP1226 | Revathi Thomas</v>
      </c>
    </row>
    <row r="228" spans="8:10" x14ac:dyDescent="0.3">
      <c r="H228" s="22">
        <f>IF(OR($B$2="*",Employee_Master!I228=$B$1),MAX(H$1:H227)+1,"")</f>
        <v>227</v>
      </c>
      <c r="I228" s="22" t="str">
        <f t="shared" si="16"/>
        <v>EMP1227</v>
      </c>
      <c r="J228" t="str">
        <f t="shared" si="17"/>
        <v>EMP1227 | Akash Bose</v>
      </c>
    </row>
    <row r="229" spans="8:10" x14ac:dyDescent="0.3">
      <c r="H229" s="22">
        <f>IF(OR($B$2="*",Employee_Master!I229=$B$1),MAX(H$1:H228)+1,"")</f>
        <v>228</v>
      </c>
      <c r="I229" s="22" t="str">
        <f t="shared" si="16"/>
        <v>EMP1228</v>
      </c>
      <c r="J229" t="str">
        <f t="shared" si="17"/>
        <v>EMP1228 | Venkat Menon</v>
      </c>
    </row>
    <row r="230" spans="8:10" x14ac:dyDescent="0.3">
      <c r="H230" s="22">
        <f>IF(OR($B$2="*",Employee_Master!I230=$B$1),MAX(H$1:H229)+1,"")</f>
        <v>229</v>
      </c>
      <c r="I230" s="22" t="str">
        <f t="shared" si="16"/>
        <v>EMP1229</v>
      </c>
      <c r="J230" t="str">
        <f t="shared" si="17"/>
        <v>EMP1229 | Vikram Shah</v>
      </c>
    </row>
    <row r="231" spans="8:10" x14ac:dyDescent="0.3">
      <c r="H231" s="22">
        <f>IF(OR($B$2="*",Employee_Master!I231=$B$1),MAX(H$1:H230)+1,"")</f>
        <v>230</v>
      </c>
      <c r="I231" s="22" t="str">
        <f t="shared" si="16"/>
        <v>EMP1230</v>
      </c>
      <c r="J231" t="str">
        <f t="shared" si="17"/>
        <v>EMP1230 | Sneha Chatterjee</v>
      </c>
    </row>
    <row r="232" spans="8:10" x14ac:dyDescent="0.3">
      <c r="H232" s="22">
        <f>IF(OR($B$2="*",Employee_Master!I232=$B$1),MAX(H$1:H231)+1,"")</f>
        <v>231</v>
      </c>
      <c r="I232" s="22" t="str">
        <f t="shared" si="16"/>
        <v>EMP1231</v>
      </c>
      <c r="J232" t="str">
        <f t="shared" si="17"/>
        <v>EMP1231 | Lakshmi Raghavan</v>
      </c>
    </row>
    <row r="233" spans="8:10" x14ac:dyDescent="0.3">
      <c r="H233" s="22">
        <f>IF(OR($B$2="*",Employee_Master!I233=$B$1),MAX(H$1:H232)+1,"")</f>
        <v>232</v>
      </c>
      <c r="I233" s="22" t="str">
        <f t="shared" si="16"/>
        <v>EMP1232</v>
      </c>
      <c r="J233" t="str">
        <f t="shared" si="17"/>
        <v>EMP1232 | Nisha Reddy</v>
      </c>
    </row>
    <row r="234" spans="8:10" x14ac:dyDescent="0.3">
      <c r="H234" s="22">
        <f>IF(OR($B$2="*",Employee_Master!I234=$B$1),MAX(H$1:H233)+1,"")</f>
        <v>233</v>
      </c>
      <c r="I234" s="22" t="str">
        <f t="shared" si="16"/>
        <v>EMP1233</v>
      </c>
      <c r="J234" t="str">
        <f t="shared" si="17"/>
        <v>EMP1233 | Anand Yadav</v>
      </c>
    </row>
    <row r="235" spans="8:10" x14ac:dyDescent="0.3">
      <c r="H235" s="22">
        <f>IF(OR($B$2="*",Employee_Master!I235=$B$1),MAX(H$1:H234)+1,"")</f>
        <v>234</v>
      </c>
      <c r="I235" s="22" t="str">
        <f t="shared" si="16"/>
        <v>EMP1234</v>
      </c>
      <c r="J235" t="str">
        <f t="shared" si="17"/>
        <v>EMP1234 | Arun Gupta</v>
      </c>
    </row>
    <row r="236" spans="8:10" x14ac:dyDescent="0.3">
      <c r="H236" s="22">
        <f>IF(OR($B$2="*",Employee_Master!I236=$B$1),MAX(H$1:H235)+1,"")</f>
        <v>235</v>
      </c>
      <c r="I236" s="22" t="str">
        <f t="shared" si="16"/>
        <v>EMP1235</v>
      </c>
      <c r="J236" t="str">
        <f t="shared" si="17"/>
        <v>EMP1235 | Sanjay Chatterjee</v>
      </c>
    </row>
    <row r="237" spans="8:10" x14ac:dyDescent="0.3">
      <c r="H237" s="22">
        <f>IF(OR($B$2="*",Employee_Master!I237=$B$1),MAX(H$1:H236)+1,"")</f>
        <v>236</v>
      </c>
      <c r="I237" s="22" t="str">
        <f t="shared" si="16"/>
        <v>EMP1236</v>
      </c>
      <c r="J237" t="str">
        <f t="shared" si="17"/>
        <v>EMP1236 | Sachin Shetty</v>
      </c>
    </row>
    <row r="238" spans="8:10" x14ac:dyDescent="0.3">
      <c r="H238" s="22">
        <f>IF(OR($B$2="*",Employee_Master!I238=$B$1),MAX(H$1:H237)+1,"")</f>
        <v>237</v>
      </c>
      <c r="I238" s="22" t="str">
        <f t="shared" si="16"/>
        <v>EMP1237</v>
      </c>
      <c r="J238" t="str">
        <f t="shared" si="17"/>
        <v>EMP1237 | Sanjana Mukherjee</v>
      </c>
    </row>
    <row r="239" spans="8:10" x14ac:dyDescent="0.3">
      <c r="H239" s="22">
        <f>IF(OR($B$2="*",Employee_Master!I239=$B$1),MAX(H$1:H238)+1,"")</f>
        <v>238</v>
      </c>
      <c r="I239" s="22" t="str">
        <f t="shared" si="16"/>
        <v>EMP1238</v>
      </c>
      <c r="J239" t="str">
        <f t="shared" si="17"/>
        <v>EMP1238 | Nandini Iyer</v>
      </c>
    </row>
    <row r="240" spans="8:10" x14ac:dyDescent="0.3">
      <c r="H240" s="22">
        <f>IF(OR($B$2="*",Employee_Master!I240=$B$1),MAX(H$1:H239)+1,"")</f>
        <v>239</v>
      </c>
      <c r="I240" s="22" t="str">
        <f t="shared" si="16"/>
        <v>EMP1239</v>
      </c>
      <c r="J240" t="str">
        <f t="shared" si="17"/>
        <v>EMP1239 | Sakshi Mukherjee</v>
      </c>
    </row>
    <row r="241" spans="8:10" x14ac:dyDescent="0.3">
      <c r="H241" s="22">
        <f>IF(OR($B$2="*",Employee_Master!I241=$B$1),MAX(H$1:H240)+1,"")</f>
        <v>240</v>
      </c>
      <c r="I241" s="22" t="str">
        <f t="shared" si="16"/>
        <v>EMP1240</v>
      </c>
      <c r="J241" t="str">
        <f t="shared" si="17"/>
        <v>EMP1240 | Ramya Khan</v>
      </c>
    </row>
    <row r="242" spans="8:10" x14ac:dyDescent="0.3">
      <c r="H242" s="22">
        <f>IF(OR($B$2="*",Employee_Master!I242=$B$1),MAX(H$1:H241)+1,"")</f>
        <v>241</v>
      </c>
      <c r="I242" s="22" t="str">
        <f t="shared" si="16"/>
        <v>EMP1241</v>
      </c>
      <c r="J242" t="str">
        <f t="shared" si="17"/>
        <v>EMP1241 | Imran Joshi</v>
      </c>
    </row>
    <row r="243" spans="8:10" x14ac:dyDescent="0.3">
      <c r="H243" s="22">
        <f>IF(OR($B$2="*",Employee_Master!I243=$B$1),MAX(H$1:H242)+1,"")</f>
        <v>242</v>
      </c>
      <c r="I243" s="22" t="str">
        <f t="shared" si="16"/>
        <v>EMP1242</v>
      </c>
      <c r="J243" t="str">
        <f t="shared" si="17"/>
        <v>EMP1242 | Aarav Das</v>
      </c>
    </row>
    <row r="244" spans="8:10" x14ac:dyDescent="0.3">
      <c r="H244" s="22">
        <f>IF(OR($B$2="*",Employee_Master!I244=$B$1),MAX(H$1:H243)+1,"")</f>
        <v>243</v>
      </c>
      <c r="I244" s="22" t="str">
        <f t="shared" si="16"/>
        <v>EMP1243</v>
      </c>
      <c r="J244" t="str">
        <f t="shared" si="17"/>
        <v>EMP1243 | Tanvi Yadav</v>
      </c>
    </row>
    <row r="245" spans="8:10" x14ac:dyDescent="0.3">
      <c r="H245" s="22">
        <f>IF(OR($B$2="*",Employee_Master!I245=$B$1),MAX(H$1:H244)+1,"")</f>
        <v>244</v>
      </c>
      <c r="I245" s="22" t="str">
        <f t="shared" si="16"/>
        <v>EMP1244</v>
      </c>
      <c r="J245" t="str">
        <f t="shared" si="17"/>
        <v>EMP1244 | Yash Joshi</v>
      </c>
    </row>
    <row r="246" spans="8:10" x14ac:dyDescent="0.3">
      <c r="H246" s="22">
        <f>IF(OR($B$2="*",Employee_Master!I246=$B$1),MAX(H$1:H245)+1,"")</f>
        <v>245</v>
      </c>
      <c r="I246" s="22" t="str">
        <f t="shared" si="16"/>
        <v>EMP1245</v>
      </c>
      <c r="J246" t="str">
        <f t="shared" si="17"/>
        <v>EMP1245 | Rajesh Raghavan</v>
      </c>
    </row>
    <row r="247" spans="8:10" x14ac:dyDescent="0.3">
      <c r="H247" s="22">
        <f>IF(OR($B$2="*",Employee_Master!I247=$B$1),MAX(H$1:H246)+1,"")</f>
        <v>246</v>
      </c>
      <c r="I247" s="22" t="str">
        <f t="shared" si="16"/>
        <v>EMP1246</v>
      </c>
      <c r="J247" t="str">
        <f t="shared" si="17"/>
        <v>EMP1246 | Pranav Gupta</v>
      </c>
    </row>
    <row r="248" spans="8:10" x14ac:dyDescent="0.3">
      <c r="H248" s="22">
        <f>IF(OR($B$2="*",Employee_Master!I248=$B$1),MAX(H$1:H247)+1,"")</f>
        <v>247</v>
      </c>
      <c r="I248" s="22" t="str">
        <f t="shared" si="16"/>
        <v>EMP1247</v>
      </c>
      <c r="J248" t="str">
        <f t="shared" si="17"/>
        <v>EMP1247 | Yamini Nair</v>
      </c>
    </row>
    <row r="249" spans="8:10" x14ac:dyDescent="0.3">
      <c r="H249" s="22">
        <f>IF(OR($B$2="*",Employee_Master!I249=$B$1),MAX(H$1:H248)+1,"")</f>
        <v>248</v>
      </c>
      <c r="I249" s="22" t="str">
        <f t="shared" si="16"/>
        <v>EMP1248</v>
      </c>
      <c r="J249" t="str">
        <f t="shared" si="17"/>
        <v>EMP1248 | Ravi Khanna</v>
      </c>
    </row>
    <row r="250" spans="8:10" x14ac:dyDescent="0.3">
      <c r="H250" s="22">
        <f>IF(OR($B$2="*",Employee_Master!I250=$B$1),MAX(H$1:H249)+1,"")</f>
        <v>249</v>
      </c>
      <c r="I250" s="22" t="str">
        <f t="shared" si="16"/>
        <v>EMP1249</v>
      </c>
      <c r="J250" t="str">
        <f t="shared" si="17"/>
        <v>EMP1249 | Vishal Kamath</v>
      </c>
    </row>
    <row r="251" spans="8:10" x14ac:dyDescent="0.3">
      <c r="H251" s="22">
        <f>IF(OR($B$2="*",Employee_Master!I251=$B$1),MAX(H$1:H250)+1,"")</f>
        <v>250</v>
      </c>
      <c r="I251" s="22" t="str">
        <f t="shared" si="16"/>
        <v>EMP1250</v>
      </c>
      <c r="J251" t="str">
        <f t="shared" si="17"/>
        <v>EMP1250 | Arjun Mishra</v>
      </c>
    </row>
    <row r="252" spans="8:10" x14ac:dyDescent="0.3">
      <c r="H252" s="22">
        <f>IF(OR($B$2="*",Employee_Master!I252=$B$1),MAX(H$1:H251)+1,"")</f>
        <v>251</v>
      </c>
      <c r="I252" s="22" t="str">
        <f t="shared" si="16"/>
        <v>EMP1251</v>
      </c>
      <c r="J252" t="str">
        <f t="shared" si="17"/>
        <v>EMP1251 | Manish Shetty</v>
      </c>
    </row>
    <row r="253" spans="8:10" x14ac:dyDescent="0.3">
      <c r="H253" s="22">
        <f>IF(OR($B$2="*",Employee_Master!I253=$B$1),MAX(H$1:H252)+1,"")</f>
        <v>252</v>
      </c>
      <c r="I253" s="22" t="str">
        <f t="shared" si="16"/>
        <v>EMP1252</v>
      </c>
      <c r="J253" t="str">
        <f t="shared" si="17"/>
        <v>EMP1252 | Anusha Verma</v>
      </c>
    </row>
    <row r="254" spans="8:10" x14ac:dyDescent="0.3">
      <c r="H254" s="22">
        <f>IF(OR($B$2="*",Employee_Master!I254=$B$1),MAX(H$1:H253)+1,"")</f>
        <v>253</v>
      </c>
      <c r="I254" s="22" t="str">
        <f t="shared" si="16"/>
        <v>EMP1253</v>
      </c>
      <c r="J254" t="str">
        <f t="shared" si="17"/>
        <v>EMP1253 | Swathi Banerjee</v>
      </c>
    </row>
    <row r="255" spans="8:10" x14ac:dyDescent="0.3">
      <c r="H255" s="22">
        <f>IF(OR($B$2="*",Employee_Master!I255=$B$1),MAX(H$1:H254)+1,"")</f>
        <v>254</v>
      </c>
      <c r="I255" s="22" t="str">
        <f t="shared" si="16"/>
        <v>EMP1254</v>
      </c>
      <c r="J255" t="str">
        <f t="shared" si="17"/>
        <v>EMP1254 | Aniket Bansal</v>
      </c>
    </row>
    <row r="256" spans="8:10" x14ac:dyDescent="0.3">
      <c r="H256" s="22">
        <f>IF(OR($B$2="*",Employee_Master!I256=$B$1),MAX(H$1:H255)+1,"")</f>
        <v>255</v>
      </c>
      <c r="I256" s="22" t="str">
        <f t="shared" si="16"/>
        <v>EMP1255</v>
      </c>
      <c r="J256" t="str">
        <f t="shared" si="17"/>
        <v>EMP1255 | Sneha Desai</v>
      </c>
    </row>
    <row r="257" spans="8:10" x14ac:dyDescent="0.3">
      <c r="H257" s="22">
        <f>IF(OR($B$2="*",Employee_Master!I257=$B$1),MAX(H$1:H256)+1,"")</f>
        <v>256</v>
      </c>
      <c r="I257" s="22" t="str">
        <f t="shared" si="16"/>
        <v>EMP1256</v>
      </c>
      <c r="J257" t="str">
        <f t="shared" si="17"/>
        <v>EMP1256 | Deepak Chatterjee</v>
      </c>
    </row>
    <row r="258" spans="8:10" x14ac:dyDescent="0.3">
      <c r="H258" s="22">
        <f>IF(OR($B$2="*",Employee_Master!I258=$B$1),MAX(H$1:H257)+1,"")</f>
        <v>257</v>
      </c>
      <c r="I258" s="22" t="str">
        <f t="shared" ref="I258:I321" si="18">IFERROR(INDEX(M_ID,MATCH(ROW()-1,$H$2:$H$501,0)),"")</f>
        <v>EMP1257</v>
      </c>
      <c r="J258" t="str">
        <f t="shared" ref="J258:J321" si="19">IF(I258="","",I258&amp;" | "&amp;INDEX(M_Name,MATCH(I258,M_ID,0)))</f>
        <v>EMP1257 | Ankit Menon</v>
      </c>
    </row>
    <row r="259" spans="8:10" x14ac:dyDescent="0.3">
      <c r="H259" s="22">
        <f>IF(OR($B$2="*",Employee_Master!I259=$B$1),MAX(H$1:H258)+1,"")</f>
        <v>258</v>
      </c>
      <c r="I259" s="22" t="str">
        <f t="shared" si="18"/>
        <v>EMP1258</v>
      </c>
      <c r="J259" t="str">
        <f t="shared" si="19"/>
        <v>EMP1258 | Abhishek Choudhary</v>
      </c>
    </row>
    <row r="260" spans="8:10" x14ac:dyDescent="0.3">
      <c r="H260" s="22">
        <f>IF(OR($B$2="*",Employee_Master!I260=$B$1),MAX(H$1:H259)+1,"")</f>
        <v>259</v>
      </c>
      <c r="I260" s="22" t="str">
        <f t="shared" si="18"/>
        <v>EMP1259</v>
      </c>
      <c r="J260" t="str">
        <f t="shared" si="19"/>
        <v>EMP1259 | Priyanka Gowda</v>
      </c>
    </row>
    <row r="261" spans="8:10" x14ac:dyDescent="0.3">
      <c r="H261" s="22">
        <f>IF(OR($B$2="*",Employee_Master!I261=$B$1),MAX(H$1:H260)+1,"")</f>
        <v>260</v>
      </c>
      <c r="I261" s="22" t="str">
        <f t="shared" si="18"/>
        <v>EMP1260</v>
      </c>
      <c r="J261" t="str">
        <f t="shared" si="19"/>
        <v>EMP1260 | Pooja Khanna</v>
      </c>
    </row>
    <row r="262" spans="8:10" x14ac:dyDescent="0.3">
      <c r="H262" s="22">
        <f>IF(OR($B$2="*",Employee_Master!I262=$B$1),MAX(H$1:H261)+1,"")</f>
        <v>261</v>
      </c>
      <c r="I262" s="22" t="str">
        <f t="shared" si="18"/>
        <v>EMP1261</v>
      </c>
      <c r="J262" t="str">
        <f t="shared" si="19"/>
        <v>EMP1261 | Priya Krishnan</v>
      </c>
    </row>
    <row r="263" spans="8:10" x14ac:dyDescent="0.3">
      <c r="H263" s="22">
        <f>IF(OR($B$2="*",Employee_Master!I263=$B$1),MAX(H$1:H262)+1,"")</f>
        <v>262</v>
      </c>
      <c r="I263" s="22" t="str">
        <f t="shared" si="18"/>
        <v>EMP1262</v>
      </c>
      <c r="J263" t="str">
        <f t="shared" si="19"/>
        <v>EMP1262 | Kritika Bose</v>
      </c>
    </row>
    <row r="264" spans="8:10" x14ac:dyDescent="0.3">
      <c r="H264" s="22">
        <f>IF(OR($B$2="*",Employee_Master!I264=$B$1),MAX(H$1:H263)+1,"")</f>
        <v>263</v>
      </c>
      <c r="I264" s="22" t="str">
        <f t="shared" si="18"/>
        <v>EMP1263</v>
      </c>
      <c r="J264" t="str">
        <f t="shared" si="19"/>
        <v>EMP1263 | Trisha Hegde</v>
      </c>
    </row>
    <row r="265" spans="8:10" x14ac:dyDescent="0.3">
      <c r="H265" s="22">
        <f>IF(OR($B$2="*",Employee_Master!I265=$B$1),MAX(H$1:H264)+1,"")</f>
        <v>264</v>
      </c>
      <c r="I265" s="22" t="str">
        <f t="shared" si="18"/>
        <v>EMP1264</v>
      </c>
      <c r="J265" t="str">
        <f t="shared" si="19"/>
        <v>EMP1264 | Manish Mukherjee</v>
      </c>
    </row>
    <row r="266" spans="8:10" x14ac:dyDescent="0.3">
      <c r="H266" s="22">
        <f>IF(OR($B$2="*",Employee_Master!I266=$B$1),MAX(H$1:H265)+1,"")</f>
        <v>265</v>
      </c>
      <c r="I266" s="22" t="str">
        <f t="shared" si="18"/>
        <v>EMP1265</v>
      </c>
      <c r="J266" t="str">
        <f t="shared" si="19"/>
        <v>EMP1265 | Kritika Pandey</v>
      </c>
    </row>
    <row r="267" spans="8:10" x14ac:dyDescent="0.3">
      <c r="H267" s="22">
        <f>IF(OR($B$2="*",Employee_Master!I267=$B$1),MAX(H$1:H266)+1,"")</f>
        <v>266</v>
      </c>
      <c r="I267" s="22" t="str">
        <f t="shared" si="18"/>
        <v>EMP1266</v>
      </c>
      <c r="J267" t="str">
        <f t="shared" si="19"/>
        <v>EMP1266 | Manish Krishnan</v>
      </c>
    </row>
    <row r="268" spans="8:10" x14ac:dyDescent="0.3">
      <c r="H268" s="22">
        <f>IF(OR($B$2="*",Employee_Master!I268=$B$1),MAX(H$1:H267)+1,"")</f>
        <v>267</v>
      </c>
      <c r="I268" s="22" t="str">
        <f t="shared" si="18"/>
        <v>EMP1267</v>
      </c>
      <c r="J268" t="str">
        <f t="shared" si="19"/>
        <v>EMP1267 | Abhishek Malhotra</v>
      </c>
    </row>
    <row r="269" spans="8:10" x14ac:dyDescent="0.3">
      <c r="H269" s="22">
        <f>IF(OR($B$2="*",Employee_Master!I269=$B$1),MAX(H$1:H268)+1,"")</f>
        <v>268</v>
      </c>
      <c r="I269" s="22" t="str">
        <f t="shared" si="18"/>
        <v>EMP1268</v>
      </c>
      <c r="J269" t="str">
        <f t="shared" si="19"/>
        <v>EMP1268 | Kunal Agarwal</v>
      </c>
    </row>
    <row r="270" spans="8:10" x14ac:dyDescent="0.3">
      <c r="H270" s="22">
        <f>IF(OR($B$2="*",Employee_Master!I270=$B$1),MAX(H$1:H269)+1,"")</f>
        <v>269</v>
      </c>
      <c r="I270" s="22" t="str">
        <f t="shared" si="18"/>
        <v>EMP1269</v>
      </c>
      <c r="J270" t="str">
        <f t="shared" si="19"/>
        <v>EMP1269 | Kunal Pillai</v>
      </c>
    </row>
    <row r="271" spans="8:10" x14ac:dyDescent="0.3">
      <c r="H271" s="22">
        <f>IF(OR($B$2="*",Employee_Master!I271=$B$1),MAX(H$1:H270)+1,"")</f>
        <v>270</v>
      </c>
      <c r="I271" s="22" t="str">
        <f t="shared" si="18"/>
        <v>EMP1270</v>
      </c>
      <c r="J271" t="str">
        <f t="shared" si="19"/>
        <v>EMP1270 | Varsha Patel</v>
      </c>
    </row>
    <row r="272" spans="8:10" x14ac:dyDescent="0.3">
      <c r="H272" s="22">
        <f>IF(OR($B$2="*",Employee_Master!I272=$B$1),MAX(H$1:H271)+1,"")</f>
        <v>271</v>
      </c>
      <c r="I272" s="22" t="str">
        <f t="shared" si="18"/>
        <v>EMP1271</v>
      </c>
      <c r="J272" t="str">
        <f t="shared" si="19"/>
        <v>EMP1271 | Ananya Desai</v>
      </c>
    </row>
    <row r="273" spans="8:10" x14ac:dyDescent="0.3">
      <c r="H273" s="22">
        <f>IF(OR($B$2="*",Employee_Master!I273=$B$1),MAX(H$1:H272)+1,"")</f>
        <v>272</v>
      </c>
      <c r="I273" s="22" t="str">
        <f t="shared" si="18"/>
        <v>EMP1272</v>
      </c>
      <c r="J273" t="str">
        <f t="shared" si="19"/>
        <v>EMP1272 | Vinay Agarwal</v>
      </c>
    </row>
    <row r="274" spans="8:10" x14ac:dyDescent="0.3">
      <c r="H274" s="22">
        <f>IF(OR($B$2="*",Employee_Master!I274=$B$1),MAX(H$1:H273)+1,"")</f>
        <v>273</v>
      </c>
      <c r="I274" s="22" t="str">
        <f t="shared" si="18"/>
        <v>EMP1273</v>
      </c>
      <c r="J274" t="str">
        <f t="shared" si="19"/>
        <v>EMP1273 | Aishwarya Fernandes</v>
      </c>
    </row>
    <row r="275" spans="8:10" x14ac:dyDescent="0.3">
      <c r="H275" s="22">
        <f>IF(OR($B$2="*",Employee_Master!I275=$B$1),MAX(H$1:H274)+1,"")</f>
        <v>274</v>
      </c>
      <c r="I275" s="22" t="str">
        <f t="shared" si="18"/>
        <v>EMP1274</v>
      </c>
      <c r="J275" t="str">
        <f t="shared" si="19"/>
        <v>EMP1274 | Joseph Gowda</v>
      </c>
    </row>
    <row r="276" spans="8:10" x14ac:dyDescent="0.3">
      <c r="H276" s="22">
        <f>IF(OR($B$2="*",Employee_Master!I276=$B$1),MAX(H$1:H275)+1,"")</f>
        <v>275</v>
      </c>
      <c r="I276" s="22" t="str">
        <f t="shared" si="18"/>
        <v>EMP1275</v>
      </c>
      <c r="J276" t="str">
        <f t="shared" si="19"/>
        <v>EMP1275 | Akash Patel</v>
      </c>
    </row>
    <row r="277" spans="8:10" x14ac:dyDescent="0.3">
      <c r="H277" s="22">
        <f>IF(OR($B$2="*",Employee_Master!I277=$B$1),MAX(H$1:H276)+1,"")</f>
        <v>276</v>
      </c>
      <c r="I277" s="22" t="str">
        <f t="shared" si="18"/>
        <v>EMP1276</v>
      </c>
      <c r="J277" t="str">
        <f t="shared" si="19"/>
        <v>EMP1276 | Pooja Kamath</v>
      </c>
    </row>
    <row r="278" spans="8:10" x14ac:dyDescent="0.3">
      <c r="H278" s="22">
        <f>IF(OR($B$2="*",Employee_Master!I278=$B$1),MAX(H$1:H277)+1,"")</f>
        <v>277</v>
      </c>
      <c r="I278" s="22" t="str">
        <f t="shared" si="18"/>
        <v>EMP1277</v>
      </c>
      <c r="J278" t="str">
        <f t="shared" si="19"/>
        <v>EMP1277 | Ankit Joshi</v>
      </c>
    </row>
    <row r="279" spans="8:10" x14ac:dyDescent="0.3">
      <c r="H279" s="22">
        <f>IF(OR($B$2="*",Employee_Master!I279=$B$1),MAX(H$1:H278)+1,"")</f>
        <v>278</v>
      </c>
      <c r="I279" s="22" t="str">
        <f t="shared" si="18"/>
        <v>EMP1278</v>
      </c>
      <c r="J279" t="str">
        <f t="shared" si="19"/>
        <v>EMP1278 | Vikas Raghavan</v>
      </c>
    </row>
    <row r="280" spans="8:10" x14ac:dyDescent="0.3">
      <c r="H280" s="22">
        <f>IF(OR($B$2="*",Employee_Master!I280=$B$1),MAX(H$1:H279)+1,"")</f>
        <v>279</v>
      </c>
      <c r="I280" s="22" t="str">
        <f t="shared" si="18"/>
        <v>EMP1279</v>
      </c>
      <c r="J280" t="str">
        <f t="shared" si="19"/>
        <v>EMP1279 | Karan Verma</v>
      </c>
    </row>
    <row r="281" spans="8:10" x14ac:dyDescent="0.3">
      <c r="H281" s="22">
        <f>IF(OR($B$2="*",Employee_Master!I281=$B$1),MAX(H$1:H280)+1,"")</f>
        <v>280</v>
      </c>
      <c r="I281" s="22" t="str">
        <f t="shared" si="18"/>
        <v>EMP1280</v>
      </c>
      <c r="J281" t="str">
        <f t="shared" si="19"/>
        <v>EMP1280 | Tanvi Kamath</v>
      </c>
    </row>
    <row r="282" spans="8:10" x14ac:dyDescent="0.3">
      <c r="H282" s="22">
        <f>IF(OR($B$2="*",Employee_Master!I282=$B$1),MAX(H$1:H281)+1,"")</f>
        <v>281</v>
      </c>
      <c r="I282" s="22" t="str">
        <f t="shared" si="18"/>
        <v>EMP1281</v>
      </c>
      <c r="J282" t="str">
        <f t="shared" si="19"/>
        <v>EMP1281 | Srinivas Nair</v>
      </c>
    </row>
    <row r="283" spans="8:10" x14ac:dyDescent="0.3">
      <c r="H283" s="22">
        <f>IF(OR($B$2="*",Employee_Master!I283=$B$1),MAX(H$1:H282)+1,"")</f>
        <v>282</v>
      </c>
      <c r="I283" s="22" t="str">
        <f t="shared" si="18"/>
        <v>EMP1282</v>
      </c>
      <c r="J283" t="str">
        <f t="shared" si="19"/>
        <v>EMP1282 | Priya Mishra</v>
      </c>
    </row>
    <row r="284" spans="8:10" x14ac:dyDescent="0.3">
      <c r="H284" s="22">
        <f>IF(OR($B$2="*",Employee_Master!I284=$B$1),MAX(H$1:H283)+1,"")</f>
        <v>283</v>
      </c>
      <c r="I284" s="22" t="str">
        <f t="shared" si="18"/>
        <v>EMP1283</v>
      </c>
      <c r="J284" t="str">
        <f t="shared" si="19"/>
        <v>EMP1283 | Isha Khanna</v>
      </c>
    </row>
    <row r="285" spans="8:10" x14ac:dyDescent="0.3">
      <c r="H285" s="22">
        <f>IF(OR($B$2="*",Employee_Master!I285=$B$1),MAX(H$1:H284)+1,"")</f>
        <v>284</v>
      </c>
      <c r="I285" s="22" t="str">
        <f t="shared" si="18"/>
        <v>EMP1284</v>
      </c>
      <c r="J285" t="str">
        <f t="shared" si="19"/>
        <v>EMP1284 | Kunal Fernandes</v>
      </c>
    </row>
    <row r="286" spans="8:10" x14ac:dyDescent="0.3">
      <c r="H286" s="22">
        <f>IF(OR($B$2="*",Employee_Master!I286=$B$1),MAX(H$1:H285)+1,"")</f>
        <v>285</v>
      </c>
      <c r="I286" s="22" t="str">
        <f t="shared" si="18"/>
        <v>EMP1285</v>
      </c>
      <c r="J286" t="str">
        <f t="shared" si="19"/>
        <v>EMP1285 | Tarun Siddiqui</v>
      </c>
    </row>
    <row r="287" spans="8:10" x14ac:dyDescent="0.3">
      <c r="H287" s="22">
        <f>IF(OR($B$2="*",Employee_Master!I287=$B$1),MAX(H$1:H286)+1,"")</f>
        <v>286</v>
      </c>
      <c r="I287" s="22" t="str">
        <f t="shared" si="18"/>
        <v>EMP1286</v>
      </c>
      <c r="J287" t="str">
        <f t="shared" si="19"/>
        <v>EMP1286 | Farhan Thomas</v>
      </c>
    </row>
    <row r="288" spans="8:10" x14ac:dyDescent="0.3">
      <c r="H288" s="22">
        <f>IF(OR($B$2="*",Employee_Master!I288=$B$1),MAX(H$1:H287)+1,"")</f>
        <v>287</v>
      </c>
      <c r="I288" s="22" t="str">
        <f t="shared" si="18"/>
        <v>EMP1287</v>
      </c>
      <c r="J288" t="str">
        <f t="shared" si="19"/>
        <v>EMP1287 | Sai Iyer</v>
      </c>
    </row>
    <row r="289" spans="8:10" x14ac:dyDescent="0.3">
      <c r="H289" s="22">
        <f>IF(OR($B$2="*",Employee_Master!I289=$B$1),MAX(H$1:H288)+1,"")</f>
        <v>288</v>
      </c>
      <c r="I289" s="22" t="str">
        <f t="shared" si="18"/>
        <v>EMP1288</v>
      </c>
      <c r="J289" t="str">
        <f t="shared" si="19"/>
        <v>EMP1288 | Joseph Pandey</v>
      </c>
    </row>
    <row r="290" spans="8:10" x14ac:dyDescent="0.3">
      <c r="H290" s="22">
        <f>IF(OR($B$2="*",Employee_Master!I290=$B$1),MAX(H$1:H289)+1,"")</f>
        <v>289</v>
      </c>
      <c r="I290" s="22" t="str">
        <f t="shared" si="18"/>
        <v>EMP1289</v>
      </c>
      <c r="J290" t="str">
        <f t="shared" si="19"/>
        <v>EMP1289 | Tanvi Verma</v>
      </c>
    </row>
    <row r="291" spans="8:10" x14ac:dyDescent="0.3">
      <c r="H291" s="22">
        <f>IF(OR($B$2="*",Employee_Master!I291=$B$1),MAX(H$1:H290)+1,"")</f>
        <v>290</v>
      </c>
      <c r="I291" s="22" t="str">
        <f t="shared" si="18"/>
        <v>EMP1290</v>
      </c>
      <c r="J291" t="str">
        <f t="shared" si="19"/>
        <v>EMP1290 | Revathi Das</v>
      </c>
    </row>
    <row r="292" spans="8:10" x14ac:dyDescent="0.3">
      <c r="H292" s="22">
        <f>IF(OR($B$2="*",Employee_Master!I292=$B$1),MAX(H$1:H291)+1,"")</f>
        <v>291</v>
      </c>
      <c r="I292" s="22" t="str">
        <f t="shared" si="18"/>
        <v>EMP1291</v>
      </c>
      <c r="J292" t="str">
        <f t="shared" si="19"/>
        <v>EMP1291 | Swathi Fernandes</v>
      </c>
    </row>
    <row r="293" spans="8:10" x14ac:dyDescent="0.3">
      <c r="H293" s="22">
        <f>IF(OR($B$2="*",Employee_Master!I293=$B$1),MAX(H$1:H292)+1,"")</f>
        <v>292</v>
      </c>
      <c r="I293" s="22" t="str">
        <f t="shared" si="18"/>
        <v>EMP1292</v>
      </c>
      <c r="J293" t="str">
        <f t="shared" si="19"/>
        <v>EMP1292 | Arjun Shetty</v>
      </c>
    </row>
    <row r="294" spans="8:10" x14ac:dyDescent="0.3">
      <c r="H294" s="22">
        <f>IF(OR($B$2="*",Employee_Master!I294=$B$1),MAX(H$1:H293)+1,"")</f>
        <v>293</v>
      </c>
      <c r="I294" s="22" t="str">
        <f t="shared" si="18"/>
        <v>EMP1293</v>
      </c>
      <c r="J294" t="str">
        <f t="shared" si="19"/>
        <v>EMP1293 | Ajay Jain</v>
      </c>
    </row>
    <row r="295" spans="8:10" x14ac:dyDescent="0.3">
      <c r="H295" s="22">
        <f>IF(OR($B$2="*",Employee_Master!I295=$B$1),MAX(H$1:H294)+1,"")</f>
        <v>294</v>
      </c>
      <c r="I295" s="22" t="str">
        <f t="shared" si="18"/>
        <v>EMP1294</v>
      </c>
      <c r="J295" t="str">
        <f t="shared" si="19"/>
        <v>EMP1294 | Rakesh Desai</v>
      </c>
    </row>
    <row r="296" spans="8:10" x14ac:dyDescent="0.3">
      <c r="H296" s="22">
        <f>IF(OR($B$2="*",Employee_Master!I296=$B$1),MAX(H$1:H295)+1,"")</f>
        <v>295</v>
      </c>
      <c r="I296" s="22" t="str">
        <f t="shared" si="18"/>
        <v>EMP1295</v>
      </c>
      <c r="J296" t="str">
        <f t="shared" si="19"/>
        <v>EMP1295 | Sindhu Gowda</v>
      </c>
    </row>
    <row r="297" spans="8:10" x14ac:dyDescent="0.3">
      <c r="H297" s="22">
        <f>IF(OR($B$2="*",Employee_Master!I297=$B$1),MAX(H$1:H296)+1,"")</f>
        <v>296</v>
      </c>
      <c r="I297" s="22" t="str">
        <f t="shared" si="18"/>
        <v>EMP1296</v>
      </c>
      <c r="J297" t="str">
        <f t="shared" si="19"/>
        <v>EMP1296 | Farhan Shetty</v>
      </c>
    </row>
    <row r="298" spans="8:10" x14ac:dyDescent="0.3">
      <c r="H298" s="22">
        <f>IF(OR($B$2="*",Employee_Master!I298=$B$1),MAX(H$1:H297)+1,"")</f>
        <v>297</v>
      </c>
      <c r="I298" s="22" t="str">
        <f t="shared" si="18"/>
        <v>EMP1297</v>
      </c>
      <c r="J298" t="str">
        <f t="shared" si="19"/>
        <v>EMP1297 | Rakesh Patel</v>
      </c>
    </row>
    <row r="299" spans="8:10" x14ac:dyDescent="0.3">
      <c r="H299" s="22">
        <f>IF(OR($B$2="*",Employee_Master!I299=$B$1),MAX(H$1:H298)+1,"")</f>
        <v>298</v>
      </c>
      <c r="I299" s="22" t="str">
        <f t="shared" si="18"/>
        <v>EMP1298</v>
      </c>
      <c r="J299" t="str">
        <f t="shared" si="19"/>
        <v>EMP1298 | Vikram Bose</v>
      </c>
    </row>
    <row r="300" spans="8:10" x14ac:dyDescent="0.3">
      <c r="H300" s="22">
        <f>IF(OR($B$2="*",Employee_Master!I300=$B$1),MAX(H$1:H299)+1,"")</f>
        <v>299</v>
      </c>
      <c r="I300" s="22" t="str">
        <f t="shared" si="18"/>
        <v>EMP1299</v>
      </c>
      <c r="J300" t="str">
        <f t="shared" si="19"/>
        <v>EMP1299 | Sachin Singh</v>
      </c>
    </row>
    <row r="301" spans="8:10" x14ac:dyDescent="0.3">
      <c r="H301" s="22">
        <f>IF(OR($B$2="*",Employee_Master!I301=$B$1),MAX(H$1:H300)+1,"")</f>
        <v>300</v>
      </c>
      <c r="I301" s="22" t="str">
        <f t="shared" si="18"/>
        <v>EMP1300</v>
      </c>
      <c r="J301" t="str">
        <f t="shared" si="19"/>
        <v>EMP1300 | Rajesh Krishnan</v>
      </c>
    </row>
    <row r="302" spans="8:10" x14ac:dyDescent="0.3">
      <c r="H302" s="22">
        <f>IF(OR($B$2="*",Employee_Master!I302=$B$1),MAX(H$1:H301)+1,"")</f>
        <v>301</v>
      </c>
      <c r="I302" s="22" t="str">
        <f t="shared" si="18"/>
        <v>EMP1301</v>
      </c>
      <c r="J302" t="str">
        <f t="shared" si="19"/>
        <v>EMP1301 | Gaurav Nair</v>
      </c>
    </row>
    <row r="303" spans="8:10" x14ac:dyDescent="0.3">
      <c r="H303" s="22">
        <f>IF(OR($B$2="*",Employee_Master!I303=$B$1),MAX(H$1:H302)+1,"")</f>
        <v>302</v>
      </c>
      <c r="I303" s="22" t="str">
        <f t="shared" si="18"/>
        <v>EMP1302</v>
      </c>
      <c r="J303" t="str">
        <f t="shared" si="19"/>
        <v>EMP1302 | Shreya Thomas</v>
      </c>
    </row>
    <row r="304" spans="8:10" x14ac:dyDescent="0.3">
      <c r="H304" s="22">
        <f>IF(OR($B$2="*",Employee_Master!I304=$B$1),MAX(H$1:H303)+1,"")</f>
        <v>303</v>
      </c>
      <c r="I304" s="22" t="str">
        <f t="shared" si="18"/>
        <v>EMP1303</v>
      </c>
      <c r="J304" t="str">
        <f t="shared" si="19"/>
        <v>EMP1303 | Rakesh Thomas</v>
      </c>
    </row>
    <row r="305" spans="8:10" x14ac:dyDescent="0.3">
      <c r="H305" s="22">
        <f>IF(OR($B$2="*",Employee_Master!I305=$B$1),MAX(H$1:H304)+1,"")</f>
        <v>304</v>
      </c>
      <c r="I305" s="22" t="str">
        <f t="shared" si="18"/>
        <v>EMP1304</v>
      </c>
      <c r="J305" t="str">
        <f t="shared" si="19"/>
        <v>EMP1304 | Harini Khan</v>
      </c>
    </row>
    <row r="306" spans="8:10" x14ac:dyDescent="0.3">
      <c r="H306" s="22">
        <f>IF(OR($B$2="*",Employee_Master!I306=$B$1),MAX(H$1:H305)+1,"")</f>
        <v>305</v>
      </c>
      <c r="I306" s="22" t="str">
        <f t="shared" si="18"/>
        <v>EMP1305</v>
      </c>
      <c r="J306" t="str">
        <f t="shared" si="19"/>
        <v>EMP1305 | Abhishek Sharma</v>
      </c>
    </row>
    <row r="307" spans="8:10" x14ac:dyDescent="0.3">
      <c r="H307" s="22">
        <f>IF(OR($B$2="*",Employee_Master!I307=$B$1),MAX(H$1:H306)+1,"")</f>
        <v>306</v>
      </c>
      <c r="I307" s="22" t="str">
        <f t="shared" si="18"/>
        <v>EMP1306</v>
      </c>
      <c r="J307" t="str">
        <f t="shared" si="19"/>
        <v>EMP1306 | Ravi Pandey</v>
      </c>
    </row>
    <row r="308" spans="8:10" x14ac:dyDescent="0.3">
      <c r="H308" s="22">
        <f>IF(OR($B$2="*",Employee_Master!I308=$B$1),MAX(H$1:H307)+1,"")</f>
        <v>307</v>
      </c>
      <c r="I308" s="22" t="str">
        <f t="shared" si="18"/>
        <v>EMP1307</v>
      </c>
      <c r="J308" t="str">
        <f t="shared" si="19"/>
        <v>EMP1307 | Anjali Mehta</v>
      </c>
    </row>
    <row r="309" spans="8:10" x14ac:dyDescent="0.3">
      <c r="H309" s="22">
        <f>IF(OR($B$2="*",Employee_Master!I309=$B$1),MAX(H$1:H308)+1,"")</f>
        <v>308</v>
      </c>
      <c r="I309" s="22" t="str">
        <f t="shared" si="18"/>
        <v>EMP1308</v>
      </c>
      <c r="J309" t="str">
        <f t="shared" si="19"/>
        <v>EMP1308 | Sanjay Saxena</v>
      </c>
    </row>
    <row r="310" spans="8:10" x14ac:dyDescent="0.3">
      <c r="H310" s="22">
        <f>IF(OR($B$2="*",Employee_Master!I310=$B$1),MAX(H$1:H309)+1,"")</f>
        <v>309</v>
      </c>
      <c r="I310" s="22" t="str">
        <f t="shared" si="18"/>
        <v>EMP1309</v>
      </c>
      <c r="J310" t="str">
        <f t="shared" si="19"/>
        <v>EMP1309 | Kunal Mukherjee</v>
      </c>
    </row>
    <row r="311" spans="8:10" x14ac:dyDescent="0.3">
      <c r="H311" s="22">
        <f>IF(OR($B$2="*",Employee_Master!I311=$B$1),MAX(H$1:H310)+1,"")</f>
        <v>310</v>
      </c>
      <c r="I311" s="22" t="str">
        <f t="shared" si="18"/>
        <v>EMP1310</v>
      </c>
      <c r="J311" t="str">
        <f t="shared" si="19"/>
        <v>EMP1310 | Swathi Mukherjee</v>
      </c>
    </row>
    <row r="312" spans="8:10" x14ac:dyDescent="0.3">
      <c r="H312" s="22">
        <f>IF(OR($B$2="*",Employee_Master!I312=$B$1),MAX(H$1:H311)+1,"")</f>
        <v>311</v>
      </c>
      <c r="I312" s="22" t="str">
        <f t="shared" si="18"/>
        <v>EMP1311</v>
      </c>
      <c r="J312" t="str">
        <f t="shared" si="19"/>
        <v>EMP1311 | Tarun Tiwari</v>
      </c>
    </row>
    <row r="313" spans="8:10" x14ac:dyDescent="0.3">
      <c r="H313" s="22">
        <f>IF(OR($B$2="*",Employee_Master!I313=$B$1),MAX(H$1:H312)+1,"")</f>
        <v>312</v>
      </c>
      <c r="I313" s="22" t="str">
        <f t="shared" si="18"/>
        <v>EMP1312</v>
      </c>
      <c r="J313" t="str">
        <f t="shared" si="19"/>
        <v>EMP1312 | Ritu Chatterjee</v>
      </c>
    </row>
    <row r="314" spans="8:10" x14ac:dyDescent="0.3">
      <c r="H314" s="22">
        <f>IF(OR($B$2="*",Employee_Master!I314=$B$1),MAX(H$1:H313)+1,"")</f>
        <v>313</v>
      </c>
      <c r="I314" s="22" t="str">
        <f t="shared" si="18"/>
        <v>EMP1313</v>
      </c>
      <c r="J314" t="str">
        <f t="shared" si="19"/>
        <v>EMP1313 | Mohit Bose</v>
      </c>
    </row>
    <row r="315" spans="8:10" x14ac:dyDescent="0.3">
      <c r="H315" s="22">
        <f>IF(OR($B$2="*",Employee_Master!I315=$B$1),MAX(H$1:H314)+1,"")</f>
        <v>314</v>
      </c>
      <c r="I315" s="22" t="str">
        <f t="shared" si="18"/>
        <v>EMP1314</v>
      </c>
      <c r="J315" t="str">
        <f t="shared" si="19"/>
        <v>EMP1314 | Sanjay Thomas</v>
      </c>
    </row>
    <row r="316" spans="8:10" x14ac:dyDescent="0.3">
      <c r="H316" s="22">
        <f>IF(OR($B$2="*",Employee_Master!I316=$B$1),MAX(H$1:H315)+1,"")</f>
        <v>315</v>
      </c>
      <c r="I316" s="22" t="str">
        <f t="shared" si="18"/>
        <v>EMP1315</v>
      </c>
      <c r="J316" t="str">
        <f t="shared" si="19"/>
        <v>EMP1315 | Revathi Fernandes</v>
      </c>
    </row>
    <row r="317" spans="8:10" x14ac:dyDescent="0.3">
      <c r="H317" s="22">
        <f>IF(OR($B$2="*",Employee_Master!I317=$B$1),MAX(H$1:H316)+1,"")</f>
        <v>316</v>
      </c>
      <c r="I317" s="22" t="str">
        <f t="shared" si="18"/>
        <v>EMP1316</v>
      </c>
      <c r="J317" t="str">
        <f t="shared" si="19"/>
        <v>EMP1316 | Fatima Patel</v>
      </c>
    </row>
    <row r="318" spans="8:10" x14ac:dyDescent="0.3">
      <c r="H318" s="22">
        <f>IF(OR($B$2="*",Employee_Master!I318=$B$1),MAX(H$1:H317)+1,"")</f>
        <v>317</v>
      </c>
      <c r="I318" s="22" t="str">
        <f t="shared" si="18"/>
        <v>EMP1317</v>
      </c>
      <c r="J318" t="str">
        <f t="shared" si="19"/>
        <v>EMP1317 | Nisha Choudhary</v>
      </c>
    </row>
    <row r="319" spans="8:10" x14ac:dyDescent="0.3">
      <c r="H319" s="22">
        <f>IF(OR($B$2="*",Employee_Master!I319=$B$1),MAX(H$1:H318)+1,"")</f>
        <v>318</v>
      </c>
      <c r="I319" s="22" t="str">
        <f t="shared" si="18"/>
        <v>EMP1318</v>
      </c>
      <c r="J319" t="str">
        <f t="shared" si="19"/>
        <v>EMP1318 | Amit Desai</v>
      </c>
    </row>
    <row r="320" spans="8:10" x14ac:dyDescent="0.3">
      <c r="H320" s="22">
        <f>IF(OR($B$2="*",Employee_Master!I320=$B$1),MAX(H$1:H319)+1,"")</f>
        <v>319</v>
      </c>
      <c r="I320" s="22" t="str">
        <f t="shared" si="18"/>
        <v>EMP1319</v>
      </c>
      <c r="J320" t="str">
        <f t="shared" si="19"/>
        <v>EMP1319 | Neha Siddiqui</v>
      </c>
    </row>
    <row r="321" spans="8:10" x14ac:dyDescent="0.3">
      <c r="H321" s="22">
        <f>IF(OR($B$2="*",Employee_Master!I321=$B$1),MAX(H$1:H320)+1,"")</f>
        <v>320</v>
      </c>
      <c r="I321" s="22" t="str">
        <f t="shared" si="18"/>
        <v>EMP1320</v>
      </c>
      <c r="J321" t="str">
        <f t="shared" si="19"/>
        <v>EMP1320 | Prakash Raghavan</v>
      </c>
    </row>
    <row r="322" spans="8:10" x14ac:dyDescent="0.3">
      <c r="H322" s="22">
        <f>IF(OR($B$2="*",Employee_Master!I322=$B$1),MAX(H$1:H321)+1,"")</f>
        <v>321</v>
      </c>
      <c r="I322" s="22" t="str">
        <f t="shared" ref="I322:I385" si="20">IFERROR(INDEX(M_ID,MATCH(ROW()-1,$H$2:$H$501,0)),"")</f>
        <v>EMP1321</v>
      </c>
      <c r="J322" t="str">
        <f t="shared" ref="J322:J385" si="21">IF(I322="","",I322&amp;" | "&amp;INDEX(M_Name,MATCH(I322,M_ID,0)))</f>
        <v>EMP1321 | Imran Gupta</v>
      </c>
    </row>
    <row r="323" spans="8:10" x14ac:dyDescent="0.3">
      <c r="H323" s="22">
        <f>IF(OR($B$2="*",Employee_Master!I323=$B$1),MAX(H$1:H322)+1,"")</f>
        <v>322</v>
      </c>
      <c r="I323" s="22" t="str">
        <f t="shared" si="20"/>
        <v>EMP1322</v>
      </c>
      <c r="J323" t="str">
        <f t="shared" si="21"/>
        <v>EMP1322 | Radhika Kapoor</v>
      </c>
    </row>
    <row r="324" spans="8:10" x14ac:dyDescent="0.3">
      <c r="H324" s="22">
        <f>IF(OR($B$2="*",Employee_Master!I324=$B$1),MAX(H$1:H323)+1,"")</f>
        <v>323</v>
      </c>
      <c r="I324" s="22" t="str">
        <f t="shared" si="20"/>
        <v>EMP1323</v>
      </c>
      <c r="J324" t="str">
        <f t="shared" si="21"/>
        <v>EMP1323 | Dev Bansal</v>
      </c>
    </row>
    <row r="325" spans="8:10" x14ac:dyDescent="0.3">
      <c r="H325" s="22">
        <f>IF(OR($B$2="*",Employee_Master!I325=$B$1),MAX(H$1:H324)+1,"")</f>
        <v>324</v>
      </c>
      <c r="I325" s="22" t="str">
        <f t="shared" si="20"/>
        <v>EMP1324</v>
      </c>
      <c r="J325" t="str">
        <f t="shared" si="21"/>
        <v>EMP1324 | Divya Banerjee</v>
      </c>
    </row>
    <row r="326" spans="8:10" x14ac:dyDescent="0.3">
      <c r="H326" s="22">
        <f>IF(OR($B$2="*",Employee_Master!I326=$B$1),MAX(H$1:H325)+1,"")</f>
        <v>325</v>
      </c>
      <c r="I326" s="22" t="str">
        <f t="shared" si="20"/>
        <v>EMP1325</v>
      </c>
      <c r="J326" t="str">
        <f t="shared" si="21"/>
        <v>EMP1325 | Aditya Nair</v>
      </c>
    </row>
    <row r="327" spans="8:10" x14ac:dyDescent="0.3">
      <c r="H327" s="22">
        <f>IF(OR($B$2="*",Employee_Master!I327=$B$1),MAX(H$1:H326)+1,"")</f>
        <v>326</v>
      </c>
      <c r="I327" s="22" t="str">
        <f t="shared" si="20"/>
        <v>EMP1326</v>
      </c>
      <c r="J327" t="str">
        <f t="shared" si="21"/>
        <v>EMP1326 | Ramya Verma</v>
      </c>
    </row>
    <row r="328" spans="8:10" x14ac:dyDescent="0.3">
      <c r="H328" s="22">
        <f>IF(OR($B$2="*",Employee_Master!I328=$B$1),MAX(H$1:H327)+1,"")</f>
        <v>327</v>
      </c>
      <c r="I328" s="22" t="str">
        <f t="shared" si="20"/>
        <v>EMP1327</v>
      </c>
      <c r="J328" t="str">
        <f t="shared" si="21"/>
        <v>EMP1327 | Keerthi Agarwal</v>
      </c>
    </row>
    <row r="329" spans="8:10" x14ac:dyDescent="0.3">
      <c r="H329" s="22">
        <f>IF(OR($B$2="*",Employee_Master!I329=$B$1),MAX(H$1:H328)+1,"")</f>
        <v>328</v>
      </c>
      <c r="I329" s="22" t="str">
        <f t="shared" si="20"/>
        <v>EMP1328</v>
      </c>
      <c r="J329" t="str">
        <f t="shared" si="21"/>
        <v>EMP1328 | Vishal Subramanian</v>
      </c>
    </row>
    <row r="330" spans="8:10" x14ac:dyDescent="0.3">
      <c r="H330" s="22">
        <f>IF(OR($B$2="*",Employee_Master!I330=$B$1),MAX(H$1:H329)+1,"")</f>
        <v>329</v>
      </c>
      <c r="I330" s="22" t="str">
        <f t="shared" si="20"/>
        <v>EMP1329</v>
      </c>
      <c r="J330" t="str">
        <f t="shared" si="21"/>
        <v>EMP1329 | Akash Fernandes</v>
      </c>
    </row>
    <row r="331" spans="8:10" x14ac:dyDescent="0.3">
      <c r="H331" s="22">
        <f>IF(OR($B$2="*",Employee_Master!I331=$B$1),MAX(H$1:H330)+1,"")</f>
        <v>330</v>
      </c>
      <c r="I331" s="22" t="str">
        <f t="shared" si="20"/>
        <v>EMP1330</v>
      </c>
      <c r="J331" t="str">
        <f t="shared" si="21"/>
        <v>EMP1330 | Prakash Singh</v>
      </c>
    </row>
    <row r="332" spans="8:10" x14ac:dyDescent="0.3">
      <c r="H332" s="22">
        <f>IF(OR($B$2="*",Employee_Master!I332=$B$1),MAX(H$1:H331)+1,"")</f>
        <v>331</v>
      </c>
      <c r="I332" s="22" t="str">
        <f t="shared" si="20"/>
        <v>EMP1331</v>
      </c>
      <c r="J332" t="str">
        <f t="shared" si="21"/>
        <v>EMP1331 | Sindhu Kapoor</v>
      </c>
    </row>
    <row r="333" spans="8:10" x14ac:dyDescent="0.3">
      <c r="H333" s="22">
        <f>IF(OR($B$2="*",Employee_Master!I333=$B$1),MAX(H$1:H332)+1,"")</f>
        <v>332</v>
      </c>
      <c r="I333" s="22" t="str">
        <f t="shared" si="20"/>
        <v>EMP1332</v>
      </c>
      <c r="J333" t="str">
        <f t="shared" si="21"/>
        <v>EMP1332 | Swathi Khanna</v>
      </c>
    </row>
    <row r="334" spans="8:10" x14ac:dyDescent="0.3">
      <c r="H334" s="22">
        <f>IF(OR($B$2="*",Employee_Master!I334=$B$1),MAX(H$1:H333)+1,"")</f>
        <v>333</v>
      </c>
      <c r="I334" s="22" t="str">
        <f t="shared" si="20"/>
        <v>EMP1333</v>
      </c>
      <c r="J334" t="str">
        <f t="shared" si="21"/>
        <v>EMP1333 | Siddharth Reddy</v>
      </c>
    </row>
    <row r="335" spans="8:10" x14ac:dyDescent="0.3">
      <c r="H335" s="22">
        <f>IF(OR($B$2="*",Employee_Master!I335=$B$1),MAX(H$1:H334)+1,"")</f>
        <v>334</v>
      </c>
      <c r="I335" s="22" t="str">
        <f t="shared" si="20"/>
        <v>EMP1334</v>
      </c>
      <c r="J335" t="str">
        <f t="shared" si="21"/>
        <v>EMP1334 | Megha Subramanian</v>
      </c>
    </row>
    <row r="336" spans="8:10" x14ac:dyDescent="0.3">
      <c r="H336" s="22">
        <f>IF(OR($B$2="*",Employee_Master!I336=$B$1),MAX(H$1:H335)+1,"")</f>
        <v>335</v>
      </c>
      <c r="I336" s="22" t="str">
        <f t="shared" si="20"/>
        <v>EMP1335</v>
      </c>
      <c r="J336" t="str">
        <f t="shared" si="21"/>
        <v>EMP1335 | Farhan Kamath</v>
      </c>
    </row>
    <row r="337" spans="8:10" x14ac:dyDescent="0.3">
      <c r="H337" s="22">
        <f>IF(OR($B$2="*",Employee_Master!I337=$B$1),MAX(H$1:H336)+1,"")</f>
        <v>336</v>
      </c>
      <c r="I337" s="22" t="str">
        <f t="shared" si="20"/>
        <v>EMP1336</v>
      </c>
      <c r="J337" t="str">
        <f t="shared" si="21"/>
        <v>EMP1336 | Rahul Siddiqui</v>
      </c>
    </row>
    <row r="338" spans="8:10" x14ac:dyDescent="0.3">
      <c r="H338" s="22">
        <f>IF(OR($B$2="*",Employee_Master!I338=$B$1),MAX(H$1:H337)+1,"")</f>
        <v>337</v>
      </c>
      <c r="I338" s="22" t="str">
        <f t="shared" si="20"/>
        <v>EMP1337</v>
      </c>
      <c r="J338" t="str">
        <f t="shared" si="21"/>
        <v>EMP1337 | Ajay Naidu</v>
      </c>
    </row>
    <row r="339" spans="8:10" x14ac:dyDescent="0.3">
      <c r="H339" s="22">
        <f>IF(OR($B$2="*",Employee_Master!I339=$B$1),MAX(H$1:H338)+1,"")</f>
        <v>338</v>
      </c>
      <c r="I339" s="22" t="str">
        <f t="shared" si="20"/>
        <v>EMP1338</v>
      </c>
      <c r="J339" t="str">
        <f t="shared" si="21"/>
        <v>EMP1338 | Sai Kulkarni</v>
      </c>
    </row>
    <row r="340" spans="8:10" x14ac:dyDescent="0.3">
      <c r="H340" s="22">
        <f>IF(OR($B$2="*",Employee_Master!I340=$B$1),MAX(H$1:H339)+1,"")</f>
        <v>339</v>
      </c>
      <c r="I340" s="22" t="str">
        <f t="shared" si="20"/>
        <v>EMP1339</v>
      </c>
      <c r="J340" t="str">
        <f t="shared" si="21"/>
        <v>EMP1339 | Lakshmi Subramanian</v>
      </c>
    </row>
    <row r="341" spans="8:10" x14ac:dyDescent="0.3">
      <c r="H341" s="22">
        <f>IF(OR($B$2="*",Employee_Master!I341=$B$1),MAX(H$1:H340)+1,"")</f>
        <v>340</v>
      </c>
      <c r="I341" s="22" t="str">
        <f t="shared" si="20"/>
        <v>EMP1340</v>
      </c>
      <c r="J341" t="str">
        <f t="shared" si="21"/>
        <v>EMP1340 | Rohan Raghavan</v>
      </c>
    </row>
    <row r="342" spans="8:10" x14ac:dyDescent="0.3">
      <c r="H342" s="22">
        <f>IF(OR($B$2="*",Employee_Master!I342=$B$1),MAX(H$1:H341)+1,"")</f>
        <v>341</v>
      </c>
      <c r="I342" s="22" t="str">
        <f t="shared" si="20"/>
        <v>EMP1341</v>
      </c>
      <c r="J342" t="str">
        <f t="shared" si="21"/>
        <v>EMP1341 | Gayatri Naidu</v>
      </c>
    </row>
    <row r="343" spans="8:10" x14ac:dyDescent="0.3">
      <c r="H343" s="22">
        <f>IF(OR($B$2="*",Employee_Master!I343=$B$1),MAX(H$1:H342)+1,"")</f>
        <v>342</v>
      </c>
      <c r="I343" s="22" t="str">
        <f t="shared" si="20"/>
        <v>EMP1342</v>
      </c>
      <c r="J343" t="str">
        <f t="shared" si="21"/>
        <v>EMP1342 | Kiran Bose</v>
      </c>
    </row>
    <row r="344" spans="8:10" x14ac:dyDescent="0.3">
      <c r="H344" s="22">
        <f>IF(OR($B$2="*",Employee_Master!I344=$B$1),MAX(H$1:H343)+1,"")</f>
        <v>343</v>
      </c>
      <c r="I344" s="22" t="str">
        <f t="shared" si="20"/>
        <v>EMP1343</v>
      </c>
      <c r="J344" t="str">
        <f t="shared" si="21"/>
        <v>EMP1343 | Trisha Gowda</v>
      </c>
    </row>
    <row r="345" spans="8:10" x14ac:dyDescent="0.3">
      <c r="H345" s="22">
        <f>IF(OR($B$2="*",Employee_Master!I345=$B$1),MAX(H$1:H344)+1,"")</f>
        <v>344</v>
      </c>
      <c r="I345" s="22" t="str">
        <f t="shared" si="20"/>
        <v>EMP1344</v>
      </c>
      <c r="J345" t="str">
        <f t="shared" si="21"/>
        <v>EMP1344 | Pooja Subramanian</v>
      </c>
    </row>
    <row r="346" spans="8:10" x14ac:dyDescent="0.3">
      <c r="H346" s="22">
        <f>IF(OR($B$2="*",Employee_Master!I346=$B$1),MAX(H$1:H345)+1,"")</f>
        <v>345</v>
      </c>
      <c r="I346" s="22" t="str">
        <f t="shared" si="20"/>
        <v>EMP1345</v>
      </c>
      <c r="J346" t="str">
        <f t="shared" si="21"/>
        <v>EMP1345 | Nikhil Nair</v>
      </c>
    </row>
    <row r="347" spans="8:10" x14ac:dyDescent="0.3">
      <c r="H347" s="22">
        <f>IF(OR($B$2="*",Employee_Master!I347=$B$1),MAX(H$1:H346)+1,"")</f>
        <v>346</v>
      </c>
      <c r="I347" s="22" t="str">
        <f t="shared" si="20"/>
        <v>EMP1346</v>
      </c>
      <c r="J347" t="str">
        <f t="shared" si="21"/>
        <v>EMP1346 | Imran Mukherjee</v>
      </c>
    </row>
    <row r="348" spans="8:10" x14ac:dyDescent="0.3">
      <c r="H348" s="22">
        <f>IF(OR($B$2="*",Employee_Master!I348=$B$1),MAX(H$1:H347)+1,"")</f>
        <v>347</v>
      </c>
      <c r="I348" s="22" t="str">
        <f t="shared" si="20"/>
        <v>EMP1347</v>
      </c>
      <c r="J348" t="str">
        <f t="shared" si="21"/>
        <v>EMP1347 | Vinay Krishnan</v>
      </c>
    </row>
    <row r="349" spans="8:10" x14ac:dyDescent="0.3">
      <c r="H349" s="22">
        <f>IF(OR($B$2="*",Employee_Master!I349=$B$1),MAX(H$1:H348)+1,"")</f>
        <v>348</v>
      </c>
      <c r="I349" s="22" t="str">
        <f t="shared" si="20"/>
        <v>EMP1348</v>
      </c>
      <c r="J349" t="str">
        <f t="shared" si="21"/>
        <v>EMP1348 | Tarun Mehta</v>
      </c>
    </row>
    <row r="350" spans="8:10" x14ac:dyDescent="0.3">
      <c r="H350" s="22">
        <f>IF(OR($B$2="*",Employee_Master!I350=$B$1),MAX(H$1:H349)+1,"")</f>
        <v>349</v>
      </c>
      <c r="I350" s="22" t="str">
        <f t="shared" si="20"/>
        <v>EMP1349</v>
      </c>
      <c r="J350" t="str">
        <f t="shared" si="21"/>
        <v>EMP1349 | Mohit Nair</v>
      </c>
    </row>
    <row r="351" spans="8:10" x14ac:dyDescent="0.3">
      <c r="H351" s="22">
        <f>IF(OR($B$2="*",Employee_Master!I351=$B$1),MAX(H$1:H350)+1,"")</f>
        <v>350</v>
      </c>
      <c r="I351" s="22" t="str">
        <f t="shared" si="20"/>
        <v>EMP1350</v>
      </c>
      <c r="J351" t="str">
        <f t="shared" si="21"/>
        <v>EMP1350 | Akash Naidu</v>
      </c>
    </row>
    <row r="352" spans="8:10" x14ac:dyDescent="0.3">
      <c r="H352" s="22">
        <f>IF(OR($B$2="*",Employee_Master!I352=$B$1),MAX(H$1:H351)+1,"")</f>
        <v>351</v>
      </c>
      <c r="I352" s="22" t="str">
        <f t="shared" si="20"/>
        <v>EMP1351</v>
      </c>
      <c r="J352" t="str">
        <f t="shared" si="21"/>
        <v>EMP1351 | Pallavi Desai</v>
      </c>
    </row>
    <row r="353" spans="8:10" x14ac:dyDescent="0.3">
      <c r="H353" s="22">
        <f>IF(OR($B$2="*",Employee_Master!I353=$B$1),MAX(H$1:H352)+1,"")</f>
        <v>352</v>
      </c>
      <c r="I353" s="22" t="str">
        <f t="shared" si="20"/>
        <v>EMP1352</v>
      </c>
      <c r="J353" t="str">
        <f t="shared" si="21"/>
        <v>EMP1352 | Imran Das</v>
      </c>
    </row>
    <row r="354" spans="8:10" x14ac:dyDescent="0.3">
      <c r="H354" s="22">
        <f>IF(OR($B$2="*",Employee_Master!I354=$B$1),MAX(H$1:H353)+1,"")</f>
        <v>353</v>
      </c>
      <c r="I354" s="22" t="str">
        <f t="shared" si="20"/>
        <v>EMP1353</v>
      </c>
      <c r="J354" t="str">
        <f t="shared" si="21"/>
        <v>EMP1353 | Anusha Das</v>
      </c>
    </row>
    <row r="355" spans="8:10" x14ac:dyDescent="0.3">
      <c r="H355" s="22">
        <f>IF(OR($B$2="*",Employee_Master!I355=$B$1),MAX(H$1:H354)+1,"")</f>
        <v>354</v>
      </c>
      <c r="I355" s="22" t="str">
        <f t="shared" si="20"/>
        <v>EMP1354</v>
      </c>
      <c r="J355" t="str">
        <f t="shared" si="21"/>
        <v>EMP1354 | Imran Thomas</v>
      </c>
    </row>
    <row r="356" spans="8:10" x14ac:dyDescent="0.3">
      <c r="H356" s="22">
        <f>IF(OR($B$2="*",Employee_Master!I356=$B$1),MAX(H$1:H355)+1,"")</f>
        <v>355</v>
      </c>
      <c r="I356" s="22" t="str">
        <f t="shared" si="20"/>
        <v>EMP1355</v>
      </c>
      <c r="J356" t="str">
        <f t="shared" si="21"/>
        <v>EMP1355 | Vinay Nair</v>
      </c>
    </row>
    <row r="357" spans="8:10" x14ac:dyDescent="0.3">
      <c r="H357" s="22">
        <f>IF(OR($B$2="*",Employee_Master!I357=$B$1),MAX(H$1:H356)+1,"")</f>
        <v>356</v>
      </c>
      <c r="I357" s="22" t="str">
        <f t="shared" si="20"/>
        <v>EMP1356</v>
      </c>
      <c r="J357" t="str">
        <f t="shared" si="21"/>
        <v>EMP1356 | Trisha Menon</v>
      </c>
    </row>
    <row r="358" spans="8:10" x14ac:dyDescent="0.3">
      <c r="H358" s="22">
        <f>IF(OR($B$2="*",Employee_Master!I358=$B$1),MAX(H$1:H357)+1,"")</f>
        <v>357</v>
      </c>
      <c r="I358" s="22" t="str">
        <f t="shared" si="20"/>
        <v>EMP1357</v>
      </c>
      <c r="J358" t="str">
        <f t="shared" si="21"/>
        <v>EMP1357 | Abhishek Kapoor</v>
      </c>
    </row>
    <row r="359" spans="8:10" x14ac:dyDescent="0.3">
      <c r="H359" s="22">
        <f>IF(OR($B$2="*",Employee_Master!I359=$B$1),MAX(H$1:H358)+1,"")</f>
        <v>358</v>
      </c>
      <c r="I359" s="22" t="str">
        <f t="shared" si="20"/>
        <v>EMP1358</v>
      </c>
      <c r="J359" t="str">
        <f t="shared" si="21"/>
        <v>EMP1358 | Rohit Patel</v>
      </c>
    </row>
    <row r="360" spans="8:10" x14ac:dyDescent="0.3">
      <c r="H360" s="22">
        <f>IF(OR($B$2="*",Employee_Master!I360=$B$1),MAX(H$1:H359)+1,"")</f>
        <v>359</v>
      </c>
      <c r="I360" s="22" t="str">
        <f t="shared" si="20"/>
        <v>EMP1359</v>
      </c>
      <c r="J360" t="str">
        <f t="shared" si="21"/>
        <v>EMP1359 | Rohan Banerjee</v>
      </c>
    </row>
    <row r="361" spans="8:10" x14ac:dyDescent="0.3">
      <c r="H361" s="22">
        <f>IF(OR($B$2="*",Employee_Master!I361=$B$1),MAX(H$1:H360)+1,"")</f>
        <v>360</v>
      </c>
      <c r="I361" s="22" t="str">
        <f t="shared" si="20"/>
        <v>EMP1360</v>
      </c>
      <c r="J361" t="str">
        <f t="shared" si="21"/>
        <v>EMP1360 | Amit Nair</v>
      </c>
    </row>
    <row r="362" spans="8:10" x14ac:dyDescent="0.3">
      <c r="H362" s="22">
        <f>IF(OR($B$2="*",Employee_Master!I362=$B$1),MAX(H$1:H361)+1,"")</f>
        <v>361</v>
      </c>
      <c r="I362" s="22" t="str">
        <f t="shared" si="20"/>
        <v>EMP1361</v>
      </c>
      <c r="J362" t="str">
        <f t="shared" si="21"/>
        <v>EMP1361 | Ritu Joshi</v>
      </c>
    </row>
    <row r="363" spans="8:10" x14ac:dyDescent="0.3">
      <c r="H363" s="22">
        <f>IF(OR($B$2="*",Employee_Master!I363=$B$1),MAX(H$1:H362)+1,"")</f>
        <v>362</v>
      </c>
      <c r="I363" s="22" t="str">
        <f t="shared" si="20"/>
        <v>EMP1362</v>
      </c>
      <c r="J363" t="str">
        <f t="shared" si="21"/>
        <v>EMP1362 | Ashish Rao</v>
      </c>
    </row>
    <row r="364" spans="8:10" x14ac:dyDescent="0.3">
      <c r="H364" s="22">
        <f>IF(OR($B$2="*",Employee_Master!I364=$B$1),MAX(H$1:H363)+1,"")</f>
        <v>363</v>
      </c>
      <c r="I364" s="22" t="str">
        <f t="shared" si="20"/>
        <v>EMP1363</v>
      </c>
      <c r="J364" t="str">
        <f t="shared" si="21"/>
        <v>EMP1363 | Nikhil Singh</v>
      </c>
    </row>
    <row r="365" spans="8:10" x14ac:dyDescent="0.3">
      <c r="H365" s="22">
        <f>IF(OR($B$2="*",Employee_Master!I365=$B$1),MAX(H$1:H364)+1,"")</f>
        <v>364</v>
      </c>
      <c r="I365" s="22" t="str">
        <f t="shared" si="20"/>
        <v>EMP1364</v>
      </c>
      <c r="J365" t="str">
        <f t="shared" si="21"/>
        <v>EMP1364 | Arun Khan</v>
      </c>
    </row>
    <row r="366" spans="8:10" x14ac:dyDescent="0.3">
      <c r="H366" s="22">
        <f>IF(OR($B$2="*",Employee_Master!I366=$B$1),MAX(H$1:H365)+1,"")</f>
        <v>365</v>
      </c>
      <c r="I366" s="22" t="str">
        <f t="shared" si="20"/>
        <v>EMP1365</v>
      </c>
      <c r="J366" t="str">
        <f t="shared" si="21"/>
        <v>EMP1365 | Rashmi Mishra</v>
      </c>
    </row>
    <row r="367" spans="8:10" x14ac:dyDescent="0.3">
      <c r="H367" s="22">
        <f>IF(OR($B$2="*",Employee_Master!I367=$B$1),MAX(H$1:H366)+1,"")</f>
        <v>366</v>
      </c>
      <c r="I367" s="22" t="str">
        <f t="shared" si="20"/>
        <v>EMP1366</v>
      </c>
      <c r="J367" t="str">
        <f t="shared" si="21"/>
        <v>EMP1366 | Anjali Gupta</v>
      </c>
    </row>
    <row r="368" spans="8:10" x14ac:dyDescent="0.3">
      <c r="H368" s="22">
        <f>IF(OR($B$2="*",Employee_Master!I368=$B$1),MAX(H$1:H367)+1,"")</f>
        <v>367</v>
      </c>
      <c r="I368" s="22" t="str">
        <f t="shared" si="20"/>
        <v>EMP1367</v>
      </c>
      <c r="J368" t="str">
        <f t="shared" si="21"/>
        <v>EMP1367 | Mary Dsouza</v>
      </c>
    </row>
    <row r="369" spans="8:10" x14ac:dyDescent="0.3">
      <c r="H369" s="22">
        <f>IF(OR($B$2="*",Employee_Master!I369=$B$1),MAX(H$1:H368)+1,"")</f>
        <v>368</v>
      </c>
      <c r="I369" s="22" t="str">
        <f t="shared" si="20"/>
        <v>EMP1368</v>
      </c>
      <c r="J369" t="str">
        <f t="shared" si="21"/>
        <v>EMP1368 | Ravi Kamath</v>
      </c>
    </row>
    <row r="370" spans="8:10" x14ac:dyDescent="0.3">
      <c r="H370" s="22">
        <f>IF(OR($B$2="*",Employee_Master!I370=$B$1),MAX(H$1:H369)+1,"")</f>
        <v>369</v>
      </c>
      <c r="I370" s="22" t="str">
        <f t="shared" si="20"/>
        <v>EMP1369</v>
      </c>
      <c r="J370" t="str">
        <f t="shared" si="21"/>
        <v>EMP1369 | Aditi Nair</v>
      </c>
    </row>
    <row r="371" spans="8:10" x14ac:dyDescent="0.3">
      <c r="H371" s="22">
        <f>IF(OR($B$2="*",Employee_Master!I371=$B$1),MAX(H$1:H370)+1,"")</f>
        <v>370</v>
      </c>
      <c r="I371" s="22" t="str">
        <f t="shared" si="20"/>
        <v>EMP1370</v>
      </c>
      <c r="J371" t="str">
        <f t="shared" si="21"/>
        <v>EMP1370 | Venkat Bansal</v>
      </c>
    </row>
    <row r="372" spans="8:10" x14ac:dyDescent="0.3">
      <c r="H372" s="22">
        <f>IF(OR($B$2="*",Employee_Master!I372=$B$1),MAX(H$1:H371)+1,"")</f>
        <v>371</v>
      </c>
      <c r="I372" s="22" t="str">
        <f t="shared" si="20"/>
        <v>EMP1371</v>
      </c>
      <c r="J372" t="str">
        <f t="shared" si="21"/>
        <v>EMP1371 | Shreya Varghese</v>
      </c>
    </row>
    <row r="373" spans="8:10" x14ac:dyDescent="0.3">
      <c r="H373" s="22">
        <f>IF(OR($B$2="*",Employee_Master!I373=$B$1),MAX(H$1:H372)+1,"")</f>
        <v>372</v>
      </c>
      <c r="I373" s="22" t="str">
        <f t="shared" si="20"/>
        <v>EMP1372</v>
      </c>
      <c r="J373" t="str">
        <f t="shared" si="21"/>
        <v>EMP1372 | Joseph Gupta</v>
      </c>
    </row>
    <row r="374" spans="8:10" x14ac:dyDescent="0.3">
      <c r="H374" s="22">
        <f>IF(OR($B$2="*",Employee_Master!I374=$B$1),MAX(H$1:H373)+1,"")</f>
        <v>373</v>
      </c>
      <c r="I374" s="22" t="str">
        <f t="shared" si="20"/>
        <v>EMP1373</v>
      </c>
      <c r="J374" t="str">
        <f t="shared" si="21"/>
        <v>EMP1373 | Imran Mishra</v>
      </c>
    </row>
    <row r="375" spans="8:10" x14ac:dyDescent="0.3">
      <c r="H375" s="22">
        <f>IF(OR($B$2="*",Employee_Master!I375=$B$1),MAX(H$1:H374)+1,"")</f>
        <v>374</v>
      </c>
      <c r="I375" s="22" t="str">
        <f t="shared" si="20"/>
        <v>EMP1374</v>
      </c>
      <c r="J375" t="str">
        <f t="shared" si="21"/>
        <v>EMP1374 | Isha Choudhary</v>
      </c>
    </row>
    <row r="376" spans="8:10" x14ac:dyDescent="0.3">
      <c r="H376" s="22">
        <f>IF(OR($B$2="*",Employee_Master!I376=$B$1),MAX(H$1:H375)+1,"")</f>
        <v>375</v>
      </c>
      <c r="I376" s="22" t="str">
        <f t="shared" si="20"/>
        <v>EMP1375</v>
      </c>
      <c r="J376" t="str">
        <f t="shared" si="21"/>
        <v>EMP1375 | Rakesh Jain</v>
      </c>
    </row>
    <row r="377" spans="8:10" x14ac:dyDescent="0.3">
      <c r="H377" s="22">
        <f>IF(OR($B$2="*",Employee_Master!I377=$B$1),MAX(H$1:H376)+1,"")</f>
        <v>376</v>
      </c>
      <c r="I377" s="22" t="str">
        <f t="shared" si="20"/>
        <v>EMP1376</v>
      </c>
      <c r="J377" t="str">
        <f t="shared" si="21"/>
        <v>EMP1376 | Mary Prabhu</v>
      </c>
    </row>
    <row r="378" spans="8:10" x14ac:dyDescent="0.3">
      <c r="H378" s="22">
        <f>IF(OR($B$2="*",Employee_Master!I378=$B$1),MAX(H$1:H377)+1,"")</f>
        <v>377</v>
      </c>
      <c r="I378" s="22" t="str">
        <f t="shared" si="20"/>
        <v>EMP1377</v>
      </c>
      <c r="J378" t="str">
        <f t="shared" si="21"/>
        <v>EMP1377 | Anand Siddiqui</v>
      </c>
    </row>
    <row r="379" spans="8:10" x14ac:dyDescent="0.3">
      <c r="H379" s="22">
        <f>IF(OR($B$2="*",Employee_Master!I379=$B$1),MAX(H$1:H378)+1,"")</f>
        <v>378</v>
      </c>
      <c r="I379" s="22" t="str">
        <f t="shared" si="20"/>
        <v>EMP1378</v>
      </c>
      <c r="J379" t="str">
        <f t="shared" si="21"/>
        <v>EMP1378 | Sachin Raghavan</v>
      </c>
    </row>
    <row r="380" spans="8:10" x14ac:dyDescent="0.3">
      <c r="H380" s="22">
        <f>IF(OR($B$2="*",Employee_Master!I380=$B$1),MAX(H$1:H379)+1,"")</f>
        <v>379</v>
      </c>
      <c r="I380" s="22" t="str">
        <f t="shared" si="20"/>
        <v>EMP1379</v>
      </c>
      <c r="J380" t="str">
        <f t="shared" si="21"/>
        <v>EMP1379 | Dev Saxena</v>
      </c>
    </row>
    <row r="381" spans="8:10" x14ac:dyDescent="0.3">
      <c r="H381" s="22">
        <f>IF(OR($B$2="*",Employee_Master!I381=$B$1),MAX(H$1:H380)+1,"")</f>
        <v>380</v>
      </c>
      <c r="I381" s="22" t="str">
        <f t="shared" si="20"/>
        <v>EMP1380</v>
      </c>
      <c r="J381" t="str">
        <f t="shared" si="21"/>
        <v>EMP1380 | Siddharth Malhotra</v>
      </c>
    </row>
    <row r="382" spans="8:10" x14ac:dyDescent="0.3">
      <c r="H382" s="22">
        <f>IF(OR($B$2="*",Employee_Master!I382=$B$1),MAX(H$1:H381)+1,"")</f>
        <v>381</v>
      </c>
      <c r="I382" s="22" t="str">
        <f t="shared" si="20"/>
        <v>EMP1381</v>
      </c>
      <c r="J382" t="str">
        <f t="shared" si="21"/>
        <v>EMP1381 | Ravi Gupta</v>
      </c>
    </row>
    <row r="383" spans="8:10" x14ac:dyDescent="0.3">
      <c r="H383" s="22">
        <f>IF(OR($B$2="*",Employee_Master!I383=$B$1),MAX(H$1:H382)+1,"")</f>
        <v>382</v>
      </c>
      <c r="I383" s="22" t="str">
        <f t="shared" si="20"/>
        <v>EMP1382</v>
      </c>
      <c r="J383" t="str">
        <f t="shared" si="21"/>
        <v>EMP1382 | Ritu Nair</v>
      </c>
    </row>
    <row r="384" spans="8:10" x14ac:dyDescent="0.3">
      <c r="H384" s="22">
        <f>IF(OR($B$2="*",Employee_Master!I384=$B$1),MAX(H$1:H383)+1,"")</f>
        <v>383</v>
      </c>
      <c r="I384" s="22" t="str">
        <f t="shared" si="20"/>
        <v>EMP1383</v>
      </c>
      <c r="J384" t="str">
        <f t="shared" si="21"/>
        <v>EMP1383 | Keerthi Kamath</v>
      </c>
    </row>
    <row r="385" spans="8:10" x14ac:dyDescent="0.3">
      <c r="H385" s="22">
        <f>IF(OR($B$2="*",Employee_Master!I385=$B$1),MAX(H$1:H384)+1,"")</f>
        <v>384</v>
      </c>
      <c r="I385" s="22" t="str">
        <f t="shared" si="20"/>
        <v>EMP1384</v>
      </c>
      <c r="J385" t="str">
        <f t="shared" si="21"/>
        <v>EMP1384 | Sakshi Varghese</v>
      </c>
    </row>
    <row r="386" spans="8:10" x14ac:dyDescent="0.3">
      <c r="H386" s="22">
        <f>IF(OR($B$2="*",Employee_Master!I386=$B$1),MAX(H$1:H385)+1,"")</f>
        <v>385</v>
      </c>
      <c r="I386" s="22" t="str">
        <f t="shared" ref="I386:I449" si="22">IFERROR(INDEX(M_ID,MATCH(ROW()-1,$H$2:$H$501,0)),"")</f>
        <v>EMP1385</v>
      </c>
      <c r="J386" t="str">
        <f t="shared" ref="J386:J449" si="23">IF(I386="","",I386&amp;" | "&amp;INDEX(M_Name,MATCH(I386,M_ID,0)))</f>
        <v>EMP1385 | Mohit Desai</v>
      </c>
    </row>
    <row r="387" spans="8:10" x14ac:dyDescent="0.3">
      <c r="H387" s="22">
        <f>IF(OR($B$2="*",Employee_Master!I387=$B$1),MAX(H$1:H386)+1,"")</f>
        <v>386</v>
      </c>
      <c r="I387" s="22" t="str">
        <f t="shared" si="22"/>
        <v>EMP1386</v>
      </c>
      <c r="J387" t="str">
        <f t="shared" si="23"/>
        <v>EMP1386 | Ajay Bose</v>
      </c>
    </row>
    <row r="388" spans="8:10" x14ac:dyDescent="0.3">
      <c r="H388" s="22">
        <f>IF(OR($B$2="*",Employee_Master!I388=$B$1),MAX(H$1:H387)+1,"")</f>
        <v>387</v>
      </c>
      <c r="I388" s="22" t="str">
        <f t="shared" si="22"/>
        <v>EMP1387</v>
      </c>
      <c r="J388" t="str">
        <f t="shared" si="23"/>
        <v>EMP1387 | Rakesh Khanna</v>
      </c>
    </row>
    <row r="389" spans="8:10" x14ac:dyDescent="0.3">
      <c r="H389" s="22">
        <f>IF(OR($B$2="*",Employee_Master!I389=$B$1),MAX(H$1:H388)+1,"")</f>
        <v>388</v>
      </c>
      <c r="I389" s="22" t="str">
        <f t="shared" si="22"/>
        <v>EMP1388</v>
      </c>
      <c r="J389" t="str">
        <f t="shared" si="23"/>
        <v>EMP1388 | Shreya Jain</v>
      </c>
    </row>
    <row r="390" spans="8:10" x14ac:dyDescent="0.3">
      <c r="H390" s="22">
        <f>IF(OR($B$2="*",Employee_Master!I390=$B$1),MAX(H$1:H389)+1,"")</f>
        <v>389</v>
      </c>
      <c r="I390" s="22" t="str">
        <f t="shared" si="22"/>
        <v>EMP1389</v>
      </c>
      <c r="J390" t="str">
        <f t="shared" si="23"/>
        <v>EMP1389 | Sneha Yadav</v>
      </c>
    </row>
    <row r="391" spans="8:10" x14ac:dyDescent="0.3">
      <c r="H391" s="22">
        <f>IF(OR($B$2="*",Employee_Master!I391=$B$1),MAX(H$1:H390)+1,"")</f>
        <v>390</v>
      </c>
      <c r="I391" s="22" t="str">
        <f t="shared" si="22"/>
        <v>EMP1390</v>
      </c>
      <c r="J391" t="str">
        <f t="shared" si="23"/>
        <v>EMP1390 | Harsh Kapoor</v>
      </c>
    </row>
    <row r="392" spans="8:10" x14ac:dyDescent="0.3">
      <c r="H392" s="22">
        <f>IF(OR($B$2="*",Employee_Master!I392=$B$1),MAX(H$1:H391)+1,"")</f>
        <v>391</v>
      </c>
      <c r="I392" s="22" t="str">
        <f t="shared" si="22"/>
        <v>EMP1391</v>
      </c>
      <c r="J392" t="str">
        <f t="shared" si="23"/>
        <v>EMP1391 | Venkat Iyer</v>
      </c>
    </row>
    <row r="393" spans="8:10" x14ac:dyDescent="0.3">
      <c r="H393" s="22">
        <f>IF(OR($B$2="*",Employee_Master!I393=$B$1),MAX(H$1:H392)+1,"")</f>
        <v>392</v>
      </c>
      <c r="I393" s="22" t="str">
        <f t="shared" si="22"/>
        <v>EMP1392</v>
      </c>
      <c r="J393" t="str">
        <f t="shared" si="23"/>
        <v>EMP1392 | Sowmya Khan</v>
      </c>
    </row>
    <row r="394" spans="8:10" x14ac:dyDescent="0.3">
      <c r="H394" s="22">
        <f>IF(OR($B$2="*",Employee_Master!I394=$B$1),MAX(H$1:H393)+1,"")</f>
        <v>393</v>
      </c>
      <c r="I394" s="22" t="str">
        <f t="shared" si="22"/>
        <v>EMP1393</v>
      </c>
      <c r="J394" t="str">
        <f t="shared" si="23"/>
        <v>EMP1393 | Suresh Chatterjee</v>
      </c>
    </row>
    <row r="395" spans="8:10" x14ac:dyDescent="0.3">
      <c r="H395" s="22">
        <f>IF(OR($B$2="*",Employee_Master!I395=$B$1),MAX(H$1:H394)+1,"")</f>
        <v>394</v>
      </c>
      <c r="I395" s="22" t="str">
        <f t="shared" si="22"/>
        <v>EMP1394</v>
      </c>
      <c r="J395" t="str">
        <f t="shared" si="23"/>
        <v>EMP1394 | Aditya Das</v>
      </c>
    </row>
    <row r="396" spans="8:10" x14ac:dyDescent="0.3">
      <c r="H396" s="22">
        <f>IF(OR($B$2="*",Employee_Master!I396=$B$1),MAX(H$1:H395)+1,"")</f>
        <v>395</v>
      </c>
      <c r="I396" s="22" t="str">
        <f t="shared" si="22"/>
        <v>EMP1395</v>
      </c>
      <c r="J396" t="str">
        <f t="shared" si="23"/>
        <v>EMP1395 | Ankit Banerjee</v>
      </c>
    </row>
    <row r="397" spans="8:10" x14ac:dyDescent="0.3">
      <c r="H397" s="22">
        <f>IF(OR($B$2="*",Employee_Master!I397=$B$1),MAX(H$1:H396)+1,"")</f>
        <v>396</v>
      </c>
      <c r="I397" s="22" t="str">
        <f t="shared" si="22"/>
        <v>EMP1396</v>
      </c>
      <c r="J397" t="str">
        <f t="shared" si="23"/>
        <v>EMP1396 | Aniket Hegde</v>
      </c>
    </row>
    <row r="398" spans="8:10" x14ac:dyDescent="0.3">
      <c r="H398" s="22">
        <f>IF(OR($B$2="*",Employee_Master!I398=$B$1),MAX(H$1:H397)+1,"")</f>
        <v>397</v>
      </c>
      <c r="I398" s="22" t="str">
        <f t="shared" si="22"/>
        <v>EMP1397</v>
      </c>
      <c r="J398" t="str">
        <f t="shared" si="23"/>
        <v>EMP1397 | Bhavana Dsouza</v>
      </c>
    </row>
    <row r="399" spans="8:10" x14ac:dyDescent="0.3">
      <c r="H399" s="22">
        <f>IF(OR($B$2="*",Employee_Master!I399=$B$1),MAX(H$1:H398)+1,"")</f>
        <v>398</v>
      </c>
      <c r="I399" s="22" t="str">
        <f t="shared" si="22"/>
        <v>EMP1398</v>
      </c>
      <c r="J399" t="str">
        <f t="shared" si="23"/>
        <v>EMP1398 | Vidya Desai</v>
      </c>
    </row>
    <row r="400" spans="8:10" x14ac:dyDescent="0.3">
      <c r="H400" s="22">
        <f>IF(OR($B$2="*",Employee_Master!I400=$B$1),MAX(H$1:H399)+1,"")</f>
        <v>399</v>
      </c>
      <c r="I400" s="22" t="str">
        <f t="shared" si="22"/>
        <v>EMP1399</v>
      </c>
      <c r="J400" t="str">
        <f t="shared" si="23"/>
        <v>EMP1399 | Vishal Kumar</v>
      </c>
    </row>
    <row r="401" spans="8:10" x14ac:dyDescent="0.3">
      <c r="H401" s="22">
        <f>IF(OR($B$2="*",Employee_Master!I401=$B$1),MAX(H$1:H400)+1,"")</f>
        <v>400</v>
      </c>
      <c r="I401" s="22" t="str">
        <f t="shared" si="22"/>
        <v>EMP1400</v>
      </c>
      <c r="J401" t="str">
        <f t="shared" si="23"/>
        <v>EMP1400 | Suresh Singh</v>
      </c>
    </row>
    <row r="402" spans="8:10" x14ac:dyDescent="0.3">
      <c r="H402" s="22">
        <f>IF(OR($B$2="*",Employee_Master!I402=$B$1),MAX(H$1:H401)+1,"")</f>
        <v>401</v>
      </c>
      <c r="I402" s="22" t="str">
        <f t="shared" si="22"/>
        <v>EMP1401</v>
      </c>
      <c r="J402" t="str">
        <f t="shared" si="23"/>
        <v>EMP1401 | Mansi Yadav</v>
      </c>
    </row>
    <row r="403" spans="8:10" x14ac:dyDescent="0.3">
      <c r="H403" s="22">
        <f>IF(OR($B$2="*",Employee_Master!I403=$B$1),MAX(H$1:H402)+1,"")</f>
        <v>402</v>
      </c>
      <c r="I403" s="22" t="str">
        <f t="shared" si="22"/>
        <v>EMP1402</v>
      </c>
      <c r="J403" t="str">
        <f t="shared" si="23"/>
        <v>EMP1402 | Tarun Prabhu</v>
      </c>
    </row>
    <row r="404" spans="8:10" x14ac:dyDescent="0.3">
      <c r="H404" s="22">
        <f>IF(OR($B$2="*",Employee_Master!I404=$B$1),MAX(H$1:H403)+1,"")</f>
        <v>403</v>
      </c>
      <c r="I404" s="22" t="str">
        <f t="shared" si="22"/>
        <v>EMP1403</v>
      </c>
      <c r="J404" t="str">
        <f t="shared" si="23"/>
        <v>EMP1403 | Tarun Naidu</v>
      </c>
    </row>
    <row r="405" spans="8:10" x14ac:dyDescent="0.3">
      <c r="H405" s="22">
        <f>IF(OR($B$2="*",Employee_Master!I405=$B$1),MAX(H$1:H404)+1,"")</f>
        <v>404</v>
      </c>
      <c r="I405" s="22" t="str">
        <f t="shared" si="22"/>
        <v>EMP1404</v>
      </c>
      <c r="J405" t="str">
        <f t="shared" si="23"/>
        <v>EMP1404 | Meera Khanna</v>
      </c>
    </row>
    <row r="406" spans="8:10" x14ac:dyDescent="0.3">
      <c r="H406" s="22">
        <f>IF(OR($B$2="*",Employee_Master!I406=$B$1),MAX(H$1:H405)+1,"")</f>
        <v>405</v>
      </c>
      <c r="I406" s="22" t="str">
        <f t="shared" si="22"/>
        <v>EMP1405</v>
      </c>
      <c r="J406" t="str">
        <f t="shared" si="23"/>
        <v>EMP1405 | Rashmi Banerjee</v>
      </c>
    </row>
    <row r="407" spans="8:10" x14ac:dyDescent="0.3">
      <c r="H407" s="22">
        <f>IF(OR($B$2="*",Employee_Master!I407=$B$1),MAX(H$1:H406)+1,"")</f>
        <v>406</v>
      </c>
      <c r="I407" s="22" t="str">
        <f t="shared" si="22"/>
        <v>EMP1406</v>
      </c>
      <c r="J407" t="str">
        <f t="shared" si="23"/>
        <v>EMP1406 | Anand Bose</v>
      </c>
    </row>
    <row r="408" spans="8:10" x14ac:dyDescent="0.3">
      <c r="H408" s="22">
        <f>IF(OR($B$2="*",Employee_Master!I408=$B$1),MAX(H$1:H407)+1,"")</f>
        <v>407</v>
      </c>
      <c r="I408" s="22" t="str">
        <f t="shared" si="22"/>
        <v>EMP1407</v>
      </c>
      <c r="J408" t="str">
        <f t="shared" si="23"/>
        <v>EMP1407 | Anand Naidu</v>
      </c>
    </row>
    <row r="409" spans="8:10" x14ac:dyDescent="0.3">
      <c r="H409" s="22">
        <f>IF(OR($B$2="*",Employee_Master!I409=$B$1),MAX(H$1:H408)+1,"")</f>
        <v>408</v>
      </c>
      <c r="I409" s="22" t="str">
        <f t="shared" si="22"/>
        <v>EMP1408</v>
      </c>
      <c r="J409" t="str">
        <f t="shared" si="23"/>
        <v>EMP1408 | Rashmi Kamath</v>
      </c>
    </row>
    <row r="410" spans="8:10" x14ac:dyDescent="0.3">
      <c r="H410" s="22">
        <f>IF(OR($B$2="*",Employee_Master!I410=$B$1),MAX(H$1:H409)+1,"")</f>
        <v>409</v>
      </c>
      <c r="I410" s="22" t="str">
        <f t="shared" si="22"/>
        <v>EMP1409</v>
      </c>
      <c r="J410" t="str">
        <f t="shared" si="23"/>
        <v>EMP1409 | Radhika Menon</v>
      </c>
    </row>
    <row r="411" spans="8:10" x14ac:dyDescent="0.3">
      <c r="H411" s="22">
        <f>IF(OR($B$2="*",Employee_Master!I411=$B$1),MAX(H$1:H410)+1,"")</f>
        <v>410</v>
      </c>
      <c r="I411" s="22" t="str">
        <f t="shared" si="22"/>
        <v>EMP1410</v>
      </c>
      <c r="J411" t="str">
        <f t="shared" si="23"/>
        <v>EMP1410 | Ravi Prabhu</v>
      </c>
    </row>
    <row r="412" spans="8:10" x14ac:dyDescent="0.3">
      <c r="H412" s="22">
        <f>IF(OR($B$2="*",Employee_Master!I412=$B$1),MAX(H$1:H411)+1,"")</f>
        <v>411</v>
      </c>
      <c r="I412" s="22" t="str">
        <f t="shared" si="22"/>
        <v>EMP1411</v>
      </c>
      <c r="J412" t="str">
        <f t="shared" si="23"/>
        <v>EMP1411 | Kunal Joshi</v>
      </c>
    </row>
    <row r="413" spans="8:10" x14ac:dyDescent="0.3">
      <c r="H413" s="22">
        <f>IF(OR($B$2="*",Employee_Master!I413=$B$1),MAX(H$1:H412)+1,"")</f>
        <v>412</v>
      </c>
      <c r="I413" s="22" t="str">
        <f t="shared" si="22"/>
        <v>EMP1412</v>
      </c>
      <c r="J413" t="str">
        <f t="shared" si="23"/>
        <v>EMP1412 | Ritu Varghese</v>
      </c>
    </row>
    <row r="414" spans="8:10" x14ac:dyDescent="0.3">
      <c r="H414" s="22">
        <f>IF(OR($B$2="*",Employee_Master!I414=$B$1),MAX(H$1:H413)+1,"")</f>
        <v>413</v>
      </c>
      <c r="I414" s="22" t="str">
        <f t="shared" si="22"/>
        <v>EMP1413</v>
      </c>
      <c r="J414" t="str">
        <f t="shared" si="23"/>
        <v>EMP1413 | Joseph Ansari</v>
      </c>
    </row>
    <row r="415" spans="8:10" x14ac:dyDescent="0.3">
      <c r="H415" s="22">
        <f>IF(OR($B$2="*",Employee_Master!I415=$B$1),MAX(H$1:H414)+1,"")</f>
        <v>414</v>
      </c>
      <c r="I415" s="22" t="str">
        <f t="shared" si="22"/>
        <v>EMP1414</v>
      </c>
      <c r="J415" t="str">
        <f t="shared" si="23"/>
        <v>EMP1414 | Nisha Saxena</v>
      </c>
    </row>
    <row r="416" spans="8:10" x14ac:dyDescent="0.3">
      <c r="H416" s="22">
        <f>IF(OR($B$2="*",Employee_Master!I416=$B$1),MAX(H$1:H415)+1,"")</f>
        <v>415</v>
      </c>
      <c r="I416" s="22" t="str">
        <f t="shared" si="22"/>
        <v>EMP1415</v>
      </c>
      <c r="J416" t="str">
        <f t="shared" si="23"/>
        <v>EMP1415 | Arun Dsouza</v>
      </c>
    </row>
    <row r="417" spans="8:10" x14ac:dyDescent="0.3">
      <c r="H417" s="22">
        <f>IF(OR($B$2="*",Employee_Master!I417=$B$1),MAX(H$1:H416)+1,"")</f>
        <v>416</v>
      </c>
      <c r="I417" s="22" t="str">
        <f t="shared" si="22"/>
        <v>EMP1416</v>
      </c>
      <c r="J417" t="str">
        <f t="shared" si="23"/>
        <v>EMP1416 | Yash Varghese</v>
      </c>
    </row>
    <row r="418" spans="8:10" x14ac:dyDescent="0.3">
      <c r="H418" s="22">
        <f>IF(OR($B$2="*",Employee_Master!I418=$B$1),MAX(H$1:H417)+1,"")</f>
        <v>417</v>
      </c>
      <c r="I418" s="22" t="str">
        <f t="shared" si="22"/>
        <v>EMP1417</v>
      </c>
      <c r="J418" t="str">
        <f t="shared" si="23"/>
        <v>EMP1417 | Prakash Pillai</v>
      </c>
    </row>
    <row r="419" spans="8:10" x14ac:dyDescent="0.3">
      <c r="H419" s="22">
        <f>IF(OR($B$2="*",Employee_Master!I419=$B$1),MAX(H$1:H418)+1,"")</f>
        <v>418</v>
      </c>
      <c r="I419" s="22" t="str">
        <f t="shared" si="22"/>
        <v>EMP1418</v>
      </c>
      <c r="J419" t="str">
        <f t="shared" si="23"/>
        <v>EMP1418 | Imran Iyer</v>
      </c>
    </row>
    <row r="420" spans="8:10" x14ac:dyDescent="0.3">
      <c r="H420" s="22">
        <f>IF(OR($B$2="*",Employee_Master!I420=$B$1),MAX(H$1:H419)+1,"")</f>
        <v>419</v>
      </c>
      <c r="I420" s="22" t="str">
        <f t="shared" si="22"/>
        <v>EMP1419</v>
      </c>
      <c r="J420" t="str">
        <f t="shared" si="23"/>
        <v>EMP1419 | Kiran Raghavan</v>
      </c>
    </row>
    <row r="421" spans="8:10" x14ac:dyDescent="0.3">
      <c r="H421" s="22">
        <f>IF(OR($B$2="*",Employee_Master!I421=$B$1),MAX(H$1:H420)+1,"")</f>
        <v>420</v>
      </c>
      <c r="I421" s="22" t="str">
        <f t="shared" si="22"/>
        <v>EMP1420</v>
      </c>
      <c r="J421" t="str">
        <f t="shared" si="23"/>
        <v>EMP1420 | Abhishek Krishnan</v>
      </c>
    </row>
    <row r="422" spans="8:10" x14ac:dyDescent="0.3">
      <c r="H422" s="22">
        <f>IF(OR($B$2="*",Employee_Master!I422=$B$1),MAX(H$1:H421)+1,"")</f>
        <v>421</v>
      </c>
      <c r="I422" s="22" t="str">
        <f t="shared" si="22"/>
        <v>EMP1421</v>
      </c>
      <c r="J422" t="str">
        <f t="shared" si="23"/>
        <v>EMP1421 | Aditya Rao</v>
      </c>
    </row>
    <row r="423" spans="8:10" x14ac:dyDescent="0.3">
      <c r="H423" s="22">
        <f>IF(OR($B$2="*",Employee_Master!I423=$B$1),MAX(H$1:H422)+1,"")</f>
        <v>422</v>
      </c>
      <c r="I423" s="22" t="str">
        <f t="shared" si="22"/>
        <v>EMP1422</v>
      </c>
      <c r="J423" t="str">
        <f t="shared" si="23"/>
        <v>EMP1422 | Anand Mukherjee</v>
      </c>
    </row>
    <row r="424" spans="8:10" x14ac:dyDescent="0.3">
      <c r="H424" s="22">
        <f>IF(OR($B$2="*",Employee_Master!I424=$B$1),MAX(H$1:H423)+1,"")</f>
        <v>423</v>
      </c>
      <c r="I424" s="22" t="str">
        <f t="shared" si="22"/>
        <v>EMP1423</v>
      </c>
      <c r="J424" t="str">
        <f t="shared" si="23"/>
        <v>EMP1423 | Lakshmi Rao</v>
      </c>
    </row>
    <row r="425" spans="8:10" x14ac:dyDescent="0.3">
      <c r="H425" s="22">
        <f>IF(OR($B$2="*",Employee_Master!I425=$B$1),MAX(H$1:H424)+1,"")</f>
        <v>424</v>
      </c>
      <c r="I425" s="22" t="str">
        <f t="shared" si="22"/>
        <v>EMP1424</v>
      </c>
      <c r="J425" t="str">
        <f t="shared" si="23"/>
        <v>EMP1424 | Naveen Kapoor</v>
      </c>
    </row>
    <row r="426" spans="8:10" x14ac:dyDescent="0.3">
      <c r="H426" s="22">
        <f>IF(OR($B$2="*",Employee_Master!I426=$B$1),MAX(H$1:H425)+1,"")</f>
        <v>425</v>
      </c>
      <c r="I426" s="22" t="str">
        <f t="shared" si="22"/>
        <v>EMP1425</v>
      </c>
      <c r="J426" t="str">
        <f t="shared" si="23"/>
        <v>EMP1425 | Pallavi Prabhu</v>
      </c>
    </row>
    <row r="427" spans="8:10" x14ac:dyDescent="0.3">
      <c r="H427" s="22">
        <f>IF(OR($B$2="*",Employee_Master!I427=$B$1),MAX(H$1:H426)+1,"")</f>
        <v>426</v>
      </c>
      <c r="I427" s="22" t="str">
        <f t="shared" si="22"/>
        <v>EMP1426</v>
      </c>
      <c r="J427" t="str">
        <f t="shared" si="23"/>
        <v>EMP1426 | Deepak Bansal</v>
      </c>
    </row>
    <row r="428" spans="8:10" x14ac:dyDescent="0.3">
      <c r="H428" s="22">
        <f>IF(OR($B$2="*",Employee_Master!I428=$B$1),MAX(H$1:H427)+1,"")</f>
        <v>427</v>
      </c>
      <c r="I428" s="22" t="str">
        <f t="shared" si="22"/>
        <v>EMP1427</v>
      </c>
      <c r="J428" t="str">
        <f t="shared" si="23"/>
        <v>EMP1427 | Shreya Tiwari</v>
      </c>
    </row>
    <row r="429" spans="8:10" x14ac:dyDescent="0.3">
      <c r="H429" s="22">
        <f>IF(OR($B$2="*",Employee_Master!I429=$B$1),MAX(H$1:H428)+1,"")</f>
        <v>428</v>
      </c>
      <c r="I429" s="22" t="str">
        <f t="shared" si="22"/>
        <v>EMP1428</v>
      </c>
      <c r="J429" t="str">
        <f t="shared" si="23"/>
        <v>EMP1428 | Anusha Kamath</v>
      </c>
    </row>
    <row r="430" spans="8:10" x14ac:dyDescent="0.3">
      <c r="H430" s="22">
        <f>IF(OR($B$2="*",Employee_Master!I430=$B$1),MAX(H$1:H429)+1,"")</f>
        <v>429</v>
      </c>
      <c r="I430" s="22" t="str">
        <f t="shared" si="22"/>
        <v>EMP1429</v>
      </c>
      <c r="J430" t="str">
        <f t="shared" si="23"/>
        <v>EMP1429 | Dev Bose</v>
      </c>
    </row>
    <row r="431" spans="8:10" x14ac:dyDescent="0.3">
      <c r="H431" s="22">
        <f>IF(OR($B$2="*",Employee_Master!I431=$B$1),MAX(H$1:H430)+1,"")</f>
        <v>430</v>
      </c>
      <c r="I431" s="22" t="str">
        <f t="shared" si="22"/>
        <v>EMP1430</v>
      </c>
      <c r="J431" t="str">
        <f t="shared" si="23"/>
        <v>EMP1430 | Divya Patel</v>
      </c>
    </row>
    <row r="432" spans="8:10" x14ac:dyDescent="0.3">
      <c r="H432" s="22">
        <f>IF(OR($B$2="*",Employee_Master!I432=$B$1),MAX(H$1:H431)+1,"")</f>
        <v>431</v>
      </c>
      <c r="I432" s="22" t="str">
        <f t="shared" si="22"/>
        <v>EMP1431</v>
      </c>
      <c r="J432" t="str">
        <f t="shared" si="23"/>
        <v>EMP1431 | Nisha Kapoor</v>
      </c>
    </row>
    <row r="433" spans="8:10" x14ac:dyDescent="0.3">
      <c r="H433" s="22">
        <f>IF(OR($B$2="*",Employee_Master!I433=$B$1),MAX(H$1:H432)+1,"")</f>
        <v>432</v>
      </c>
      <c r="I433" s="22" t="str">
        <f t="shared" si="22"/>
        <v>EMP1432</v>
      </c>
      <c r="J433" t="str">
        <f t="shared" si="23"/>
        <v>EMP1432 | Gayatri Raghavan</v>
      </c>
    </row>
    <row r="434" spans="8:10" x14ac:dyDescent="0.3">
      <c r="H434" s="22">
        <f>IF(OR($B$2="*",Employee_Master!I434=$B$1),MAX(H$1:H433)+1,"")</f>
        <v>433</v>
      </c>
      <c r="I434" s="22" t="str">
        <f t="shared" si="22"/>
        <v>EMP1433</v>
      </c>
      <c r="J434" t="str">
        <f t="shared" si="23"/>
        <v>EMP1433 | Mary Mishra</v>
      </c>
    </row>
    <row r="435" spans="8:10" x14ac:dyDescent="0.3">
      <c r="H435" s="22">
        <f>IF(OR($B$2="*",Employee_Master!I435=$B$1),MAX(H$1:H434)+1,"")</f>
        <v>434</v>
      </c>
      <c r="I435" s="22" t="str">
        <f t="shared" si="22"/>
        <v>EMP1434</v>
      </c>
      <c r="J435" t="str">
        <f t="shared" si="23"/>
        <v>EMP1434 | Ritu Saxena</v>
      </c>
    </row>
    <row r="436" spans="8:10" x14ac:dyDescent="0.3">
      <c r="H436" s="22">
        <f>IF(OR($B$2="*",Employee_Master!I436=$B$1),MAX(H$1:H435)+1,"")</f>
        <v>435</v>
      </c>
      <c r="I436" s="22" t="str">
        <f t="shared" si="22"/>
        <v>EMP1435</v>
      </c>
      <c r="J436" t="str">
        <f t="shared" si="23"/>
        <v>EMP1435 | Rohan Hegde</v>
      </c>
    </row>
    <row r="437" spans="8:10" x14ac:dyDescent="0.3">
      <c r="H437" s="22">
        <f>IF(OR($B$2="*",Employee_Master!I437=$B$1),MAX(H$1:H436)+1,"")</f>
        <v>436</v>
      </c>
      <c r="I437" s="22" t="str">
        <f t="shared" si="22"/>
        <v>EMP1436</v>
      </c>
      <c r="J437" t="str">
        <f t="shared" si="23"/>
        <v>EMP1436 | Gayatri Prabhu</v>
      </c>
    </row>
    <row r="438" spans="8:10" x14ac:dyDescent="0.3">
      <c r="H438" s="22">
        <f>IF(OR($B$2="*",Employee_Master!I438=$B$1),MAX(H$1:H437)+1,"")</f>
        <v>437</v>
      </c>
      <c r="I438" s="22" t="str">
        <f t="shared" si="22"/>
        <v>EMP1437</v>
      </c>
      <c r="J438" t="str">
        <f t="shared" si="23"/>
        <v>EMP1437 | Ajay Bansal</v>
      </c>
    </row>
    <row r="439" spans="8:10" x14ac:dyDescent="0.3">
      <c r="H439" s="22">
        <f>IF(OR($B$2="*",Employee_Master!I439=$B$1),MAX(H$1:H438)+1,"")</f>
        <v>438</v>
      </c>
      <c r="I439" s="22" t="str">
        <f t="shared" si="22"/>
        <v>EMP1438</v>
      </c>
      <c r="J439" t="str">
        <f t="shared" si="23"/>
        <v>EMP1438 | Sai Subramanian</v>
      </c>
    </row>
    <row r="440" spans="8:10" x14ac:dyDescent="0.3">
      <c r="H440" s="22">
        <f>IF(OR($B$2="*",Employee_Master!I440=$B$1),MAX(H$1:H439)+1,"")</f>
        <v>439</v>
      </c>
      <c r="I440" s="22" t="str">
        <f t="shared" si="22"/>
        <v>EMP1439</v>
      </c>
      <c r="J440" t="str">
        <f t="shared" si="23"/>
        <v>EMP1439 | Priyanka Dsouza</v>
      </c>
    </row>
    <row r="441" spans="8:10" x14ac:dyDescent="0.3">
      <c r="H441" s="22">
        <f>IF(OR($B$2="*",Employee_Master!I441=$B$1),MAX(H$1:H440)+1,"")</f>
        <v>440</v>
      </c>
      <c r="I441" s="22" t="str">
        <f t="shared" si="22"/>
        <v>EMP1440</v>
      </c>
      <c r="J441" t="str">
        <f t="shared" si="23"/>
        <v>EMP1440 | Ravi Mukherjee</v>
      </c>
    </row>
    <row r="442" spans="8:10" x14ac:dyDescent="0.3">
      <c r="H442" s="22">
        <f>IF(OR($B$2="*",Employee_Master!I442=$B$1),MAX(H$1:H441)+1,"")</f>
        <v>441</v>
      </c>
      <c r="I442" s="22" t="str">
        <f t="shared" si="22"/>
        <v>EMP1441</v>
      </c>
      <c r="J442" t="str">
        <f t="shared" si="23"/>
        <v>EMP1441 | Ananya Menon</v>
      </c>
    </row>
    <row r="443" spans="8:10" x14ac:dyDescent="0.3">
      <c r="H443" s="22">
        <f>IF(OR($B$2="*",Employee_Master!I443=$B$1),MAX(H$1:H442)+1,"")</f>
        <v>442</v>
      </c>
      <c r="I443" s="22" t="str">
        <f t="shared" si="22"/>
        <v>EMP1442</v>
      </c>
      <c r="J443" t="str">
        <f t="shared" si="23"/>
        <v>EMP1442 | Vidya Pandey</v>
      </c>
    </row>
    <row r="444" spans="8:10" x14ac:dyDescent="0.3">
      <c r="H444" s="22">
        <f>IF(OR($B$2="*",Employee_Master!I444=$B$1),MAX(H$1:H443)+1,"")</f>
        <v>443</v>
      </c>
      <c r="I444" s="22" t="str">
        <f t="shared" si="22"/>
        <v>EMP1443</v>
      </c>
      <c r="J444" t="str">
        <f t="shared" si="23"/>
        <v>EMP1443 | Vikram Khan</v>
      </c>
    </row>
    <row r="445" spans="8:10" x14ac:dyDescent="0.3">
      <c r="H445" s="22">
        <f>IF(OR($B$2="*",Employee_Master!I445=$B$1),MAX(H$1:H444)+1,"")</f>
        <v>444</v>
      </c>
      <c r="I445" s="22" t="str">
        <f t="shared" si="22"/>
        <v>EMP1444</v>
      </c>
      <c r="J445" t="str">
        <f t="shared" si="23"/>
        <v>EMP1444 | Prakash Desai</v>
      </c>
    </row>
    <row r="446" spans="8:10" x14ac:dyDescent="0.3">
      <c r="H446" s="22">
        <f>IF(OR($B$2="*",Employee_Master!I446=$B$1),MAX(H$1:H445)+1,"")</f>
        <v>445</v>
      </c>
      <c r="I446" s="22" t="str">
        <f t="shared" si="22"/>
        <v>EMP1445</v>
      </c>
      <c r="J446" t="str">
        <f t="shared" si="23"/>
        <v>EMP1445 | Sindhu Thomas</v>
      </c>
    </row>
    <row r="447" spans="8:10" x14ac:dyDescent="0.3">
      <c r="H447" s="22">
        <f>IF(OR($B$2="*",Employee_Master!I447=$B$1),MAX(H$1:H446)+1,"")</f>
        <v>446</v>
      </c>
      <c r="I447" s="22" t="str">
        <f t="shared" si="22"/>
        <v>EMP1446</v>
      </c>
      <c r="J447" t="str">
        <f t="shared" si="23"/>
        <v>EMP1446 | Anjali Iyer</v>
      </c>
    </row>
    <row r="448" spans="8:10" x14ac:dyDescent="0.3">
      <c r="H448" s="22">
        <f>IF(OR($B$2="*",Employee_Master!I448=$B$1),MAX(H$1:H447)+1,"")</f>
        <v>447</v>
      </c>
      <c r="I448" s="22" t="str">
        <f t="shared" si="22"/>
        <v>EMP1447</v>
      </c>
      <c r="J448" t="str">
        <f t="shared" si="23"/>
        <v>EMP1447 | Meera Pandey</v>
      </c>
    </row>
    <row r="449" spans="8:10" x14ac:dyDescent="0.3">
      <c r="H449" s="22">
        <f>IF(OR($B$2="*",Employee_Master!I449=$B$1),MAX(H$1:H448)+1,"")</f>
        <v>448</v>
      </c>
      <c r="I449" s="22" t="str">
        <f t="shared" si="22"/>
        <v>EMP1448</v>
      </c>
      <c r="J449" t="str">
        <f t="shared" si="23"/>
        <v>EMP1448 | Priya Verma</v>
      </c>
    </row>
    <row r="450" spans="8:10" x14ac:dyDescent="0.3">
      <c r="H450" s="22">
        <f>IF(OR($B$2="*",Employee_Master!I450=$B$1),MAX(H$1:H449)+1,"")</f>
        <v>449</v>
      </c>
      <c r="I450" s="22" t="str">
        <f t="shared" ref="I450:I501" si="24">IFERROR(INDEX(M_ID,MATCH(ROW()-1,$H$2:$H$501,0)),"")</f>
        <v>EMP1449</v>
      </c>
      <c r="J450" t="str">
        <f t="shared" ref="J450:J501" si="25">IF(I450="","",I450&amp;" | "&amp;INDEX(M_Name,MATCH(I450,M_ID,0)))</f>
        <v>EMP1449 | Shruti Joshi</v>
      </c>
    </row>
    <row r="451" spans="8:10" x14ac:dyDescent="0.3">
      <c r="H451" s="22">
        <f>IF(OR($B$2="*",Employee_Master!I451=$B$1),MAX(H$1:H450)+1,"")</f>
        <v>450</v>
      </c>
      <c r="I451" s="22" t="str">
        <f t="shared" si="24"/>
        <v>EMP1450</v>
      </c>
      <c r="J451" t="str">
        <f t="shared" si="25"/>
        <v>EMP1450 | Dev Sharma</v>
      </c>
    </row>
    <row r="452" spans="8:10" x14ac:dyDescent="0.3">
      <c r="H452" s="22">
        <f>IF(OR($B$2="*",Employee_Master!I452=$B$1),MAX(H$1:H451)+1,"")</f>
        <v>451</v>
      </c>
      <c r="I452" s="22" t="str">
        <f t="shared" si="24"/>
        <v>EMP1451</v>
      </c>
      <c r="J452" t="str">
        <f t="shared" si="25"/>
        <v>EMP1451 | Madhuri Jain</v>
      </c>
    </row>
    <row r="453" spans="8:10" x14ac:dyDescent="0.3">
      <c r="H453" s="22">
        <f>IF(OR($B$2="*",Employee_Master!I453=$B$1),MAX(H$1:H452)+1,"")</f>
        <v>452</v>
      </c>
      <c r="I453" s="22" t="str">
        <f t="shared" si="24"/>
        <v>EMP1452</v>
      </c>
      <c r="J453" t="str">
        <f t="shared" si="25"/>
        <v>EMP1452 | Vikas Jain</v>
      </c>
    </row>
    <row r="454" spans="8:10" x14ac:dyDescent="0.3">
      <c r="H454" s="22">
        <f>IF(OR($B$2="*",Employee_Master!I454=$B$1),MAX(H$1:H453)+1,"")</f>
        <v>453</v>
      </c>
      <c r="I454" s="22" t="str">
        <f t="shared" si="24"/>
        <v>EMP1453</v>
      </c>
      <c r="J454" t="str">
        <f t="shared" si="25"/>
        <v>EMP1453 | Revathi Bansal</v>
      </c>
    </row>
    <row r="455" spans="8:10" x14ac:dyDescent="0.3">
      <c r="H455" s="22">
        <f>IF(OR($B$2="*",Employee_Master!I455=$B$1),MAX(H$1:H454)+1,"")</f>
        <v>454</v>
      </c>
      <c r="I455" s="22" t="str">
        <f t="shared" si="24"/>
        <v>EMP1454</v>
      </c>
      <c r="J455" t="str">
        <f t="shared" si="25"/>
        <v>EMP1454 | Prakash Kapoor</v>
      </c>
    </row>
    <row r="456" spans="8:10" x14ac:dyDescent="0.3">
      <c r="H456" s="22">
        <f>IF(OR($B$2="*",Employee_Master!I456=$B$1),MAX(H$1:H455)+1,"")</f>
        <v>455</v>
      </c>
      <c r="I456" s="22" t="str">
        <f t="shared" si="24"/>
        <v>EMP1455</v>
      </c>
      <c r="J456" t="str">
        <f t="shared" si="25"/>
        <v>EMP1455 | Joseph Hegde</v>
      </c>
    </row>
    <row r="457" spans="8:10" x14ac:dyDescent="0.3">
      <c r="H457" s="22">
        <f>IF(OR($B$2="*",Employee_Master!I457=$B$1),MAX(H$1:H456)+1,"")</f>
        <v>456</v>
      </c>
      <c r="I457" s="22" t="str">
        <f t="shared" si="24"/>
        <v>EMP1456</v>
      </c>
      <c r="J457" t="str">
        <f t="shared" si="25"/>
        <v>EMP1456 | Ananya Krishnan</v>
      </c>
    </row>
    <row r="458" spans="8:10" x14ac:dyDescent="0.3">
      <c r="H458" s="22">
        <f>IF(OR($B$2="*",Employee_Master!I458=$B$1),MAX(H$1:H457)+1,"")</f>
        <v>457</v>
      </c>
      <c r="I458" s="22" t="str">
        <f t="shared" si="24"/>
        <v>EMP1457</v>
      </c>
      <c r="J458" t="str">
        <f t="shared" si="25"/>
        <v>EMP1457 | Kiran Khanna</v>
      </c>
    </row>
    <row r="459" spans="8:10" x14ac:dyDescent="0.3">
      <c r="H459" s="22">
        <f>IF(OR($B$2="*",Employee_Master!I459=$B$1),MAX(H$1:H458)+1,"")</f>
        <v>458</v>
      </c>
      <c r="I459" s="22" t="str">
        <f t="shared" si="24"/>
        <v>EMP1458</v>
      </c>
      <c r="J459" t="str">
        <f t="shared" si="25"/>
        <v>EMP1458 | Kavya Krishnan</v>
      </c>
    </row>
    <row r="460" spans="8:10" x14ac:dyDescent="0.3">
      <c r="H460" s="22">
        <f>IF(OR($B$2="*",Employee_Master!I460=$B$1),MAX(H$1:H459)+1,"")</f>
        <v>459</v>
      </c>
      <c r="I460" s="22" t="str">
        <f t="shared" si="24"/>
        <v>EMP1459</v>
      </c>
      <c r="J460" t="str">
        <f t="shared" si="25"/>
        <v>EMP1459 | Yamini Malhotra</v>
      </c>
    </row>
    <row r="461" spans="8:10" x14ac:dyDescent="0.3">
      <c r="H461" s="22">
        <f>IF(OR($B$2="*",Employee_Master!I461=$B$1),MAX(H$1:H460)+1,"")</f>
        <v>460</v>
      </c>
      <c r="I461" s="22" t="str">
        <f t="shared" si="24"/>
        <v>EMP1460</v>
      </c>
      <c r="J461" t="str">
        <f t="shared" si="25"/>
        <v>EMP1460 | Sowmya Yadav</v>
      </c>
    </row>
    <row r="462" spans="8:10" x14ac:dyDescent="0.3">
      <c r="H462" s="22">
        <f>IF(OR($B$2="*",Employee_Master!I462=$B$1),MAX(H$1:H461)+1,"")</f>
        <v>461</v>
      </c>
      <c r="I462" s="22" t="str">
        <f t="shared" si="24"/>
        <v>EMP1461</v>
      </c>
      <c r="J462" t="str">
        <f t="shared" si="25"/>
        <v>EMP1461 | Deepika Tiwari</v>
      </c>
    </row>
    <row r="463" spans="8:10" x14ac:dyDescent="0.3">
      <c r="H463" s="22">
        <f>IF(OR($B$2="*",Employee_Master!I463=$B$1),MAX(H$1:H462)+1,"")</f>
        <v>462</v>
      </c>
      <c r="I463" s="22" t="str">
        <f t="shared" si="24"/>
        <v>EMP1462</v>
      </c>
      <c r="J463" t="str">
        <f t="shared" si="25"/>
        <v>EMP1462 | Ashish Siddiqui</v>
      </c>
    </row>
    <row r="464" spans="8:10" x14ac:dyDescent="0.3">
      <c r="H464" s="22">
        <f>IF(OR($B$2="*",Employee_Master!I464=$B$1),MAX(H$1:H463)+1,"")</f>
        <v>463</v>
      </c>
      <c r="I464" s="22" t="str">
        <f t="shared" si="24"/>
        <v>EMP1463</v>
      </c>
      <c r="J464" t="str">
        <f t="shared" si="25"/>
        <v>EMP1463 | Rajesh Agarwal</v>
      </c>
    </row>
    <row r="465" spans="8:10" x14ac:dyDescent="0.3">
      <c r="H465" s="22">
        <f>IF(OR($B$2="*",Employee_Master!I465=$B$1),MAX(H$1:H464)+1,"")</f>
        <v>464</v>
      </c>
      <c r="I465" s="22" t="str">
        <f t="shared" si="24"/>
        <v>EMP1464</v>
      </c>
      <c r="J465" t="str">
        <f t="shared" si="25"/>
        <v>EMP1464 | Kritika Mehta</v>
      </c>
    </row>
    <row r="466" spans="8:10" x14ac:dyDescent="0.3">
      <c r="H466" s="22">
        <f>IF(OR($B$2="*",Employee_Master!I466=$B$1),MAX(H$1:H465)+1,"")</f>
        <v>465</v>
      </c>
      <c r="I466" s="22" t="str">
        <f t="shared" si="24"/>
        <v>EMP1465</v>
      </c>
      <c r="J466" t="str">
        <f t="shared" si="25"/>
        <v>EMP1465 | Yash Rao</v>
      </c>
    </row>
    <row r="467" spans="8:10" x14ac:dyDescent="0.3">
      <c r="H467" s="22">
        <f>IF(OR($B$2="*",Employee_Master!I467=$B$1),MAX(H$1:H466)+1,"")</f>
        <v>466</v>
      </c>
      <c r="I467" s="22" t="str">
        <f t="shared" si="24"/>
        <v>EMP1466</v>
      </c>
      <c r="J467" t="str">
        <f t="shared" si="25"/>
        <v>EMP1466 | Yamini Choudhary</v>
      </c>
    </row>
    <row r="468" spans="8:10" x14ac:dyDescent="0.3">
      <c r="H468" s="22">
        <f>IF(OR($B$2="*",Employee_Master!I468=$B$1),MAX(H$1:H467)+1,"")</f>
        <v>467</v>
      </c>
      <c r="I468" s="22" t="str">
        <f t="shared" si="24"/>
        <v>EMP1467</v>
      </c>
      <c r="J468" t="str">
        <f t="shared" si="25"/>
        <v>EMP1467 | Vikram Bansal</v>
      </c>
    </row>
    <row r="469" spans="8:10" x14ac:dyDescent="0.3">
      <c r="H469" s="22">
        <f>IF(OR($B$2="*",Employee_Master!I469=$B$1),MAX(H$1:H468)+1,"")</f>
        <v>468</v>
      </c>
      <c r="I469" s="22" t="str">
        <f t="shared" si="24"/>
        <v>EMP1468</v>
      </c>
      <c r="J469" t="str">
        <f t="shared" si="25"/>
        <v>EMP1468 | Ramya Kapoor</v>
      </c>
    </row>
    <row r="470" spans="8:10" x14ac:dyDescent="0.3">
      <c r="H470" s="22">
        <f>IF(OR($B$2="*",Employee_Master!I470=$B$1),MAX(H$1:H469)+1,"")</f>
        <v>469</v>
      </c>
      <c r="I470" s="22" t="str">
        <f t="shared" si="24"/>
        <v>EMP1469</v>
      </c>
      <c r="J470" t="str">
        <f t="shared" si="25"/>
        <v>EMP1469 | Aniket Chatterjee</v>
      </c>
    </row>
    <row r="471" spans="8:10" x14ac:dyDescent="0.3">
      <c r="H471" s="22">
        <f>IF(OR($B$2="*",Employee_Master!I471=$B$1),MAX(H$1:H470)+1,"")</f>
        <v>470</v>
      </c>
      <c r="I471" s="22" t="str">
        <f t="shared" si="24"/>
        <v>EMP1470</v>
      </c>
      <c r="J471" t="str">
        <f t="shared" si="25"/>
        <v>EMP1470 | Krishna Khan</v>
      </c>
    </row>
    <row r="472" spans="8:10" x14ac:dyDescent="0.3">
      <c r="H472" s="22">
        <f>IF(OR($B$2="*",Employee_Master!I472=$B$1),MAX(H$1:H471)+1,"")</f>
        <v>471</v>
      </c>
      <c r="I472" s="22" t="str">
        <f t="shared" si="24"/>
        <v>EMP1471</v>
      </c>
      <c r="J472" t="str">
        <f t="shared" si="25"/>
        <v>EMP1471 | Sowmya Prabhu</v>
      </c>
    </row>
    <row r="473" spans="8:10" x14ac:dyDescent="0.3">
      <c r="H473" s="22">
        <f>IF(OR($B$2="*",Employee_Master!I473=$B$1),MAX(H$1:H472)+1,"")</f>
        <v>472</v>
      </c>
      <c r="I473" s="22" t="str">
        <f t="shared" si="24"/>
        <v>EMP1472</v>
      </c>
      <c r="J473" t="str">
        <f t="shared" si="25"/>
        <v>EMP1472 | Kritika Khan</v>
      </c>
    </row>
    <row r="474" spans="8:10" x14ac:dyDescent="0.3">
      <c r="H474" s="22">
        <f>IF(OR($B$2="*",Employee_Master!I474=$B$1),MAX(H$1:H473)+1,"")</f>
        <v>473</v>
      </c>
      <c r="I474" s="22" t="str">
        <f t="shared" si="24"/>
        <v>EMP1473</v>
      </c>
      <c r="J474" t="str">
        <f t="shared" si="25"/>
        <v>EMP1473 | Rashmi Gowda</v>
      </c>
    </row>
    <row r="475" spans="8:10" x14ac:dyDescent="0.3">
      <c r="H475" s="22">
        <f>IF(OR($B$2="*",Employee_Master!I475=$B$1),MAX(H$1:H474)+1,"")</f>
        <v>474</v>
      </c>
      <c r="I475" s="22" t="str">
        <f t="shared" si="24"/>
        <v>EMP1474</v>
      </c>
      <c r="J475" t="str">
        <f t="shared" si="25"/>
        <v>EMP1474 | Ananya Khanna</v>
      </c>
    </row>
    <row r="476" spans="8:10" x14ac:dyDescent="0.3">
      <c r="H476" s="22">
        <f>IF(OR($B$2="*",Employee_Master!I476=$B$1),MAX(H$1:H475)+1,"")</f>
        <v>475</v>
      </c>
      <c r="I476" s="22" t="str">
        <f t="shared" si="24"/>
        <v>EMP1475</v>
      </c>
      <c r="J476" t="str">
        <f t="shared" si="25"/>
        <v>EMP1475 | Ritu Thomas</v>
      </c>
    </row>
    <row r="477" spans="8:10" x14ac:dyDescent="0.3">
      <c r="H477" s="22">
        <f>IF(OR($B$2="*",Employee_Master!I477=$B$1),MAX(H$1:H476)+1,"")</f>
        <v>476</v>
      </c>
      <c r="I477" s="22" t="str">
        <f t="shared" si="24"/>
        <v>EMP1476</v>
      </c>
      <c r="J477" t="str">
        <f t="shared" si="25"/>
        <v>EMP1476 | Gayatri Subramanian</v>
      </c>
    </row>
    <row r="478" spans="8:10" x14ac:dyDescent="0.3">
      <c r="H478" s="22">
        <f>IF(OR($B$2="*",Employee_Master!I478=$B$1),MAX(H$1:H477)+1,"")</f>
        <v>477</v>
      </c>
      <c r="I478" s="22" t="str">
        <f t="shared" si="24"/>
        <v>EMP1477</v>
      </c>
      <c r="J478" t="str">
        <f t="shared" si="25"/>
        <v>EMP1477 | Sanjay Rao</v>
      </c>
    </row>
    <row r="479" spans="8:10" x14ac:dyDescent="0.3">
      <c r="H479" s="22">
        <f>IF(OR($B$2="*",Employee_Master!I479=$B$1),MAX(H$1:H478)+1,"")</f>
        <v>478</v>
      </c>
      <c r="I479" s="22" t="str">
        <f t="shared" si="24"/>
        <v>EMP1478</v>
      </c>
      <c r="J479" t="str">
        <f t="shared" si="25"/>
        <v>EMP1478 | Mohit Chatterjee</v>
      </c>
    </row>
    <row r="480" spans="8:10" x14ac:dyDescent="0.3">
      <c r="H480" s="22">
        <f>IF(OR($B$2="*",Employee_Master!I480=$B$1),MAX(H$1:H479)+1,"")</f>
        <v>479</v>
      </c>
      <c r="I480" s="22" t="str">
        <f t="shared" si="24"/>
        <v>EMP1479</v>
      </c>
      <c r="J480" t="str">
        <f t="shared" si="25"/>
        <v>EMP1479 | Abhishek Agarwal</v>
      </c>
    </row>
    <row r="481" spans="8:10" x14ac:dyDescent="0.3">
      <c r="H481" s="22">
        <f>IF(OR($B$2="*",Employee_Master!I481=$B$1),MAX(H$1:H480)+1,"")</f>
        <v>480</v>
      </c>
      <c r="I481" s="22" t="str">
        <f t="shared" si="24"/>
        <v>EMP1480</v>
      </c>
      <c r="J481" t="str">
        <f t="shared" si="25"/>
        <v>EMP1480 | Sanjay Bansal</v>
      </c>
    </row>
    <row r="482" spans="8:10" x14ac:dyDescent="0.3">
      <c r="H482" s="22">
        <f>IF(OR($B$2="*",Employee_Master!I482=$B$1),MAX(H$1:H481)+1,"")</f>
        <v>481</v>
      </c>
      <c r="I482" s="22" t="str">
        <f t="shared" si="24"/>
        <v>EMP1481</v>
      </c>
      <c r="J482" t="str">
        <f t="shared" si="25"/>
        <v>EMP1481 | Madhuri Banerjee</v>
      </c>
    </row>
    <row r="483" spans="8:10" x14ac:dyDescent="0.3">
      <c r="H483" s="22">
        <f>IF(OR($B$2="*",Employee_Master!I483=$B$1),MAX(H$1:H482)+1,"")</f>
        <v>482</v>
      </c>
      <c r="I483" s="22" t="str">
        <f t="shared" si="24"/>
        <v>EMP1482</v>
      </c>
      <c r="J483" t="str">
        <f t="shared" si="25"/>
        <v>EMP1482 | Rashmi Khanna</v>
      </c>
    </row>
    <row r="484" spans="8:10" x14ac:dyDescent="0.3">
      <c r="H484" s="22">
        <f>IF(OR($B$2="*",Employee_Master!I484=$B$1),MAX(H$1:H483)+1,"")</f>
        <v>483</v>
      </c>
      <c r="I484" s="22" t="str">
        <f t="shared" si="24"/>
        <v>EMP1483</v>
      </c>
      <c r="J484" t="str">
        <f t="shared" si="25"/>
        <v>EMP1483 | Amit Chatterjee</v>
      </c>
    </row>
    <row r="485" spans="8:10" x14ac:dyDescent="0.3">
      <c r="H485" s="22">
        <f>IF(OR($B$2="*",Employee_Master!I485=$B$1),MAX(H$1:H484)+1,"")</f>
        <v>484</v>
      </c>
      <c r="I485" s="22" t="str">
        <f t="shared" si="24"/>
        <v>EMP1484</v>
      </c>
      <c r="J485" t="str">
        <f t="shared" si="25"/>
        <v>EMP1484 | Ankit Raghavan</v>
      </c>
    </row>
    <row r="486" spans="8:10" x14ac:dyDescent="0.3">
      <c r="H486" s="22">
        <f>IF(OR($B$2="*",Employee_Master!I486=$B$1),MAX(H$1:H485)+1,"")</f>
        <v>485</v>
      </c>
      <c r="I486" s="22" t="str">
        <f t="shared" si="24"/>
        <v>EMP1485</v>
      </c>
      <c r="J486" t="str">
        <f t="shared" si="25"/>
        <v>EMP1485 | Dev Reddy</v>
      </c>
    </row>
    <row r="487" spans="8:10" x14ac:dyDescent="0.3">
      <c r="H487" s="22">
        <f>IF(OR($B$2="*",Employee_Master!I487=$B$1),MAX(H$1:H486)+1,"")</f>
        <v>486</v>
      </c>
      <c r="I487" s="22" t="str">
        <f t="shared" si="24"/>
        <v>EMP1486</v>
      </c>
      <c r="J487" t="str">
        <f t="shared" si="25"/>
        <v>EMP1486 | Radhika Fernandes</v>
      </c>
    </row>
    <row r="488" spans="8:10" x14ac:dyDescent="0.3">
      <c r="H488" s="22">
        <f>IF(OR($B$2="*",Employee_Master!I488=$B$1),MAX(H$1:H487)+1,"")</f>
        <v>487</v>
      </c>
      <c r="I488" s="22" t="str">
        <f t="shared" si="24"/>
        <v>EMP1487</v>
      </c>
      <c r="J488" t="str">
        <f t="shared" si="25"/>
        <v>EMP1487 | Kiran Kulkarni</v>
      </c>
    </row>
    <row r="489" spans="8:10" x14ac:dyDescent="0.3">
      <c r="H489" s="22">
        <f>IF(OR($B$2="*",Employee_Master!I489=$B$1),MAX(H$1:H488)+1,"")</f>
        <v>488</v>
      </c>
      <c r="I489" s="22" t="str">
        <f t="shared" si="24"/>
        <v>EMP1488</v>
      </c>
      <c r="J489" t="str">
        <f t="shared" si="25"/>
        <v>EMP1488 | Tarun Patel</v>
      </c>
    </row>
    <row r="490" spans="8:10" x14ac:dyDescent="0.3">
      <c r="H490" s="22">
        <f>IF(OR($B$2="*",Employee_Master!I490=$B$1),MAX(H$1:H489)+1,"")</f>
        <v>489</v>
      </c>
      <c r="I490" s="22" t="str">
        <f t="shared" si="24"/>
        <v>EMP1489</v>
      </c>
      <c r="J490" t="str">
        <f t="shared" si="25"/>
        <v>EMP1489 | Sanjay Das</v>
      </c>
    </row>
    <row r="491" spans="8:10" x14ac:dyDescent="0.3">
      <c r="H491" s="22">
        <f>IF(OR($B$2="*",Employee_Master!I491=$B$1),MAX(H$1:H490)+1,"")</f>
        <v>490</v>
      </c>
      <c r="I491" s="22" t="str">
        <f t="shared" si="24"/>
        <v>EMP1490</v>
      </c>
      <c r="J491" t="str">
        <f t="shared" si="25"/>
        <v>EMP1490 | Deepika Menon</v>
      </c>
    </row>
    <row r="492" spans="8:10" x14ac:dyDescent="0.3">
      <c r="H492" s="22">
        <f>IF(OR($B$2="*",Employee_Master!I492=$B$1),MAX(H$1:H491)+1,"")</f>
        <v>491</v>
      </c>
      <c r="I492" s="22" t="str">
        <f t="shared" si="24"/>
        <v>EMP1491</v>
      </c>
      <c r="J492" t="str">
        <f t="shared" si="25"/>
        <v>EMP1491 | Sowmya Subramanian</v>
      </c>
    </row>
    <row r="493" spans="8:10" x14ac:dyDescent="0.3">
      <c r="H493" s="22">
        <f>IF(OR($B$2="*",Employee_Master!I493=$B$1),MAX(H$1:H492)+1,"")</f>
        <v>492</v>
      </c>
      <c r="I493" s="22" t="str">
        <f t="shared" si="24"/>
        <v>EMP1492</v>
      </c>
      <c r="J493" t="str">
        <f t="shared" si="25"/>
        <v>EMP1492 | Kunal Dsouza</v>
      </c>
    </row>
    <row r="494" spans="8:10" x14ac:dyDescent="0.3">
      <c r="H494" s="22">
        <f>IF(OR($B$2="*",Employee_Master!I494=$B$1),MAX(H$1:H493)+1,"")</f>
        <v>493</v>
      </c>
      <c r="I494" s="22" t="str">
        <f t="shared" si="24"/>
        <v>EMP1493</v>
      </c>
      <c r="J494" t="str">
        <f t="shared" si="25"/>
        <v>EMP1493 | Divya Kapoor</v>
      </c>
    </row>
    <row r="495" spans="8:10" x14ac:dyDescent="0.3">
      <c r="H495" s="22">
        <f>IF(OR($B$2="*",Employee_Master!I495=$B$1),MAX(H$1:H494)+1,"")</f>
        <v>494</v>
      </c>
      <c r="I495" s="22" t="str">
        <f t="shared" si="24"/>
        <v>EMP1494</v>
      </c>
      <c r="J495" t="str">
        <f t="shared" si="25"/>
        <v>EMP1494 | Ayesha Kulkarni</v>
      </c>
    </row>
    <row r="496" spans="8:10" x14ac:dyDescent="0.3">
      <c r="H496" s="22">
        <f>IF(OR($B$2="*",Employee_Master!I496=$B$1),MAX(H$1:H495)+1,"")</f>
        <v>495</v>
      </c>
      <c r="I496" s="22" t="str">
        <f t="shared" si="24"/>
        <v>EMP1495</v>
      </c>
      <c r="J496" t="str">
        <f t="shared" si="25"/>
        <v>EMP1495 | Ayesha Menon</v>
      </c>
    </row>
    <row r="497" spans="8:10" x14ac:dyDescent="0.3">
      <c r="H497" s="22">
        <f>IF(OR($B$2="*",Employee_Master!I497=$B$1),MAX(H$1:H496)+1,"")</f>
        <v>496</v>
      </c>
      <c r="I497" s="22" t="str">
        <f t="shared" si="24"/>
        <v>EMP1496</v>
      </c>
      <c r="J497" t="str">
        <f t="shared" si="25"/>
        <v>EMP1496 | Trisha Sharma</v>
      </c>
    </row>
    <row r="498" spans="8:10" x14ac:dyDescent="0.3">
      <c r="H498" s="22">
        <f>IF(OR($B$2="*",Employee_Master!I498=$B$1),MAX(H$1:H497)+1,"")</f>
        <v>497</v>
      </c>
      <c r="I498" s="22" t="str">
        <f t="shared" si="24"/>
        <v>EMP1497</v>
      </c>
      <c r="J498" t="str">
        <f t="shared" si="25"/>
        <v>EMP1497 | Vishal Kulkarni</v>
      </c>
    </row>
    <row r="499" spans="8:10" x14ac:dyDescent="0.3">
      <c r="H499" s="22">
        <f>IF(OR($B$2="*",Employee_Master!I499=$B$1),MAX(H$1:H498)+1,"")</f>
        <v>498</v>
      </c>
      <c r="I499" s="22" t="str">
        <f t="shared" si="24"/>
        <v>EMP1498</v>
      </c>
      <c r="J499" t="str">
        <f t="shared" si="25"/>
        <v>EMP1498 | Trisha Malhotra</v>
      </c>
    </row>
    <row r="500" spans="8:10" x14ac:dyDescent="0.3">
      <c r="H500" s="22">
        <f>IF(OR($B$2="*",Employee_Master!I500=$B$1),MAX(H$1:H499)+1,"")</f>
        <v>499</v>
      </c>
      <c r="I500" s="22" t="str">
        <f t="shared" si="24"/>
        <v>EMP1499</v>
      </c>
      <c r="J500" t="str">
        <f t="shared" si="25"/>
        <v>EMP1499 | Bhavana Singh</v>
      </c>
    </row>
    <row r="501" spans="8:10" x14ac:dyDescent="0.3">
      <c r="H501" s="22">
        <f>IF(OR($B$2="*",Employee_Master!I501=$B$1),MAX(H$1:H500)+1,"")</f>
        <v>500</v>
      </c>
      <c r="I501" s="22" t="str">
        <f t="shared" si="24"/>
        <v>EMP1500</v>
      </c>
      <c r="J501" t="str">
        <f t="shared" si="25"/>
        <v>EMP1500 | Sowmya Patel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108</vt:i4>
      </vt:variant>
    </vt:vector>
  </HeadingPairs>
  <TitlesOfParts>
    <vt:vector size="121" baseType="lpstr">
      <vt:lpstr>Read_Me</vt:lpstr>
      <vt:lpstr>Dashboard</vt:lpstr>
      <vt:lpstr>Employee_Explorer</vt:lpstr>
      <vt:lpstr>Employee_Master</vt:lpstr>
      <vt:lpstr>Performance</vt:lpstr>
      <vt:lpstr>Compensation</vt:lpstr>
      <vt:lpstr>Attendance_Leave</vt:lpstr>
      <vt:lpstr>Training</vt:lpstr>
      <vt:lpstr>Engagement</vt:lpstr>
      <vt:lpstr>Exits_Attrition</vt:lpstr>
      <vt:lpstr>Recruitment</vt:lpstr>
      <vt:lpstr>Settings</vt:lpstr>
      <vt:lpstr>Calc_Engine</vt:lpstr>
      <vt:lpstr>A_Att</vt:lpstr>
      <vt:lpstr>A_Dept</vt:lpstr>
      <vt:lpstr>A_Flag</vt:lpstr>
      <vt:lpstr>A_OT</vt:lpstr>
      <vt:lpstr>A_Planned</vt:lpstr>
      <vt:lpstr>A_Sick</vt:lpstr>
      <vt:lpstr>A_Status</vt:lpstr>
      <vt:lpstr>A_Unpl</vt:lpstr>
      <vt:lpstr>A_WFH</vt:lpstr>
      <vt:lpstr>AsOf</vt:lpstr>
      <vt:lpstr>BandLevels</vt:lpstr>
      <vt:lpstr>BandMax</vt:lpstr>
      <vt:lpstr>BandMid</vt:lpstr>
      <vt:lpstr>BandMin</vt:lpstr>
      <vt:lpstr>C_Bonus</vt:lpstr>
      <vt:lpstr>C_Compa</vt:lpstr>
      <vt:lpstr>C_CTC</vt:lpstr>
      <vt:lpstr>C_Dept</vt:lpstr>
      <vt:lpstr>C_Hike</vt:lpstr>
      <vt:lpstr>C_Level</vt:lpstr>
      <vt:lpstr>C_Pos</vt:lpstr>
      <vt:lpstr>C_Rev</vt:lpstr>
      <vt:lpstr>C_Status</vt:lpstr>
      <vt:lpstr>CompaThreshold</vt:lpstr>
      <vt:lpstr>DeptList</vt:lpstr>
      <vt:lpstr>E_Cat</vt:lpstr>
      <vt:lpstr>E_Dept</vt:lpstr>
      <vt:lpstr>E_Dim1</vt:lpstr>
      <vt:lpstr>E_Dim2</vt:lpstr>
      <vt:lpstr>E_Dim3</vt:lpstr>
      <vt:lpstr>E_Dim4</vt:lpstr>
      <vt:lpstr>E_Dim5</vt:lpstr>
      <vt:lpstr>E_Dim6</vt:lpstr>
      <vt:lpstr>E_eNPS</vt:lpstr>
      <vt:lpstr>E_Overall</vt:lpstr>
      <vt:lpstr>E_Rating</vt:lpstr>
      <vt:lpstr>E_Risk</vt:lpstr>
      <vt:lpstr>E_Status</vt:lpstr>
      <vt:lpstr>E_Survey</vt:lpstr>
      <vt:lpstr>EngThreshold</vt:lpstr>
      <vt:lpstr>M_Dept</vt:lpstr>
      <vt:lpstr>M_DOJ</vt:lpstr>
      <vt:lpstr>M_Email</vt:lpstr>
      <vt:lpstr>M_Exit</vt:lpstr>
      <vt:lpstr>M_Gender</vt:lpstr>
      <vt:lpstr>M_ID</vt:lpstr>
      <vt:lpstr>M_Level</vt:lpstr>
      <vt:lpstr>M_LevelNo</vt:lpstr>
      <vt:lpstr>M_Loc</vt:lpstr>
      <vt:lpstr>M_Mgr</vt:lpstr>
      <vt:lpstr>M_Name</vt:lpstr>
      <vt:lpstr>M_Reports</vt:lpstr>
      <vt:lpstr>M_Status</vt:lpstr>
      <vt:lpstr>M_TBand</vt:lpstr>
      <vt:lpstr>M_Tenure</vt:lpstr>
      <vt:lpstr>M_Title</vt:lpstr>
      <vt:lpstr>M_Type</vt:lpstr>
      <vt:lpstr>MaxLvl</vt:lpstr>
      <vt:lpstr>MinRating</vt:lpstr>
      <vt:lpstr>MinYrs</vt:lpstr>
      <vt:lpstr>NineBox</vt:lpstr>
      <vt:lpstr>P_9Box</vt:lpstr>
      <vt:lpstr>P_Band</vt:lpstr>
      <vt:lpstr>P_Dept</vt:lpstr>
      <vt:lpstr>P_Elig</vt:lpstr>
      <vt:lpstr>P_Goals</vt:lpstr>
      <vt:lpstr>P_Label</vt:lpstr>
      <vt:lpstr>P_Level</vt:lpstr>
      <vt:lpstr>P_Pot</vt:lpstr>
      <vt:lpstr>P_Prev</vt:lpstr>
      <vt:lpstr>P_Rating</vt:lpstr>
      <vt:lpstr>P_Reason</vt:lpstr>
      <vt:lpstr>P_Status</vt:lpstr>
      <vt:lpstr>P_Trend</vt:lpstr>
      <vt:lpstr>P_YIL</vt:lpstr>
      <vt:lpstr>PeriodStart</vt:lpstr>
      <vt:lpstr>Dashboard!Print_Area</vt:lpstr>
      <vt:lpstr>R_Acc</vt:lpstr>
      <vt:lpstr>R_Apps</vt:lpstr>
      <vt:lpstr>R_Cost</vt:lpstr>
      <vt:lpstr>R_Dept</vt:lpstr>
      <vt:lpstr>R_Offers</vt:lpstr>
      <vt:lpstr>R_Prio</vt:lpstr>
      <vt:lpstr>R_Source</vt:lpstr>
      <vt:lpstr>R_Status</vt:lpstr>
      <vt:lpstr>R_TTF</vt:lpstr>
      <vt:lpstr>RatingLbl</vt:lpstr>
      <vt:lpstr>RatingNo</vt:lpstr>
      <vt:lpstr>SelCrit</vt:lpstr>
      <vt:lpstr>SelDept</vt:lpstr>
      <vt:lpstr>SelEmp</vt:lpstr>
      <vt:lpstr>SelLabel</vt:lpstr>
      <vt:lpstr>SelRow</vt:lpstr>
      <vt:lpstr>T_Comp</vt:lpstr>
      <vt:lpstr>T_Cost</vt:lpstr>
      <vt:lpstr>T_Courses</vt:lpstr>
      <vt:lpstr>T_Dept</vt:lpstr>
      <vt:lpstr>T_Hours</vt:lpstr>
      <vt:lpstr>T_POSH</vt:lpstr>
      <vt:lpstr>T_Score</vt:lpstr>
      <vt:lpstr>T_Status</vt:lpstr>
      <vt:lpstr>X_Date</vt:lpstr>
      <vt:lpstr>X_Dept</vt:lpstr>
      <vt:lpstr>X_Level</vt:lpstr>
      <vt:lpstr>X_Reason</vt:lpstr>
      <vt:lpstr>X_Regret</vt:lpstr>
      <vt:lpstr>X_Tenure</vt:lpstr>
      <vt:lpstr>X_Type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HR Analytics Dashboard</dc:title>
  <dc:creator>Sonali K</dc:creator>
  <dc:description>Sample data - fictional employees</dc:description>
  <cp:lastModifiedBy>Santosh Patra</cp:lastModifiedBy>
  <dcterms:created xsi:type="dcterms:W3CDTF">2026-09-30T16:15:46Z</dcterms:created>
  <dcterms:modified xsi:type="dcterms:W3CDTF">2026-10-01T07:50:53Z</dcterms:modified>
</cp:coreProperties>
</file>